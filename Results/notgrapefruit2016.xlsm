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5_16TeamFolders\notgrapefruit\Results\"/>
    </mc:Choice>
  </mc:AlternateContent>
  <bookViews>
    <workbookView xWindow="0" yWindow="465" windowWidth="28800" windowHeight="1746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3" r:id="rId6"/>
    <sheet name="grove" sheetId="22" r:id="rId7"/>
    <sheet name="P02" sheetId="21" r:id="rId8"/>
    <sheet name="P03" sheetId="20" r:id="rId9"/>
    <sheet name="P05" sheetId="19" r:id="rId10"/>
    <sheet name="P09" sheetId="18" r:id="rId11"/>
    <sheet name="S35" sheetId="17" r:id="rId12"/>
    <sheet name="S51" sheetId="16" r:id="rId13"/>
    <sheet name="S59" sheetId="15" r:id="rId14"/>
    <sheet name="S73" sheetId="14" r:id="rId15"/>
    <sheet name="ORA" sheetId="13" r:id="rId16"/>
    <sheet name="POJ" sheetId="12" r:id="rId17"/>
    <sheet name="ROJ" sheetId="11" r:id="rId18"/>
    <sheet name="FCOJ" sheetId="10" r:id="rId19"/>
    <sheet name="market" sheetId="9" r:id="rId20"/>
  </sheets>
  <definedNames>
    <definedName name="AddColumn1">shipping_manufacturing!$L$4:$L$12</definedName>
    <definedName name="AddColumn2">shipping_manufacturing!$K$16:$K$20</definedName>
    <definedName name="AddColumn3">shipping_manufacturing!$L$24:$L$32</definedName>
    <definedName name="AddRow3">shipping_manufacturing!$B$32</definedName>
    <definedName name="AddRow4">shipping_manufacturing!$B$42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shipping_manufacturing!$B$36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3" l="1"/>
  <c r="S15" i="23"/>
  <c r="T19" i="23" s="1"/>
  <c r="S14" i="23"/>
  <c r="H40" i="23"/>
  <c r="H39" i="23"/>
  <c r="S39" i="23" s="1"/>
  <c r="H38" i="23"/>
  <c r="S36" i="23" s="1"/>
  <c r="H35" i="23"/>
  <c r="H34" i="23"/>
  <c r="H33" i="23"/>
  <c r="H30" i="23"/>
  <c r="H29" i="23"/>
  <c r="H28" i="23"/>
  <c r="S40" i="23" s="1"/>
  <c r="H27" i="23"/>
  <c r="S37" i="23" s="1"/>
  <c r="H24" i="23"/>
  <c r="H23" i="23"/>
  <c r="H15" i="23"/>
  <c r="H14" i="23"/>
  <c r="H13" i="23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170" i="17"/>
  <c r="AZ121" i="17"/>
  <c r="AZ108" i="17"/>
  <c r="AZ99" i="17"/>
  <c r="AZ92" i="17"/>
  <c r="AZ42" i="18"/>
  <c r="AZ43" i="18"/>
  <c r="AZ53" i="18"/>
  <c r="AZ54" i="18"/>
  <c r="AZ64" i="18"/>
  <c r="AZ65" i="18"/>
  <c r="AZ75" i="18"/>
  <c r="AZ76" i="18"/>
  <c r="AZ42" i="19"/>
  <c r="AZ43" i="19"/>
  <c r="AZ53" i="19"/>
  <c r="AZ54" i="19"/>
  <c r="AZ64" i="19"/>
  <c r="AZ65" i="19"/>
  <c r="AZ75" i="19"/>
  <c r="AZ76" i="19"/>
  <c r="AZ42" i="20"/>
  <c r="AZ43" i="20"/>
  <c r="AZ53" i="20"/>
  <c r="AZ54" i="20"/>
  <c r="AZ64" i="20"/>
  <c r="AZ65" i="20"/>
  <c r="AZ75" i="20"/>
  <c r="AZ76" i="20"/>
  <c r="AZ42" i="21"/>
  <c r="AZ43" i="21"/>
  <c r="AZ53" i="21"/>
  <c r="AZ54" i="21"/>
  <c r="AZ64" i="21"/>
  <c r="AZ65" i="21"/>
  <c r="AZ75" i="21"/>
  <c r="AZ76" i="21"/>
  <c r="T25" i="23"/>
  <c r="D109" i="10"/>
  <c r="E109" i="10"/>
  <c r="F109" i="10"/>
  <c r="G109" i="10"/>
  <c r="H109" i="10"/>
  <c r="H116" i="10" s="1"/>
  <c r="I109" i="10"/>
  <c r="J109" i="10"/>
  <c r="K109" i="10"/>
  <c r="L109" i="10"/>
  <c r="M109" i="10"/>
  <c r="N109" i="10"/>
  <c r="O109" i="10"/>
  <c r="D110" i="10"/>
  <c r="D121" i="10" s="1"/>
  <c r="E110" i="10"/>
  <c r="F110" i="10"/>
  <c r="G110" i="10"/>
  <c r="H110" i="10"/>
  <c r="H121" i="10" s="1"/>
  <c r="I110" i="10"/>
  <c r="J110" i="10"/>
  <c r="K110" i="10"/>
  <c r="K121" i="10" s="1"/>
  <c r="L110" i="10"/>
  <c r="L121" i="10" s="1"/>
  <c r="M110" i="10"/>
  <c r="N110" i="10"/>
  <c r="O110" i="10"/>
  <c r="D111" i="10"/>
  <c r="E111" i="10"/>
  <c r="F111" i="10"/>
  <c r="F122" i="10" s="1"/>
  <c r="G111" i="10"/>
  <c r="G122" i="10" s="1"/>
  <c r="H111" i="10"/>
  <c r="H122" i="10" s="1"/>
  <c r="I111" i="10"/>
  <c r="J111" i="10"/>
  <c r="K111" i="10"/>
  <c r="L111" i="10"/>
  <c r="M111" i="10"/>
  <c r="N111" i="10"/>
  <c r="N122" i="10" s="1"/>
  <c r="O111" i="10"/>
  <c r="O122" i="10" s="1"/>
  <c r="D112" i="10"/>
  <c r="D123" i="10" s="1"/>
  <c r="E112" i="10"/>
  <c r="F112" i="10"/>
  <c r="G112" i="10"/>
  <c r="H112" i="10"/>
  <c r="I112" i="10"/>
  <c r="J112" i="10"/>
  <c r="J123" i="10" s="1"/>
  <c r="K112" i="10"/>
  <c r="K123" i="10" s="1"/>
  <c r="L112" i="10"/>
  <c r="L123" i="10" s="1"/>
  <c r="M112" i="10"/>
  <c r="N112" i="10"/>
  <c r="O112" i="10"/>
  <c r="D113" i="10"/>
  <c r="E113" i="10"/>
  <c r="F113" i="10"/>
  <c r="F124" i="10" s="1"/>
  <c r="G113" i="10"/>
  <c r="G124" i="10" s="1"/>
  <c r="H113" i="10"/>
  <c r="H124" i="10" s="1"/>
  <c r="I113" i="10"/>
  <c r="J113" i="10"/>
  <c r="K113" i="10"/>
  <c r="L113" i="10"/>
  <c r="L124" i="10" s="1"/>
  <c r="M113" i="10"/>
  <c r="N113" i="10"/>
  <c r="N124" i="10" s="1"/>
  <c r="O113" i="10"/>
  <c r="O124" i="10" s="1"/>
  <c r="D114" i="10"/>
  <c r="D125" i="10" s="1"/>
  <c r="E114" i="10"/>
  <c r="F114" i="10"/>
  <c r="G114" i="10"/>
  <c r="H114" i="10"/>
  <c r="H125" i="10" s="1"/>
  <c r="I114" i="10"/>
  <c r="J114" i="10"/>
  <c r="J125" i="10" s="1"/>
  <c r="K114" i="10"/>
  <c r="K125" i="10" s="1"/>
  <c r="L114" i="10"/>
  <c r="L125" i="10" s="1"/>
  <c r="M114" i="10"/>
  <c r="N114" i="10"/>
  <c r="O114" i="10"/>
  <c r="D115" i="10"/>
  <c r="E115" i="10"/>
  <c r="F115" i="10"/>
  <c r="F126" i="10" s="1"/>
  <c r="G115" i="10"/>
  <c r="G126" i="10" s="1"/>
  <c r="H115" i="10"/>
  <c r="H126" i="10" s="1"/>
  <c r="I115" i="10"/>
  <c r="J115" i="10"/>
  <c r="K115" i="10"/>
  <c r="L115" i="10"/>
  <c r="L126" i="10" s="1"/>
  <c r="M115" i="10"/>
  <c r="N115" i="10"/>
  <c r="N126" i="10" s="1"/>
  <c r="O115" i="10"/>
  <c r="O126" i="10" s="1"/>
  <c r="E116" i="10"/>
  <c r="K116" i="10"/>
  <c r="M116" i="10"/>
  <c r="E120" i="10"/>
  <c r="I120" i="10"/>
  <c r="J120" i="10"/>
  <c r="K120" i="10"/>
  <c r="L120" i="10"/>
  <c r="M120" i="10"/>
  <c r="E121" i="10"/>
  <c r="E127" i="10" s="1"/>
  <c r="F121" i="10"/>
  <c r="G121" i="10"/>
  <c r="I121" i="10"/>
  <c r="M121" i="10"/>
  <c r="M127" i="10" s="1"/>
  <c r="N121" i="10"/>
  <c r="O121" i="10"/>
  <c r="D122" i="10"/>
  <c r="E122" i="10"/>
  <c r="I122" i="10"/>
  <c r="J122" i="10"/>
  <c r="K122" i="10"/>
  <c r="L122" i="10"/>
  <c r="M122" i="10"/>
  <c r="E123" i="10"/>
  <c r="F123" i="10"/>
  <c r="G123" i="10"/>
  <c r="H123" i="10"/>
  <c r="I123" i="10"/>
  <c r="M123" i="10"/>
  <c r="N123" i="10"/>
  <c r="O123" i="10"/>
  <c r="D124" i="10"/>
  <c r="E124" i="10"/>
  <c r="I124" i="10"/>
  <c r="J124" i="10"/>
  <c r="K124" i="10"/>
  <c r="M124" i="10"/>
  <c r="E125" i="10"/>
  <c r="F125" i="10"/>
  <c r="G125" i="10"/>
  <c r="I125" i="10"/>
  <c r="M125" i="10"/>
  <c r="N125" i="10"/>
  <c r="O125" i="10"/>
  <c r="D126" i="10"/>
  <c r="E126" i="10"/>
  <c r="I126" i="10"/>
  <c r="J126" i="10"/>
  <c r="K126" i="10"/>
  <c r="M126" i="10"/>
  <c r="K127" i="10"/>
  <c r="D131" i="10"/>
  <c r="E131" i="10"/>
  <c r="F131" i="10"/>
  <c r="G131" i="10"/>
  <c r="H131" i="10"/>
  <c r="I131" i="10"/>
  <c r="J131" i="10"/>
  <c r="K131" i="10"/>
  <c r="L131" i="10"/>
  <c r="L138" i="10" s="1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K138" i="10"/>
  <c r="M138" i="10"/>
  <c r="D109" i="11"/>
  <c r="D116" i="11" s="1"/>
  <c r="E109" i="11"/>
  <c r="F109" i="11"/>
  <c r="G109" i="11"/>
  <c r="G120" i="11" s="1"/>
  <c r="H109" i="11"/>
  <c r="H116" i="11" s="1"/>
  <c r="I109" i="11"/>
  <c r="J109" i="11"/>
  <c r="K109" i="11"/>
  <c r="L109" i="11"/>
  <c r="M109" i="11"/>
  <c r="N109" i="11"/>
  <c r="O109" i="11"/>
  <c r="O120" i="11" s="1"/>
  <c r="D110" i="11"/>
  <c r="E110" i="11"/>
  <c r="F110" i="11"/>
  <c r="G110" i="11"/>
  <c r="H110" i="11"/>
  <c r="I110" i="11"/>
  <c r="J110" i="11"/>
  <c r="J121" i="11" s="1"/>
  <c r="K110" i="11"/>
  <c r="K121" i="11" s="1"/>
  <c r="L110" i="11"/>
  <c r="M110" i="11"/>
  <c r="N110" i="11"/>
  <c r="O110" i="11"/>
  <c r="D111" i="11"/>
  <c r="E111" i="11"/>
  <c r="F111" i="11"/>
  <c r="F122" i="11" s="1"/>
  <c r="G111" i="11"/>
  <c r="G122" i="11" s="1"/>
  <c r="H111" i="11"/>
  <c r="I111" i="11"/>
  <c r="J111" i="11"/>
  <c r="K111" i="11"/>
  <c r="L111" i="11"/>
  <c r="M111" i="11"/>
  <c r="N111" i="11"/>
  <c r="N122" i="11" s="1"/>
  <c r="O111" i="11"/>
  <c r="O122" i="11" s="1"/>
  <c r="D112" i="11"/>
  <c r="E112" i="11"/>
  <c r="F112" i="11"/>
  <c r="G112" i="11"/>
  <c r="H112" i="11"/>
  <c r="I112" i="11"/>
  <c r="J112" i="11"/>
  <c r="J123" i="11" s="1"/>
  <c r="K112" i="11"/>
  <c r="K123" i="11" s="1"/>
  <c r="L112" i="11"/>
  <c r="M112" i="11"/>
  <c r="N112" i="11"/>
  <c r="O112" i="11"/>
  <c r="D113" i="11"/>
  <c r="E113" i="11"/>
  <c r="F113" i="11"/>
  <c r="F124" i="11" s="1"/>
  <c r="G113" i="11"/>
  <c r="G124" i="11" s="1"/>
  <c r="H113" i="11"/>
  <c r="I113" i="11"/>
  <c r="J113" i="11"/>
  <c r="K113" i="11"/>
  <c r="L113" i="11"/>
  <c r="M113" i="11"/>
  <c r="N113" i="11"/>
  <c r="N124" i="11" s="1"/>
  <c r="O113" i="11"/>
  <c r="O124" i="11" s="1"/>
  <c r="D114" i="11"/>
  <c r="E114" i="11"/>
  <c r="F114" i="11"/>
  <c r="G114" i="11"/>
  <c r="H114" i="11"/>
  <c r="I114" i="11"/>
  <c r="J114" i="11"/>
  <c r="J125" i="11" s="1"/>
  <c r="K114" i="11"/>
  <c r="K125" i="11" s="1"/>
  <c r="L114" i="11"/>
  <c r="M114" i="11"/>
  <c r="N114" i="11"/>
  <c r="O114" i="11"/>
  <c r="D115" i="11"/>
  <c r="E115" i="11"/>
  <c r="F115" i="11"/>
  <c r="F126" i="11" s="1"/>
  <c r="G115" i="11"/>
  <c r="G126" i="11" s="1"/>
  <c r="H115" i="11"/>
  <c r="I115" i="11"/>
  <c r="J115" i="11"/>
  <c r="K115" i="11"/>
  <c r="L115" i="11"/>
  <c r="M115" i="11"/>
  <c r="N115" i="11"/>
  <c r="N126" i="11" s="1"/>
  <c r="O115" i="11"/>
  <c r="O126" i="11" s="1"/>
  <c r="E116" i="11"/>
  <c r="J116" i="11"/>
  <c r="K116" i="11"/>
  <c r="L116" i="11"/>
  <c r="M116" i="11"/>
  <c r="D120" i="11"/>
  <c r="E120" i="11"/>
  <c r="H120" i="11"/>
  <c r="I120" i="11"/>
  <c r="J120" i="11"/>
  <c r="K120" i="11"/>
  <c r="L120" i="11"/>
  <c r="M120" i="11"/>
  <c r="D121" i="11"/>
  <c r="E121" i="11"/>
  <c r="F121" i="11"/>
  <c r="G121" i="11"/>
  <c r="H121" i="11"/>
  <c r="I121" i="11"/>
  <c r="L121" i="11"/>
  <c r="M121" i="11"/>
  <c r="M127" i="11" s="1"/>
  <c r="N121" i="11"/>
  <c r="O121" i="11"/>
  <c r="D122" i="11"/>
  <c r="E122" i="11"/>
  <c r="H122" i="11"/>
  <c r="I122" i="11"/>
  <c r="J122" i="11"/>
  <c r="K122" i="11"/>
  <c r="L122" i="11"/>
  <c r="M122" i="11"/>
  <c r="D123" i="11"/>
  <c r="E123" i="11"/>
  <c r="F123" i="11"/>
  <c r="G123" i="11"/>
  <c r="H123" i="11"/>
  <c r="I123" i="11"/>
  <c r="L123" i="11"/>
  <c r="M123" i="11"/>
  <c r="N123" i="11"/>
  <c r="O123" i="11"/>
  <c r="D124" i="11"/>
  <c r="E124" i="11"/>
  <c r="H124" i="11"/>
  <c r="I124" i="11"/>
  <c r="J124" i="11"/>
  <c r="K124" i="11"/>
  <c r="L124" i="11"/>
  <c r="M124" i="11"/>
  <c r="D125" i="11"/>
  <c r="E125" i="11"/>
  <c r="F125" i="11"/>
  <c r="G125" i="11"/>
  <c r="H125" i="11"/>
  <c r="I125" i="11"/>
  <c r="L125" i="11"/>
  <c r="M125" i="11"/>
  <c r="N125" i="11"/>
  <c r="O125" i="11"/>
  <c r="D126" i="11"/>
  <c r="E126" i="11"/>
  <c r="H126" i="11"/>
  <c r="I126" i="11"/>
  <c r="J126" i="11"/>
  <c r="K126" i="11"/>
  <c r="L126" i="11"/>
  <c r="M126" i="11"/>
  <c r="D127" i="11"/>
  <c r="E127" i="11"/>
  <c r="J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J138" i="11" s="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M138" i="11"/>
  <c r="D109" i="12"/>
  <c r="E109" i="12"/>
  <c r="F109" i="12"/>
  <c r="F120" i="12" s="1"/>
  <c r="G109" i="12"/>
  <c r="H109" i="12"/>
  <c r="I109" i="12"/>
  <c r="J109" i="12"/>
  <c r="K109" i="12"/>
  <c r="L109" i="12"/>
  <c r="L120" i="12" s="1"/>
  <c r="M109" i="12"/>
  <c r="N109" i="12"/>
  <c r="N120" i="12" s="1"/>
  <c r="O109" i="12"/>
  <c r="D110" i="12"/>
  <c r="E110" i="12"/>
  <c r="F110" i="12"/>
  <c r="G110" i="12"/>
  <c r="H110" i="12"/>
  <c r="H121" i="12" s="1"/>
  <c r="I110" i="12"/>
  <c r="J110" i="12"/>
  <c r="J116" i="12" s="1"/>
  <c r="K110" i="12"/>
  <c r="L110" i="12"/>
  <c r="M110" i="12"/>
  <c r="N110" i="12"/>
  <c r="O110" i="12"/>
  <c r="D111" i="12"/>
  <c r="D122" i="12" s="1"/>
  <c r="E111" i="12"/>
  <c r="F111" i="12"/>
  <c r="F122" i="12" s="1"/>
  <c r="G111" i="12"/>
  <c r="H111" i="12"/>
  <c r="I111" i="12"/>
  <c r="J111" i="12"/>
  <c r="K111" i="12"/>
  <c r="L111" i="12"/>
  <c r="L122" i="12" s="1"/>
  <c r="M111" i="12"/>
  <c r="N111" i="12"/>
  <c r="N122" i="12" s="1"/>
  <c r="O111" i="12"/>
  <c r="D112" i="12"/>
  <c r="E112" i="12"/>
  <c r="F112" i="12"/>
  <c r="G112" i="12"/>
  <c r="H112" i="12"/>
  <c r="H123" i="12" s="1"/>
  <c r="I112" i="12"/>
  <c r="J112" i="12"/>
  <c r="J123" i="12" s="1"/>
  <c r="K112" i="12"/>
  <c r="L112" i="12"/>
  <c r="M112" i="12"/>
  <c r="N112" i="12"/>
  <c r="O112" i="12"/>
  <c r="D113" i="12"/>
  <c r="D124" i="12" s="1"/>
  <c r="E113" i="12"/>
  <c r="F113" i="12"/>
  <c r="F124" i="12" s="1"/>
  <c r="G113" i="12"/>
  <c r="H113" i="12"/>
  <c r="I113" i="12"/>
  <c r="J113" i="12"/>
  <c r="K113" i="12"/>
  <c r="L113" i="12"/>
  <c r="L124" i="12" s="1"/>
  <c r="M113" i="12"/>
  <c r="N113" i="12"/>
  <c r="N124" i="12" s="1"/>
  <c r="O113" i="12"/>
  <c r="D114" i="12"/>
  <c r="E114" i="12"/>
  <c r="F114" i="12"/>
  <c r="G114" i="12"/>
  <c r="H114" i="12"/>
  <c r="H125" i="12" s="1"/>
  <c r="I114" i="12"/>
  <c r="J114" i="12"/>
  <c r="J125" i="12" s="1"/>
  <c r="K114" i="12"/>
  <c r="L114" i="12"/>
  <c r="M114" i="12"/>
  <c r="N114" i="12"/>
  <c r="O114" i="12"/>
  <c r="D115" i="12"/>
  <c r="D126" i="12" s="1"/>
  <c r="E115" i="12"/>
  <c r="F115" i="12"/>
  <c r="F126" i="12" s="1"/>
  <c r="G115" i="12"/>
  <c r="H115" i="12"/>
  <c r="I115" i="12"/>
  <c r="J115" i="12"/>
  <c r="K115" i="12"/>
  <c r="L115" i="12"/>
  <c r="L126" i="12" s="1"/>
  <c r="M115" i="12"/>
  <c r="N115" i="12"/>
  <c r="N126" i="12" s="1"/>
  <c r="O115" i="12"/>
  <c r="E116" i="12"/>
  <c r="H116" i="12"/>
  <c r="K116" i="12"/>
  <c r="L116" i="12"/>
  <c r="M116" i="12"/>
  <c r="E120" i="12"/>
  <c r="G120" i="12"/>
  <c r="H120" i="12"/>
  <c r="I120" i="12"/>
  <c r="I127" i="12" s="1"/>
  <c r="J120" i="12"/>
  <c r="K120" i="12"/>
  <c r="M120" i="12"/>
  <c r="O120" i="12"/>
  <c r="D121" i="12"/>
  <c r="E121" i="12"/>
  <c r="F121" i="12"/>
  <c r="G121" i="12"/>
  <c r="I121" i="12"/>
  <c r="K121" i="12"/>
  <c r="L121" i="12"/>
  <c r="M121" i="12"/>
  <c r="N121" i="12"/>
  <c r="O121" i="12"/>
  <c r="E122" i="12"/>
  <c r="G122" i="12"/>
  <c r="H122" i="12"/>
  <c r="I122" i="12"/>
  <c r="J122" i="12"/>
  <c r="K122" i="12"/>
  <c r="M122" i="12"/>
  <c r="O122" i="12"/>
  <c r="D123" i="12"/>
  <c r="E123" i="12"/>
  <c r="F123" i="12"/>
  <c r="G123" i="12"/>
  <c r="I123" i="12"/>
  <c r="K123" i="12"/>
  <c r="L123" i="12"/>
  <c r="M123" i="12"/>
  <c r="N123" i="12"/>
  <c r="O123" i="12"/>
  <c r="E124" i="12"/>
  <c r="G124" i="12"/>
  <c r="H124" i="12"/>
  <c r="I124" i="12"/>
  <c r="J124" i="12"/>
  <c r="K124" i="12"/>
  <c r="M124" i="12"/>
  <c r="O124" i="12"/>
  <c r="D125" i="12"/>
  <c r="E125" i="12"/>
  <c r="F125" i="12"/>
  <c r="G125" i="12"/>
  <c r="I125" i="12"/>
  <c r="K125" i="12"/>
  <c r="L125" i="12"/>
  <c r="M125" i="12"/>
  <c r="N125" i="12"/>
  <c r="O125" i="12"/>
  <c r="E126" i="12"/>
  <c r="G126" i="12"/>
  <c r="H126" i="12"/>
  <c r="I126" i="12"/>
  <c r="J126" i="12"/>
  <c r="K126" i="12"/>
  <c r="M126" i="12"/>
  <c r="O126" i="12"/>
  <c r="H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M138" i="12"/>
  <c r="D109" i="13"/>
  <c r="E109" i="13"/>
  <c r="F109" i="13"/>
  <c r="G109" i="13"/>
  <c r="H109" i="13"/>
  <c r="I109" i="13"/>
  <c r="J109" i="13"/>
  <c r="K109" i="13"/>
  <c r="L109" i="13"/>
  <c r="L120" i="13" s="1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D122" i="13" s="1"/>
  <c r="E111" i="13"/>
  <c r="F111" i="13"/>
  <c r="G111" i="13"/>
  <c r="H111" i="13"/>
  <c r="I111" i="13"/>
  <c r="J111" i="13"/>
  <c r="K111" i="13"/>
  <c r="L111" i="13"/>
  <c r="L122" i="13" s="1"/>
  <c r="M111" i="13"/>
  <c r="N111" i="13"/>
  <c r="O111" i="13"/>
  <c r="D112" i="13"/>
  <c r="E112" i="13"/>
  <c r="F112" i="13"/>
  <c r="G112" i="13"/>
  <c r="H112" i="13"/>
  <c r="H123" i="13" s="1"/>
  <c r="I112" i="13"/>
  <c r="J112" i="13"/>
  <c r="K112" i="13"/>
  <c r="L112" i="13"/>
  <c r="M112" i="13"/>
  <c r="M123" i="13" s="1"/>
  <c r="M127" i="13" s="1"/>
  <c r="N112" i="13"/>
  <c r="O112" i="13"/>
  <c r="D113" i="13"/>
  <c r="D124" i="13" s="1"/>
  <c r="E113" i="13"/>
  <c r="F113" i="13"/>
  <c r="G113" i="13"/>
  <c r="H113" i="13"/>
  <c r="I113" i="13"/>
  <c r="J113" i="13"/>
  <c r="K113" i="13"/>
  <c r="L113" i="13"/>
  <c r="L124" i="13" s="1"/>
  <c r="M113" i="13"/>
  <c r="N113" i="13"/>
  <c r="O113" i="13"/>
  <c r="D114" i="13"/>
  <c r="E114" i="13"/>
  <c r="F114" i="13"/>
  <c r="G114" i="13"/>
  <c r="H114" i="13"/>
  <c r="H125" i="13" s="1"/>
  <c r="I114" i="13"/>
  <c r="J114" i="13"/>
  <c r="K114" i="13"/>
  <c r="L114" i="13"/>
  <c r="M114" i="13"/>
  <c r="N114" i="13"/>
  <c r="O114" i="13"/>
  <c r="D115" i="13"/>
  <c r="D126" i="13" s="1"/>
  <c r="E115" i="13"/>
  <c r="F115" i="13"/>
  <c r="G115" i="13"/>
  <c r="H115" i="13"/>
  <c r="I115" i="13"/>
  <c r="J115" i="13"/>
  <c r="K115" i="13"/>
  <c r="L115" i="13"/>
  <c r="L126" i="13" s="1"/>
  <c r="M115" i="13"/>
  <c r="N115" i="13"/>
  <c r="O115" i="13"/>
  <c r="E116" i="13"/>
  <c r="J116" i="13"/>
  <c r="K116" i="13"/>
  <c r="E120" i="13"/>
  <c r="F120" i="13"/>
  <c r="G120" i="13"/>
  <c r="H120" i="13"/>
  <c r="I120" i="13"/>
  <c r="I127" i="13" s="1"/>
  <c r="J120" i="13"/>
  <c r="K120" i="13"/>
  <c r="M120" i="13"/>
  <c r="N120" i="13"/>
  <c r="O120" i="13"/>
  <c r="D121" i="13"/>
  <c r="E121" i="13"/>
  <c r="F121" i="13"/>
  <c r="G121" i="13"/>
  <c r="I121" i="13"/>
  <c r="J121" i="13"/>
  <c r="K121" i="13"/>
  <c r="K127" i="13" s="1"/>
  <c r="L121" i="13"/>
  <c r="M121" i="13"/>
  <c r="N121" i="13"/>
  <c r="O121" i="13"/>
  <c r="E122" i="13"/>
  <c r="F122" i="13"/>
  <c r="G122" i="13"/>
  <c r="H122" i="13"/>
  <c r="I122" i="13"/>
  <c r="J122" i="13"/>
  <c r="K122" i="13"/>
  <c r="M122" i="13"/>
  <c r="N122" i="13"/>
  <c r="O122" i="13"/>
  <c r="D123" i="13"/>
  <c r="E123" i="13"/>
  <c r="F123" i="13"/>
  <c r="G123" i="13"/>
  <c r="I123" i="13"/>
  <c r="J123" i="13"/>
  <c r="K123" i="13"/>
  <c r="L123" i="13"/>
  <c r="N123" i="13"/>
  <c r="O123" i="13"/>
  <c r="E124" i="13"/>
  <c r="F124" i="13"/>
  <c r="G124" i="13"/>
  <c r="H124" i="13"/>
  <c r="I124" i="13"/>
  <c r="J124" i="13"/>
  <c r="K124" i="13"/>
  <c r="M124" i="13"/>
  <c r="N124" i="13"/>
  <c r="O124" i="13"/>
  <c r="D125" i="13"/>
  <c r="E125" i="13"/>
  <c r="F125" i="13"/>
  <c r="G125" i="13"/>
  <c r="I125" i="13"/>
  <c r="J125" i="13"/>
  <c r="K125" i="13"/>
  <c r="L125" i="13"/>
  <c r="M125" i="13"/>
  <c r="N125" i="13"/>
  <c r="O125" i="13"/>
  <c r="E126" i="13"/>
  <c r="F126" i="13"/>
  <c r="G126" i="13"/>
  <c r="H126" i="13"/>
  <c r="I126" i="13"/>
  <c r="J126" i="13"/>
  <c r="K126" i="13"/>
  <c r="M126" i="13"/>
  <c r="N126" i="13"/>
  <c r="O126" i="13"/>
  <c r="E127" i="13"/>
  <c r="D131" i="13"/>
  <c r="E131" i="13"/>
  <c r="F131" i="13"/>
  <c r="G131" i="13"/>
  <c r="H131" i="13"/>
  <c r="H138" i="13" s="1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D138" i="13" s="1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E138" i="13"/>
  <c r="J138" i="13"/>
  <c r="K138" i="13"/>
  <c r="L138" i="13"/>
  <c r="M138" i="13"/>
  <c r="AZ14" i="14"/>
  <c r="AY259" i="14" s="1"/>
  <c r="AY181" i="14"/>
  <c r="AY179" i="14"/>
  <c r="AY177" i="14"/>
  <c r="AY260" i="14" s="1"/>
  <c r="AY175" i="14"/>
  <c r="AX259" i="14"/>
  <c r="AY14" i="14"/>
  <c r="AX181" i="14"/>
  <c r="AX179" i="14"/>
  <c r="AX177" i="14"/>
  <c r="AX175" i="14"/>
  <c r="AX14" i="14"/>
  <c r="AW259" i="14" s="1"/>
  <c r="AW181" i="14"/>
  <c r="AW179" i="14"/>
  <c r="AW177" i="14"/>
  <c r="AW175" i="14"/>
  <c r="AW14" i="14"/>
  <c r="AV259" i="14" s="1"/>
  <c r="AV181" i="14"/>
  <c r="AV179" i="14"/>
  <c r="AV177" i="14"/>
  <c r="AV175" i="14"/>
  <c r="AV260" i="14" s="1"/>
  <c r="AU259" i="14"/>
  <c r="AV14" i="14"/>
  <c r="AU181" i="14"/>
  <c r="AU179" i="14"/>
  <c r="AU177" i="14"/>
  <c r="AU175" i="14"/>
  <c r="AU260" i="14" s="1"/>
  <c r="AT260" i="14"/>
  <c r="AT259" i="14"/>
  <c r="AU14" i="14"/>
  <c r="AT181" i="14"/>
  <c r="AT179" i="14"/>
  <c r="AT177" i="14"/>
  <c r="AT175" i="14"/>
  <c r="AS260" i="14"/>
  <c r="AS259" i="14"/>
  <c r="AT14" i="14"/>
  <c r="AS181" i="14"/>
  <c r="AS179" i="14"/>
  <c r="AS177" i="14"/>
  <c r="AS175" i="14"/>
  <c r="AS14" i="14"/>
  <c r="AR259" i="14" s="1"/>
  <c r="AR181" i="14"/>
  <c r="AR179" i="14"/>
  <c r="AR260" i="14" s="1"/>
  <c r="AR177" i="14"/>
  <c r="AR175" i="14"/>
  <c r="AR14" i="14"/>
  <c r="AQ259" i="14" s="1"/>
  <c r="AQ181" i="14"/>
  <c r="AQ179" i="14"/>
  <c r="AQ177" i="14"/>
  <c r="AQ260" i="14" s="1"/>
  <c r="AQ175" i="14"/>
  <c r="AP259" i="14"/>
  <c r="AQ14" i="14"/>
  <c r="AP181" i="14"/>
  <c r="AP179" i="14"/>
  <c r="AP177" i="14"/>
  <c r="AP175" i="14"/>
  <c r="AP14" i="14"/>
  <c r="AO259" i="14" s="1"/>
  <c r="AO181" i="14"/>
  <c r="AO179" i="14"/>
  <c r="AO177" i="14"/>
  <c r="AO175" i="14"/>
  <c r="AO14" i="14"/>
  <c r="AN259" i="14" s="1"/>
  <c r="AN181" i="14"/>
  <c r="AN179" i="14"/>
  <c r="AN177" i="14"/>
  <c r="AN175" i="14"/>
  <c r="AM259" i="14"/>
  <c r="AN14" i="14"/>
  <c r="AM181" i="14"/>
  <c r="AM179" i="14"/>
  <c r="AM177" i="14"/>
  <c r="AM175" i="14"/>
  <c r="AM260" i="14" s="1"/>
  <c r="AL260" i="14"/>
  <c r="AL259" i="14"/>
  <c r="AM14" i="14"/>
  <c r="AL181" i="14"/>
  <c r="AL179" i="14"/>
  <c r="AL177" i="14"/>
  <c r="AL175" i="14"/>
  <c r="AK260" i="14"/>
  <c r="AK259" i="14"/>
  <c r="AL14" i="14"/>
  <c r="AK181" i="14"/>
  <c r="AK179" i="14"/>
  <c r="AK177" i="14"/>
  <c r="AK175" i="14"/>
  <c r="AJ259" i="14"/>
  <c r="AK14" i="14"/>
  <c r="AJ181" i="14"/>
  <c r="AJ179" i="14"/>
  <c r="AJ177" i="14"/>
  <c r="AJ175" i="14"/>
  <c r="AJ14" i="14"/>
  <c r="AI259" i="14" s="1"/>
  <c r="AI181" i="14"/>
  <c r="AI179" i="14"/>
  <c r="AI177" i="14"/>
  <c r="AI260" i="14" s="1"/>
  <c r="AI175" i="14"/>
  <c r="AH259" i="14"/>
  <c r="AI14" i="14"/>
  <c r="AH181" i="14"/>
  <c r="AH179" i="14"/>
  <c r="AH177" i="14"/>
  <c r="AH175" i="14"/>
  <c r="AH14" i="14"/>
  <c r="AG259" i="14" s="1"/>
  <c r="AG181" i="14"/>
  <c r="AG179" i="14"/>
  <c r="AG177" i="14"/>
  <c r="AG175" i="14"/>
  <c r="AG260" i="14" s="1"/>
  <c r="AG14" i="14"/>
  <c r="AF259" i="14" s="1"/>
  <c r="AF181" i="14"/>
  <c r="AF179" i="14"/>
  <c r="AF177" i="14"/>
  <c r="AF260" i="14" s="1"/>
  <c r="AF175" i="14"/>
  <c r="AE259" i="14"/>
  <c r="AF14" i="14"/>
  <c r="AE181" i="14"/>
  <c r="AE179" i="14"/>
  <c r="AE177" i="14"/>
  <c r="AE175" i="14"/>
  <c r="AE260" i="14" s="1"/>
  <c r="AE14" i="14"/>
  <c r="AD259" i="14" s="1"/>
  <c r="AD181" i="14"/>
  <c r="AD179" i="14"/>
  <c r="AD177" i="14"/>
  <c r="AD260" i="14" s="1"/>
  <c r="AD175" i="14"/>
  <c r="AC259" i="14"/>
  <c r="AD14" i="14"/>
  <c r="AC181" i="14"/>
  <c r="AC260" i="14" s="1"/>
  <c r="AC179" i="14"/>
  <c r="AC177" i="14"/>
  <c r="AC175" i="14"/>
  <c r="AC14" i="14"/>
  <c r="AB259" i="14" s="1"/>
  <c r="AB181" i="14"/>
  <c r="AB179" i="14"/>
  <c r="AB177" i="14"/>
  <c r="AB175" i="14"/>
  <c r="AB14" i="14"/>
  <c r="AA259" i="14" s="1"/>
  <c r="AA181" i="14"/>
  <c r="AA179" i="14"/>
  <c r="AA260" i="14" s="1"/>
  <c r="AA177" i="14"/>
  <c r="AA175" i="14"/>
  <c r="Z259" i="14"/>
  <c r="AA14" i="14"/>
  <c r="Z181" i="14"/>
  <c r="Z179" i="14"/>
  <c r="Z177" i="14"/>
  <c r="Z175" i="14"/>
  <c r="Z260" i="14" s="1"/>
  <c r="Z14" i="14"/>
  <c r="Y259" i="14" s="1"/>
  <c r="Y181" i="14"/>
  <c r="Y179" i="14"/>
  <c r="Y177" i="14"/>
  <c r="Y175" i="14"/>
  <c r="Y14" i="14"/>
  <c r="X259" i="14" s="1"/>
  <c r="X181" i="14"/>
  <c r="X179" i="14"/>
  <c r="X177" i="14"/>
  <c r="X175" i="14"/>
  <c r="X260" i="14" s="1"/>
  <c r="W260" i="14"/>
  <c r="W259" i="14"/>
  <c r="X14" i="14"/>
  <c r="W181" i="14"/>
  <c r="W179" i="14"/>
  <c r="W177" i="14"/>
  <c r="W175" i="14"/>
  <c r="V260" i="14"/>
  <c r="V259" i="14"/>
  <c r="W14" i="14"/>
  <c r="V181" i="14"/>
  <c r="V179" i="14"/>
  <c r="V177" i="14"/>
  <c r="V175" i="14"/>
  <c r="U259" i="14"/>
  <c r="V14" i="14"/>
  <c r="U181" i="14"/>
  <c r="U179" i="14"/>
  <c r="U177" i="14"/>
  <c r="U175" i="14"/>
  <c r="T259" i="14"/>
  <c r="U14" i="14"/>
  <c r="T181" i="14"/>
  <c r="T179" i="14"/>
  <c r="T177" i="14"/>
  <c r="T175" i="14"/>
  <c r="T14" i="14"/>
  <c r="S259" i="14" s="1"/>
  <c r="S181" i="14"/>
  <c r="S179" i="14"/>
  <c r="S177" i="14"/>
  <c r="S260" i="14" s="1"/>
  <c r="S175" i="14"/>
  <c r="R259" i="14"/>
  <c r="S14" i="14"/>
  <c r="R181" i="14"/>
  <c r="R179" i="14"/>
  <c r="R177" i="14"/>
  <c r="R175" i="14"/>
  <c r="R14" i="14"/>
  <c r="Q259" i="14" s="1"/>
  <c r="Q181" i="14"/>
  <c r="Q179" i="14"/>
  <c r="Q177" i="14"/>
  <c r="Q175" i="14"/>
  <c r="Q14" i="14"/>
  <c r="P259" i="14" s="1"/>
  <c r="P181" i="14"/>
  <c r="P179" i="14"/>
  <c r="P177" i="14"/>
  <c r="P175" i="14"/>
  <c r="O259" i="14"/>
  <c r="P14" i="14"/>
  <c r="O181" i="14"/>
  <c r="O179" i="14"/>
  <c r="O177" i="14"/>
  <c r="O175" i="14"/>
  <c r="O260" i="14" s="1"/>
  <c r="N260" i="14"/>
  <c r="O14" i="14"/>
  <c r="N259" i="14" s="1"/>
  <c r="N181" i="14"/>
  <c r="N179" i="14"/>
  <c r="N177" i="14"/>
  <c r="N175" i="14"/>
  <c r="M260" i="14"/>
  <c r="M259" i="14"/>
  <c r="N14" i="14"/>
  <c r="M181" i="14"/>
  <c r="M179" i="14"/>
  <c r="M177" i="14"/>
  <c r="M175" i="14"/>
  <c r="M14" i="14"/>
  <c r="L259" i="14" s="1"/>
  <c r="L181" i="14"/>
  <c r="L179" i="14"/>
  <c r="L177" i="14"/>
  <c r="L175" i="14"/>
  <c r="L14" i="14"/>
  <c r="K259" i="14" s="1"/>
  <c r="K181" i="14"/>
  <c r="K179" i="14"/>
  <c r="K177" i="14"/>
  <c r="K260" i="14" s="1"/>
  <c r="K175" i="14"/>
  <c r="J259" i="14"/>
  <c r="K14" i="14"/>
  <c r="J181" i="14"/>
  <c r="J179" i="14"/>
  <c r="J177" i="14"/>
  <c r="J175" i="14"/>
  <c r="J260" i="14" s="1"/>
  <c r="J14" i="14"/>
  <c r="I259" i="14" s="1"/>
  <c r="I181" i="14"/>
  <c r="I179" i="14"/>
  <c r="I177" i="14"/>
  <c r="I175" i="14"/>
  <c r="I260" i="14" s="1"/>
  <c r="I14" i="14"/>
  <c r="H259" i="14" s="1"/>
  <c r="H181" i="14"/>
  <c r="H179" i="14"/>
  <c r="H177" i="14"/>
  <c r="H175" i="14"/>
  <c r="G259" i="14"/>
  <c r="H14" i="14"/>
  <c r="G181" i="14"/>
  <c r="G179" i="14"/>
  <c r="G177" i="14"/>
  <c r="G175" i="14"/>
  <c r="G260" i="14" s="1"/>
  <c r="F259" i="14"/>
  <c r="G14" i="14"/>
  <c r="F181" i="14"/>
  <c r="F179" i="14"/>
  <c r="F177" i="14"/>
  <c r="F260" i="14" s="1"/>
  <c r="F175" i="14"/>
  <c r="F14" i="14"/>
  <c r="E259" i="14" s="1"/>
  <c r="E181" i="14"/>
  <c r="E179" i="14"/>
  <c r="E177" i="14"/>
  <c r="E175" i="14"/>
  <c r="E260" i="14" s="1"/>
  <c r="D259" i="14"/>
  <c r="E14" i="14"/>
  <c r="D181" i="14"/>
  <c r="D179" i="14"/>
  <c r="D260" i="14" s="1"/>
  <c r="D177" i="14"/>
  <c r="D175" i="14"/>
  <c r="AZ14" i="15"/>
  <c r="AY259" i="15" s="1"/>
  <c r="AY181" i="15"/>
  <c r="AY179" i="15"/>
  <c r="AY177" i="15"/>
  <c r="AY175" i="15"/>
  <c r="AX259" i="15"/>
  <c r="AY14" i="15"/>
  <c r="AX181" i="15"/>
  <c r="AX179" i="15"/>
  <c r="AX177" i="15"/>
  <c r="AX175" i="15"/>
  <c r="AX14" i="15"/>
  <c r="AW259" i="15" s="1"/>
  <c r="AW181" i="15"/>
  <c r="AW179" i="15"/>
  <c r="AW177" i="15"/>
  <c r="AW175" i="15"/>
  <c r="AW260" i="15" s="1"/>
  <c r="AV260" i="15"/>
  <c r="AW14" i="15"/>
  <c r="AV259" i="15" s="1"/>
  <c r="AV181" i="15"/>
  <c r="AV179" i="15"/>
  <c r="AV177" i="15"/>
  <c r="AV175" i="15"/>
  <c r="AU259" i="15"/>
  <c r="AV14" i="15"/>
  <c r="AU181" i="15"/>
  <c r="AU179" i="15"/>
  <c r="AU177" i="15"/>
  <c r="AU175" i="15"/>
  <c r="AU14" i="15"/>
  <c r="AT259" i="15" s="1"/>
  <c r="AT181" i="15"/>
  <c r="AT179" i="15"/>
  <c r="AT177" i="15"/>
  <c r="AT260" i="15" s="1"/>
  <c r="AT175" i="15"/>
  <c r="AS260" i="15"/>
  <c r="AS259" i="15"/>
  <c r="AT14" i="15"/>
  <c r="AS181" i="15"/>
  <c r="AS179" i="15"/>
  <c r="AS177" i="15"/>
  <c r="AS175" i="15"/>
  <c r="AS14" i="15"/>
  <c r="AR259" i="15" s="1"/>
  <c r="AR181" i="15"/>
  <c r="AR179" i="15"/>
  <c r="AR177" i="15"/>
  <c r="AR175" i="15"/>
  <c r="AR14" i="15"/>
  <c r="AQ259" i="15" s="1"/>
  <c r="AQ181" i="15"/>
  <c r="AQ179" i="15"/>
  <c r="AQ260" i="15" s="1"/>
  <c r="AQ177" i="15"/>
  <c r="AQ175" i="15"/>
  <c r="AP259" i="15"/>
  <c r="AQ14" i="15"/>
  <c r="AP181" i="15"/>
  <c r="AP179" i="15"/>
  <c r="AP177" i="15"/>
  <c r="AP175" i="15"/>
  <c r="AP260" i="15" s="1"/>
  <c r="AP14" i="15"/>
  <c r="AO259" i="15" s="1"/>
  <c r="AO181" i="15"/>
  <c r="AO179" i="15"/>
  <c r="AO177" i="15"/>
  <c r="AO175" i="15"/>
  <c r="AO14" i="15"/>
  <c r="AN259" i="15" s="1"/>
  <c r="AN181" i="15"/>
  <c r="AN260" i="15" s="1"/>
  <c r="AN179" i="15"/>
  <c r="AN177" i="15"/>
  <c r="AN175" i="15"/>
  <c r="AM259" i="15"/>
  <c r="AN14" i="15"/>
  <c r="AM181" i="15"/>
  <c r="AM179" i="15"/>
  <c r="AM260" i="15" s="1"/>
  <c r="AM177" i="15"/>
  <c r="AM175" i="15"/>
  <c r="AL259" i="15"/>
  <c r="AM14" i="15"/>
  <c r="AL181" i="15"/>
  <c r="AL179" i="15"/>
  <c r="AL177" i="15"/>
  <c r="AL260" i="15" s="1"/>
  <c r="AL175" i="15"/>
  <c r="AK259" i="15"/>
  <c r="AL14" i="15"/>
  <c r="AK181" i="15"/>
  <c r="AK179" i="15"/>
  <c r="AK177" i="15"/>
  <c r="AK175" i="15"/>
  <c r="AK260" i="15" s="1"/>
  <c r="AJ259" i="15"/>
  <c r="AK14" i="15"/>
  <c r="AJ181" i="15"/>
  <c r="AJ179" i="15"/>
  <c r="AJ177" i="15"/>
  <c r="AJ175" i="15"/>
  <c r="AJ14" i="15"/>
  <c r="AI259" i="15" s="1"/>
  <c r="AI181" i="15"/>
  <c r="AI260" i="15" s="1"/>
  <c r="AI179" i="15"/>
  <c r="AI177" i="15"/>
  <c r="AI175" i="15"/>
  <c r="AH259" i="15"/>
  <c r="AI14" i="15"/>
  <c r="AH181" i="15"/>
  <c r="AH179" i="15"/>
  <c r="AH177" i="15"/>
  <c r="AH175" i="15"/>
  <c r="AH14" i="15"/>
  <c r="AG259" i="15" s="1"/>
  <c r="AG181" i="15"/>
  <c r="AG179" i="15"/>
  <c r="AG177" i="15"/>
  <c r="AG175" i="15"/>
  <c r="AG260" i="15" s="1"/>
  <c r="AF260" i="15"/>
  <c r="AG14" i="15"/>
  <c r="AF259" i="15" s="1"/>
  <c r="AF181" i="15"/>
  <c r="AF179" i="15"/>
  <c r="AF177" i="15"/>
  <c r="AF175" i="15"/>
  <c r="AE260" i="15"/>
  <c r="AE259" i="15"/>
  <c r="AF14" i="15"/>
  <c r="AE181" i="15"/>
  <c r="AE179" i="15"/>
  <c r="AE177" i="15"/>
  <c r="AE175" i="15"/>
  <c r="AD260" i="15"/>
  <c r="AE14" i="15"/>
  <c r="AD259" i="15" s="1"/>
  <c r="AD181" i="15"/>
  <c r="AD179" i="15"/>
  <c r="AD177" i="15"/>
  <c r="AD175" i="15"/>
  <c r="AC259" i="15"/>
  <c r="AD14" i="15"/>
  <c r="AC181" i="15"/>
  <c r="AC260" i="15" s="1"/>
  <c r="AC179" i="15"/>
  <c r="AC177" i="15"/>
  <c r="AC175" i="15"/>
  <c r="AB259" i="15"/>
  <c r="AC14" i="15"/>
  <c r="AB181" i="15"/>
  <c r="AB179" i="15"/>
  <c r="AB177" i="15"/>
  <c r="AB175" i="15"/>
  <c r="AA260" i="15"/>
  <c r="AB14" i="15"/>
  <c r="AA259" i="15" s="1"/>
  <c r="AA181" i="15"/>
  <c r="AA179" i="15"/>
  <c r="AA177" i="15"/>
  <c r="AA175" i="15"/>
  <c r="Z259" i="15"/>
  <c r="AA14" i="15"/>
  <c r="Z181" i="15"/>
  <c r="Z179" i="15"/>
  <c r="Z177" i="15"/>
  <c r="Z175" i="15"/>
  <c r="Z14" i="15"/>
  <c r="Y259" i="15" s="1"/>
  <c r="Y181" i="15"/>
  <c r="Y179" i="15"/>
  <c r="Y177" i="15"/>
  <c r="Y175" i="15"/>
  <c r="Y14" i="15"/>
  <c r="X259" i="15" s="1"/>
  <c r="X181" i="15"/>
  <c r="X179" i="15"/>
  <c r="X177" i="15"/>
  <c r="X175" i="15"/>
  <c r="W260" i="15"/>
  <c r="W259" i="15"/>
  <c r="X14" i="15"/>
  <c r="W181" i="15"/>
  <c r="W179" i="15"/>
  <c r="W177" i="15"/>
  <c r="W175" i="15"/>
  <c r="V260" i="15"/>
  <c r="V259" i="15"/>
  <c r="W14" i="15"/>
  <c r="V181" i="15"/>
  <c r="V179" i="15"/>
  <c r="V177" i="15"/>
  <c r="V175" i="15"/>
  <c r="V14" i="15"/>
  <c r="U259" i="15" s="1"/>
  <c r="U181" i="15"/>
  <c r="U260" i="15" s="1"/>
  <c r="U179" i="15"/>
  <c r="U177" i="15"/>
  <c r="U175" i="15"/>
  <c r="U14" i="15"/>
  <c r="T259" i="15" s="1"/>
  <c r="T181" i="15"/>
  <c r="T179" i="15"/>
  <c r="T260" i="15" s="1"/>
  <c r="T177" i="15"/>
  <c r="T175" i="15"/>
  <c r="T14" i="15"/>
  <c r="S259" i="15" s="1"/>
  <c r="S181" i="15"/>
  <c r="S179" i="15"/>
  <c r="S177" i="15"/>
  <c r="S260" i="15" s="1"/>
  <c r="S175" i="15"/>
  <c r="R259" i="15"/>
  <c r="S14" i="15"/>
  <c r="R181" i="15"/>
  <c r="R179" i="15"/>
  <c r="R177" i="15"/>
  <c r="R175" i="15"/>
  <c r="R260" i="15" s="1"/>
  <c r="R14" i="15"/>
  <c r="Q259" i="15" s="1"/>
  <c r="Q181" i="15"/>
  <c r="Q179" i="15"/>
  <c r="Q177" i="15"/>
  <c r="Q175" i="15"/>
  <c r="Q14" i="15"/>
  <c r="P259" i="15" s="1"/>
  <c r="P181" i="15"/>
  <c r="P179" i="15"/>
  <c r="P177" i="15"/>
  <c r="P175" i="15"/>
  <c r="P260" i="15" s="1"/>
  <c r="O259" i="15"/>
  <c r="P14" i="15"/>
  <c r="O181" i="15"/>
  <c r="O179" i="15"/>
  <c r="O177" i="15"/>
  <c r="O175" i="15"/>
  <c r="O260" i="15" s="1"/>
  <c r="N260" i="15"/>
  <c r="O14" i="15"/>
  <c r="N259" i="15" s="1"/>
  <c r="N181" i="15"/>
  <c r="N179" i="15"/>
  <c r="N177" i="15"/>
  <c r="N175" i="15"/>
  <c r="M259" i="15"/>
  <c r="N14" i="15"/>
  <c r="M181" i="15"/>
  <c r="M260" i="15" s="1"/>
  <c r="M179" i="15"/>
  <c r="M177" i="15"/>
  <c r="M175" i="15"/>
  <c r="M14" i="15"/>
  <c r="L259" i="15" s="1"/>
  <c r="L181" i="15"/>
  <c r="L179" i="15"/>
  <c r="L177" i="15"/>
  <c r="L175" i="15"/>
  <c r="L14" i="15"/>
  <c r="K259" i="15" s="1"/>
  <c r="K181" i="15"/>
  <c r="K179" i="15"/>
  <c r="K177" i="15"/>
  <c r="K260" i="15" s="1"/>
  <c r="K175" i="15"/>
  <c r="K14" i="15"/>
  <c r="J259" i="15" s="1"/>
  <c r="J181" i="15"/>
  <c r="J179" i="15"/>
  <c r="J177" i="15"/>
  <c r="J175" i="15"/>
  <c r="J260" i="15" s="1"/>
  <c r="J14" i="15"/>
  <c r="I259" i="15" s="1"/>
  <c r="I181" i="15"/>
  <c r="I179" i="15"/>
  <c r="I177" i="15"/>
  <c r="I175" i="15"/>
  <c r="I14" i="15"/>
  <c r="H259" i="15" s="1"/>
  <c r="H181" i="15"/>
  <c r="H179" i="15"/>
  <c r="H177" i="15"/>
  <c r="H175" i="15"/>
  <c r="H260" i="15" s="1"/>
  <c r="G260" i="15"/>
  <c r="G259" i="15"/>
  <c r="H14" i="15"/>
  <c r="G181" i="15"/>
  <c r="G179" i="15"/>
  <c r="G177" i="15"/>
  <c r="G175" i="15"/>
  <c r="F260" i="15"/>
  <c r="F259" i="15"/>
  <c r="G14" i="15"/>
  <c r="F181" i="15"/>
  <c r="F179" i="15"/>
  <c r="F177" i="15"/>
  <c r="F175" i="15"/>
  <c r="E259" i="15"/>
  <c r="F14" i="15"/>
  <c r="E181" i="15"/>
  <c r="E179" i="15"/>
  <c r="E177" i="15"/>
  <c r="E175" i="15"/>
  <c r="E14" i="15"/>
  <c r="D181" i="15"/>
  <c r="D179" i="15"/>
  <c r="D260" i="15" s="1"/>
  <c r="D177" i="15"/>
  <c r="D175" i="15"/>
  <c r="AY259" i="16"/>
  <c r="AZ14" i="16"/>
  <c r="AY181" i="16"/>
  <c r="AY179" i="16"/>
  <c r="AY177" i="16"/>
  <c r="AY175" i="16"/>
  <c r="AY14" i="16"/>
  <c r="AX259" i="16" s="1"/>
  <c r="AX181" i="16"/>
  <c r="AX179" i="16"/>
  <c r="AX177" i="16"/>
  <c r="AX175" i="16"/>
  <c r="AX260" i="16" s="1"/>
  <c r="AX14" i="16"/>
  <c r="AW259" i="16" s="1"/>
  <c r="AW181" i="16"/>
  <c r="AW179" i="16"/>
  <c r="AW177" i="16"/>
  <c r="AW175" i="16"/>
  <c r="AW14" i="16"/>
  <c r="AV259" i="16" s="1"/>
  <c r="AV181" i="16"/>
  <c r="AV179" i="16"/>
  <c r="AV177" i="16"/>
  <c r="AV175" i="16"/>
  <c r="AU259" i="16"/>
  <c r="AV14" i="16"/>
  <c r="AU181" i="16"/>
  <c r="AU179" i="16"/>
  <c r="AU177" i="16"/>
  <c r="AU175" i="16"/>
  <c r="AU260" i="16" s="1"/>
  <c r="AT260" i="16"/>
  <c r="AU14" i="16"/>
  <c r="AT259" i="16" s="1"/>
  <c r="AT181" i="16"/>
  <c r="AT179" i="16"/>
  <c r="AT177" i="16"/>
  <c r="AT175" i="16"/>
  <c r="AS260" i="16"/>
  <c r="AS259" i="16"/>
  <c r="AT14" i="16"/>
  <c r="AS181" i="16"/>
  <c r="AS179" i="16"/>
  <c r="AS177" i="16"/>
  <c r="AS175" i="16"/>
  <c r="AR260" i="16"/>
  <c r="AS14" i="16"/>
  <c r="AR259" i="16" s="1"/>
  <c r="AR181" i="16"/>
  <c r="AR179" i="16"/>
  <c r="AR177" i="16"/>
  <c r="AR175" i="16"/>
  <c r="AR14" i="16"/>
  <c r="AQ259" i="16" s="1"/>
  <c r="AQ181" i="16"/>
  <c r="AQ260" i="16" s="1"/>
  <c r="AQ179" i="16"/>
  <c r="AQ177" i="16"/>
  <c r="AQ175" i="16"/>
  <c r="AQ14" i="16"/>
  <c r="AP259" i="16" s="1"/>
  <c r="AP181" i="16"/>
  <c r="AP179" i="16"/>
  <c r="AP177" i="16"/>
  <c r="AP175" i="16"/>
  <c r="AP14" i="16"/>
  <c r="AO259" i="16" s="1"/>
  <c r="AO181" i="16"/>
  <c r="AO179" i="16"/>
  <c r="AO177" i="16"/>
  <c r="AO175" i="16"/>
  <c r="AO260" i="16" s="1"/>
  <c r="AN260" i="16"/>
  <c r="AO14" i="16"/>
  <c r="AN259" i="16" s="1"/>
  <c r="AN181" i="16"/>
  <c r="AN179" i="16"/>
  <c r="AN177" i="16"/>
  <c r="AN175" i="16"/>
  <c r="AM260" i="16"/>
  <c r="AM259" i="16"/>
  <c r="AN14" i="16"/>
  <c r="AM181" i="16"/>
  <c r="AM179" i="16"/>
  <c r="AM177" i="16"/>
  <c r="AM175" i="16"/>
  <c r="AL260" i="16"/>
  <c r="AM14" i="16"/>
  <c r="AL259" i="16" s="1"/>
  <c r="AL181" i="16"/>
  <c r="AL179" i="16"/>
  <c r="AL177" i="16"/>
  <c r="AL175" i="16"/>
  <c r="AL14" i="16"/>
  <c r="AK259" i="16" s="1"/>
  <c r="AK181" i="16"/>
  <c r="AK179" i="16"/>
  <c r="AK177" i="16"/>
  <c r="AK175" i="16"/>
  <c r="AK260" i="16" s="1"/>
  <c r="AK14" i="16"/>
  <c r="AJ259" i="16" s="1"/>
  <c r="AJ181" i="16"/>
  <c r="AJ179" i="16"/>
  <c r="AJ260" i="16" s="1"/>
  <c r="AJ177" i="16"/>
  <c r="AJ175" i="16"/>
  <c r="AI260" i="16"/>
  <c r="AI259" i="16"/>
  <c r="AJ14" i="16"/>
  <c r="AI181" i="16"/>
  <c r="AI179" i="16"/>
  <c r="AI177" i="16"/>
  <c r="AI175" i="16"/>
  <c r="AI14" i="16"/>
  <c r="AH259" i="16" s="1"/>
  <c r="AH181" i="16"/>
  <c r="AH179" i="16"/>
  <c r="AH177" i="16"/>
  <c r="AH175" i="16"/>
  <c r="AH14" i="16"/>
  <c r="AG259" i="16" s="1"/>
  <c r="AG181" i="16"/>
  <c r="AG179" i="16"/>
  <c r="AG177" i="16"/>
  <c r="AG175" i="16"/>
  <c r="AG260" i="16" s="1"/>
  <c r="AG14" i="16"/>
  <c r="AF259" i="16" s="1"/>
  <c r="AF181" i="16"/>
  <c r="AF179" i="16"/>
  <c r="AF177" i="16"/>
  <c r="AF175" i="16"/>
  <c r="AF260" i="16" s="1"/>
  <c r="AE260" i="16"/>
  <c r="AE259" i="16"/>
  <c r="AF14" i="16"/>
  <c r="AE181" i="16"/>
  <c r="AE179" i="16"/>
  <c r="AE177" i="16"/>
  <c r="AE175" i="16"/>
  <c r="AD260" i="16"/>
  <c r="AE14" i="16"/>
  <c r="AD259" i="16" s="1"/>
  <c r="AD181" i="16"/>
  <c r="AD179" i="16"/>
  <c r="AD177" i="16"/>
  <c r="AD175" i="16"/>
  <c r="AD14" i="16"/>
  <c r="AC259" i="16" s="1"/>
  <c r="AC181" i="16"/>
  <c r="AC260" i="16" s="1"/>
  <c r="AC179" i="16"/>
  <c r="AC177" i="16"/>
  <c r="AC175" i="16"/>
  <c r="AC14" i="16"/>
  <c r="AB259" i="16" s="1"/>
  <c r="AB181" i="16"/>
  <c r="AB179" i="16"/>
  <c r="AB260" i="16" s="1"/>
  <c r="AB177" i="16"/>
  <c r="AB175" i="16"/>
  <c r="AB14" i="16"/>
  <c r="AA259" i="16" s="1"/>
  <c r="AA181" i="16"/>
  <c r="AA179" i="16"/>
  <c r="AA177" i="16"/>
  <c r="AA175" i="16"/>
  <c r="AA14" i="16"/>
  <c r="Z259" i="16" s="1"/>
  <c r="Z181" i="16"/>
  <c r="Z179" i="16"/>
  <c r="Z177" i="16"/>
  <c r="Z175" i="16"/>
  <c r="Z260" i="16" s="1"/>
  <c r="Z14" i="16"/>
  <c r="Y259" i="16" s="1"/>
  <c r="Y181" i="16"/>
  <c r="Y179" i="16"/>
  <c r="Y177" i="16"/>
  <c r="Y175" i="16"/>
  <c r="Y14" i="16"/>
  <c r="X259" i="16" s="1"/>
  <c r="X181" i="16"/>
  <c r="X179" i="16"/>
  <c r="X260" i="16" s="1"/>
  <c r="X177" i="16"/>
  <c r="X175" i="16"/>
  <c r="W259" i="16"/>
  <c r="X14" i="16"/>
  <c r="W181" i="16"/>
  <c r="W179" i="16"/>
  <c r="W177" i="16"/>
  <c r="W260" i="16" s="1"/>
  <c r="W175" i="16"/>
  <c r="V259" i="16"/>
  <c r="W14" i="16"/>
  <c r="V181" i="16"/>
  <c r="V179" i="16"/>
  <c r="V177" i="16"/>
  <c r="V175" i="16"/>
  <c r="V260" i="16" s="1"/>
  <c r="U259" i="16"/>
  <c r="V14" i="16"/>
  <c r="U181" i="16"/>
  <c r="U179" i="16"/>
  <c r="U177" i="16"/>
  <c r="U175" i="16"/>
  <c r="U260" i="16" s="1"/>
  <c r="U14" i="16"/>
  <c r="T259" i="16" s="1"/>
  <c r="T181" i="16"/>
  <c r="T260" i="16" s="1"/>
  <c r="T179" i="16"/>
  <c r="T177" i="16"/>
  <c r="T175" i="16"/>
  <c r="S259" i="16"/>
  <c r="T14" i="16"/>
  <c r="S181" i="16"/>
  <c r="S179" i="16"/>
  <c r="S260" i="16" s="1"/>
  <c r="S177" i="16"/>
  <c r="S175" i="16"/>
  <c r="S14" i="16"/>
  <c r="R259" i="16" s="1"/>
  <c r="R181" i="16"/>
  <c r="R179" i="16"/>
  <c r="R177" i="16"/>
  <c r="R175" i="16"/>
  <c r="R260" i="16" s="1"/>
  <c r="R14" i="16"/>
  <c r="Q259" i="16" s="1"/>
  <c r="Q181" i="16"/>
  <c r="Q179" i="16"/>
  <c r="Q177" i="16"/>
  <c r="Q175" i="16"/>
  <c r="Q260" i="16" s="1"/>
  <c r="Q14" i="16"/>
  <c r="P259" i="16" s="1"/>
  <c r="P181" i="16"/>
  <c r="P179" i="16"/>
  <c r="P177" i="16"/>
  <c r="P175" i="16"/>
  <c r="O259" i="16"/>
  <c r="P14" i="16"/>
  <c r="O181" i="16"/>
  <c r="O179" i="16"/>
  <c r="O177" i="16"/>
  <c r="O175" i="16"/>
  <c r="O260" i="16" s="1"/>
  <c r="O14" i="16"/>
  <c r="N259" i="16" s="1"/>
  <c r="N181" i="16"/>
  <c r="N179" i="16"/>
  <c r="N177" i="16"/>
  <c r="N175" i="16"/>
  <c r="M259" i="16"/>
  <c r="N14" i="16"/>
  <c r="M181" i="16"/>
  <c r="M179" i="16"/>
  <c r="M177" i="16"/>
  <c r="M175" i="16"/>
  <c r="M260" i="16" s="1"/>
  <c r="L260" i="16"/>
  <c r="M14" i="16"/>
  <c r="L259" i="16" s="1"/>
  <c r="L181" i="16"/>
  <c r="L179" i="16"/>
  <c r="L177" i="16"/>
  <c r="L175" i="16"/>
  <c r="K260" i="16"/>
  <c r="K259" i="16"/>
  <c r="L14" i="16"/>
  <c r="K181" i="16"/>
  <c r="K179" i="16"/>
  <c r="K177" i="16"/>
  <c r="K175" i="16"/>
  <c r="K14" i="16"/>
  <c r="J259" i="16" s="1"/>
  <c r="J181" i="16"/>
  <c r="J179" i="16"/>
  <c r="J177" i="16"/>
  <c r="J175" i="16"/>
  <c r="J14" i="16"/>
  <c r="I259" i="16" s="1"/>
  <c r="I181" i="16"/>
  <c r="I179" i="16"/>
  <c r="I177" i="16"/>
  <c r="I175" i="16"/>
  <c r="I14" i="16"/>
  <c r="H259" i="16" s="1"/>
  <c r="H181" i="16"/>
  <c r="H179" i="16"/>
  <c r="H177" i="16"/>
  <c r="H175" i="16"/>
  <c r="H260" i="16" s="1"/>
  <c r="G260" i="16"/>
  <c r="G259" i="16"/>
  <c r="H14" i="16"/>
  <c r="G181" i="16"/>
  <c r="G179" i="16"/>
  <c r="G177" i="16"/>
  <c r="G175" i="16"/>
  <c r="F260" i="16"/>
  <c r="G14" i="16"/>
  <c r="F259" i="16" s="1"/>
  <c r="F181" i="16"/>
  <c r="F179" i="16"/>
  <c r="F177" i="16"/>
  <c r="F175" i="16"/>
  <c r="F14" i="16"/>
  <c r="E259" i="16" s="1"/>
  <c r="E181" i="16"/>
  <c r="E179" i="16"/>
  <c r="E177" i="16"/>
  <c r="E175" i="16"/>
  <c r="E14" i="16"/>
  <c r="D181" i="16"/>
  <c r="D179" i="16"/>
  <c r="D260" i="16" s="1"/>
  <c r="D177" i="16"/>
  <c r="D175" i="16"/>
  <c r="AY259" i="17"/>
  <c r="AZ14" i="17"/>
  <c r="AY181" i="17"/>
  <c r="AY179" i="17"/>
  <c r="AY177" i="17"/>
  <c r="AY260" i="17" s="1"/>
  <c r="AY175" i="17"/>
  <c r="AX259" i="17"/>
  <c r="AY14" i="17"/>
  <c r="AX181" i="17"/>
  <c r="AX179" i="17"/>
  <c r="AX177" i="17"/>
  <c r="AX175" i="17"/>
  <c r="AX260" i="17" s="1"/>
  <c r="AX14" i="17"/>
  <c r="AW259" i="17" s="1"/>
  <c r="AW181" i="17"/>
  <c r="AW179" i="17"/>
  <c r="AW177" i="17"/>
  <c r="AW175" i="17"/>
  <c r="AW14" i="17"/>
  <c r="AV259" i="17" s="1"/>
  <c r="AV181" i="17"/>
  <c r="AV179" i="17"/>
  <c r="AV177" i="17"/>
  <c r="AV175" i="17"/>
  <c r="AU259" i="17"/>
  <c r="AV14" i="17"/>
  <c r="AU181" i="17"/>
  <c r="AU179" i="17"/>
  <c r="AU177" i="17"/>
  <c r="AU175" i="17"/>
  <c r="AT259" i="17"/>
  <c r="AU14" i="17"/>
  <c r="AT181" i="17"/>
  <c r="AT179" i="17"/>
  <c r="AT177" i="17"/>
  <c r="AT175" i="17"/>
  <c r="AT260" i="17" s="1"/>
  <c r="AS260" i="17"/>
  <c r="AT14" i="17"/>
  <c r="AS259" i="17" s="1"/>
  <c r="AS181" i="17"/>
  <c r="AS179" i="17"/>
  <c r="AS177" i="17"/>
  <c r="AS175" i="17"/>
  <c r="AR260" i="17"/>
  <c r="AR259" i="17"/>
  <c r="AS14" i="17"/>
  <c r="AR181" i="17"/>
  <c r="AR179" i="17"/>
  <c r="AR177" i="17"/>
  <c r="AR175" i="17"/>
  <c r="AR14" i="17"/>
  <c r="AQ259" i="17" s="1"/>
  <c r="AQ181" i="17"/>
  <c r="AQ179" i="17"/>
  <c r="AQ177" i="17"/>
  <c r="AQ175" i="17"/>
  <c r="AQ14" i="17"/>
  <c r="AP259" i="17" s="1"/>
  <c r="AP181" i="17"/>
  <c r="AP179" i="17"/>
  <c r="AP177" i="17"/>
  <c r="AP175" i="17"/>
  <c r="AP14" i="17"/>
  <c r="AO259" i="17" s="1"/>
  <c r="AO181" i="17"/>
  <c r="AO179" i="17"/>
  <c r="AO177" i="17"/>
  <c r="AO175" i="17"/>
  <c r="AO260" i="17" s="1"/>
  <c r="AN260" i="17"/>
  <c r="AO14" i="17"/>
  <c r="AN259" i="17" s="1"/>
  <c r="AN181" i="17"/>
  <c r="AN179" i="17"/>
  <c r="AN177" i="17"/>
  <c r="AN175" i="17"/>
  <c r="AM259" i="17"/>
  <c r="AN14" i="17"/>
  <c r="AM181" i="17"/>
  <c r="AM179" i="17"/>
  <c r="AM260" i="17" s="1"/>
  <c r="AM177" i="17"/>
  <c r="AM175" i="17"/>
  <c r="AM14" i="17"/>
  <c r="AL259" i="17" s="1"/>
  <c r="AL181" i="17"/>
  <c r="AL179" i="17"/>
  <c r="AL177" i="17"/>
  <c r="AL175" i="17"/>
  <c r="AK259" i="17"/>
  <c r="AL14" i="17"/>
  <c r="AK181" i="17"/>
  <c r="AK179" i="17"/>
  <c r="AK177" i="17"/>
  <c r="AK175" i="17"/>
  <c r="AK260" i="17" s="1"/>
  <c r="AJ260" i="17"/>
  <c r="AK14" i="17"/>
  <c r="AJ259" i="17" s="1"/>
  <c r="AJ181" i="17"/>
  <c r="AJ179" i="17"/>
  <c r="AJ177" i="17"/>
  <c r="AJ175" i="17"/>
  <c r="AI260" i="17"/>
  <c r="AI259" i="17"/>
  <c r="AJ14" i="17"/>
  <c r="AI181" i="17"/>
  <c r="AI179" i="17"/>
  <c r="AI177" i="17"/>
  <c r="AI175" i="17"/>
  <c r="AI14" i="17"/>
  <c r="AH259" i="17" s="1"/>
  <c r="AH181" i="17"/>
  <c r="AH179" i="17"/>
  <c r="AH177" i="17"/>
  <c r="AH175" i="17"/>
  <c r="AH14" i="17"/>
  <c r="AG259" i="17" s="1"/>
  <c r="AG181" i="17"/>
  <c r="AG179" i="17"/>
  <c r="AG177" i="17"/>
  <c r="AG175" i="17"/>
  <c r="AG260" i="17" s="1"/>
  <c r="AG14" i="17"/>
  <c r="AF259" i="17" s="1"/>
  <c r="AF181" i="17"/>
  <c r="AF179" i="17"/>
  <c r="AF177" i="17"/>
  <c r="AF175" i="17"/>
  <c r="AF260" i="17" s="1"/>
  <c r="AE260" i="17"/>
  <c r="AE259" i="17"/>
  <c r="AF14" i="17"/>
  <c r="AE181" i="17"/>
  <c r="AE179" i="17"/>
  <c r="AE177" i="17"/>
  <c r="AE175" i="17"/>
  <c r="AD260" i="17"/>
  <c r="AE14" i="17"/>
  <c r="AD259" i="17" s="1"/>
  <c r="AD181" i="17"/>
  <c r="AD179" i="17"/>
  <c r="AD177" i="17"/>
  <c r="AD175" i="17"/>
  <c r="AC259" i="17"/>
  <c r="AD14" i="17"/>
  <c r="AC181" i="17"/>
  <c r="AC179" i="17"/>
  <c r="AC177" i="17"/>
  <c r="AC175" i="17"/>
  <c r="AC260" i="17" s="1"/>
  <c r="AC14" i="17"/>
  <c r="AB259" i="17" s="1"/>
  <c r="AB181" i="17"/>
  <c r="AB179" i="17"/>
  <c r="AB177" i="17"/>
  <c r="AB175" i="17"/>
  <c r="AA259" i="17"/>
  <c r="AB14" i="17"/>
  <c r="AA181" i="17"/>
  <c r="AA179" i="17"/>
  <c r="AA177" i="17"/>
  <c r="AA260" i="17" s="1"/>
  <c r="AA175" i="17"/>
  <c r="Z259" i="17"/>
  <c r="AA14" i="17"/>
  <c r="Z181" i="17"/>
  <c r="Z179" i="17"/>
  <c r="Z177" i="17"/>
  <c r="Z175" i="17"/>
  <c r="Z260" i="17" s="1"/>
  <c r="Z14" i="17"/>
  <c r="Y259" i="17" s="1"/>
  <c r="Y181" i="17"/>
  <c r="Y179" i="17"/>
  <c r="Y177" i="17"/>
  <c r="Y175" i="17"/>
  <c r="Y14" i="17"/>
  <c r="X259" i="17" s="1"/>
  <c r="X181" i="17"/>
  <c r="X179" i="17"/>
  <c r="X177" i="17"/>
  <c r="X175" i="17"/>
  <c r="W259" i="17"/>
  <c r="X14" i="17"/>
  <c r="W181" i="17"/>
  <c r="W179" i="17"/>
  <c r="W177" i="17"/>
  <c r="W260" i="17" s="1"/>
  <c r="W175" i="17"/>
  <c r="V260" i="17"/>
  <c r="W14" i="17"/>
  <c r="V259" i="17" s="1"/>
  <c r="V181" i="17"/>
  <c r="V179" i="17"/>
  <c r="V177" i="17"/>
  <c r="V175" i="17"/>
  <c r="V14" i="17"/>
  <c r="U259" i="17" s="1"/>
  <c r="U181" i="17"/>
  <c r="U179" i="17"/>
  <c r="U177" i="17"/>
  <c r="U175" i="17"/>
  <c r="U260" i="17" s="1"/>
  <c r="U14" i="17"/>
  <c r="T259" i="17" s="1"/>
  <c r="T181" i="17"/>
  <c r="T179" i="17"/>
  <c r="T177" i="17"/>
  <c r="T175" i="17"/>
  <c r="S259" i="17"/>
  <c r="T14" i="17"/>
  <c r="S181" i="17"/>
  <c r="S179" i="17"/>
  <c r="S177" i="17"/>
  <c r="S260" i="17" s="1"/>
  <c r="S175" i="17"/>
  <c r="R259" i="17"/>
  <c r="S14" i="17"/>
  <c r="R181" i="17"/>
  <c r="R179" i="17"/>
  <c r="R177" i="17"/>
  <c r="R175" i="17"/>
  <c r="R260" i="17" s="1"/>
  <c r="R14" i="17"/>
  <c r="Q259" i="17" s="1"/>
  <c r="Q181" i="17"/>
  <c r="Q179" i="17"/>
  <c r="Q177" i="17"/>
  <c r="Q175" i="17"/>
  <c r="Q260" i="17" s="1"/>
  <c r="Q14" i="17"/>
  <c r="P259" i="17" s="1"/>
  <c r="P181" i="17"/>
  <c r="P179" i="17"/>
  <c r="P177" i="17"/>
  <c r="P175" i="17"/>
  <c r="O259" i="17"/>
  <c r="P14" i="17"/>
  <c r="O181" i="17"/>
  <c r="O179" i="17"/>
  <c r="O177" i="17"/>
  <c r="O175" i="17"/>
  <c r="O260" i="17" s="1"/>
  <c r="N259" i="17"/>
  <c r="O14" i="17"/>
  <c r="N181" i="17"/>
  <c r="N179" i="17"/>
  <c r="N177" i="17"/>
  <c r="N175" i="17"/>
  <c r="M260" i="17"/>
  <c r="N14" i="17"/>
  <c r="M259" i="17" s="1"/>
  <c r="M181" i="17"/>
  <c r="M179" i="17"/>
  <c r="M177" i="17"/>
  <c r="M175" i="17"/>
  <c r="L260" i="17"/>
  <c r="L259" i="17"/>
  <c r="M14" i="17"/>
  <c r="L181" i="17"/>
  <c r="L179" i="17"/>
  <c r="L177" i="17"/>
  <c r="L175" i="17"/>
  <c r="K260" i="17"/>
  <c r="K259" i="17"/>
  <c r="L14" i="17"/>
  <c r="K181" i="17"/>
  <c r="K179" i="17"/>
  <c r="K177" i="17"/>
  <c r="K175" i="17"/>
  <c r="J259" i="17"/>
  <c r="K14" i="17"/>
  <c r="J181" i="17"/>
  <c r="J179" i="17"/>
  <c r="J177" i="17"/>
  <c r="J175" i="17"/>
  <c r="J14" i="17"/>
  <c r="I259" i="17" s="1"/>
  <c r="I181" i="17"/>
  <c r="I179" i="17"/>
  <c r="I177" i="17"/>
  <c r="I175" i="17"/>
  <c r="I14" i="17"/>
  <c r="H259" i="17" s="1"/>
  <c r="H181" i="17"/>
  <c r="H179" i="17"/>
  <c r="H177" i="17"/>
  <c r="H175" i="17"/>
  <c r="H260" i="17" s="1"/>
  <c r="G260" i="17"/>
  <c r="G259" i="17"/>
  <c r="H14" i="17"/>
  <c r="G181" i="17"/>
  <c r="G179" i="17"/>
  <c r="G177" i="17"/>
  <c r="G175" i="17"/>
  <c r="F260" i="17"/>
  <c r="F259" i="17"/>
  <c r="G14" i="17"/>
  <c r="F181" i="17"/>
  <c r="F179" i="17"/>
  <c r="F177" i="17"/>
  <c r="F175" i="17"/>
  <c r="E259" i="17"/>
  <c r="F14" i="17"/>
  <c r="E181" i="17"/>
  <c r="E179" i="17"/>
  <c r="E177" i="17"/>
  <c r="E175" i="17"/>
  <c r="E14" i="17"/>
  <c r="D259" i="17" s="1"/>
  <c r="D181" i="17"/>
  <c r="D179" i="17"/>
  <c r="D260" i="17" s="1"/>
  <c r="D177" i="17"/>
  <c r="D175" i="17"/>
  <c r="AY14" i="18"/>
  <c r="AY10" i="18" s="1"/>
  <c r="AY15" i="18"/>
  <c r="AY16" i="18"/>
  <c r="AY13" i="18"/>
  <c r="AY17" i="18"/>
  <c r="AY29" i="18"/>
  <c r="AX14" i="18"/>
  <c r="AX15" i="18"/>
  <c r="AX10" i="18" s="1"/>
  <c r="AX13" i="18" s="1"/>
  <c r="AX16" i="18"/>
  <c r="AX17" i="18"/>
  <c r="AX29" i="18"/>
  <c r="AW14" i="18"/>
  <c r="AW15" i="18"/>
  <c r="AW16" i="18"/>
  <c r="AW10" i="18"/>
  <c r="AW13" i="18" s="1"/>
  <c r="AW17" i="18"/>
  <c r="AW29" i="18"/>
  <c r="AV14" i="18"/>
  <c r="AV10" i="18" s="1"/>
  <c r="AV13" i="18" s="1"/>
  <c r="AV15" i="18"/>
  <c r="AV16" i="18"/>
  <c r="AV17" i="18"/>
  <c r="AV29" i="18"/>
  <c r="AU14" i="18"/>
  <c r="AU15" i="18"/>
  <c r="AU16" i="18"/>
  <c r="AU17" i="18"/>
  <c r="AU29" i="18"/>
  <c r="AT14" i="18"/>
  <c r="AT10" i="18" s="1"/>
  <c r="AT13" i="18" s="1"/>
  <c r="AT15" i="18"/>
  <c r="AT16" i="18"/>
  <c r="AT17" i="18"/>
  <c r="AT29" i="18"/>
  <c r="AS17" i="18"/>
  <c r="AS21" i="18"/>
  <c r="AS22" i="18"/>
  <c r="AS29" i="18"/>
  <c r="AS67" i="18"/>
  <c r="AS73" i="18" s="1"/>
  <c r="AR14" i="18"/>
  <c r="AS15" i="18" s="1"/>
  <c r="AR15" i="18"/>
  <c r="AS16" i="18" s="1"/>
  <c r="AR16" i="18"/>
  <c r="AR10" i="18"/>
  <c r="AR13" i="18" s="1"/>
  <c r="AS14" i="18" s="1"/>
  <c r="AS10" i="18" s="1"/>
  <c r="AS13" i="18" s="1"/>
  <c r="AR17" i="18"/>
  <c r="AR29" i="18"/>
  <c r="AQ14" i="18"/>
  <c r="AQ15" i="18"/>
  <c r="AQ16" i="18"/>
  <c r="AQ10" i="18"/>
  <c r="AQ13" i="18"/>
  <c r="AQ17" i="18"/>
  <c r="AQ29" i="18"/>
  <c r="AP14" i="18"/>
  <c r="AP15" i="18"/>
  <c r="AP10" i="18" s="1"/>
  <c r="AP13" i="18" s="1"/>
  <c r="AP16" i="18"/>
  <c r="AP17" i="18"/>
  <c r="AP29" i="18"/>
  <c r="AO14" i="18"/>
  <c r="AO10" i="18" s="1"/>
  <c r="AO13" i="18" s="1"/>
  <c r="AO15" i="18"/>
  <c r="AO16" i="18"/>
  <c r="AO17" i="18"/>
  <c r="AO29" i="18"/>
  <c r="AN14" i="18"/>
  <c r="AN15" i="18"/>
  <c r="AN16" i="18"/>
  <c r="AN10" i="18"/>
  <c r="AN13" i="18"/>
  <c r="AN17" i="18"/>
  <c r="AN29" i="18"/>
  <c r="AM14" i="18"/>
  <c r="AM15" i="18"/>
  <c r="AM16" i="18"/>
  <c r="AM10" i="18" s="1"/>
  <c r="AM13" i="18" s="1"/>
  <c r="AM17" i="18"/>
  <c r="AM29" i="18"/>
  <c r="AL14" i="18"/>
  <c r="AL15" i="18"/>
  <c r="AL16" i="18"/>
  <c r="AL10" i="18"/>
  <c r="AL13" i="18" s="1"/>
  <c r="AL17" i="18"/>
  <c r="AL29" i="18"/>
  <c r="AK14" i="18"/>
  <c r="AK15" i="18"/>
  <c r="AK16" i="18"/>
  <c r="AK10" i="18"/>
  <c r="AK13" i="18" s="1"/>
  <c r="AK17" i="18"/>
  <c r="AK29" i="18"/>
  <c r="AJ14" i="18"/>
  <c r="AJ15" i="18"/>
  <c r="AJ16" i="18"/>
  <c r="AJ17" i="18"/>
  <c r="AJ29" i="18"/>
  <c r="AI14" i="18"/>
  <c r="AI10" i="18" s="1"/>
  <c r="AI13" i="18" s="1"/>
  <c r="AI15" i="18"/>
  <c r="AI16" i="18"/>
  <c r="AI17" i="18"/>
  <c r="AI29" i="18"/>
  <c r="AH14" i="18"/>
  <c r="AH10" i="18" s="1"/>
  <c r="AH13" i="18" s="1"/>
  <c r="AH15" i="18"/>
  <c r="AH16" i="18"/>
  <c r="AH17" i="18"/>
  <c r="AH29" i="18"/>
  <c r="AG14" i="18"/>
  <c r="AG10" i="18" s="1"/>
  <c r="AG13" i="18" s="1"/>
  <c r="AG15" i="18"/>
  <c r="AG16" i="18"/>
  <c r="AG17" i="18"/>
  <c r="AG29" i="18"/>
  <c r="AF14" i="18"/>
  <c r="AF15" i="18"/>
  <c r="AF16" i="18"/>
  <c r="AF10" i="18"/>
  <c r="AF13" i="18"/>
  <c r="AF17" i="18"/>
  <c r="AF29" i="18"/>
  <c r="AE21" i="18"/>
  <c r="AE55" i="18" s="1"/>
  <c r="AE57" i="18" s="1"/>
  <c r="AE22" i="18"/>
  <c r="AE24" i="18"/>
  <c r="AE29" i="18"/>
  <c r="AE33" i="18"/>
  <c r="AE34" i="18"/>
  <c r="AE40" i="18" s="1"/>
  <c r="AE44" i="18"/>
  <c r="AE45" i="18"/>
  <c r="AE51" i="18" s="1"/>
  <c r="AE50" i="18"/>
  <c r="AE56" i="18"/>
  <c r="AE61" i="18"/>
  <c r="AE62" i="18"/>
  <c r="AE66" i="18"/>
  <c r="AE67" i="18"/>
  <c r="AE73" i="18" s="1"/>
  <c r="AD14" i="18"/>
  <c r="AE15" i="18" s="1"/>
  <c r="AD15" i="18"/>
  <c r="AE16" i="18" s="1"/>
  <c r="AD16" i="18"/>
  <c r="AE17" i="18" s="1"/>
  <c r="AD17" i="18"/>
  <c r="AD29" i="18"/>
  <c r="AC14" i="18"/>
  <c r="AC10" i="18" s="1"/>
  <c r="AC13" i="18" s="1"/>
  <c r="AC15" i="18"/>
  <c r="AC16" i="18"/>
  <c r="AC17" i="18"/>
  <c r="AC29" i="18"/>
  <c r="AB14" i="18"/>
  <c r="AB10" i="18" s="1"/>
  <c r="AB13" i="18" s="1"/>
  <c r="AB15" i="18"/>
  <c r="AB16" i="18"/>
  <c r="AB17" i="18"/>
  <c r="AB29" i="18"/>
  <c r="AA14" i="18"/>
  <c r="AA15" i="18"/>
  <c r="AA16" i="18"/>
  <c r="AA17" i="18"/>
  <c r="AA29" i="18"/>
  <c r="Z14" i="18"/>
  <c r="Z10" i="18" s="1"/>
  <c r="Z13" i="18" s="1"/>
  <c r="Z15" i="18"/>
  <c r="Z16" i="18"/>
  <c r="Z17" i="18"/>
  <c r="Z29" i="18"/>
  <c r="Y14" i="18"/>
  <c r="Y10" i="18" s="1"/>
  <c r="Y13" i="18" s="1"/>
  <c r="Y15" i="18"/>
  <c r="Y16" i="18"/>
  <c r="Y17" i="18"/>
  <c r="Y29" i="18"/>
  <c r="X14" i="18"/>
  <c r="X15" i="18"/>
  <c r="X16" i="18"/>
  <c r="X17" i="18"/>
  <c r="X29" i="18"/>
  <c r="W14" i="18"/>
  <c r="W10" i="18" s="1"/>
  <c r="W15" i="18"/>
  <c r="W16" i="18"/>
  <c r="W13" i="18"/>
  <c r="W17" i="18"/>
  <c r="W29" i="18"/>
  <c r="V14" i="18"/>
  <c r="V10" i="18" s="1"/>
  <c r="V13" i="18" s="1"/>
  <c r="V15" i="18"/>
  <c r="V16" i="18"/>
  <c r="V17" i="18"/>
  <c r="V29" i="18"/>
  <c r="U14" i="18"/>
  <c r="U15" i="18"/>
  <c r="U16" i="18"/>
  <c r="U10" i="18" s="1"/>
  <c r="U13" i="18"/>
  <c r="U17" i="18"/>
  <c r="U29" i="18"/>
  <c r="T14" i="18"/>
  <c r="T15" i="18"/>
  <c r="T10" i="18" s="1"/>
  <c r="T13" i="18" s="1"/>
  <c r="T16" i="18"/>
  <c r="T17" i="18"/>
  <c r="T29" i="18"/>
  <c r="S14" i="18"/>
  <c r="S10" i="18" s="1"/>
  <c r="S13" i="18" s="1"/>
  <c r="S15" i="18"/>
  <c r="S16" i="18"/>
  <c r="S17" i="18"/>
  <c r="S29" i="18"/>
  <c r="R14" i="18"/>
  <c r="R15" i="18"/>
  <c r="R16" i="18"/>
  <c r="R10" i="18"/>
  <c r="R13" i="18"/>
  <c r="R17" i="18"/>
  <c r="R29" i="18"/>
  <c r="Q14" i="18"/>
  <c r="Q15" i="18"/>
  <c r="Q16" i="18"/>
  <c r="Q17" i="18"/>
  <c r="Q29" i="18"/>
  <c r="P14" i="18"/>
  <c r="P15" i="18"/>
  <c r="P16" i="18"/>
  <c r="P17" i="18"/>
  <c r="P29" i="18"/>
  <c r="O14" i="18"/>
  <c r="O10" i="18" s="1"/>
  <c r="O15" i="18"/>
  <c r="O16" i="18"/>
  <c r="O13" i="18"/>
  <c r="O17" i="18"/>
  <c r="O29" i="18"/>
  <c r="N14" i="18"/>
  <c r="N10" i="18" s="1"/>
  <c r="N13" i="18" s="1"/>
  <c r="N15" i="18"/>
  <c r="N16" i="18"/>
  <c r="N17" i="18"/>
  <c r="N29" i="18"/>
  <c r="M14" i="18"/>
  <c r="M15" i="18"/>
  <c r="M16" i="18"/>
  <c r="M17" i="18"/>
  <c r="M29" i="18"/>
  <c r="L21" i="18"/>
  <c r="L44" i="18" s="1"/>
  <c r="L22" i="18"/>
  <c r="L23" i="18"/>
  <c r="L24" i="18"/>
  <c r="L29" i="18"/>
  <c r="L55" i="18"/>
  <c r="L61" i="18" s="1"/>
  <c r="L56" i="18"/>
  <c r="L62" i="18" s="1"/>
  <c r="K14" i="18"/>
  <c r="K10" i="18" s="1"/>
  <c r="K13" i="18" s="1"/>
  <c r="L14" i="18" s="1"/>
  <c r="K15" i="18"/>
  <c r="L16" i="18" s="1"/>
  <c r="K16" i="18"/>
  <c r="L17" i="18" s="1"/>
  <c r="K17" i="18"/>
  <c r="K29" i="18"/>
  <c r="J14" i="18"/>
  <c r="J15" i="18"/>
  <c r="J16" i="18"/>
  <c r="J10" i="18" s="1"/>
  <c r="J13" i="18" s="1"/>
  <c r="J17" i="18"/>
  <c r="J29" i="18"/>
  <c r="I14" i="18"/>
  <c r="I15" i="18"/>
  <c r="I16" i="18"/>
  <c r="I10" i="18"/>
  <c r="I13" i="18"/>
  <c r="I17" i="18"/>
  <c r="I29" i="18"/>
  <c r="H14" i="18"/>
  <c r="H15" i="18"/>
  <c r="H16" i="18"/>
  <c r="H10" i="18"/>
  <c r="H13" i="18" s="1"/>
  <c r="H17" i="18"/>
  <c r="H29" i="18"/>
  <c r="G14" i="18"/>
  <c r="G15" i="18"/>
  <c r="G16" i="18"/>
  <c r="G10" i="18" s="1"/>
  <c r="G13" i="18" s="1"/>
  <c r="G17" i="18"/>
  <c r="G29" i="18"/>
  <c r="F14" i="18"/>
  <c r="F15" i="18"/>
  <c r="F16" i="18"/>
  <c r="F10" i="18"/>
  <c r="F13" i="18" s="1"/>
  <c r="F17" i="18"/>
  <c r="F27" i="18"/>
  <c r="F29" i="18"/>
  <c r="E14" i="18"/>
  <c r="E10" i="18" s="1"/>
  <c r="E13" i="18" s="1"/>
  <c r="E15" i="18"/>
  <c r="E16" i="18"/>
  <c r="E17" i="18"/>
  <c r="E27" i="18"/>
  <c r="E30" i="18" s="1"/>
  <c r="E29" i="18"/>
  <c r="D14" i="18"/>
  <c r="D10" i="18" s="1"/>
  <c r="D15" i="18"/>
  <c r="D16" i="18"/>
  <c r="D17" i="18"/>
  <c r="D27" i="18"/>
  <c r="D30" i="18" s="1"/>
  <c r="D29" i="18"/>
  <c r="AY14" i="19"/>
  <c r="AY10" i="19" s="1"/>
  <c r="AY13" i="19" s="1"/>
  <c r="AY15" i="19"/>
  <c r="AY16" i="19"/>
  <c r="AY17" i="19"/>
  <c r="AY29" i="19"/>
  <c r="AX14" i="19"/>
  <c r="AX10" i="19" s="1"/>
  <c r="AX13" i="19" s="1"/>
  <c r="AX15" i="19"/>
  <c r="AX16" i="19"/>
  <c r="AX17" i="19"/>
  <c r="AX29" i="19"/>
  <c r="AW14" i="19"/>
  <c r="AW15" i="19"/>
  <c r="AW16" i="19"/>
  <c r="AW10" i="19"/>
  <c r="AW13" i="19"/>
  <c r="AW17" i="19"/>
  <c r="AW29" i="19"/>
  <c r="AV14" i="19"/>
  <c r="AV15" i="19"/>
  <c r="AV16" i="19"/>
  <c r="AV10" i="19"/>
  <c r="AV13" i="19" s="1"/>
  <c r="AV17" i="19"/>
  <c r="AV29" i="19"/>
  <c r="AU14" i="19"/>
  <c r="AU15" i="19"/>
  <c r="AU16" i="19"/>
  <c r="AU10" i="19" s="1"/>
  <c r="AU13" i="19"/>
  <c r="AU17" i="19"/>
  <c r="AU29" i="19"/>
  <c r="AT14" i="19"/>
  <c r="AT10" i="19" s="1"/>
  <c r="AT13" i="19" s="1"/>
  <c r="AT15" i="19"/>
  <c r="AT16" i="19"/>
  <c r="AT17" i="19"/>
  <c r="AT29" i="19"/>
  <c r="AS14" i="19"/>
  <c r="AS10" i="19" s="1"/>
  <c r="AS15" i="19"/>
  <c r="AS16" i="19"/>
  <c r="AS13" i="19"/>
  <c r="AS17" i="19"/>
  <c r="AS29" i="19"/>
  <c r="AR14" i="19"/>
  <c r="AR15" i="19"/>
  <c r="AR16" i="19"/>
  <c r="AR10" i="19"/>
  <c r="AR13" i="19" s="1"/>
  <c r="AR17" i="19"/>
  <c r="AR29" i="19"/>
  <c r="AQ14" i="19"/>
  <c r="AQ15" i="19"/>
  <c r="AQ16" i="19"/>
  <c r="AQ10" i="19" s="1"/>
  <c r="AQ13" i="19"/>
  <c r="AQ17" i="19"/>
  <c r="AQ29" i="19"/>
  <c r="AP14" i="19"/>
  <c r="AP15" i="19"/>
  <c r="AP10" i="19" s="1"/>
  <c r="AP13" i="19" s="1"/>
  <c r="AP16" i="19"/>
  <c r="AP17" i="19"/>
  <c r="AP29" i="19"/>
  <c r="AO14" i="19"/>
  <c r="AO10" i="19" s="1"/>
  <c r="AO13" i="19" s="1"/>
  <c r="AO15" i="19"/>
  <c r="AO16" i="19"/>
  <c r="AO17" i="19"/>
  <c r="AO29" i="19"/>
  <c r="AN14" i="19"/>
  <c r="AN15" i="19"/>
  <c r="AN16" i="19"/>
  <c r="AN17" i="19"/>
  <c r="AN29" i="19"/>
  <c r="AM14" i="19"/>
  <c r="AM15" i="19"/>
  <c r="AM16" i="19"/>
  <c r="AM17" i="19"/>
  <c r="AM29" i="19"/>
  <c r="AL14" i="19"/>
  <c r="AL10" i="19" s="1"/>
  <c r="AL13" i="19" s="1"/>
  <c r="AL15" i="19"/>
  <c r="AL16" i="19"/>
  <c r="AL17" i="19"/>
  <c r="AL29" i="19"/>
  <c r="AK14" i="19"/>
  <c r="AK10" i="19" s="1"/>
  <c r="AK13" i="19" s="1"/>
  <c r="AK15" i="19"/>
  <c r="AK16" i="19"/>
  <c r="AK17" i="19"/>
  <c r="AK29" i="19"/>
  <c r="AJ14" i="19"/>
  <c r="AJ15" i="19"/>
  <c r="AJ16" i="19"/>
  <c r="AJ10" i="19"/>
  <c r="AJ13" i="19" s="1"/>
  <c r="AJ17" i="19"/>
  <c r="AJ29" i="19"/>
  <c r="AI14" i="19"/>
  <c r="AI15" i="19"/>
  <c r="AI16" i="19"/>
  <c r="AI10" i="19" s="1"/>
  <c r="AI13" i="19" s="1"/>
  <c r="AI17" i="19"/>
  <c r="AI29" i="19"/>
  <c r="AH14" i="19"/>
  <c r="AH15" i="19"/>
  <c r="AH16" i="19"/>
  <c r="AH10" i="19"/>
  <c r="AH13" i="19" s="1"/>
  <c r="AH17" i="19"/>
  <c r="AH29" i="19"/>
  <c r="AG14" i="19"/>
  <c r="AG15" i="19"/>
  <c r="AG16" i="19"/>
  <c r="AG10" i="19"/>
  <c r="AG13" i="19" s="1"/>
  <c r="AG17" i="19"/>
  <c r="AG29" i="19"/>
  <c r="AF14" i="19"/>
  <c r="AF15" i="19"/>
  <c r="AF16" i="19"/>
  <c r="AF17" i="19"/>
  <c r="AF29" i="19"/>
  <c r="AE14" i="19"/>
  <c r="AE15" i="19"/>
  <c r="AE16" i="19"/>
  <c r="AE10" i="19" s="1"/>
  <c r="AE13" i="19" s="1"/>
  <c r="AE17" i="19"/>
  <c r="AE29" i="19"/>
  <c r="AD14" i="19"/>
  <c r="AD15" i="19"/>
  <c r="AD16" i="19"/>
  <c r="AD10" i="19"/>
  <c r="AD13" i="19" s="1"/>
  <c r="AD17" i="19"/>
  <c r="AD29" i="19"/>
  <c r="AC14" i="19"/>
  <c r="AC15" i="19"/>
  <c r="AC16" i="19"/>
  <c r="AC10" i="19"/>
  <c r="AC13" i="19" s="1"/>
  <c r="AC17" i="19"/>
  <c r="AC29" i="19"/>
  <c r="AB14" i="19"/>
  <c r="AB15" i="19"/>
  <c r="AB16" i="19"/>
  <c r="AB17" i="19"/>
  <c r="AB29" i="19"/>
  <c r="AA14" i="19"/>
  <c r="AA10" i="19" s="1"/>
  <c r="AA13" i="19" s="1"/>
  <c r="AA15" i="19"/>
  <c r="AA16" i="19"/>
  <c r="AA17" i="19"/>
  <c r="AA29" i="19"/>
  <c r="Z14" i="19"/>
  <c r="Z10" i="19" s="1"/>
  <c r="Z13" i="19" s="1"/>
  <c r="Z15" i="19"/>
  <c r="Z16" i="19"/>
  <c r="Z17" i="19"/>
  <c r="Z29" i="19"/>
  <c r="Y14" i="19"/>
  <c r="Y10" i="19" s="1"/>
  <c r="Y13" i="19" s="1"/>
  <c r="Y15" i="19"/>
  <c r="Y16" i="19"/>
  <c r="Y17" i="19"/>
  <c r="Y29" i="19"/>
  <c r="X14" i="19"/>
  <c r="X15" i="19"/>
  <c r="X16" i="19"/>
  <c r="X10" i="19"/>
  <c r="X13" i="19" s="1"/>
  <c r="X17" i="19"/>
  <c r="X29" i="19"/>
  <c r="W14" i="19"/>
  <c r="W15" i="19"/>
  <c r="W16" i="19"/>
  <c r="W10" i="19" s="1"/>
  <c r="W13" i="19" s="1"/>
  <c r="W17" i="19"/>
  <c r="W29" i="19"/>
  <c r="V14" i="19"/>
  <c r="V15" i="19"/>
  <c r="V10" i="19" s="1"/>
  <c r="V13" i="19" s="1"/>
  <c r="V16" i="19"/>
  <c r="V17" i="19"/>
  <c r="V29" i="19"/>
  <c r="U14" i="19"/>
  <c r="U10" i="19" s="1"/>
  <c r="U13" i="19" s="1"/>
  <c r="U15" i="19"/>
  <c r="U16" i="19"/>
  <c r="U17" i="19"/>
  <c r="U29" i="19"/>
  <c r="T14" i="19"/>
  <c r="T10" i="19" s="1"/>
  <c r="T13" i="19" s="1"/>
  <c r="T15" i="19"/>
  <c r="T16" i="19"/>
  <c r="T17" i="19"/>
  <c r="T29" i="19"/>
  <c r="S15" i="19"/>
  <c r="S21" i="19"/>
  <c r="S22" i="19"/>
  <c r="S24" i="19"/>
  <c r="S29" i="19"/>
  <c r="S34" i="19"/>
  <c r="S40" i="19"/>
  <c r="S45" i="19"/>
  <c r="S51" i="19"/>
  <c r="S56" i="19"/>
  <c r="S62" i="19" s="1"/>
  <c r="S67" i="19"/>
  <c r="S73" i="19"/>
  <c r="R14" i="19"/>
  <c r="R10" i="19" s="1"/>
  <c r="R13" i="19" s="1"/>
  <c r="S14" i="19" s="1"/>
  <c r="R15" i="19"/>
  <c r="S16" i="19" s="1"/>
  <c r="R16" i="19"/>
  <c r="S17" i="19" s="1"/>
  <c r="R17" i="19"/>
  <c r="R29" i="19"/>
  <c r="Q14" i="19"/>
  <c r="Q15" i="19"/>
  <c r="Q16" i="19"/>
  <c r="Q10" i="19"/>
  <c r="Q13" i="19"/>
  <c r="Q17" i="19"/>
  <c r="Q29" i="19"/>
  <c r="P14" i="19"/>
  <c r="P15" i="19"/>
  <c r="P16" i="19"/>
  <c r="P10" i="19"/>
  <c r="P13" i="19" s="1"/>
  <c r="P17" i="19"/>
  <c r="P29" i="19"/>
  <c r="O14" i="19"/>
  <c r="O15" i="19"/>
  <c r="O16" i="19"/>
  <c r="O10" i="19" s="1"/>
  <c r="O13" i="19" s="1"/>
  <c r="O17" i="19"/>
  <c r="O29" i="19"/>
  <c r="N14" i="19"/>
  <c r="N15" i="19"/>
  <c r="N10" i="19" s="1"/>
  <c r="N13" i="19" s="1"/>
  <c r="N16" i="19"/>
  <c r="N17" i="19"/>
  <c r="N29" i="19"/>
  <c r="M14" i="19"/>
  <c r="M15" i="19"/>
  <c r="M16" i="19"/>
  <c r="M10" i="19" s="1"/>
  <c r="M13" i="19" s="1"/>
  <c r="M17" i="19"/>
  <c r="M29" i="19"/>
  <c r="L14" i="19"/>
  <c r="L15" i="19"/>
  <c r="L16" i="19"/>
  <c r="L17" i="19"/>
  <c r="L29" i="19"/>
  <c r="K14" i="19"/>
  <c r="K15" i="19"/>
  <c r="K16" i="19"/>
  <c r="K17" i="19"/>
  <c r="K29" i="19"/>
  <c r="J14" i="19"/>
  <c r="J10" i="19" s="1"/>
  <c r="J13" i="19" s="1"/>
  <c r="J15" i="19"/>
  <c r="J16" i="19"/>
  <c r="J17" i="19"/>
  <c r="J29" i="19"/>
  <c r="I14" i="19"/>
  <c r="I10" i="19" s="1"/>
  <c r="I15" i="19"/>
  <c r="I16" i="19"/>
  <c r="I13" i="19"/>
  <c r="I17" i="19"/>
  <c r="I21" i="19"/>
  <c r="I29" i="19"/>
  <c r="H14" i="19"/>
  <c r="H15" i="19"/>
  <c r="H16" i="19"/>
  <c r="H10" i="19"/>
  <c r="H13" i="19" s="1"/>
  <c r="H17" i="19"/>
  <c r="H29" i="19"/>
  <c r="G14" i="19"/>
  <c r="G15" i="19"/>
  <c r="G16" i="19"/>
  <c r="G10" i="19" s="1"/>
  <c r="G13" i="19"/>
  <c r="G17" i="19"/>
  <c r="G29" i="19"/>
  <c r="F14" i="19"/>
  <c r="F15" i="19"/>
  <c r="F16" i="19"/>
  <c r="F10" i="19"/>
  <c r="F13" i="19"/>
  <c r="F17" i="19"/>
  <c r="F29" i="19"/>
  <c r="E14" i="19"/>
  <c r="E10" i="19" s="1"/>
  <c r="E13" i="19" s="1"/>
  <c r="E15" i="19"/>
  <c r="E16" i="19"/>
  <c r="E17" i="19"/>
  <c r="E29" i="19"/>
  <c r="D14" i="19"/>
  <c r="D15" i="19"/>
  <c r="D10" i="19" s="1"/>
  <c r="D16" i="19"/>
  <c r="D17" i="19"/>
  <c r="D27" i="19"/>
  <c r="D29" i="19"/>
  <c r="AY14" i="20"/>
  <c r="AY15" i="20"/>
  <c r="AY16" i="20"/>
  <c r="AY17" i="20"/>
  <c r="AY29" i="20"/>
  <c r="AX14" i="20"/>
  <c r="AX10" i="20" s="1"/>
  <c r="AX13" i="20" s="1"/>
  <c r="AX15" i="20"/>
  <c r="AX16" i="20"/>
  <c r="AX17" i="20"/>
  <c r="AX29" i="20"/>
  <c r="AW14" i="20"/>
  <c r="AW15" i="20"/>
  <c r="AW16" i="20"/>
  <c r="AW10" i="20"/>
  <c r="AW13" i="20"/>
  <c r="AW17" i="20"/>
  <c r="AW29" i="20"/>
  <c r="AV14" i="20"/>
  <c r="AV15" i="20"/>
  <c r="AV16" i="20"/>
  <c r="AV10" i="20"/>
  <c r="AV13" i="20" s="1"/>
  <c r="AV17" i="20"/>
  <c r="AV29" i="20"/>
  <c r="AU14" i="20"/>
  <c r="AU15" i="20"/>
  <c r="AU16" i="20"/>
  <c r="AU10" i="20" s="1"/>
  <c r="AU13" i="20"/>
  <c r="AU17" i="20"/>
  <c r="AU29" i="20"/>
  <c r="AT14" i="20"/>
  <c r="AT15" i="20"/>
  <c r="AT10" i="20" s="1"/>
  <c r="AT13" i="20" s="1"/>
  <c r="AT16" i="20"/>
  <c r="AT17" i="20"/>
  <c r="AT29" i="20"/>
  <c r="AS14" i="20"/>
  <c r="AS15" i="20"/>
  <c r="AS16" i="20"/>
  <c r="AS17" i="20"/>
  <c r="AS29" i="20"/>
  <c r="AR14" i="20"/>
  <c r="AR15" i="20"/>
  <c r="AR16" i="20"/>
  <c r="AR17" i="20"/>
  <c r="AR29" i="20"/>
  <c r="AQ14" i="20"/>
  <c r="AQ15" i="20"/>
  <c r="AQ16" i="20"/>
  <c r="AQ17" i="20"/>
  <c r="AQ29" i="20"/>
  <c r="AP14" i="20"/>
  <c r="AP15" i="20"/>
  <c r="AP16" i="20"/>
  <c r="AP10" i="20"/>
  <c r="AP13" i="20" s="1"/>
  <c r="AP17" i="20"/>
  <c r="AP29" i="20"/>
  <c r="AO14" i="20"/>
  <c r="AO15" i="20"/>
  <c r="AO10" i="20" s="1"/>
  <c r="AO13" i="20" s="1"/>
  <c r="AO16" i="20"/>
  <c r="AO17" i="20"/>
  <c r="AO29" i="20"/>
  <c r="AN14" i="20"/>
  <c r="AN15" i="20"/>
  <c r="AN16" i="20"/>
  <c r="AN17" i="20"/>
  <c r="AN29" i="20"/>
  <c r="AM14" i="20"/>
  <c r="AM15" i="20"/>
  <c r="AM16" i="20"/>
  <c r="AM17" i="20"/>
  <c r="AM29" i="20"/>
  <c r="AL14" i="20"/>
  <c r="AL10" i="20" s="1"/>
  <c r="AL13" i="20" s="1"/>
  <c r="AL15" i="20"/>
  <c r="AL16" i="20"/>
  <c r="AL17" i="20"/>
  <c r="AL29" i="20"/>
  <c r="AK14" i="20"/>
  <c r="AK10" i="20" s="1"/>
  <c r="AK13" i="20" s="1"/>
  <c r="AK15" i="20"/>
  <c r="AK16" i="20"/>
  <c r="AK17" i="20"/>
  <c r="AK29" i="20"/>
  <c r="AJ14" i="20"/>
  <c r="AJ15" i="20"/>
  <c r="AJ16" i="20"/>
  <c r="AJ10" i="20"/>
  <c r="AJ13" i="20"/>
  <c r="AJ17" i="20"/>
  <c r="AJ29" i="20"/>
  <c r="AI14" i="20"/>
  <c r="AI15" i="20"/>
  <c r="AI16" i="20"/>
  <c r="AI10" i="20"/>
  <c r="AI13" i="20" s="1"/>
  <c r="AI17" i="20"/>
  <c r="AI29" i="20"/>
  <c r="AH14" i="20"/>
  <c r="AH15" i="20"/>
  <c r="AH16" i="20"/>
  <c r="AH10" i="20"/>
  <c r="AH13" i="20" s="1"/>
  <c r="AH17" i="20"/>
  <c r="AH29" i="20"/>
  <c r="AG14" i="20"/>
  <c r="AG15" i="20"/>
  <c r="AG16" i="20"/>
  <c r="AG17" i="20"/>
  <c r="AG29" i="20"/>
  <c r="AF14" i="20"/>
  <c r="AF10" i="20" s="1"/>
  <c r="AF13" i="20" s="1"/>
  <c r="AF15" i="20"/>
  <c r="AF16" i="20"/>
  <c r="AF17" i="20"/>
  <c r="AF29" i="20"/>
  <c r="AE14" i="20"/>
  <c r="AE10" i="20" s="1"/>
  <c r="AE13" i="20" s="1"/>
  <c r="AE15" i="20"/>
  <c r="AE16" i="20"/>
  <c r="AE17" i="20"/>
  <c r="AE29" i="20"/>
  <c r="AD14" i="20"/>
  <c r="AD10" i="20" s="1"/>
  <c r="AD13" i="20" s="1"/>
  <c r="AD15" i="20"/>
  <c r="AD16" i="20"/>
  <c r="AD17" i="20"/>
  <c r="AD29" i="20"/>
  <c r="AC14" i="20"/>
  <c r="AC15" i="20"/>
  <c r="AC16" i="20"/>
  <c r="AC10" i="20"/>
  <c r="AC13" i="20" s="1"/>
  <c r="AC17" i="20"/>
  <c r="AC29" i="20"/>
  <c r="AB14" i="20"/>
  <c r="AB10" i="20" s="1"/>
  <c r="AB15" i="20"/>
  <c r="AB16" i="20"/>
  <c r="AB13" i="20"/>
  <c r="AB17" i="20"/>
  <c r="AB29" i="20"/>
  <c r="AA14" i="20"/>
  <c r="AA15" i="20"/>
  <c r="AA16" i="20"/>
  <c r="AA10" i="20"/>
  <c r="AA13" i="20" s="1"/>
  <c r="AA17" i="20"/>
  <c r="AA29" i="20"/>
  <c r="Z14" i="20"/>
  <c r="Z15" i="20"/>
  <c r="Z16" i="20"/>
  <c r="Z10" i="20"/>
  <c r="Z13" i="20"/>
  <c r="Z17" i="20"/>
  <c r="Z29" i="20"/>
  <c r="Y14" i="20"/>
  <c r="Y15" i="20"/>
  <c r="Y10" i="20" s="1"/>
  <c r="Y13" i="20" s="1"/>
  <c r="Y16" i="20"/>
  <c r="Y17" i="20"/>
  <c r="Y29" i="20"/>
  <c r="X14" i="20"/>
  <c r="X15" i="20"/>
  <c r="X16" i="20"/>
  <c r="X17" i="20"/>
  <c r="X29" i="20"/>
  <c r="W14" i="20"/>
  <c r="W10" i="20" s="1"/>
  <c r="W13" i="20" s="1"/>
  <c r="W15" i="20"/>
  <c r="W16" i="20"/>
  <c r="W17" i="20"/>
  <c r="W29" i="20"/>
  <c r="V14" i="20"/>
  <c r="V10" i="20" s="1"/>
  <c r="V13" i="20" s="1"/>
  <c r="V15" i="20"/>
  <c r="V16" i="20"/>
  <c r="V17" i="20"/>
  <c r="V29" i="20"/>
  <c r="U14" i="20"/>
  <c r="U15" i="20"/>
  <c r="U16" i="20"/>
  <c r="U10" i="20"/>
  <c r="U13" i="20" s="1"/>
  <c r="U17" i="20"/>
  <c r="U29" i="20"/>
  <c r="T14" i="20"/>
  <c r="T15" i="20"/>
  <c r="T16" i="20"/>
  <c r="T10" i="20"/>
  <c r="T13" i="20"/>
  <c r="T17" i="20"/>
  <c r="T29" i="20"/>
  <c r="S14" i="20"/>
  <c r="S15" i="20"/>
  <c r="S16" i="20"/>
  <c r="S10" i="20"/>
  <c r="S13" i="20"/>
  <c r="S17" i="20"/>
  <c r="S29" i="20"/>
  <c r="R14" i="20"/>
  <c r="R15" i="20"/>
  <c r="R16" i="20"/>
  <c r="R10" i="20"/>
  <c r="R13" i="20" s="1"/>
  <c r="R17" i="20"/>
  <c r="R29" i="20"/>
  <c r="Q14" i="20"/>
  <c r="Q15" i="20"/>
  <c r="Q16" i="20"/>
  <c r="Q17" i="20"/>
  <c r="Q29" i="20"/>
  <c r="P14" i="20"/>
  <c r="P15" i="20"/>
  <c r="P16" i="20"/>
  <c r="P17" i="20"/>
  <c r="P29" i="20"/>
  <c r="O14" i="20"/>
  <c r="O15" i="20"/>
  <c r="O16" i="20"/>
  <c r="O17" i="20"/>
  <c r="O29" i="20"/>
  <c r="N14" i="20"/>
  <c r="N10" i="20" s="1"/>
  <c r="N13" i="20" s="1"/>
  <c r="N15" i="20"/>
  <c r="N16" i="20"/>
  <c r="N17" i="20"/>
  <c r="N29" i="20"/>
  <c r="M14" i="20"/>
  <c r="M15" i="20"/>
  <c r="M16" i="20"/>
  <c r="M10" i="20" s="1"/>
  <c r="M13" i="20" s="1"/>
  <c r="M17" i="20"/>
  <c r="M29" i="20"/>
  <c r="L14" i="20"/>
  <c r="L15" i="20"/>
  <c r="L10" i="20" s="1"/>
  <c r="L13" i="20" s="1"/>
  <c r="L16" i="20"/>
  <c r="L17" i="20"/>
  <c r="L29" i="20"/>
  <c r="K14" i="20"/>
  <c r="K15" i="20"/>
  <c r="K10" i="20" s="1"/>
  <c r="K13" i="20" s="1"/>
  <c r="K16" i="20"/>
  <c r="K17" i="20"/>
  <c r="K29" i="20"/>
  <c r="J14" i="20"/>
  <c r="J15" i="20"/>
  <c r="J16" i="20"/>
  <c r="J17" i="20"/>
  <c r="J29" i="20"/>
  <c r="I14" i="20"/>
  <c r="I15" i="20"/>
  <c r="I10" i="20" s="1"/>
  <c r="I13" i="20" s="1"/>
  <c r="I16" i="20"/>
  <c r="I17" i="20"/>
  <c r="I29" i="20"/>
  <c r="H14" i="20"/>
  <c r="H15" i="20"/>
  <c r="H16" i="20"/>
  <c r="H10" i="20"/>
  <c r="H13" i="20" s="1"/>
  <c r="H17" i="20"/>
  <c r="H29" i="20"/>
  <c r="G14" i="20"/>
  <c r="G10" i="20" s="1"/>
  <c r="G13" i="20" s="1"/>
  <c r="G15" i="20"/>
  <c r="G16" i="20"/>
  <c r="G17" i="20"/>
  <c r="G29" i="20"/>
  <c r="F14" i="20"/>
  <c r="F15" i="20"/>
  <c r="F16" i="20"/>
  <c r="F17" i="20"/>
  <c r="F29" i="20"/>
  <c r="E14" i="20"/>
  <c r="E15" i="20"/>
  <c r="E16" i="20"/>
  <c r="E10" i="20"/>
  <c r="E13" i="20" s="1"/>
  <c r="E17" i="20"/>
  <c r="E29" i="20"/>
  <c r="D14" i="20"/>
  <c r="D15" i="20"/>
  <c r="D16" i="20"/>
  <c r="D17" i="20"/>
  <c r="D27" i="20"/>
  <c r="E27" i="20" s="1"/>
  <c r="D29" i="20"/>
  <c r="D30" i="20"/>
  <c r="AY14" i="21"/>
  <c r="AY15" i="21"/>
  <c r="AY10" i="21" s="1"/>
  <c r="AY13" i="21" s="1"/>
  <c r="AY16" i="21"/>
  <c r="AY17" i="21"/>
  <c r="AY29" i="21"/>
  <c r="AX14" i="21"/>
  <c r="AX15" i="21"/>
  <c r="AX16" i="21"/>
  <c r="AX10" i="21"/>
  <c r="AX13" i="21" s="1"/>
  <c r="AX17" i="21"/>
  <c r="AX29" i="21"/>
  <c r="AW14" i="21"/>
  <c r="AW15" i="21"/>
  <c r="AW10" i="21" s="1"/>
  <c r="AW13" i="21" s="1"/>
  <c r="AW16" i="21"/>
  <c r="AW17" i="21"/>
  <c r="AW29" i="21"/>
  <c r="AV14" i="21"/>
  <c r="AV15" i="21"/>
  <c r="AV16" i="21"/>
  <c r="AV17" i="21"/>
  <c r="AV29" i="21"/>
  <c r="AU14" i="21"/>
  <c r="AU15" i="21"/>
  <c r="AU16" i="21"/>
  <c r="AU17" i="21"/>
  <c r="AU29" i="21"/>
  <c r="AT14" i="21"/>
  <c r="AT15" i="21"/>
  <c r="AT16" i="21"/>
  <c r="AT17" i="21"/>
  <c r="AT21" i="21"/>
  <c r="AT29" i="21"/>
  <c r="AS14" i="21"/>
  <c r="AS15" i="21"/>
  <c r="AS16" i="21"/>
  <c r="AS10" i="21"/>
  <c r="AS13" i="21" s="1"/>
  <c r="AS17" i="21"/>
  <c r="AS29" i="21"/>
  <c r="AR14" i="21"/>
  <c r="AR15" i="21"/>
  <c r="AR16" i="21"/>
  <c r="AR10" i="21" s="1"/>
  <c r="AR13" i="21" s="1"/>
  <c r="AS21" i="21" s="1"/>
  <c r="AR17" i="21"/>
  <c r="AR29" i="21"/>
  <c r="AQ14" i="21"/>
  <c r="AQ15" i="21"/>
  <c r="AQ10" i="21" s="1"/>
  <c r="AQ13" i="21" s="1"/>
  <c r="AQ16" i="21"/>
  <c r="AQ17" i="21"/>
  <c r="AQ29" i="21"/>
  <c r="AP14" i="21"/>
  <c r="AP15" i="21"/>
  <c r="AP16" i="21"/>
  <c r="AP17" i="21"/>
  <c r="AP29" i="21"/>
  <c r="AO14" i="21"/>
  <c r="AO15" i="21"/>
  <c r="AO10" i="21" s="1"/>
  <c r="AO13" i="21" s="1"/>
  <c r="AO16" i="21"/>
  <c r="AO17" i="21"/>
  <c r="AO29" i="21"/>
  <c r="AN14" i="21"/>
  <c r="AN15" i="21"/>
  <c r="AN16" i="21"/>
  <c r="AN10" i="21"/>
  <c r="AN13" i="21" s="1"/>
  <c r="AN17" i="21"/>
  <c r="AN29" i="21"/>
  <c r="AM14" i="21"/>
  <c r="AM10" i="21" s="1"/>
  <c r="AM13" i="21" s="1"/>
  <c r="AM15" i="21"/>
  <c r="AM16" i="21"/>
  <c r="AM17" i="21"/>
  <c r="AM29" i="21"/>
  <c r="AL14" i="21"/>
  <c r="AL15" i="21"/>
  <c r="AL16" i="21"/>
  <c r="AL17" i="21"/>
  <c r="AL29" i="21"/>
  <c r="AK14" i="21"/>
  <c r="AK10" i="21" s="1"/>
  <c r="AK13" i="21" s="1"/>
  <c r="AK15" i="21"/>
  <c r="AK16" i="21"/>
  <c r="AK17" i="21"/>
  <c r="AK29" i="21"/>
  <c r="AJ14" i="21"/>
  <c r="AJ15" i="21"/>
  <c r="AJ16" i="21"/>
  <c r="AJ10" i="21" s="1"/>
  <c r="AJ13" i="21"/>
  <c r="AJ17" i="21"/>
  <c r="AJ29" i="21"/>
  <c r="AI14" i="21"/>
  <c r="AI15" i="21"/>
  <c r="AI16" i="21"/>
  <c r="AI10" i="21"/>
  <c r="AI13" i="21" s="1"/>
  <c r="AI17" i="21"/>
  <c r="AI29" i="21"/>
  <c r="AH14" i="21"/>
  <c r="AH15" i="21"/>
  <c r="AH16" i="21"/>
  <c r="AH10" i="21"/>
  <c r="AH13" i="21" s="1"/>
  <c r="AH17" i="21"/>
  <c r="AH29" i="21"/>
  <c r="AG14" i="21"/>
  <c r="AG15" i="21"/>
  <c r="AG10" i="21" s="1"/>
  <c r="AG13" i="21" s="1"/>
  <c r="AG16" i="21"/>
  <c r="AG17" i="21"/>
  <c r="AG29" i="21"/>
  <c r="AF14" i="21"/>
  <c r="AF15" i="21"/>
  <c r="AF16" i="21"/>
  <c r="AF10" i="21"/>
  <c r="AF13" i="21"/>
  <c r="AF17" i="21"/>
  <c r="AF29" i="21"/>
  <c r="AE14" i="21"/>
  <c r="AE15" i="21"/>
  <c r="AE16" i="21"/>
  <c r="AE10" i="21"/>
  <c r="AE13" i="21" s="1"/>
  <c r="AE17" i="21"/>
  <c r="AE29" i="21"/>
  <c r="AD14" i="21"/>
  <c r="AD15" i="21"/>
  <c r="AD16" i="21"/>
  <c r="AD17" i="21"/>
  <c r="AD29" i="21"/>
  <c r="AC14" i="21"/>
  <c r="AC10" i="21" s="1"/>
  <c r="AC13" i="21" s="1"/>
  <c r="AD21" i="21" s="1"/>
  <c r="AC15" i="21"/>
  <c r="AC16" i="21"/>
  <c r="AC17" i="21"/>
  <c r="AC29" i="21"/>
  <c r="AB14" i="21"/>
  <c r="AB10" i="21" s="1"/>
  <c r="AB13" i="21" s="1"/>
  <c r="AC22" i="21" s="1"/>
  <c r="AC56" i="21" s="1"/>
  <c r="AC62" i="21" s="1"/>
  <c r="AB15" i="21"/>
  <c r="AB16" i="21"/>
  <c r="AB17" i="21"/>
  <c r="AB29" i="21"/>
  <c r="AA14" i="21"/>
  <c r="AA10" i="21" s="1"/>
  <c r="AA13" i="21" s="1"/>
  <c r="AA15" i="21"/>
  <c r="AA16" i="21"/>
  <c r="AA17" i="21"/>
  <c r="AA21" i="21"/>
  <c r="AA55" i="21" s="1"/>
  <c r="AA29" i="21"/>
  <c r="Z14" i="21"/>
  <c r="Z15" i="21"/>
  <c r="Z16" i="21"/>
  <c r="Z10" i="21"/>
  <c r="Z13" i="21" s="1"/>
  <c r="Z17" i="21"/>
  <c r="Z29" i="21"/>
  <c r="Y14" i="21"/>
  <c r="Y15" i="21"/>
  <c r="Y16" i="21"/>
  <c r="Y10" i="21" s="1"/>
  <c r="Y13" i="21" s="1"/>
  <c r="Y17" i="21"/>
  <c r="Y29" i="21"/>
  <c r="X14" i="21"/>
  <c r="X15" i="21"/>
  <c r="X10" i="21" s="1"/>
  <c r="X13" i="21" s="1"/>
  <c r="X16" i="21"/>
  <c r="X17" i="21"/>
  <c r="X29" i="21"/>
  <c r="W14" i="21"/>
  <c r="W15" i="21"/>
  <c r="W16" i="21"/>
  <c r="W10" i="21" s="1"/>
  <c r="W13" i="21" s="1"/>
  <c r="W17" i="21"/>
  <c r="W29" i="21"/>
  <c r="V14" i="21"/>
  <c r="V15" i="21"/>
  <c r="V16" i="21"/>
  <c r="V17" i="21"/>
  <c r="V29" i="21"/>
  <c r="U14" i="21"/>
  <c r="U15" i="21"/>
  <c r="U16" i="21"/>
  <c r="U17" i="21"/>
  <c r="U21" i="21"/>
  <c r="U29" i="21"/>
  <c r="T14" i="21"/>
  <c r="T10" i="21" s="1"/>
  <c r="T13" i="21" s="1"/>
  <c r="T15" i="21"/>
  <c r="T16" i="21"/>
  <c r="T17" i="21"/>
  <c r="T29" i="21"/>
  <c r="S14" i="21"/>
  <c r="S15" i="21"/>
  <c r="S16" i="21"/>
  <c r="S10" i="21"/>
  <c r="S13" i="21"/>
  <c r="T21" i="21" s="1"/>
  <c r="T33" i="21" s="1"/>
  <c r="S17" i="21"/>
  <c r="S29" i="21"/>
  <c r="R14" i="21"/>
  <c r="R15" i="21"/>
  <c r="R16" i="21"/>
  <c r="R10" i="21"/>
  <c r="R13" i="21" s="1"/>
  <c r="S21" i="21" s="1"/>
  <c r="R17" i="21"/>
  <c r="R29" i="21"/>
  <c r="Q14" i="21"/>
  <c r="Q15" i="21"/>
  <c r="Q16" i="21"/>
  <c r="Q10" i="21" s="1"/>
  <c r="Q13" i="21"/>
  <c r="R22" i="21" s="1"/>
  <c r="Q17" i="21"/>
  <c r="Q29" i="21"/>
  <c r="P14" i="21"/>
  <c r="P15" i="21"/>
  <c r="P16" i="21"/>
  <c r="P10" i="21"/>
  <c r="P13" i="21"/>
  <c r="P17" i="21"/>
  <c r="P29" i="21"/>
  <c r="O14" i="21"/>
  <c r="O10" i="21" s="1"/>
  <c r="O13" i="21" s="1"/>
  <c r="O15" i="21"/>
  <c r="O16" i="21"/>
  <c r="O17" i="21"/>
  <c r="O29" i="21"/>
  <c r="N14" i="21"/>
  <c r="N10" i="21" s="1"/>
  <c r="N13" i="21" s="1"/>
  <c r="N15" i="21"/>
  <c r="N16" i="21"/>
  <c r="N17" i="21"/>
  <c r="N29" i="21"/>
  <c r="M14" i="21"/>
  <c r="M10" i="21" s="1"/>
  <c r="M13" i="21" s="1"/>
  <c r="M15" i="21"/>
  <c r="M16" i="21"/>
  <c r="M17" i="21"/>
  <c r="M29" i="21"/>
  <c r="L14" i="21"/>
  <c r="L15" i="21"/>
  <c r="L16" i="21"/>
  <c r="L10" i="21"/>
  <c r="L13" i="21" s="1"/>
  <c r="L17" i="21"/>
  <c r="L29" i="21"/>
  <c r="K14" i="21"/>
  <c r="K15" i="21"/>
  <c r="K16" i="21"/>
  <c r="K10" i="21" s="1"/>
  <c r="K13" i="21" s="1"/>
  <c r="K17" i="21"/>
  <c r="K29" i="21"/>
  <c r="J14" i="21"/>
  <c r="J15" i="21"/>
  <c r="J16" i="21"/>
  <c r="J10" i="21"/>
  <c r="J13" i="21"/>
  <c r="K21" i="21" s="1"/>
  <c r="J17" i="21"/>
  <c r="J29" i="21"/>
  <c r="I14" i="21"/>
  <c r="I15" i="21"/>
  <c r="I16" i="21"/>
  <c r="I10" i="21"/>
  <c r="I13" i="21" s="1"/>
  <c r="I17" i="21"/>
  <c r="I29" i="21"/>
  <c r="H14" i="21"/>
  <c r="H10" i="21" s="1"/>
  <c r="H13" i="21" s="1"/>
  <c r="H15" i="21"/>
  <c r="H16" i="21"/>
  <c r="H17" i="21"/>
  <c r="H29" i="21"/>
  <c r="G14" i="21"/>
  <c r="G10" i="21" s="1"/>
  <c r="G13" i="21" s="1"/>
  <c r="G15" i="21"/>
  <c r="G16" i="21"/>
  <c r="G17" i="21"/>
  <c r="G29" i="21"/>
  <c r="F14" i="21"/>
  <c r="F10" i="21" s="1"/>
  <c r="F13" i="21" s="1"/>
  <c r="F15" i="21"/>
  <c r="F16" i="21"/>
  <c r="F17" i="21"/>
  <c r="F29" i="21"/>
  <c r="E14" i="21"/>
  <c r="E10" i="21" s="1"/>
  <c r="E13" i="21" s="1"/>
  <c r="E15" i="21"/>
  <c r="E16" i="21"/>
  <c r="E17" i="21"/>
  <c r="E29" i="21"/>
  <c r="D14" i="21"/>
  <c r="D15" i="21"/>
  <c r="D16" i="21"/>
  <c r="D10" i="21"/>
  <c r="D17" i="21"/>
  <c r="D21" i="21"/>
  <c r="D44" i="21" s="1"/>
  <c r="D27" i="21"/>
  <c r="E27" i="21" s="1"/>
  <c r="D29" i="21"/>
  <c r="D30" i="21"/>
  <c r="B21" i="18"/>
  <c r="B21" i="19"/>
  <c r="B21" i="20"/>
  <c r="B21" i="21"/>
  <c r="D151" i="22"/>
  <c r="E151" i="22"/>
  <c r="F151" i="22"/>
  <c r="G151" i="22"/>
  <c r="H151" i="22"/>
  <c r="I151" i="22"/>
  <c r="J151" i="22"/>
  <c r="K151" i="22"/>
  <c r="L151" i="22"/>
  <c r="M151" i="22"/>
  <c r="N151" i="22"/>
  <c r="O151" i="22"/>
  <c r="P151" i="22"/>
  <c r="Q151" i="22"/>
  <c r="R151" i="22"/>
  <c r="S151" i="22"/>
  <c r="T151" i="22"/>
  <c r="U151" i="22"/>
  <c r="V151" i="22"/>
  <c r="W151" i="22"/>
  <c r="X151" i="22"/>
  <c r="Y151" i="22"/>
  <c r="Z151" i="22"/>
  <c r="AA151" i="22"/>
  <c r="AB151" i="22"/>
  <c r="AC151" i="22"/>
  <c r="AD151" i="22"/>
  <c r="AE151" i="22"/>
  <c r="AF151" i="22"/>
  <c r="AG151" i="22"/>
  <c r="AH151" i="22"/>
  <c r="AI151" i="22"/>
  <c r="AJ151" i="22"/>
  <c r="AK151" i="22"/>
  <c r="AL151" i="22"/>
  <c r="AM151" i="22"/>
  <c r="AN151" i="22"/>
  <c r="AO151" i="22"/>
  <c r="AP151" i="22"/>
  <c r="AQ151" i="22"/>
  <c r="AR151" i="22"/>
  <c r="AS151" i="22"/>
  <c r="AT151" i="22"/>
  <c r="AU151" i="22"/>
  <c r="AV151" i="22"/>
  <c r="AW151" i="22"/>
  <c r="AX151" i="22"/>
  <c r="C151" i="22"/>
  <c r="D142" i="22"/>
  <c r="E142" i="22"/>
  <c r="F142" i="22"/>
  <c r="G142" i="22"/>
  <c r="H142" i="22"/>
  <c r="I142" i="22"/>
  <c r="J142" i="22"/>
  <c r="K142" i="22"/>
  <c r="L142" i="22"/>
  <c r="M142" i="22"/>
  <c r="N142" i="22"/>
  <c r="O142" i="22"/>
  <c r="P142" i="22"/>
  <c r="Q142" i="22"/>
  <c r="R142" i="22"/>
  <c r="S142" i="22"/>
  <c r="T142" i="22"/>
  <c r="U142" i="22"/>
  <c r="V142" i="22"/>
  <c r="W142" i="22"/>
  <c r="X142" i="22"/>
  <c r="Y142" i="22"/>
  <c r="Z142" i="22"/>
  <c r="AA142" i="22"/>
  <c r="AB142" i="22"/>
  <c r="AC142" i="22"/>
  <c r="AD142" i="22"/>
  <c r="AE142" i="22"/>
  <c r="AF142" i="22"/>
  <c r="AG142" i="22"/>
  <c r="AH142" i="22"/>
  <c r="AI142" i="22"/>
  <c r="AJ142" i="22"/>
  <c r="AK142" i="22"/>
  <c r="AL142" i="22"/>
  <c r="AM142" i="22"/>
  <c r="AN142" i="22"/>
  <c r="AO142" i="22"/>
  <c r="AP142" i="22"/>
  <c r="AQ142" i="22"/>
  <c r="AR142" i="22"/>
  <c r="AS142" i="22"/>
  <c r="AT142" i="22"/>
  <c r="AU142" i="22"/>
  <c r="AV142" i="22"/>
  <c r="AW142" i="22"/>
  <c r="AX142" i="22"/>
  <c r="C142" i="22"/>
  <c r="D133" i="22"/>
  <c r="E133" i="22"/>
  <c r="F133" i="22"/>
  <c r="G133" i="22"/>
  <c r="H133" i="22"/>
  <c r="I133" i="22"/>
  <c r="J133" i="22"/>
  <c r="K133" i="22"/>
  <c r="L133" i="22"/>
  <c r="M133" i="22"/>
  <c r="N133" i="22"/>
  <c r="O133" i="22"/>
  <c r="P133" i="22"/>
  <c r="Q133" i="22"/>
  <c r="R133" i="22"/>
  <c r="S133" i="22"/>
  <c r="T133" i="22"/>
  <c r="U133" i="22"/>
  <c r="V133" i="22"/>
  <c r="W133" i="22"/>
  <c r="X133" i="22"/>
  <c r="Y133" i="22"/>
  <c r="Z133" i="22"/>
  <c r="AA133" i="22"/>
  <c r="AB133" i="22"/>
  <c r="AC133" i="22"/>
  <c r="AD133" i="22"/>
  <c r="AE133" i="22"/>
  <c r="AF133" i="22"/>
  <c r="AG133" i="22"/>
  <c r="AH133" i="22"/>
  <c r="AI133" i="22"/>
  <c r="AJ133" i="22"/>
  <c r="AK133" i="22"/>
  <c r="AL133" i="22"/>
  <c r="AM133" i="22"/>
  <c r="AN133" i="22"/>
  <c r="AO133" i="22"/>
  <c r="AP133" i="22"/>
  <c r="AQ133" i="22"/>
  <c r="AR133" i="22"/>
  <c r="AS133" i="22"/>
  <c r="AT133" i="22"/>
  <c r="AU133" i="22"/>
  <c r="AV133" i="22"/>
  <c r="AW133" i="22"/>
  <c r="AX133" i="22"/>
  <c r="C133" i="22"/>
  <c r="D124" i="22"/>
  <c r="E124" i="22"/>
  <c r="F124" i="22"/>
  <c r="G124" i="22"/>
  <c r="H124" i="22"/>
  <c r="I124" i="22"/>
  <c r="J124" i="22"/>
  <c r="K124" i="22"/>
  <c r="L124" i="22"/>
  <c r="M124" i="22"/>
  <c r="N124" i="22"/>
  <c r="O124" i="22"/>
  <c r="P124" i="22"/>
  <c r="Q124" i="22"/>
  <c r="R124" i="22"/>
  <c r="S124" i="22"/>
  <c r="T124" i="22"/>
  <c r="U124" i="22"/>
  <c r="V124" i="22"/>
  <c r="W124" i="22"/>
  <c r="X124" i="22"/>
  <c r="Y124" i="22"/>
  <c r="Z124" i="22"/>
  <c r="AA124" i="22"/>
  <c r="AB124" i="22"/>
  <c r="AC124" i="22"/>
  <c r="AD124" i="22"/>
  <c r="AE124" i="22"/>
  <c r="AF124" i="22"/>
  <c r="AG124" i="22"/>
  <c r="AH124" i="22"/>
  <c r="AI124" i="22"/>
  <c r="AJ124" i="22"/>
  <c r="AK124" i="22"/>
  <c r="AL124" i="22"/>
  <c r="AM124" i="22"/>
  <c r="AN124" i="22"/>
  <c r="AO124" i="22"/>
  <c r="AP124" i="22"/>
  <c r="AQ124" i="22"/>
  <c r="AR124" i="22"/>
  <c r="AS124" i="22"/>
  <c r="AT124" i="22"/>
  <c r="AU124" i="22"/>
  <c r="AV124" i="22"/>
  <c r="AW124" i="22"/>
  <c r="AX124" i="22"/>
  <c r="C124" i="22"/>
  <c r="D115" i="22"/>
  <c r="E115" i="22"/>
  <c r="F115" i="22"/>
  <c r="G115" i="22"/>
  <c r="H115" i="22"/>
  <c r="I115" i="22"/>
  <c r="J115" i="22"/>
  <c r="K115" i="22"/>
  <c r="L115" i="22"/>
  <c r="M115" i="22"/>
  <c r="N115" i="22"/>
  <c r="O115" i="22"/>
  <c r="P115" i="22"/>
  <c r="Q115" i="22"/>
  <c r="R115" i="22"/>
  <c r="S115" i="22"/>
  <c r="T115" i="22"/>
  <c r="U115" i="22"/>
  <c r="V115" i="22"/>
  <c r="W115" i="22"/>
  <c r="X115" i="22"/>
  <c r="Y115" i="22"/>
  <c r="Z115" i="22"/>
  <c r="AA115" i="22"/>
  <c r="AB115" i="22"/>
  <c r="AC115" i="22"/>
  <c r="AD115" i="22"/>
  <c r="AE115" i="22"/>
  <c r="AF115" i="22"/>
  <c r="AG115" i="22"/>
  <c r="AH115" i="22"/>
  <c r="AI115" i="22"/>
  <c r="AJ115" i="22"/>
  <c r="AK115" i="22"/>
  <c r="AL115" i="22"/>
  <c r="AM115" i="22"/>
  <c r="AN115" i="22"/>
  <c r="AO115" i="22"/>
  <c r="AP115" i="22"/>
  <c r="AQ115" i="22"/>
  <c r="AR115" i="22"/>
  <c r="AS115" i="22"/>
  <c r="AT115" i="22"/>
  <c r="AU115" i="22"/>
  <c r="AV115" i="22"/>
  <c r="AW115" i="22"/>
  <c r="AX115" i="22"/>
  <c r="C115" i="22"/>
  <c r="D106" i="22"/>
  <c r="E106" i="22"/>
  <c r="F106" i="22"/>
  <c r="G106" i="22"/>
  <c r="H106" i="22"/>
  <c r="I106" i="22"/>
  <c r="J106" i="22"/>
  <c r="K106" i="22"/>
  <c r="L106" i="22"/>
  <c r="M106" i="22"/>
  <c r="N106" i="22"/>
  <c r="O106" i="22"/>
  <c r="P106" i="22"/>
  <c r="Q106" i="22"/>
  <c r="R106" i="22"/>
  <c r="S106" i="22"/>
  <c r="T106" i="22"/>
  <c r="U106" i="22"/>
  <c r="V106" i="22"/>
  <c r="W106" i="22"/>
  <c r="X106" i="22"/>
  <c r="Y106" i="22"/>
  <c r="Z106" i="22"/>
  <c r="AA106" i="22"/>
  <c r="AB106" i="22"/>
  <c r="AC106" i="22"/>
  <c r="AD106" i="22"/>
  <c r="AE106" i="22"/>
  <c r="AF106" i="22"/>
  <c r="AG106" i="22"/>
  <c r="AH106" i="22"/>
  <c r="AI106" i="22"/>
  <c r="AJ106" i="22"/>
  <c r="AK106" i="22"/>
  <c r="AL106" i="22"/>
  <c r="AM106" i="22"/>
  <c r="AN106" i="22"/>
  <c r="AO106" i="22"/>
  <c r="AP106" i="22"/>
  <c r="AQ106" i="22"/>
  <c r="AR106" i="22"/>
  <c r="AS106" i="22"/>
  <c r="AT106" i="22"/>
  <c r="AU106" i="22"/>
  <c r="AV106" i="22"/>
  <c r="AW106" i="22"/>
  <c r="AX106" i="22"/>
  <c r="C106" i="22"/>
  <c r="C88" i="22"/>
  <c r="D88" i="22"/>
  <c r="E88" i="22"/>
  <c r="F88" i="22"/>
  <c r="G88" i="22"/>
  <c r="H88" i="22"/>
  <c r="I88" i="22"/>
  <c r="J88" i="22"/>
  <c r="K88" i="22"/>
  <c r="L88" i="22"/>
  <c r="M88" i="22"/>
  <c r="N88" i="22"/>
  <c r="O88" i="22"/>
  <c r="P88" i="22"/>
  <c r="Q88" i="22"/>
  <c r="R88" i="22"/>
  <c r="S88" i="22"/>
  <c r="T88" i="22"/>
  <c r="U88" i="22"/>
  <c r="V88" i="22"/>
  <c r="W88" i="22"/>
  <c r="X88" i="22"/>
  <c r="Y88" i="22"/>
  <c r="Z88" i="22"/>
  <c r="AA88" i="22"/>
  <c r="AB88" i="22"/>
  <c r="AC88" i="22"/>
  <c r="AD88" i="22"/>
  <c r="AE88" i="22"/>
  <c r="AF88" i="22"/>
  <c r="AG88" i="22"/>
  <c r="AH88" i="22"/>
  <c r="AI88" i="22"/>
  <c r="AJ88" i="22"/>
  <c r="AK88" i="22"/>
  <c r="AL88" i="22"/>
  <c r="AM88" i="22"/>
  <c r="AN88" i="22"/>
  <c r="AO88" i="22"/>
  <c r="AP88" i="22"/>
  <c r="AQ88" i="22"/>
  <c r="AR88" i="22"/>
  <c r="AS88" i="22"/>
  <c r="AT88" i="22"/>
  <c r="AU88" i="22"/>
  <c r="AV88" i="22"/>
  <c r="AW88" i="22"/>
  <c r="AX88" i="22"/>
  <c r="C89" i="22"/>
  <c r="D89" i="22"/>
  <c r="E89" i="22"/>
  <c r="F89" i="22"/>
  <c r="G89" i="22"/>
  <c r="H89" i="22"/>
  <c r="I89" i="22"/>
  <c r="J89" i="22"/>
  <c r="K89" i="22"/>
  <c r="L89" i="22"/>
  <c r="M89" i="22"/>
  <c r="N89" i="22"/>
  <c r="O89" i="22"/>
  <c r="P89" i="22"/>
  <c r="Q89" i="22"/>
  <c r="R89" i="22"/>
  <c r="S89" i="22"/>
  <c r="T89" i="22"/>
  <c r="U89" i="22"/>
  <c r="V89" i="22"/>
  <c r="W89" i="22"/>
  <c r="X89" i="22"/>
  <c r="Y89" i="22"/>
  <c r="Z89" i="22"/>
  <c r="AA89" i="22"/>
  <c r="AB89" i="22"/>
  <c r="AC89" i="22"/>
  <c r="AD89" i="22"/>
  <c r="AE89" i="22"/>
  <c r="AF89" i="22"/>
  <c r="AG89" i="22"/>
  <c r="AH89" i="22"/>
  <c r="AI89" i="22"/>
  <c r="AJ89" i="22"/>
  <c r="AK89" i="22"/>
  <c r="AL89" i="22"/>
  <c r="AM89" i="22"/>
  <c r="AN89" i="22"/>
  <c r="AO89" i="22"/>
  <c r="AP89" i="22"/>
  <c r="AQ89" i="22"/>
  <c r="AR89" i="22"/>
  <c r="AS89" i="22"/>
  <c r="AT89" i="22"/>
  <c r="AU89" i="22"/>
  <c r="AV89" i="22"/>
  <c r="AW89" i="22"/>
  <c r="AX89" i="22"/>
  <c r="C90" i="22"/>
  <c r="D90" i="22"/>
  <c r="E90" i="22"/>
  <c r="F90" i="22"/>
  <c r="G90" i="22"/>
  <c r="H90" i="22"/>
  <c r="I90" i="22"/>
  <c r="J90" i="22"/>
  <c r="K90" i="22"/>
  <c r="L90" i="22"/>
  <c r="M90" i="22"/>
  <c r="N90" i="22"/>
  <c r="O90" i="22"/>
  <c r="P90" i="22"/>
  <c r="Q90" i="22"/>
  <c r="R90" i="22"/>
  <c r="S90" i="22"/>
  <c r="T90" i="22"/>
  <c r="U90" i="22"/>
  <c r="V90" i="22"/>
  <c r="W90" i="22"/>
  <c r="X90" i="22"/>
  <c r="Y90" i="22"/>
  <c r="Z90" i="22"/>
  <c r="AA90" i="22"/>
  <c r="AB90" i="22"/>
  <c r="AC90" i="22"/>
  <c r="AD90" i="22"/>
  <c r="AE90" i="22"/>
  <c r="AF90" i="22"/>
  <c r="AG90" i="22"/>
  <c r="AH90" i="22"/>
  <c r="AI90" i="22"/>
  <c r="AJ90" i="22"/>
  <c r="AK90" i="22"/>
  <c r="AL90" i="22"/>
  <c r="AM90" i="22"/>
  <c r="AN90" i="22"/>
  <c r="AO90" i="22"/>
  <c r="AP90" i="22"/>
  <c r="AQ90" i="22"/>
  <c r="AR90" i="22"/>
  <c r="AS90" i="22"/>
  <c r="AT90" i="22"/>
  <c r="AU90" i="22"/>
  <c r="AV90" i="22"/>
  <c r="AW90" i="22"/>
  <c r="AX90" i="22"/>
  <c r="C91" i="22"/>
  <c r="D91" i="22"/>
  <c r="E91" i="22"/>
  <c r="F91" i="22"/>
  <c r="G91" i="22"/>
  <c r="H91" i="22"/>
  <c r="I91" i="22"/>
  <c r="J91" i="22"/>
  <c r="K91" i="22"/>
  <c r="L91" i="22"/>
  <c r="M91" i="22"/>
  <c r="N91" i="22"/>
  <c r="O91" i="22"/>
  <c r="P91" i="22"/>
  <c r="Q91" i="22"/>
  <c r="R91" i="22"/>
  <c r="S91" i="22"/>
  <c r="T91" i="22"/>
  <c r="U91" i="22"/>
  <c r="V91" i="22"/>
  <c r="W91" i="22"/>
  <c r="X91" i="22"/>
  <c r="Y91" i="22"/>
  <c r="Z91" i="22"/>
  <c r="AA91" i="22"/>
  <c r="AB91" i="22"/>
  <c r="AC91" i="22"/>
  <c r="AD91" i="22"/>
  <c r="AE91" i="22"/>
  <c r="AF91" i="22"/>
  <c r="AG91" i="22"/>
  <c r="AH91" i="22"/>
  <c r="AI91" i="22"/>
  <c r="AJ91" i="22"/>
  <c r="AK91" i="22"/>
  <c r="AL91" i="22"/>
  <c r="AM91" i="22"/>
  <c r="AN91" i="22"/>
  <c r="AO91" i="22"/>
  <c r="AP91" i="22"/>
  <c r="AQ91" i="22"/>
  <c r="AR91" i="22"/>
  <c r="AS91" i="22"/>
  <c r="AT91" i="22"/>
  <c r="AU91" i="22"/>
  <c r="AV91" i="22"/>
  <c r="AW91" i="22"/>
  <c r="AX91" i="22"/>
  <c r="C92" i="22"/>
  <c r="D92" i="22"/>
  <c r="E92" i="22"/>
  <c r="F92" i="22"/>
  <c r="G92" i="22"/>
  <c r="H92" i="22"/>
  <c r="I92" i="22"/>
  <c r="J92" i="22"/>
  <c r="K92" i="22"/>
  <c r="L92" i="22"/>
  <c r="M92" i="22"/>
  <c r="N92" i="22"/>
  <c r="O92" i="22"/>
  <c r="P92" i="22"/>
  <c r="Q92" i="22"/>
  <c r="R92" i="22"/>
  <c r="S92" i="22"/>
  <c r="T92" i="22"/>
  <c r="U92" i="22"/>
  <c r="V92" i="22"/>
  <c r="W92" i="22"/>
  <c r="X92" i="22"/>
  <c r="Y92" i="22"/>
  <c r="Z92" i="22"/>
  <c r="AA92" i="22"/>
  <c r="AB92" i="22"/>
  <c r="AC92" i="22"/>
  <c r="AD92" i="22"/>
  <c r="AE92" i="22"/>
  <c r="AF92" i="22"/>
  <c r="AG92" i="22"/>
  <c r="AH92" i="22"/>
  <c r="AI92" i="22"/>
  <c r="AJ92" i="22"/>
  <c r="AK92" i="22"/>
  <c r="AL92" i="22"/>
  <c r="AM92" i="22"/>
  <c r="AN92" i="22"/>
  <c r="AO92" i="22"/>
  <c r="AP92" i="22"/>
  <c r="AQ92" i="22"/>
  <c r="AR92" i="22"/>
  <c r="AS92" i="22"/>
  <c r="AT92" i="22"/>
  <c r="AU92" i="22"/>
  <c r="AV92" i="22"/>
  <c r="AW92" i="22"/>
  <c r="AX92" i="22"/>
  <c r="C93" i="22"/>
  <c r="D93" i="22"/>
  <c r="E93" i="22"/>
  <c r="F93" i="22"/>
  <c r="G93" i="22"/>
  <c r="H93" i="22"/>
  <c r="I93" i="22"/>
  <c r="J93" i="22"/>
  <c r="K93" i="22"/>
  <c r="L93" i="22"/>
  <c r="M93" i="22"/>
  <c r="N93" i="22"/>
  <c r="O93" i="22"/>
  <c r="P93" i="22"/>
  <c r="Q93" i="22"/>
  <c r="R93" i="22"/>
  <c r="S93" i="22"/>
  <c r="T93" i="22"/>
  <c r="U93" i="22"/>
  <c r="V93" i="22"/>
  <c r="W93" i="22"/>
  <c r="X93" i="22"/>
  <c r="Y93" i="22"/>
  <c r="Z93" i="22"/>
  <c r="AA93" i="22"/>
  <c r="AB93" i="22"/>
  <c r="AC93" i="22"/>
  <c r="AD93" i="22"/>
  <c r="AE93" i="22"/>
  <c r="AF93" i="22"/>
  <c r="AG93" i="22"/>
  <c r="AH93" i="22"/>
  <c r="AI93" i="22"/>
  <c r="AJ93" i="22"/>
  <c r="AK93" i="22"/>
  <c r="AL93" i="22"/>
  <c r="AM93" i="22"/>
  <c r="AN93" i="22"/>
  <c r="AO93" i="22"/>
  <c r="AP93" i="22"/>
  <c r="AQ93" i="22"/>
  <c r="AR93" i="22"/>
  <c r="AS93" i="22"/>
  <c r="AT93" i="22"/>
  <c r="AU93" i="22"/>
  <c r="AV93" i="22"/>
  <c r="AW93" i="22"/>
  <c r="AX93" i="22"/>
  <c r="C19" i="22"/>
  <c r="C28" i="22" s="1"/>
  <c r="D19" i="22"/>
  <c r="D28" i="22" s="1"/>
  <c r="E19" i="22"/>
  <c r="E28" i="22" s="1"/>
  <c r="F19" i="22"/>
  <c r="F28" i="22" s="1"/>
  <c r="G19" i="22"/>
  <c r="G28" i="22" s="1"/>
  <c r="H19" i="22"/>
  <c r="H28" i="22" s="1"/>
  <c r="I19" i="22"/>
  <c r="I28" i="22" s="1"/>
  <c r="J19" i="22"/>
  <c r="J28" i="22" s="1"/>
  <c r="K19" i="22"/>
  <c r="K28" i="22" s="1"/>
  <c r="L19" i="22"/>
  <c r="L28" i="22" s="1"/>
  <c r="M19" i="22"/>
  <c r="M28" i="22" s="1"/>
  <c r="N19" i="22"/>
  <c r="N28" i="22" s="1"/>
  <c r="C20" i="22"/>
  <c r="C29" i="22" s="1"/>
  <c r="D20" i="22"/>
  <c r="D29" i="22" s="1"/>
  <c r="E20" i="22"/>
  <c r="E29" i="22" s="1"/>
  <c r="F20" i="22"/>
  <c r="F29" i="22" s="1"/>
  <c r="G20" i="22"/>
  <c r="G29" i="22" s="1"/>
  <c r="H20" i="22"/>
  <c r="H29" i="22" s="1"/>
  <c r="I20" i="22"/>
  <c r="I29" i="22" s="1"/>
  <c r="J20" i="22"/>
  <c r="J29" i="22" s="1"/>
  <c r="K20" i="22"/>
  <c r="K29" i="22" s="1"/>
  <c r="L20" i="22"/>
  <c r="L29" i="22" s="1"/>
  <c r="M20" i="22"/>
  <c r="M29" i="22" s="1"/>
  <c r="N20" i="22"/>
  <c r="N29" i="22" s="1"/>
  <c r="C21" i="22"/>
  <c r="C30" i="22" s="1"/>
  <c r="D21" i="22"/>
  <c r="D30" i="22" s="1"/>
  <c r="E21" i="22"/>
  <c r="E30" i="22" s="1"/>
  <c r="F21" i="22"/>
  <c r="F30" i="22" s="1"/>
  <c r="G21" i="22"/>
  <c r="G30" i="22" s="1"/>
  <c r="H21" i="22"/>
  <c r="H30" i="22" s="1"/>
  <c r="I21" i="22"/>
  <c r="I30" i="22" s="1"/>
  <c r="J21" i="22"/>
  <c r="J30" i="22" s="1"/>
  <c r="K21" i="22"/>
  <c r="K30" i="22" s="1"/>
  <c r="L21" i="22"/>
  <c r="L30" i="22" s="1"/>
  <c r="M21" i="22"/>
  <c r="M30" i="22" s="1"/>
  <c r="N21" i="22"/>
  <c r="N30" i="22" s="1"/>
  <c r="C22" i="22"/>
  <c r="C31" i="22" s="1"/>
  <c r="D22" i="22"/>
  <c r="D31" i="22" s="1"/>
  <c r="E22" i="22"/>
  <c r="E31" i="22" s="1"/>
  <c r="F22" i="22"/>
  <c r="F31" i="22" s="1"/>
  <c r="G22" i="22"/>
  <c r="G31" i="22" s="1"/>
  <c r="H22" i="22"/>
  <c r="H31" i="22" s="1"/>
  <c r="I22" i="22"/>
  <c r="I31" i="22" s="1"/>
  <c r="J22" i="22"/>
  <c r="J31" i="22" s="1"/>
  <c r="K22" i="22"/>
  <c r="K31" i="22" s="1"/>
  <c r="L22" i="22"/>
  <c r="L31" i="22" s="1"/>
  <c r="M22" i="22"/>
  <c r="M31" i="22" s="1"/>
  <c r="N22" i="22"/>
  <c r="N31" i="22" s="1"/>
  <c r="C23" i="22"/>
  <c r="C32" i="22" s="1"/>
  <c r="D23" i="22"/>
  <c r="D32" i="22" s="1"/>
  <c r="E23" i="22"/>
  <c r="E32" i="22" s="1"/>
  <c r="F23" i="22"/>
  <c r="F32" i="22" s="1"/>
  <c r="G23" i="22"/>
  <c r="G32" i="22" s="1"/>
  <c r="H23" i="22"/>
  <c r="H32" i="22" s="1"/>
  <c r="I23" i="22"/>
  <c r="I32" i="22" s="1"/>
  <c r="J23" i="22"/>
  <c r="J32" i="22" s="1"/>
  <c r="K23" i="22"/>
  <c r="K32" i="22" s="1"/>
  <c r="L23" i="22"/>
  <c r="L32" i="22" s="1"/>
  <c r="M23" i="22"/>
  <c r="M32" i="22" s="1"/>
  <c r="N23" i="22"/>
  <c r="N32" i="22" s="1"/>
  <c r="C24" i="22"/>
  <c r="C33" i="22" s="1"/>
  <c r="D24" i="22"/>
  <c r="D33" i="22" s="1"/>
  <c r="E24" i="22"/>
  <c r="E33" i="22" s="1"/>
  <c r="F24" i="22"/>
  <c r="F33" i="22" s="1"/>
  <c r="G24" i="22"/>
  <c r="G33" i="22" s="1"/>
  <c r="H24" i="22"/>
  <c r="H33" i="22" s="1"/>
  <c r="I24" i="22"/>
  <c r="I33" i="22" s="1"/>
  <c r="J24" i="22"/>
  <c r="J33" i="22" s="1"/>
  <c r="K24" i="22"/>
  <c r="K33" i="22" s="1"/>
  <c r="L24" i="22"/>
  <c r="L33" i="22" s="1"/>
  <c r="M24" i="22"/>
  <c r="M33" i="22" s="1"/>
  <c r="N24" i="22"/>
  <c r="N33" i="22" s="1"/>
  <c r="B22" i="21"/>
  <c r="AA22" i="21" s="1"/>
  <c r="B22" i="19"/>
  <c r="B22" i="18"/>
  <c r="Y21" i="21" l="1"/>
  <c r="Y22" i="21"/>
  <c r="N21" i="21"/>
  <c r="N22" i="21"/>
  <c r="N21" i="19"/>
  <c r="N22" i="19"/>
  <c r="F27" i="21"/>
  <c r="E30" i="21"/>
  <c r="G22" i="21"/>
  <c r="G21" i="21"/>
  <c r="Z22" i="21"/>
  <c r="Z21" i="21"/>
  <c r="AJ21" i="21"/>
  <c r="AJ22" i="21"/>
  <c r="AS44" i="21"/>
  <c r="AS66" i="21"/>
  <c r="AS23" i="21"/>
  <c r="AS55" i="21"/>
  <c r="AS33" i="21"/>
  <c r="AA67" i="21"/>
  <c r="AA73" i="21" s="1"/>
  <c r="AA56" i="21"/>
  <c r="AA62" i="21" s="1"/>
  <c r="AA24" i="21"/>
  <c r="AA45" i="21"/>
  <c r="AA51" i="21" s="1"/>
  <c r="AA34" i="21"/>
  <c r="AA40" i="21" s="1"/>
  <c r="D50" i="21"/>
  <c r="P21" i="21"/>
  <c r="P22" i="21"/>
  <c r="S33" i="21"/>
  <c r="S23" i="21"/>
  <c r="S44" i="21"/>
  <c r="S55" i="21"/>
  <c r="S66" i="21"/>
  <c r="J21" i="20"/>
  <c r="O21" i="21"/>
  <c r="O22" i="21"/>
  <c r="J21" i="21"/>
  <c r="J22" i="21"/>
  <c r="T39" i="21"/>
  <c r="I21" i="21"/>
  <c r="I22" i="21"/>
  <c r="L22" i="21"/>
  <c r="L21" i="21"/>
  <c r="AA57" i="21"/>
  <c r="AA61" i="21"/>
  <c r="AP21" i="21"/>
  <c r="AP22" i="21"/>
  <c r="M21" i="21"/>
  <c r="M22" i="21"/>
  <c r="F21" i="21"/>
  <c r="F22" i="21"/>
  <c r="K66" i="21"/>
  <c r="K55" i="21"/>
  <c r="K44" i="21"/>
  <c r="K33" i="21"/>
  <c r="K23" i="21"/>
  <c r="H22" i="21"/>
  <c r="H21" i="21"/>
  <c r="X21" i="21"/>
  <c r="X22" i="21"/>
  <c r="AB21" i="21"/>
  <c r="AB22" i="21"/>
  <c r="AD23" i="21"/>
  <c r="AD66" i="21"/>
  <c r="AD33" i="21"/>
  <c r="AT44" i="21"/>
  <c r="AT33" i="21"/>
  <c r="AT66" i="21"/>
  <c r="AT23" i="21"/>
  <c r="AT55" i="21"/>
  <c r="S21" i="20"/>
  <c r="B22" i="20"/>
  <c r="AW21" i="20"/>
  <c r="AV21" i="20"/>
  <c r="T21" i="20"/>
  <c r="AB21" i="20"/>
  <c r="D21" i="20"/>
  <c r="AD22" i="21"/>
  <c r="AQ21" i="20"/>
  <c r="I33" i="19"/>
  <c r="I23" i="19"/>
  <c r="I44" i="19"/>
  <c r="I66" i="19"/>
  <c r="I55" i="19"/>
  <c r="AX21" i="19"/>
  <c r="D21" i="19"/>
  <c r="AS21" i="19"/>
  <c r="AA21" i="19"/>
  <c r="K21" i="19"/>
  <c r="X21" i="19"/>
  <c r="AR21" i="19"/>
  <c r="U22" i="21"/>
  <c r="U10" i="21"/>
  <c r="U13" i="21" s="1"/>
  <c r="AC21" i="21"/>
  <c r="AD55" i="21"/>
  <c r="AR21" i="21"/>
  <c r="I22" i="18"/>
  <c r="I21" i="18"/>
  <c r="R56" i="21"/>
  <c r="R62" i="21" s="1"/>
  <c r="R24" i="21"/>
  <c r="AC45" i="21"/>
  <c r="AC51" i="21" s="1"/>
  <c r="AC67" i="21"/>
  <c r="AC73" i="21" s="1"/>
  <c r="AP21" i="20"/>
  <c r="H22" i="19"/>
  <c r="H21" i="19"/>
  <c r="D33" i="21"/>
  <c r="AI22" i="21"/>
  <c r="AI21" i="21"/>
  <c r="AP10" i="21"/>
  <c r="AP13" i="21" s="1"/>
  <c r="L21" i="20"/>
  <c r="V21" i="20"/>
  <c r="D30" i="19"/>
  <c r="E27" i="19"/>
  <c r="AQ21" i="19"/>
  <c r="AQ22" i="19"/>
  <c r="AR21" i="18"/>
  <c r="AQ21" i="18"/>
  <c r="D21" i="18"/>
  <c r="AH21" i="18"/>
  <c r="U21" i="18"/>
  <c r="R67" i="21"/>
  <c r="R73" i="21" s="1"/>
  <c r="R21" i="21"/>
  <c r="S22" i="21"/>
  <c r="AD44" i="21"/>
  <c r="AR22" i="21"/>
  <c r="AX21" i="21"/>
  <c r="AX22" i="21"/>
  <c r="F21" i="20"/>
  <c r="M21" i="20"/>
  <c r="AJ21" i="20"/>
  <c r="AK21" i="20"/>
  <c r="AF21" i="19"/>
  <c r="AY22" i="19"/>
  <c r="AS22" i="19"/>
  <c r="D22" i="19"/>
  <c r="Q22" i="19"/>
  <c r="AB22" i="19"/>
  <c r="Y22" i="19"/>
  <c r="J22" i="19"/>
  <c r="U55" i="21"/>
  <c r="U44" i="21"/>
  <c r="U66" i="21"/>
  <c r="U33" i="21"/>
  <c r="AF21" i="21"/>
  <c r="AF22" i="21"/>
  <c r="AK21" i="21"/>
  <c r="AK22" i="21"/>
  <c r="N21" i="20"/>
  <c r="D23" i="21"/>
  <c r="K22" i="21"/>
  <c r="H21" i="20"/>
  <c r="W21" i="20"/>
  <c r="AI21" i="20"/>
  <c r="AI22" i="20"/>
  <c r="AL21" i="20"/>
  <c r="Q21" i="19"/>
  <c r="AE21" i="19"/>
  <c r="AE22" i="19"/>
  <c r="T44" i="21"/>
  <c r="T66" i="21"/>
  <c r="AA21" i="20"/>
  <c r="AZ17" i="21"/>
  <c r="AA33" i="21"/>
  <c r="AA23" i="21"/>
  <c r="AA44" i="21"/>
  <c r="AF21" i="20"/>
  <c r="AF22" i="20"/>
  <c r="AH22" i="18"/>
  <c r="D22" i="18"/>
  <c r="AA22" i="18"/>
  <c r="U22" i="18"/>
  <c r="J22" i="18"/>
  <c r="D55" i="21"/>
  <c r="D22" i="21"/>
  <c r="T23" i="21"/>
  <c r="U23" i="21"/>
  <c r="AD10" i="21"/>
  <c r="AD13" i="21" s="1"/>
  <c r="AN22" i="21"/>
  <c r="AN21" i="21"/>
  <c r="AT22" i="21"/>
  <c r="AY22" i="21"/>
  <c r="AY21" i="21"/>
  <c r="AU21" i="20"/>
  <c r="Q21" i="21"/>
  <c r="Q22" i="21"/>
  <c r="T22" i="21"/>
  <c r="AC34" i="21"/>
  <c r="AC40" i="21" s="1"/>
  <c r="I21" i="20"/>
  <c r="R45" i="21"/>
  <c r="R51" i="21" s="1"/>
  <c r="T55" i="21"/>
  <c r="AG21" i="21"/>
  <c r="AG22" i="21"/>
  <c r="AH21" i="21"/>
  <c r="AH22" i="21"/>
  <c r="AL21" i="21"/>
  <c r="AL22" i="21"/>
  <c r="AO21" i="21"/>
  <c r="AO22" i="21"/>
  <c r="AS22" i="21"/>
  <c r="U21" i="19"/>
  <c r="U22" i="19"/>
  <c r="AF22" i="19"/>
  <c r="D66" i="21"/>
  <c r="D13" i="21"/>
  <c r="R34" i="21"/>
  <c r="R40" i="21" s="1"/>
  <c r="V10" i="21"/>
  <c r="V13" i="21" s="1"/>
  <c r="AA66" i="21"/>
  <c r="AC24" i="21"/>
  <c r="AV10" i="21"/>
  <c r="AV13" i="21" s="1"/>
  <c r="J10" i="20"/>
  <c r="J13" i="20" s="1"/>
  <c r="Q10" i="20"/>
  <c r="Q13" i="20" s="1"/>
  <c r="V22" i="20"/>
  <c r="AC21" i="20"/>
  <c r="AG21" i="20"/>
  <c r="Y21" i="19"/>
  <c r="J21" i="18"/>
  <c r="AU10" i="21"/>
  <c r="AU13" i="21" s="1"/>
  <c r="F27" i="20"/>
  <c r="E30" i="20"/>
  <c r="U21" i="20"/>
  <c r="X21" i="20"/>
  <c r="AB22" i="20"/>
  <c r="AG10" i="20"/>
  <c r="AG13" i="20" s="1"/>
  <c r="W21" i="19"/>
  <c r="W22" i="19"/>
  <c r="AM21" i="19"/>
  <c r="AE21" i="20"/>
  <c r="P22" i="19"/>
  <c r="P21" i="19"/>
  <c r="Z21" i="19"/>
  <c r="Z22" i="19"/>
  <c r="AP21" i="19"/>
  <c r="AP22" i="19"/>
  <c r="AT10" i="21"/>
  <c r="AT13" i="21" s="1"/>
  <c r="AD21" i="20"/>
  <c r="AL21" i="19"/>
  <c r="AL22" i="19"/>
  <c r="AR22" i="19"/>
  <c r="AZ17" i="20"/>
  <c r="Z21" i="20"/>
  <c r="S10" i="19"/>
  <c r="S13" i="19" s="1"/>
  <c r="AL10" i="21"/>
  <c r="AL13" i="21" s="1"/>
  <c r="D10" i="20"/>
  <c r="F10" i="20"/>
  <c r="F13" i="20" s="1"/>
  <c r="I22" i="19"/>
  <c r="X22" i="19"/>
  <c r="AV21" i="19"/>
  <c r="AV22" i="19"/>
  <c r="X10" i="20"/>
  <c r="X13" i="20" s="1"/>
  <c r="J21" i="19"/>
  <c r="O21" i="19"/>
  <c r="O22" i="19"/>
  <c r="S55" i="19"/>
  <c r="S44" i="19"/>
  <c r="S66" i="19"/>
  <c r="S33" i="19"/>
  <c r="S23" i="19"/>
  <c r="V21" i="19"/>
  <c r="V22" i="19"/>
  <c r="F30" i="18"/>
  <c r="G27" i="18"/>
  <c r="S21" i="18"/>
  <c r="S22" i="18"/>
  <c r="P10" i="20"/>
  <c r="P13" i="20" s="1"/>
  <c r="AN10" i="20"/>
  <c r="AN13" i="20" s="1"/>
  <c r="AY22" i="20"/>
  <c r="AY21" i="20"/>
  <c r="AY10" i="20"/>
  <c r="AY13" i="20" s="1"/>
  <c r="G21" i="19"/>
  <c r="G22" i="19"/>
  <c r="AN10" i="19"/>
  <c r="AN13" i="19" s="1"/>
  <c r="O21" i="20"/>
  <c r="O10" i="20"/>
  <c r="O13" i="20" s="1"/>
  <c r="AM21" i="20"/>
  <c r="AM10" i="20"/>
  <c r="AM13" i="20" s="1"/>
  <c r="AS10" i="20"/>
  <c r="AS13" i="20" s="1"/>
  <c r="F21" i="19"/>
  <c r="F22" i="19"/>
  <c r="AD21" i="19"/>
  <c r="AD22" i="19"/>
  <c r="AR10" i="20"/>
  <c r="AR13" i="20" s="1"/>
  <c r="AH21" i="19"/>
  <c r="AH22" i="19"/>
  <c r="H21" i="18"/>
  <c r="H22" i="18"/>
  <c r="L50" i="18"/>
  <c r="AQ10" i="20"/>
  <c r="AQ13" i="20" s="1"/>
  <c r="L10" i="19"/>
  <c r="L13" i="19" s="1"/>
  <c r="AI21" i="19"/>
  <c r="AI22" i="19"/>
  <c r="AX21" i="20"/>
  <c r="K22" i="19"/>
  <c r="K10" i="19"/>
  <c r="K13" i="19" s="1"/>
  <c r="AJ22" i="19"/>
  <c r="AJ21" i="19"/>
  <c r="AK21" i="19"/>
  <c r="R21" i="19"/>
  <c r="R22" i="19"/>
  <c r="AB10" i="19"/>
  <c r="AB13" i="19" s="1"/>
  <c r="O21" i="18"/>
  <c r="D13" i="19"/>
  <c r="AA22" i="19"/>
  <c r="AB21" i="19"/>
  <c r="AT21" i="19"/>
  <c r="AT22" i="19"/>
  <c r="AK22" i="19"/>
  <c r="AX22" i="19"/>
  <c r="L57" i="18"/>
  <c r="AZ17" i="19"/>
  <c r="AF10" i="19"/>
  <c r="AF13" i="19" s="1"/>
  <c r="W22" i="18"/>
  <c r="W21" i="18"/>
  <c r="AU21" i="19"/>
  <c r="AU22" i="19"/>
  <c r="D13" i="18"/>
  <c r="G21" i="18"/>
  <c r="G22" i="18"/>
  <c r="K21" i="18"/>
  <c r="K22" i="18"/>
  <c r="F21" i="18"/>
  <c r="F22" i="18"/>
  <c r="T22" i="18"/>
  <c r="T21" i="18"/>
  <c r="AM22" i="19"/>
  <c r="AM10" i="19"/>
  <c r="AM13" i="19" s="1"/>
  <c r="AW22" i="19"/>
  <c r="AW21" i="19"/>
  <c r="AY21" i="19"/>
  <c r="X21" i="18"/>
  <c r="X22" i="18"/>
  <c r="AC21" i="18"/>
  <c r="AC22" i="18"/>
  <c r="L15" i="18"/>
  <c r="L10" i="18" s="1"/>
  <c r="M10" i="18"/>
  <c r="M13" i="18" s="1"/>
  <c r="AU21" i="18"/>
  <c r="AU22" i="18"/>
  <c r="Q10" i="18"/>
  <c r="Q13" i="18" s="1"/>
  <c r="AL21" i="18"/>
  <c r="AL22" i="18"/>
  <c r="AY21" i="18"/>
  <c r="AY22" i="18"/>
  <c r="O22" i="18"/>
  <c r="P21" i="18"/>
  <c r="P22" i="18"/>
  <c r="AD21" i="18"/>
  <c r="AD22" i="18"/>
  <c r="AX21" i="18"/>
  <c r="AX22" i="18"/>
  <c r="Z22" i="18"/>
  <c r="Z21" i="18"/>
  <c r="AA21" i="18"/>
  <c r="L45" i="18"/>
  <c r="L51" i="18" s="1"/>
  <c r="L67" i="18"/>
  <c r="L73" i="18" s="1"/>
  <c r="L34" i="18"/>
  <c r="L40" i="18" s="1"/>
  <c r="AJ21" i="18"/>
  <c r="AJ22" i="18"/>
  <c r="V21" i="18"/>
  <c r="AZ17" i="18"/>
  <c r="L33" i="18"/>
  <c r="V22" i="18"/>
  <c r="AG21" i="18"/>
  <c r="AM21" i="18"/>
  <c r="AM22" i="18"/>
  <c r="AU260" i="17"/>
  <c r="I260" i="16"/>
  <c r="L66" i="18"/>
  <c r="AE35" i="18"/>
  <c r="AE39" i="18"/>
  <c r="AT21" i="18"/>
  <c r="AT22" i="18"/>
  <c r="AZ260" i="15"/>
  <c r="L127" i="11"/>
  <c r="X10" i="18"/>
  <c r="X13" i="18" s="1"/>
  <c r="AI21" i="18"/>
  <c r="AN22" i="18"/>
  <c r="AN21" i="18"/>
  <c r="P10" i="18"/>
  <c r="P13" i="18" s="1"/>
  <c r="AG22" i="18"/>
  <c r="AO21" i="18"/>
  <c r="AO22" i="18"/>
  <c r="AE46" i="18"/>
  <c r="AI22" i="18"/>
  <c r="AJ10" i="18"/>
  <c r="AJ13" i="18" s="1"/>
  <c r="AS24" i="18"/>
  <c r="AS45" i="18"/>
  <c r="AS51" i="18" s="1"/>
  <c r="AS56" i="18"/>
  <c r="AS62" i="18" s="1"/>
  <c r="AL260" i="17"/>
  <c r="AV260" i="16"/>
  <c r="AY260" i="16"/>
  <c r="L138" i="11"/>
  <c r="H138" i="11"/>
  <c r="AP21" i="18"/>
  <c r="AP22" i="18"/>
  <c r="AS44" i="18"/>
  <c r="AS23" i="18"/>
  <c r="AS55" i="18"/>
  <c r="AS33" i="18"/>
  <c r="AW21" i="18"/>
  <c r="AW22" i="18"/>
  <c r="H138" i="12"/>
  <c r="K138" i="11"/>
  <c r="O138" i="11"/>
  <c r="G138" i="11"/>
  <c r="H127" i="11"/>
  <c r="AA10" i="18"/>
  <c r="AA13" i="18" s="1"/>
  <c r="AR22" i="18"/>
  <c r="AS66" i="18"/>
  <c r="P260" i="14"/>
  <c r="AE68" i="18"/>
  <c r="AE72" i="18"/>
  <c r="AU10" i="18"/>
  <c r="AU13" i="18" s="1"/>
  <c r="T260" i="17"/>
  <c r="AN260" i="14"/>
  <c r="AD10" i="18"/>
  <c r="AD13" i="18" s="1"/>
  <c r="AE14" i="18" s="1"/>
  <c r="AE10" i="18" s="1"/>
  <c r="AE13" i="18" s="1"/>
  <c r="AQ22" i="18"/>
  <c r="AS34" i="18"/>
  <c r="AS40" i="18" s="1"/>
  <c r="K138" i="12"/>
  <c r="O138" i="12"/>
  <c r="G138" i="12"/>
  <c r="J138" i="12"/>
  <c r="N138" i="12"/>
  <c r="F138" i="12"/>
  <c r="E127" i="12"/>
  <c r="L127" i="10"/>
  <c r="T43" i="23"/>
  <c r="AE23" i="18"/>
  <c r="N260" i="17"/>
  <c r="Y260" i="15"/>
  <c r="I260" i="17"/>
  <c r="AQ260" i="17"/>
  <c r="AV260" i="17"/>
  <c r="BA14" i="14"/>
  <c r="X260" i="17"/>
  <c r="AB260" i="17"/>
  <c r="AP260" i="17"/>
  <c r="N260" i="16"/>
  <c r="AA260" i="16"/>
  <c r="AX260" i="15"/>
  <c r="AY260" i="15"/>
  <c r="AZ259" i="14"/>
  <c r="T260" i="14"/>
  <c r="BA14" i="15"/>
  <c r="D259" i="15"/>
  <c r="AZ259" i="15" s="1"/>
  <c r="X260" i="15"/>
  <c r="AB260" i="15"/>
  <c r="AO260" i="15"/>
  <c r="AH260" i="14"/>
  <c r="AP260" i="14"/>
  <c r="F127" i="13"/>
  <c r="G127" i="12"/>
  <c r="N127" i="12"/>
  <c r="F127" i="12"/>
  <c r="I138" i="10"/>
  <c r="O116" i="10"/>
  <c r="O120" i="10"/>
  <c r="O127" i="10" s="1"/>
  <c r="G116" i="10"/>
  <c r="G120" i="10"/>
  <c r="G127" i="10" s="1"/>
  <c r="BA14" i="16"/>
  <c r="D259" i="16"/>
  <c r="AZ259" i="16" s="1"/>
  <c r="O138" i="13"/>
  <c r="G138" i="13"/>
  <c r="N127" i="13"/>
  <c r="H116" i="13"/>
  <c r="H121" i="13"/>
  <c r="H127" i="13" s="1"/>
  <c r="L127" i="13"/>
  <c r="D120" i="13"/>
  <c r="D127" i="13" s="1"/>
  <c r="D116" i="13"/>
  <c r="L138" i="12"/>
  <c r="H138" i="10"/>
  <c r="J121" i="10"/>
  <c r="J127" i="10" s="1"/>
  <c r="J116" i="10"/>
  <c r="N116" i="10"/>
  <c r="N120" i="10"/>
  <c r="N127" i="10" s="1"/>
  <c r="F116" i="10"/>
  <c r="F120" i="10"/>
  <c r="F127" i="10" s="1"/>
  <c r="AZ259" i="17"/>
  <c r="J260" i="16"/>
  <c r="Y260" i="16"/>
  <c r="AH260" i="16"/>
  <c r="AW260" i="16"/>
  <c r="E260" i="15"/>
  <c r="Z260" i="15"/>
  <c r="AJ260" i="15"/>
  <c r="U260" i="14"/>
  <c r="N138" i="13"/>
  <c r="F138" i="13"/>
  <c r="J127" i="13"/>
  <c r="L116" i="13"/>
  <c r="M127" i="12"/>
  <c r="O127" i="12"/>
  <c r="L127" i="12"/>
  <c r="D120" i="12"/>
  <c r="D127" i="12" s="1"/>
  <c r="D116" i="12"/>
  <c r="K127" i="11"/>
  <c r="O127" i="11"/>
  <c r="G127" i="11"/>
  <c r="I127" i="10"/>
  <c r="J260" i="17"/>
  <c r="Y260" i="17"/>
  <c r="AH260" i="17"/>
  <c r="AW260" i="17"/>
  <c r="E260" i="16"/>
  <c r="AZ260" i="16" s="1"/>
  <c r="P260" i="16"/>
  <c r="Q260" i="14"/>
  <c r="AW260" i="14"/>
  <c r="N116" i="11"/>
  <c r="N120" i="11"/>
  <c r="N127" i="11" s="1"/>
  <c r="F116" i="11"/>
  <c r="H9" i="23" s="1"/>
  <c r="F120" i="11"/>
  <c r="F127" i="11" s="1"/>
  <c r="S9" i="23" s="1"/>
  <c r="J138" i="10"/>
  <c r="N138" i="10"/>
  <c r="F138" i="10"/>
  <c r="L116" i="10"/>
  <c r="D116" i="10"/>
  <c r="BA14" i="17"/>
  <c r="E260" i="17"/>
  <c r="P260" i="17"/>
  <c r="AZ260" i="17" s="1"/>
  <c r="AP260" i="16"/>
  <c r="I260" i="15"/>
  <c r="Q260" i="15"/>
  <c r="AU260" i="15"/>
  <c r="H260" i="14"/>
  <c r="L260" i="14"/>
  <c r="AZ260" i="14" s="1"/>
  <c r="Y260" i="14"/>
  <c r="M116" i="13"/>
  <c r="I116" i="13"/>
  <c r="K127" i="12"/>
  <c r="D120" i="10"/>
  <c r="D127" i="10" s="1"/>
  <c r="L260" i="15"/>
  <c r="AH260" i="15"/>
  <c r="AR260" i="15"/>
  <c r="R260" i="14"/>
  <c r="AB260" i="14"/>
  <c r="AX260" i="14"/>
  <c r="J121" i="12"/>
  <c r="J127" i="12" s="1"/>
  <c r="I116" i="12"/>
  <c r="H120" i="10"/>
  <c r="H127" i="10" s="1"/>
  <c r="AO260" i="14"/>
  <c r="I138" i="13"/>
  <c r="O116" i="13"/>
  <c r="G116" i="13"/>
  <c r="I116" i="11"/>
  <c r="AJ260" i="14"/>
  <c r="N116" i="13"/>
  <c r="F116" i="13"/>
  <c r="I138" i="12"/>
  <c r="O116" i="12"/>
  <c r="G116" i="12"/>
  <c r="I116" i="10"/>
  <c r="N116" i="12"/>
  <c r="F116" i="12"/>
  <c r="I138" i="11"/>
  <c r="O116" i="11"/>
  <c r="G116" i="11"/>
  <c r="S42" i="23"/>
  <c r="O127" i="13"/>
  <c r="G127" i="13"/>
  <c r="N138" i="11"/>
  <c r="F138" i="11"/>
  <c r="I127" i="11"/>
  <c r="O138" i="10"/>
  <c r="G138" i="10"/>
  <c r="L13" i="18" l="1"/>
  <c r="AZ10" i="18"/>
  <c r="AG21" i="19"/>
  <c r="AG22" i="19"/>
  <c r="AZ10" i="20"/>
  <c r="D13" i="20"/>
  <c r="E21" i="21"/>
  <c r="E22" i="21"/>
  <c r="AK24" i="21"/>
  <c r="AK67" i="21"/>
  <c r="AK73" i="21" s="1"/>
  <c r="AK45" i="21"/>
  <c r="AK51" i="21" s="1"/>
  <c r="AK34" i="21"/>
  <c r="AK40" i="21" s="1"/>
  <c r="AK56" i="21"/>
  <c r="AK62" i="21" s="1"/>
  <c r="AP33" i="20"/>
  <c r="AP55" i="20"/>
  <c r="AP23" i="20"/>
  <c r="AP44" i="20"/>
  <c r="AP66" i="20"/>
  <c r="AW22" i="20"/>
  <c r="U22" i="20"/>
  <c r="AL22" i="20"/>
  <c r="O22" i="20"/>
  <c r="AM22" i="20"/>
  <c r="D22" i="20"/>
  <c r="N22" i="20"/>
  <c r="AD22" i="20"/>
  <c r="P44" i="21"/>
  <c r="P33" i="21"/>
  <c r="P55" i="21"/>
  <c r="P23" i="21"/>
  <c r="P66" i="21"/>
  <c r="AC66" i="18"/>
  <c r="AC33" i="18"/>
  <c r="AC55" i="18"/>
  <c r="AC23" i="18"/>
  <c r="AC44" i="18"/>
  <c r="AS21" i="20"/>
  <c r="AS22" i="20"/>
  <c r="P56" i="19"/>
  <c r="P62" i="19" s="1"/>
  <c r="P24" i="19"/>
  <c r="P45" i="19"/>
  <c r="P51" i="19" s="1"/>
  <c r="P67" i="19"/>
  <c r="P73" i="19" s="1"/>
  <c r="P34" i="19"/>
  <c r="P40" i="19" s="1"/>
  <c r="I22" i="20"/>
  <c r="Y67" i="19"/>
  <c r="Y73" i="19" s="1"/>
  <c r="Y56" i="19"/>
  <c r="Y62" i="19" s="1"/>
  <c r="Y24" i="19"/>
  <c r="Y45" i="19"/>
  <c r="Y51" i="19" s="1"/>
  <c r="Y34" i="19"/>
  <c r="Y40" i="19" s="1"/>
  <c r="AD61" i="21"/>
  <c r="AD57" i="21"/>
  <c r="M33" i="21"/>
  <c r="M23" i="21"/>
  <c r="M55" i="21"/>
  <c r="M66" i="21"/>
  <c r="M44" i="21"/>
  <c r="H8" i="23"/>
  <c r="AS68" i="18"/>
  <c r="AS72" i="18"/>
  <c r="O44" i="20"/>
  <c r="O66" i="20"/>
  <c r="O33" i="20"/>
  <c r="O55" i="20"/>
  <c r="O23" i="20"/>
  <c r="AE22" i="20"/>
  <c r="I33" i="20"/>
  <c r="I23" i="20"/>
  <c r="I44" i="20"/>
  <c r="I55" i="20"/>
  <c r="I66" i="20"/>
  <c r="AF67" i="21"/>
  <c r="AF73" i="21" s="1"/>
  <c r="AF34" i="21"/>
  <c r="AF40" i="21" s="1"/>
  <c r="AF56" i="21"/>
  <c r="AF62" i="21" s="1"/>
  <c r="AF24" i="21"/>
  <c r="AF45" i="21"/>
  <c r="AF51" i="21" s="1"/>
  <c r="D23" i="19"/>
  <c r="D66" i="19"/>
  <c r="D33" i="19"/>
  <c r="D44" i="19"/>
  <c r="D55" i="19"/>
  <c r="S55" i="20"/>
  <c r="S23" i="20"/>
  <c r="S44" i="20"/>
  <c r="S33" i="20"/>
  <c r="S66" i="20"/>
  <c r="S8" i="23"/>
  <c r="AF22" i="18"/>
  <c r="AF21" i="18"/>
  <c r="AR56" i="18"/>
  <c r="AR62" i="18" s="1"/>
  <c r="AR24" i="18"/>
  <c r="AR34" i="18"/>
  <c r="AR40" i="18" s="1"/>
  <c r="AR67" i="18"/>
  <c r="AR73" i="18" s="1"/>
  <c r="AR45" i="18"/>
  <c r="AR51" i="18" s="1"/>
  <c r="AW33" i="18"/>
  <c r="AW55" i="18"/>
  <c r="AW44" i="18"/>
  <c r="AW66" i="18"/>
  <c r="AW23" i="18"/>
  <c r="AI45" i="18"/>
  <c r="AI51" i="18" s="1"/>
  <c r="AI67" i="18"/>
  <c r="AI73" i="18" s="1"/>
  <c r="AI24" i="18"/>
  <c r="AI56" i="18"/>
  <c r="AI62" i="18" s="1"/>
  <c r="AI34" i="18"/>
  <c r="AI40" i="18" s="1"/>
  <c r="AN56" i="18"/>
  <c r="AN62" i="18" s="1"/>
  <c r="AN24" i="18"/>
  <c r="AN45" i="18"/>
  <c r="AN51" i="18" s="1"/>
  <c r="AN67" i="18"/>
  <c r="AN73" i="18" s="1"/>
  <c r="AN34" i="18"/>
  <c r="AN40" i="18" s="1"/>
  <c r="V34" i="18"/>
  <c r="V40" i="18" s="1"/>
  <c r="V24" i="18"/>
  <c r="V45" i="18"/>
  <c r="V51" i="18" s="1"/>
  <c r="V56" i="18"/>
  <c r="V62" i="18" s="1"/>
  <c r="V67" i="18"/>
  <c r="V73" i="18" s="1"/>
  <c r="AD33" i="18"/>
  <c r="AD55" i="18"/>
  <c r="AD23" i="18"/>
  <c r="AD44" i="18"/>
  <c r="AD66" i="18"/>
  <c r="R21" i="18"/>
  <c r="R22" i="18"/>
  <c r="X23" i="18"/>
  <c r="X66" i="18"/>
  <c r="X33" i="18"/>
  <c r="X44" i="18"/>
  <c r="X55" i="18"/>
  <c r="T56" i="18"/>
  <c r="T62" i="18" s="1"/>
  <c r="T45" i="18"/>
  <c r="T51" i="18" s="1"/>
  <c r="T24" i="18"/>
  <c r="T34" i="18"/>
  <c r="T40" i="18" s="1"/>
  <c r="T67" i="18"/>
  <c r="T73" i="18" s="1"/>
  <c r="AX56" i="19"/>
  <c r="AX62" i="19" s="1"/>
  <c r="AX24" i="19"/>
  <c r="AX45" i="19"/>
  <c r="AX51" i="19" s="1"/>
  <c r="AX67" i="19"/>
  <c r="AX73" i="19" s="1"/>
  <c r="AX34" i="19"/>
  <c r="AX40" i="19" s="1"/>
  <c r="O55" i="18"/>
  <c r="O44" i="18"/>
  <c r="O33" i="18"/>
  <c r="O23" i="18"/>
  <c r="O66" i="18"/>
  <c r="K45" i="19"/>
  <c r="K51" i="19" s="1"/>
  <c r="K67" i="19"/>
  <c r="K73" i="19" s="1"/>
  <c r="K24" i="19"/>
  <c r="K34" i="19"/>
  <c r="K40" i="19" s="1"/>
  <c r="K56" i="19"/>
  <c r="K62" i="19" s="1"/>
  <c r="AD44" i="19"/>
  <c r="AD33" i="19"/>
  <c r="AD55" i="19"/>
  <c r="AD23" i="19"/>
  <c r="AD66" i="19"/>
  <c r="AO21" i="19"/>
  <c r="AO22" i="19"/>
  <c r="Q21" i="20"/>
  <c r="Q22" i="20"/>
  <c r="S35" i="19"/>
  <c r="S39" i="19"/>
  <c r="AV34" i="19"/>
  <c r="AV40" i="19" s="1"/>
  <c r="AV56" i="19"/>
  <c r="AV62" i="19" s="1"/>
  <c r="AV24" i="19"/>
  <c r="AV67" i="19"/>
  <c r="AV73" i="19" s="1"/>
  <c r="AV45" i="19"/>
  <c r="AV51" i="19" s="1"/>
  <c r="T21" i="19"/>
  <c r="T22" i="19"/>
  <c r="AU21" i="21"/>
  <c r="AU22" i="21"/>
  <c r="AE44" i="20"/>
  <c r="AE66" i="20"/>
  <c r="AE33" i="20"/>
  <c r="AE55" i="20"/>
  <c r="AE23" i="20"/>
  <c r="U23" i="20"/>
  <c r="U44" i="20"/>
  <c r="U66" i="20"/>
  <c r="U55" i="20"/>
  <c r="U33" i="20"/>
  <c r="AG22" i="20"/>
  <c r="AW21" i="21"/>
  <c r="AW22" i="21"/>
  <c r="AF56" i="19"/>
  <c r="AF62" i="19" s="1"/>
  <c r="AF45" i="19"/>
  <c r="AF51" i="19" s="1"/>
  <c r="AF67" i="19"/>
  <c r="AF73" i="19" s="1"/>
  <c r="AF34" i="19"/>
  <c r="AF40" i="19" s="1"/>
  <c r="AF24" i="19"/>
  <c r="AH34" i="21"/>
  <c r="AH40" i="21" s="1"/>
  <c r="AH24" i="21"/>
  <c r="AH67" i="21"/>
  <c r="AH73" i="21" s="1"/>
  <c r="AH56" i="21"/>
  <c r="AH62" i="21" s="1"/>
  <c r="AH45" i="21"/>
  <c r="AH51" i="21" s="1"/>
  <c r="AT45" i="21"/>
  <c r="AT51" i="21" s="1"/>
  <c r="AT67" i="21"/>
  <c r="AT73" i="21" s="1"/>
  <c r="AT24" i="21"/>
  <c r="AT56" i="21"/>
  <c r="AT62" i="21" s="1"/>
  <c r="AT34" i="21"/>
  <c r="AT40" i="21" s="1"/>
  <c r="J56" i="18"/>
  <c r="J62" i="18" s="1"/>
  <c r="J24" i="18"/>
  <c r="J45" i="18"/>
  <c r="J51" i="18" s="1"/>
  <c r="J34" i="18"/>
  <c r="J40" i="18" s="1"/>
  <c r="J67" i="18"/>
  <c r="J73" i="18" s="1"/>
  <c r="AE55" i="19"/>
  <c r="AE23" i="19"/>
  <c r="AE66" i="19"/>
  <c r="AE33" i="19"/>
  <c r="AE44" i="19"/>
  <c r="H66" i="20"/>
  <c r="H33" i="20"/>
  <c r="H55" i="20"/>
  <c r="H44" i="20"/>
  <c r="H23" i="20"/>
  <c r="AF44" i="21"/>
  <c r="AF33" i="21"/>
  <c r="AF55" i="21"/>
  <c r="AF23" i="21"/>
  <c r="AF66" i="21"/>
  <c r="Q67" i="19"/>
  <c r="Q73" i="19" s="1"/>
  <c r="Q56" i="19"/>
  <c r="Q62" i="19" s="1"/>
  <c r="Q24" i="19"/>
  <c r="Q45" i="19"/>
  <c r="Q51" i="19" s="1"/>
  <c r="Q34" i="19"/>
  <c r="Q40" i="19" s="1"/>
  <c r="M23" i="20"/>
  <c r="M66" i="20"/>
  <c r="M55" i="20"/>
  <c r="M33" i="20"/>
  <c r="M44" i="20"/>
  <c r="F27" i="19"/>
  <c r="E30" i="19"/>
  <c r="AZ10" i="21"/>
  <c r="V21" i="21"/>
  <c r="V22" i="21"/>
  <c r="AX23" i="19"/>
  <c r="AX44" i="19"/>
  <c r="AX66" i="19"/>
  <c r="AX33" i="19"/>
  <c r="AX55" i="19"/>
  <c r="D23" i="20"/>
  <c r="D55" i="20"/>
  <c r="D44" i="20"/>
  <c r="D66" i="20"/>
  <c r="D33" i="20"/>
  <c r="AT61" i="21"/>
  <c r="AT57" i="21"/>
  <c r="AB34" i="21"/>
  <c r="AB40" i="21" s="1"/>
  <c r="AB24" i="21"/>
  <c r="AB45" i="21"/>
  <c r="AB51" i="21" s="1"/>
  <c r="AB56" i="21"/>
  <c r="AB62" i="21" s="1"/>
  <c r="AB67" i="21"/>
  <c r="AB73" i="21" s="1"/>
  <c r="K46" i="21"/>
  <c r="K50" i="21"/>
  <c r="AP55" i="21"/>
  <c r="AP66" i="21"/>
  <c r="AP44" i="21"/>
  <c r="AP23" i="21"/>
  <c r="AP33" i="21"/>
  <c r="S57" i="21"/>
  <c r="S61" i="21"/>
  <c r="AS72" i="21"/>
  <c r="AN21" i="19"/>
  <c r="AN22" i="19"/>
  <c r="AJ66" i="19"/>
  <c r="AJ55" i="19"/>
  <c r="AJ23" i="19"/>
  <c r="AJ44" i="19"/>
  <c r="AJ33" i="19"/>
  <c r="V67" i="19"/>
  <c r="V73" i="19" s="1"/>
  <c r="V34" i="19"/>
  <c r="V40" i="19" s="1"/>
  <c r="V56" i="19"/>
  <c r="V62" i="19" s="1"/>
  <c r="V45" i="19"/>
  <c r="V51" i="19" s="1"/>
  <c r="V24" i="19"/>
  <c r="AB56" i="20"/>
  <c r="AB62" i="20" s="1"/>
  <c r="AB24" i="20"/>
  <c r="AB45" i="20"/>
  <c r="AB51" i="20" s="1"/>
  <c r="AB34" i="20"/>
  <c r="AB40" i="20" s="1"/>
  <c r="AB67" i="20"/>
  <c r="AB73" i="20" s="1"/>
  <c r="T72" i="21"/>
  <c r="AK23" i="20"/>
  <c r="AK44" i="20"/>
  <c r="AK66" i="20"/>
  <c r="AK33" i="20"/>
  <c r="AK55" i="20"/>
  <c r="AA55" i="19"/>
  <c r="AA44" i="19"/>
  <c r="AA66" i="19"/>
  <c r="AA33" i="19"/>
  <c r="AA23" i="19"/>
  <c r="I24" i="21"/>
  <c r="I67" i="21"/>
  <c r="I73" i="21" s="1"/>
  <c r="I56" i="21"/>
  <c r="I62" i="21" s="1"/>
  <c r="I34" i="21"/>
  <c r="I40" i="21" s="1"/>
  <c r="I45" i="21"/>
  <c r="I51" i="21" s="1"/>
  <c r="N44" i="21"/>
  <c r="N55" i="21"/>
  <c r="N66" i="21"/>
  <c r="N33" i="21"/>
  <c r="N23" i="21"/>
  <c r="AM55" i="18"/>
  <c r="AM23" i="18"/>
  <c r="AM66" i="18"/>
  <c r="AM33" i="18"/>
  <c r="AM44" i="18"/>
  <c r="P21" i="20"/>
  <c r="P22" i="20"/>
  <c r="AL44" i="19"/>
  <c r="AL66" i="19"/>
  <c r="AL55" i="19"/>
  <c r="AL23" i="19"/>
  <c r="AL33" i="19"/>
  <c r="D34" i="21"/>
  <c r="D40" i="21" s="1"/>
  <c r="D56" i="21"/>
  <c r="D62" i="21" s="1"/>
  <c r="D24" i="21"/>
  <c r="D45" i="21"/>
  <c r="D67" i="21"/>
  <c r="D73" i="21" s="1"/>
  <c r="AK44" i="21"/>
  <c r="AK66" i="21"/>
  <c r="AK55" i="21"/>
  <c r="AK23" i="21"/>
  <c r="AK33" i="21"/>
  <c r="S22" i="20"/>
  <c r="G55" i="21"/>
  <c r="G44" i="21"/>
  <c r="G23" i="21"/>
  <c r="G66" i="21"/>
  <c r="G33" i="21"/>
  <c r="AQ56" i="18"/>
  <c r="AQ62" i="18" s="1"/>
  <c r="AQ24" i="18"/>
  <c r="AQ34" i="18"/>
  <c r="AQ40" i="18" s="1"/>
  <c r="AQ67" i="18"/>
  <c r="AQ73" i="18" s="1"/>
  <c r="AQ45" i="18"/>
  <c r="AQ51" i="18" s="1"/>
  <c r="AN55" i="18"/>
  <c r="AN23" i="18"/>
  <c r="AN44" i="18"/>
  <c r="AN66" i="18"/>
  <c r="AN33" i="18"/>
  <c r="X56" i="18"/>
  <c r="X62" i="18" s="1"/>
  <c r="X45" i="18"/>
  <c r="X51" i="18" s="1"/>
  <c r="X34" i="18"/>
  <c r="X40" i="18" s="1"/>
  <c r="X67" i="18"/>
  <c r="X73" i="18" s="1"/>
  <c r="X24" i="18"/>
  <c r="L21" i="19"/>
  <c r="L22" i="19"/>
  <c r="T22" i="20"/>
  <c r="AD44" i="20"/>
  <c r="AD66" i="20"/>
  <c r="AD33" i="20"/>
  <c r="AD55" i="20"/>
  <c r="AD23" i="20"/>
  <c r="D72" i="21"/>
  <c r="D68" i="21"/>
  <c r="AE45" i="19"/>
  <c r="AE51" i="19" s="1"/>
  <c r="AE34" i="19"/>
  <c r="AE40" i="19" s="1"/>
  <c r="AE56" i="19"/>
  <c r="AE62" i="19" s="1"/>
  <c r="AE24" i="19"/>
  <c r="AE67" i="19"/>
  <c r="AE73" i="19" s="1"/>
  <c r="AJ22" i="20"/>
  <c r="AI56" i="21"/>
  <c r="AI62" i="21" s="1"/>
  <c r="AI45" i="21"/>
  <c r="AI51" i="21" s="1"/>
  <c r="AI24" i="21"/>
  <c r="AI67" i="21"/>
  <c r="AI73" i="21" s="1"/>
  <c r="AI34" i="21"/>
  <c r="AI40" i="21" s="1"/>
  <c r="AP34" i="21"/>
  <c r="AP40" i="21" s="1"/>
  <c r="AP24" i="21"/>
  <c r="AP56" i="21"/>
  <c r="AP62" i="21" s="1"/>
  <c r="AP67" i="21"/>
  <c r="AP73" i="21" s="1"/>
  <c r="AP45" i="21"/>
  <c r="AP51" i="21" s="1"/>
  <c r="H10" i="23"/>
  <c r="H7" i="23"/>
  <c r="AB21" i="18"/>
  <c r="AB22" i="18"/>
  <c r="AS35" i="18"/>
  <c r="AS39" i="18"/>
  <c r="AI44" i="18"/>
  <c r="AI66" i="18"/>
  <c r="AI33" i="18"/>
  <c r="AI23" i="18"/>
  <c r="AI55" i="18"/>
  <c r="L35" i="18"/>
  <c r="L39" i="18"/>
  <c r="P56" i="18"/>
  <c r="P62" i="18" s="1"/>
  <c r="P45" i="18"/>
  <c r="P51" i="18" s="1"/>
  <c r="P34" i="18"/>
  <c r="P40" i="18" s="1"/>
  <c r="P67" i="18"/>
  <c r="P73" i="18" s="1"/>
  <c r="P24" i="18"/>
  <c r="AU45" i="18"/>
  <c r="AU51" i="18" s="1"/>
  <c r="AU67" i="18"/>
  <c r="AU73" i="18" s="1"/>
  <c r="AU56" i="18"/>
  <c r="AU62" i="18" s="1"/>
  <c r="AU24" i="18"/>
  <c r="AU34" i="18"/>
  <c r="AU40" i="18" s="1"/>
  <c r="F67" i="18"/>
  <c r="F73" i="18" s="1"/>
  <c r="F34" i="18"/>
  <c r="F40" i="18" s="1"/>
  <c r="F56" i="18"/>
  <c r="F62" i="18" s="1"/>
  <c r="F45" i="18"/>
  <c r="F51" i="18" s="1"/>
  <c r="F24" i="18"/>
  <c r="AU24" i="19"/>
  <c r="AU45" i="19"/>
  <c r="AU51" i="19" s="1"/>
  <c r="AU67" i="19"/>
  <c r="AU73" i="19" s="1"/>
  <c r="AU56" i="19"/>
  <c r="AU62" i="19" s="1"/>
  <c r="AU34" i="19"/>
  <c r="AU40" i="19" s="1"/>
  <c r="AK67" i="19"/>
  <c r="AK73" i="19" s="1"/>
  <c r="AK56" i="19"/>
  <c r="AK62" i="19" s="1"/>
  <c r="AK24" i="19"/>
  <c r="AK45" i="19"/>
  <c r="AK51" i="19" s="1"/>
  <c r="AK34" i="19"/>
  <c r="AK40" i="19" s="1"/>
  <c r="AC21" i="19"/>
  <c r="AC22" i="19"/>
  <c r="AX22" i="20"/>
  <c r="L46" i="18"/>
  <c r="F67" i="19"/>
  <c r="F73" i="19" s="1"/>
  <c r="F34" i="19"/>
  <c r="F40" i="19" s="1"/>
  <c r="F56" i="19"/>
  <c r="F62" i="19" s="1"/>
  <c r="F45" i="19"/>
  <c r="F51" i="19" s="1"/>
  <c r="F24" i="19"/>
  <c r="G45" i="19"/>
  <c r="G51" i="19" s="1"/>
  <c r="G34" i="19"/>
  <c r="G40" i="19" s="1"/>
  <c r="G56" i="19"/>
  <c r="G62" i="19" s="1"/>
  <c r="G24" i="19"/>
  <c r="G67" i="19"/>
  <c r="G73" i="19" s="1"/>
  <c r="S45" i="18"/>
  <c r="S51" i="18" s="1"/>
  <c r="S34" i="18"/>
  <c r="S40" i="18" s="1"/>
  <c r="S24" i="18"/>
  <c r="S67" i="18"/>
  <c r="S73" i="18" s="1"/>
  <c r="S56" i="18"/>
  <c r="S62" i="18" s="1"/>
  <c r="S72" i="19"/>
  <c r="S68" i="19"/>
  <c r="AV55" i="19"/>
  <c r="AV23" i="19"/>
  <c r="AV66" i="19"/>
  <c r="AV33" i="19"/>
  <c r="AV44" i="19"/>
  <c r="Z22" i="20"/>
  <c r="AP67" i="19"/>
  <c r="AP73" i="19" s="1"/>
  <c r="AP34" i="19"/>
  <c r="AP40" i="19" s="1"/>
  <c r="AP56" i="19"/>
  <c r="AP62" i="19" s="1"/>
  <c r="AP45" i="19"/>
  <c r="AP51" i="19" s="1"/>
  <c r="AP24" i="19"/>
  <c r="AM55" i="19"/>
  <c r="AM44" i="19"/>
  <c r="AM66" i="19"/>
  <c r="AM33" i="19"/>
  <c r="AM23" i="19"/>
  <c r="M22" i="20"/>
  <c r="AG66" i="20"/>
  <c r="AG33" i="20"/>
  <c r="AG55" i="20"/>
  <c r="AG23" i="20"/>
  <c r="AG44" i="20"/>
  <c r="U24" i="19"/>
  <c r="U67" i="19"/>
  <c r="U73" i="19" s="1"/>
  <c r="U34" i="19"/>
  <c r="U40" i="19" s="1"/>
  <c r="U45" i="19"/>
  <c r="U51" i="19" s="1"/>
  <c r="U56" i="19"/>
  <c r="U62" i="19" s="1"/>
  <c r="AH55" i="21"/>
  <c r="AH44" i="21"/>
  <c r="AH33" i="21"/>
  <c r="AH23" i="21"/>
  <c r="AH66" i="21"/>
  <c r="T34" i="21"/>
  <c r="T24" i="21"/>
  <c r="T45" i="21"/>
  <c r="T51" i="21" s="1"/>
  <c r="T67" i="21"/>
  <c r="T73" i="21" s="1"/>
  <c r="T56" i="21"/>
  <c r="T62" i="21" s="1"/>
  <c r="AN66" i="21"/>
  <c r="AN33" i="21"/>
  <c r="AN55" i="21"/>
  <c r="AN23" i="21"/>
  <c r="AN44" i="21"/>
  <c r="U67" i="18"/>
  <c r="U73" i="18" s="1"/>
  <c r="U56" i="18"/>
  <c r="U62" i="18" s="1"/>
  <c r="U24" i="18"/>
  <c r="U45" i="18"/>
  <c r="U51" i="18" s="1"/>
  <c r="U34" i="18"/>
  <c r="U40" i="18" s="1"/>
  <c r="AA39" i="21"/>
  <c r="AA35" i="21"/>
  <c r="Q33" i="19"/>
  <c r="Q23" i="19"/>
  <c r="Q44" i="19"/>
  <c r="Q55" i="19"/>
  <c r="Q66" i="19"/>
  <c r="H22" i="20"/>
  <c r="U39" i="21"/>
  <c r="D56" i="19"/>
  <c r="D62" i="19" s="1"/>
  <c r="D45" i="19"/>
  <c r="D51" i="19" s="1"/>
  <c r="D67" i="19"/>
  <c r="D73" i="19" s="1"/>
  <c r="D34" i="19"/>
  <c r="D40" i="19" s="1"/>
  <c r="D24" i="19"/>
  <c r="F44" i="20"/>
  <c r="F33" i="20"/>
  <c r="F66" i="20"/>
  <c r="F23" i="20"/>
  <c r="F55" i="20"/>
  <c r="U33" i="18"/>
  <c r="U23" i="18"/>
  <c r="U55" i="18"/>
  <c r="U66" i="18"/>
  <c r="U44" i="18"/>
  <c r="D39" i="21"/>
  <c r="U45" i="21"/>
  <c r="U51" i="21" s="1"/>
  <c r="U67" i="21"/>
  <c r="U73" i="21" s="1"/>
  <c r="U56" i="21"/>
  <c r="U62" i="21" s="1"/>
  <c r="U24" i="21"/>
  <c r="U34" i="21"/>
  <c r="U40" i="21" s="1"/>
  <c r="I61" i="19"/>
  <c r="AB55" i="20"/>
  <c r="AB23" i="20"/>
  <c r="AB44" i="20"/>
  <c r="AB66" i="20"/>
  <c r="AB33" i="20"/>
  <c r="AB44" i="21"/>
  <c r="AB66" i="21"/>
  <c r="AB33" i="21"/>
  <c r="AB23" i="21"/>
  <c r="AB55" i="21"/>
  <c r="K57" i="21"/>
  <c r="K61" i="21"/>
  <c r="J67" i="21"/>
  <c r="J73" i="21" s="1"/>
  <c r="J45" i="21"/>
  <c r="J51" i="21" s="1"/>
  <c r="J34" i="21"/>
  <c r="J40" i="21" s="1"/>
  <c r="J24" i="21"/>
  <c r="J56" i="21"/>
  <c r="J62" i="21" s="1"/>
  <c r="S50" i="21"/>
  <c r="AS50" i="21"/>
  <c r="G27" i="21"/>
  <c r="F30" i="21"/>
  <c r="AP56" i="18"/>
  <c r="AP62" i="18" s="1"/>
  <c r="AP34" i="18"/>
  <c r="AP40" i="18" s="1"/>
  <c r="AP24" i="18"/>
  <c r="AP67" i="18"/>
  <c r="AP73" i="18" s="1"/>
  <c r="AP45" i="18"/>
  <c r="AP51" i="18" s="1"/>
  <c r="AM34" i="18"/>
  <c r="AM40" i="18" s="1"/>
  <c r="AM56" i="18"/>
  <c r="AM62" i="18" s="1"/>
  <c r="AM24" i="18"/>
  <c r="AM45" i="18"/>
  <c r="AM51" i="18" s="1"/>
  <c r="AM67" i="18"/>
  <c r="AM73" i="18" s="1"/>
  <c r="AX34" i="18"/>
  <c r="AX40" i="18" s="1"/>
  <c r="AX56" i="18"/>
  <c r="AX62" i="18" s="1"/>
  <c r="AX67" i="18"/>
  <c r="AX73" i="18" s="1"/>
  <c r="AX45" i="18"/>
  <c r="AX51" i="18" s="1"/>
  <c r="AX24" i="18"/>
  <c r="G67" i="18"/>
  <c r="G73" i="18" s="1"/>
  <c r="G34" i="18"/>
  <c r="G40" i="18" s="1"/>
  <c r="G56" i="18"/>
  <c r="G62" i="18" s="1"/>
  <c r="G24" i="18"/>
  <c r="G45" i="18"/>
  <c r="G51" i="18" s="1"/>
  <c r="AI55" i="19"/>
  <c r="AI23" i="19"/>
  <c r="AI33" i="19"/>
  <c r="AI66" i="19"/>
  <c r="AI44" i="19"/>
  <c r="AY45" i="20"/>
  <c r="AY51" i="20" s="1"/>
  <c r="AY67" i="20"/>
  <c r="AY73" i="20" s="1"/>
  <c r="AY56" i="20"/>
  <c r="AY62" i="20" s="1"/>
  <c r="AY24" i="20"/>
  <c r="AY34" i="20"/>
  <c r="AY40" i="20" s="1"/>
  <c r="AL34" i="19"/>
  <c r="AL40" i="19" s="1"/>
  <c r="AL24" i="19"/>
  <c r="AL45" i="19"/>
  <c r="AL51" i="19" s="1"/>
  <c r="AL56" i="19"/>
  <c r="AL62" i="19" s="1"/>
  <c r="AL67" i="19"/>
  <c r="AL73" i="19" s="1"/>
  <c r="V24" i="20"/>
  <c r="V45" i="20"/>
  <c r="V51" i="20" s="1"/>
  <c r="V67" i="20"/>
  <c r="V73" i="20" s="1"/>
  <c r="V56" i="20"/>
  <c r="V62" i="20" s="1"/>
  <c r="V34" i="20"/>
  <c r="V40" i="20" s="1"/>
  <c r="AU55" i="20"/>
  <c r="AU23" i="20"/>
  <c r="AU44" i="20"/>
  <c r="AU66" i="20"/>
  <c r="AU33" i="20"/>
  <c r="AI34" i="20"/>
  <c r="AI40" i="20" s="1"/>
  <c r="AI56" i="20"/>
  <c r="AI62" i="20" s="1"/>
  <c r="AI24" i="20"/>
  <c r="AI67" i="20"/>
  <c r="AI73" i="20" s="1"/>
  <c r="AI45" i="20"/>
  <c r="AI51" i="20" s="1"/>
  <c r="AD46" i="21"/>
  <c r="AD50" i="21"/>
  <c r="AR23" i="21"/>
  <c r="AR44" i="21"/>
  <c r="AR55" i="21"/>
  <c r="AR33" i="21"/>
  <c r="AR66" i="21"/>
  <c r="M67" i="21"/>
  <c r="M73" i="21" s="1"/>
  <c r="M56" i="21"/>
  <c r="M62" i="21" s="1"/>
  <c r="M24" i="21"/>
  <c r="M45" i="21"/>
  <c r="M51" i="21" s="1"/>
  <c r="M34" i="21"/>
  <c r="M40" i="21" s="1"/>
  <c r="AS39" i="21"/>
  <c r="S31" i="23"/>
  <c r="T32" i="23" s="1"/>
  <c r="AM45" i="19"/>
  <c r="AM51" i="19" s="1"/>
  <c r="AM67" i="19"/>
  <c r="AM73" i="19" s="1"/>
  <c r="AM34" i="19"/>
  <c r="AM40" i="19" s="1"/>
  <c r="AM56" i="19"/>
  <c r="AM62" i="19" s="1"/>
  <c r="AM24" i="19"/>
  <c r="E21" i="19"/>
  <c r="AZ21" i="19" s="1"/>
  <c r="E22" i="19"/>
  <c r="AO21" i="20"/>
  <c r="AO22" i="20"/>
  <c r="X22" i="20"/>
  <c r="AL45" i="21"/>
  <c r="AL51" i="21" s="1"/>
  <c r="AL67" i="21"/>
  <c r="AL73" i="21" s="1"/>
  <c r="AL24" i="21"/>
  <c r="AL34" i="21"/>
  <c r="AL40" i="21" s="1"/>
  <c r="AL56" i="21"/>
  <c r="AL62" i="21" s="1"/>
  <c r="T46" i="21"/>
  <c r="T50" i="21"/>
  <c r="AJ55" i="20"/>
  <c r="AJ23" i="20"/>
  <c r="AJ44" i="20"/>
  <c r="AJ66" i="20"/>
  <c r="AJ33" i="20"/>
  <c r="AI55" i="21"/>
  <c r="AI23" i="21"/>
  <c r="AI44" i="21"/>
  <c r="AI33" i="21"/>
  <c r="AI66" i="21"/>
  <c r="AD72" i="21"/>
  <c r="Y45" i="21"/>
  <c r="Y51" i="21" s="1"/>
  <c r="Y34" i="21"/>
  <c r="Y40" i="21" s="1"/>
  <c r="Y56" i="21"/>
  <c r="Y62" i="21" s="1"/>
  <c r="Y24" i="21"/>
  <c r="Y67" i="21"/>
  <c r="Y73" i="21" s="1"/>
  <c r="AW67" i="18"/>
  <c r="AW73" i="18" s="1"/>
  <c r="AW34" i="18"/>
  <c r="AW40" i="18" s="1"/>
  <c r="AW24" i="18"/>
  <c r="AW56" i="18"/>
  <c r="AW62" i="18" s="1"/>
  <c r="AW45" i="18"/>
  <c r="AW51" i="18" s="1"/>
  <c r="AT44" i="18"/>
  <c r="AT66" i="18"/>
  <c r="AT23" i="18"/>
  <c r="AT33" i="18"/>
  <c r="AT55" i="18"/>
  <c r="AD67" i="18"/>
  <c r="AD73" i="18" s="1"/>
  <c r="AD34" i="18"/>
  <c r="AD40" i="18" s="1"/>
  <c r="AD56" i="18"/>
  <c r="AD62" i="18" s="1"/>
  <c r="AD24" i="18"/>
  <c r="AD45" i="18"/>
  <c r="AD51" i="18" s="1"/>
  <c r="E21" i="18"/>
  <c r="E22" i="18"/>
  <c r="AD67" i="19"/>
  <c r="AD73" i="19" s="1"/>
  <c r="AD34" i="19"/>
  <c r="AD40" i="19" s="1"/>
  <c r="AD56" i="19"/>
  <c r="AD62" i="19" s="1"/>
  <c r="AD24" i="19"/>
  <c r="AD45" i="19"/>
  <c r="AD51" i="19" s="1"/>
  <c r="AM21" i="21"/>
  <c r="AM22" i="21"/>
  <c r="Y33" i="19"/>
  <c r="Y23" i="19"/>
  <c r="Y44" i="19"/>
  <c r="Y55" i="19"/>
  <c r="Y66" i="19"/>
  <c r="AY56" i="21"/>
  <c r="AY62" i="21" s="1"/>
  <c r="AY45" i="21"/>
  <c r="AY51" i="21" s="1"/>
  <c r="AY24" i="21"/>
  <c r="AY34" i="21"/>
  <c r="AY40" i="21" s="1"/>
  <c r="AY67" i="21"/>
  <c r="AY73" i="21" s="1"/>
  <c r="W44" i="20"/>
  <c r="W66" i="20"/>
  <c r="W33" i="20"/>
  <c r="W23" i="20"/>
  <c r="W55" i="20"/>
  <c r="AQ55" i="19"/>
  <c r="AQ23" i="19"/>
  <c r="AQ33" i="19"/>
  <c r="AQ44" i="19"/>
  <c r="AQ66" i="19"/>
  <c r="S72" i="21"/>
  <c r="S7" i="23"/>
  <c r="AS57" i="18"/>
  <c r="AS61" i="18"/>
  <c r="AO34" i="18"/>
  <c r="AO40" i="18" s="1"/>
  <c r="AO56" i="18"/>
  <c r="AO62" i="18" s="1"/>
  <c r="AO67" i="18"/>
  <c r="AO73" i="18" s="1"/>
  <c r="AO45" i="18"/>
  <c r="AO51" i="18" s="1"/>
  <c r="AO24" i="18"/>
  <c r="Y22" i="18"/>
  <c r="Y21" i="18"/>
  <c r="L68" i="18"/>
  <c r="L72" i="18"/>
  <c r="AA66" i="18"/>
  <c r="AA33" i="18"/>
  <c r="AA55" i="18"/>
  <c r="AA44" i="18"/>
  <c r="AA23" i="18"/>
  <c r="P23" i="18"/>
  <c r="P66" i="18"/>
  <c r="P33" i="18"/>
  <c r="P44" i="18"/>
  <c r="P55" i="18"/>
  <c r="AU66" i="18"/>
  <c r="AU33" i="18"/>
  <c r="AU23" i="18"/>
  <c r="AU44" i="18"/>
  <c r="AU55" i="18"/>
  <c r="AY44" i="19"/>
  <c r="AY66" i="19"/>
  <c r="AY33" i="19"/>
  <c r="AY23" i="19"/>
  <c r="AY55" i="19"/>
  <c r="F66" i="18"/>
  <c r="F33" i="18"/>
  <c r="F55" i="18"/>
  <c r="F23" i="18"/>
  <c r="F44" i="18"/>
  <c r="AU33" i="19"/>
  <c r="AU23" i="19"/>
  <c r="AU55" i="19"/>
  <c r="AU44" i="19"/>
  <c r="AU66" i="19"/>
  <c r="AT34" i="19"/>
  <c r="AT40" i="19" s="1"/>
  <c r="AT24" i="19"/>
  <c r="AT45" i="19"/>
  <c r="AT51" i="19" s="1"/>
  <c r="AT56" i="19"/>
  <c r="AT62" i="19" s="1"/>
  <c r="AT67" i="19"/>
  <c r="AT73" i="19" s="1"/>
  <c r="R34" i="19"/>
  <c r="R40" i="19" s="1"/>
  <c r="R24" i="19"/>
  <c r="R45" i="19"/>
  <c r="R51" i="19" s="1"/>
  <c r="R56" i="19"/>
  <c r="R62" i="19" s="1"/>
  <c r="R67" i="19"/>
  <c r="R73" i="19" s="1"/>
  <c r="AX44" i="20"/>
  <c r="AX66" i="20"/>
  <c r="AX55" i="20"/>
  <c r="AX23" i="20"/>
  <c r="AX33" i="20"/>
  <c r="H34" i="18"/>
  <c r="H40" i="18" s="1"/>
  <c r="H56" i="18"/>
  <c r="H62" i="18" s="1"/>
  <c r="H24" i="18"/>
  <c r="H67" i="18"/>
  <c r="H73" i="18" s="1"/>
  <c r="H45" i="18"/>
  <c r="H51" i="18" s="1"/>
  <c r="F44" i="19"/>
  <c r="F33" i="19"/>
  <c r="F55" i="19"/>
  <c r="F23" i="19"/>
  <c r="F66" i="19"/>
  <c r="G55" i="19"/>
  <c r="G23" i="19"/>
  <c r="G33" i="19"/>
  <c r="G44" i="19"/>
  <c r="G66" i="19"/>
  <c r="S55" i="18"/>
  <c r="S33" i="18"/>
  <c r="S44" i="18"/>
  <c r="S23" i="18"/>
  <c r="S66" i="18"/>
  <c r="S46" i="19"/>
  <c r="S50" i="19"/>
  <c r="X56" i="19"/>
  <c r="X62" i="19" s="1"/>
  <c r="X24" i="19"/>
  <c r="X34" i="19"/>
  <c r="X40" i="19" s="1"/>
  <c r="X45" i="19"/>
  <c r="X51" i="19" s="1"/>
  <c r="X67" i="19"/>
  <c r="X73" i="19" s="1"/>
  <c r="Z33" i="20"/>
  <c r="Z55" i="20"/>
  <c r="Z23" i="20"/>
  <c r="Z44" i="20"/>
  <c r="Z66" i="20"/>
  <c r="AP44" i="19"/>
  <c r="AP33" i="19"/>
  <c r="AP55" i="19"/>
  <c r="AP23" i="19"/>
  <c r="AP66" i="19"/>
  <c r="W45" i="19"/>
  <c r="W51" i="19" s="1"/>
  <c r="W34" i="19"/>
  <c r="W40" i="19" s="1"/>
  <c r="W56" i="19"/>
  <c r="W62" i="19" s="1"/>
  <c r="W24" i="19"/>
  <c r="W67" i="19"/>
  <c r="W73" i="19" s="1"/>
  <c r="F22" i="20"/>
  <c r="AC22" i="20"/>
  <c r="AA68" i="21"/>
  <c r="AA72" i="21"/>
  <c r="U66" i="19"/>
  <c r="U33" i="19"/>
  <c r="U55" i="19"/>
  <c r="U23" i="19"/>
  <c r="U44" i="19"/>
  <c r="AG34" i="21"/>
  <c r="AG40" i="21" s="1"/>
  <c r="AG45" i="21"/>
  <c r="AG51" i="21" s="1"/>
  <c r="AG56" i="21"/>
  <c r="AG62" i="21" s="1"/>
  <c r="AG24" i="21"/>
  <c r="AG67" i="21"/>
  <c r="AG73" i="21" s="1"/>
  <c r="Q45" i="21"/>
  <c r="Q51" i="21" s="1"/>
  <c r="Q34" i="21"/>
  <c r="Q40" i="21" s="1"/>
  <c r="Q56" i="21"/>
  <c r="Q62" i="21" s="1"/>
  <c r="Q24" i="21"/>
  <c r="Q67" i="21"/>
  <c r="Q73" i="21" s="1"/>
  <c r="AN67" i="21"/>
  <c r="AN73" i="21" s="1"/>
  <c r="AN24" i="21"/>
  <c r="AN56" i="21"/>
  <c r="AN62" i="21" s="1"/>
  <c r="AN34" i="21"/>
  <c r="AN40" i="21" s="1"/>
  <c r="AN45" i="21"/>
  <c r="AN51" i="21" s="1"/>
  <c r="AA45" i="18"/>
  <c r="AA51" i="18" s="1"/>
  <c r="AA67" i="18"/>
  <c r="AA73" i="18" s="1"/>
  <c r="AA24" i="18"/>
  <c r="AA34" i="18"/>
  <c r="AA40" i="18" s="1"/>
  <c r="AA56" i="18"/>
  <c r="AA62" i="18" s="1"/>
  <c r="AQ22" i="20"/>
  <c r="K45" i="21"/>
  <c r="K51" i="21" s="1"/>
  <c r="K67" i="21"/>
  <c r="K73" i="21" s="1"/>
  <c r="K34" i="21"/>
  <c r="K40" i="21" s="1"/>
  <c r="K56" i="21"/>
  <c r="K62" i="21" s="1"/>
  <c r="K24" i="21"/>
  <c r="U72" i="21"/>
  <c r="AS67" i="19"/>
  <c r="AS73" i="19" s="1"/>
  <c r="AS56" i="19"/>
  <c r="AS62" i="19" s="1"/>
  <c r="AS24" i="19"/>
  <c r="AS45" i="19"/>
  <c r="AS51" i="19" s="1"/>
  <c r="AS34" i="19"/>
  <c r="AS40" i="19" s="1"/>
  <c r="AX34" i="21"/>
  <c r="AX40" i="21" s="1"/>
  <c r="AX24" i="21"/>
  <c r="AX67" i="21"/>
  <c r="AX73" i="21" s="1"/>
  <c r="AX56" i="21"/>
  <c r="AX62" i="21" s="1"/>
  <c r="AX45" i="21"/>
  <c r="AX51" i="21" s="1"/>
  <c r="AH44" i="18"/>
  <c r="AH66" i="18"/>
  <c r="AH23" i="18"/>
  <c r="AH55" i="18"/>
  <c r="AH33" i="18"/>
  <c r="V44" i="20"/>
  <c r="V66" i="20"/>
  <c r="V33" i="20"/>
  <c r="V23" i="20"/>
  <c r="V55" i="20"/>
  <c r="H66" i="19"/>
  <c r="H55" i="19"/>
  <c r="H23" i="19"/>
  <c r="H44" i="19"/>
  <c r="H33" i="19"/>
  <c r="AR66" i="19"/>
  <c r="AR55" i="19"/>
  <c r="AR23" i="19"/>
  <c r="AR44" i="19"/>
  <c r="AR33" i="19"/>
  <c r="I72" i="19"/>
  <c r="T55" i="20"/>
  <c r="T23" i="20"/>
  <c r="T44" i="20"/>
  <c r="T33" i="20"/>
  <c r="T66" i="20"/>
  <c r="AT72" i="21"/>
  <c r="X67" i="21"/>
  <c r="X73" i="21" s="1"/>
  <c r="X34" i="21"/>
  <c r="X40" i="21" s="1"/>
  <c r="X56" i="21"/>
  <c r="X62" i="21" s="1"/>
  <c r="X45" i="21"/>
  <c r="X51" i="21" s="1"/>
  <c r="X24" i="21"/>
  <c r="K72" i="21"/>
  <c r="J44" i="21"/>
  <c r="J33" i="21"/>
  <c r="J55" i="21"/>
  <c r="J66" i="21"/>
  <c r="J23" i="21"/>
  <c r="AJ56" i="21"/>
  <c r="AJ62" i="21" s="1"/>
  <c r="AJ24" i="21"/>
  <c r="AJ45" i="21"/>
  <c r="AJ51" i="21" s="1"/>
  <c r="AJ67" i="21"/>
  <c r="AJ73" i="21" s="1"/>
  <c r="AJ34" i="21"/>
  <c r="AJ40" i="21" s="1"/>
  <c r="N67" i="19"/>
  <c r="N73" i="19" s="1"/>
  <c r="N34" i="19"/>
  <c r="N40" i="19" s="1"/>
  <c r="N56" i="19"/>
  <c r="N62" i="19" s="1"/>
  <c r="N24" i="19"/>
  <c r="N45" i="19"/>
  <c r="N51" i="19" s="1"/>
  <c r="Q22" i="18"/>
  <c r="Q21" i="18"/>
  <c r="AJ66" i="18"/>
  <c r="AJ33" i="18"/>
  <c r="AJ23" i="18"/>
  <c r="AJ55" i="18"/>
  <c r="AJ44" i="18"/>
  <c r="AC67" i="18"/>
  <c r="AC73" i="18" s="1"/>
  <c r="AC34" i="18"/>
  <c r="AC40" i="18" s="1"/>
  <c r="AC45" i="18"/>
  <c r="AC51" i="18" s="1"/>
  <c r="AC56" i="18"/>
  <c r="AC62" i="18" s="1"/>
  <c r="AC24" i="18"/>
  <c r="AA45" i="19"/>
  <c r="AA51" i="19" s="1"/>
  <c r="AA67" i="19"/>
  <c r="AA73" i="19" s="1"/>
  <c r="AA34" i="19"/>
  <c r="AA40" i="19" s="1"/>
  <c r="AA56" i="19"/>
  <c r="AA62" i="19" s="1"/>
  <c r="AA24" i="19"/>
  <c r="AM44" i="20"/>
  <c r="AM66" i="20"/>
  <c r="AM33" i="20"/>
  <c r="AM55" i="20"/>
  <c r="AM23" i="20"/>
  <c r="O55" i="19"/>
  <c r="O23" i="19"/>
  <c r="O66" i="19"/>
  <c r="O33" i="19"/>
  <c r="O44" i="19"/>
  <c r="P66" i="19"/>
  <c r="P55" i="19"/>
  <c r="P23" i="19"/>
  <c r="P44" i="19"/>
  <c r="P33" i="19"/>
  <c r="AO33" i="21"/>
  <c r="AO23" i="21"/>
  <c r="AO44" i="21"/>
  <c r="AO55" i="21"/>
  <c r="AO66" i="21"/>
  <c r="J34" i="19"/>
  <c r="J40" i="19" s="1"/>
  <c r="J24" i="19"/>
  <c r="J45" i="19"/>
  <c r="J51" i="19" s="1"/>
  <c r="J56" i="19"/>
  <c r="J62" i="19" s="1"/>
  <c r="J67" i="19"/>
  <c r="J73" i="19" s="1"/>
  <c r="AR23" i="18"/>
  <c r="AR44" i="18"/>
  <c r="AR55" i="18"/>
  <c r="AR33" i="18"/>
  <c r="AR66" i="18"/>
  <c r="I39" i="19"/>
  <c r="I35" i="19"/>
  <c r="H56" i="21"/>
  <c r="H62" i="21" s="1"/>
  <c r="H45" i="21"/>
  <c r="H51" i="21" s="1"/>
  <c r="H24" i="21"/>
  <c r="H67" i="21"/>
  <c r="H73" i="21" s="1"/>
  <c r="H34" i="21"/>
  <c r="H40" i="21" s="1"/>
  <c r="Z56" i="21"/>
  <c r="Z62" i="21" s="1"/>
  <c r="Z24" i="21"/>
  <c r="Z67" i="21"/>
  <c r="Z73" i="21" s="1"/>
  <c r="Z34" i="21"/>
  <c r="Z40" i="21" s="1"/>
  <c r="Z45" i="21"/>
  <c r="Z51" i="21" s="1"/>
  <c r="AP55" i="18"/>
  <c r="AP23" i="18"/>
  <c r="AP33" i="18"/>
  <c r="AP44" i="18"/>
  <c r="AP66" i="18"/>
  <c r="AT45" i="18"/>
  <c r="AT51" i="18" s="1"/>
  <c r="AT24" i="18"/>
  <c r="AT56" i="18"/>
  <c r="AT62" i="18" s="1"/>
  <c r="AT34" i="18"/>
  <c r="AT40" i="18" s="1"/>
  <c r="AT67" i="18"/>
  <c r="AT73" i="18" s="1"/>
  <c r="AX55" i="18"/>
  <c r="AX23" i="18"/>
  <c r="AX44" i="18"/>
  <c r="AX33" i="18"/>
  <c r="AX66" i="18"/>
  <c r="G33" i="18"/>
  <c r="G55" i="18"/>
  <c r="G23" i="18"/>
  <c r="G66" i="18"/>
  <c r="G44" i="18"/>
  <c r="M21" i="19"/>
  <c r="M22" i="19"/>
  <c r="J44" i="19"/>
  <c r="J66" i="19"/>
  <c r="J33" i="19"/>
  <c r="J23" i="19"/>
  <c r="J55" i="19"/>
  <c r="R21" i="20"/>
  <c r="R22" i="20"/>
  <c r="AY55" i="21"/>
  <c r="AY23" i="21"/>
  <c r="AY44" i="21"/>
  <c r="AY33" i="21"/>
  <c r="AY66" i="21"/>
  <c r="AI55" i="20"/>
  <c r="AI23" i="20"/>
  <c r="AI44" i="20"/>
  <c r="AI33" i="20"/>
  <c r="AI66" i="20"/>
  <c r="S67" i="21"/>
  <c r="S73" i="21" s="1"/>
  <c r="S56" i="21"/>
  <c r="S62" i="21" s="1"/>
  <c r="S24" i="21"/>
  <c r="S45" i="21"/>
  <c r="S51" i="21" s="1"/>
  <c r="S34" i="21"/>
  <c r="S40" i="21" s="1"/>
  <c r="AS33" i="19"/>
  <c r="AS23" i="19"/>
  <c r="AS44" i="19"/>
  <c r="AS66" i="19"/>
  <c r="AS55" i="19"/>
  <c r="I66" i="21"/>
  <c r="I33" i="21"/>
  <c r="I44" i="21"/>
  <c r="I55" i="21"/>
  <c r="I23" i="21"/>
  <c r="AS61" i="21"/>
  <c r="AG23" i="18"/>
  <c r="AG44" i="18"/>
  <c r="AG55" i="18"/>
  <c r="AG33" i="18"/>
  <c r="AG66" i="18"/>
  <c r="T66" i="18"/>
  <c r="T55" i="18"/>
  <c r="T23" i="18"/>
  <c r="T44" i="18"/>
  <c r="T33" i="18"/>
  <c r="AR21" i="20"/>
  <c r="AR22" i="20"/>
  <c r="Y21" i="20"/>
  <c r="Y22" i="20"/>
  <c r="K22" i="20"/>
  <c r="K21" i="20"/>
  <c r="D61" i="21"/>
  <c r="AB56" i="19"/>
  <c r="AB62" i="19" s="1"/>
  <c r="AB45" i="19"/>
  <c r="AB51" i="19" s="1"/>
  <c r="AB67" i="19"/>
  <c r="AB73" i="19" s="1"/>
  <c r="AB34" i="19"/>
  <c r="AB40" i="19" s="1"/>
  <c r="AB24" i="19"/>
  <c r="AC55" i="21"/>
  <c r="AC44" i="21"/>
  <c r="AC66" i="21"/>
  <c r="AC33" i="21"/>
  <c r="AC23" i="21"/>
  <c r="S10" i="23"/>
  <c r="AV21" i="18"/>
  <c r="AV22" i="18"/>
  <c r="AO55" i="18"/>
  <c r="AO33" i="18"/>
  <c r="AO44" i="18"/>
  <c r="AO66" i="18"/>
  <c r="AO23" i="18"/>
  <c r="V44" i="18"/>
  <c r="V66" i="18"/>
  <c r="V55" i="18"/>
  <c r="V23" i="18"/>
  <c r="V33" i="18"/>
  <c r="Z44" i="18"/>
  <c r="Z66" i="18"/>
  <c r="Z55" i="18"/>
  <c r="Z33" i="18"/>
  <c r="Z23" i="18"/>
  <c r="O45" i="18"/>
  <c r="O51" i="18" s="1"/>
  <c r="O67" i="18"/>
  <c r="O73" i="18" s="1"/>
  <c r="O24" i="18"/>
  <c r="O56" i="18"/>
  <c r="O62" i="18" s="1"/>
  <c r="O34" i="18"/>
  <c r="O40" i="18" s="1"/>
  <c r="N21" i="18"/>
  <c r="N22" i="18"/>
  <c r="AW55" i="19"/>
  <c r="AW23" i="19"/>
  <c r="AW44" i="19"/>
  <c r="AW33" i="19"/>
  <c r="AW66" i="19"/>
  <c r="K24" i="18"/>
  <c r="K45" i="18"/>
  <c r="K51" i="18" s="1"/>
  <c r="K67" i="18"/>
  <c r="K73" i="18" s="1"/>
  <c r="K34" i="18"/>
  <c r="K40" i="18" s="1"/>
  <c r="K56" i="18"/>
  <c r="K62" i="18" s="1"/>
  <c r="W55" i="18"/>
  <c r="W44" i="18"/>
  <c r="W33" i="18"/>
  <c r="W23" i="18"/>
  <c r="W66" i="18"/>
  <c r="AT44" i="19"/>
  <c r="AT66" i="19"/>
  <c r="AT33" i="19"/>
  <c r="AT23" i="19"/>
  <c r="AT55" i="19"/>
  <c r="R44" i="19"/>
  <c r="R66" i="19"/>
  <c r="R55" i="19"/>
  <c r="R23" i="19"/>
  <c r="R33" i="19"/>
  <c r="AV22" i="20"/>
  <c r="H55" i="18"/>
  <c r="H23" i="18"/>
  <c r="H44" i="18"/>
  <c r="H66" i="18"/>
  <c r="H33" i="18"/>
  <c r="AT21" i="20"/>
  <c r="AT22" i="20"/>
  <c r="H27" i="18"/>
  <c r="G30" i="18"/>
  <c r="S61" i="19"/>
  <c r="S57" i="19"/>
  <c r="I67" i="19"/>
  <c r="I73" i="19" s="1"/>
  <c r="I56" i="19"/>
  <c r="I62" i="19" s="1"/>
  <c r="I24" i="19"/>
  <c r="I45" i="19"/>
  <c r="I51" i="19" s="1"/>
  <c r="I34" i="19"/>
  <c r="I40" i="19" s="1"/>
  <c r="Z34" i="19"/>
  <c r="Z40" i="19" s="1"/>
  <c r="Z24" i="19"/>
  <c r="Z45" i="19"/>
  <c r="Z51" i="19" s="1"/>
  <c r="Z56" i="19"/>
  <c r="Z62" i="19" s="1"/>
  <c r="Z67" i="19"/>
  <c r="Z73" i="19" s="1"/>
  <c r="W55" i="19"/>
  <c r="W23" i="19"/>
  <c r="W33" i="19"/>
  <c r="W44" i="19"/>
  <c r="W66" i="19"/>
  <c r="AC23" i="20"/>
  <c r="AC44" i="20"/>
  <c r="AC66" i="20"/>
  <c r="AC55" i="20"/>
  <c r="AC33" i="20"/>
  <c r="W21" i="21"/>
  <c r="W22" i="21"/>
  <c r="AS24" i="21"/>
  <c r="AS56" i="21"/>
  <c r="AS62" i="21" s="1"/>
  <c r="AS34" i="21"/>
  <c r="AS40" i="21" s="1"/>
  <c r="AS45" i="21"/>
  <c r="AS51" i="21" s="1"/>
  <c r="AS67" i="21"/>
  <c r="AS73" i="21" s="1"/>
  <c r="AG33" i="21"/>
  <c r="AG23" i="21"/>
  <c r="AG55" i="21"/>
  <c r="AG66" i="21"/>
  <c r="AG44" i="21"/>
  <c r="Q55" i="21"/>
  <c r="Q23" i="21"/>
  <c r="Q44" i="21"/>
  <c r="Q66" i="21"/>
  <c r="Q33" i="21"/>
  <c r="AE21" i="21"/>
  <c r="AE22" i="21"/>
  <c r="D45" i="18"/>
  <c r="D51" i="18" s="1"/>
  <c r="D67" i="18"/>
  <c r="D73" i="18" s="1"/>
  <c r="D34" i="18"/>
  <c r="D40" i="18" s="1"/>
  <c r="D56" i="18"/>
  <c r="D62" i="18" s="1"/>
  <c r="D24" i="18"/>
  <c r="AA22" i="20"/>
  <c r="AL44" i="20"/>
  <c r="AL66" i="20"/>
  <c r="AL33" i="20"/>
  <c r="AL23" i="20"/>
  <c r="AL55" i="20"/>
  <c r="U50" i="21"/>
  <c r="AY24" i="19"/>
  <c r="AY45" i="19"/>
  <c r="AY51" i="19" s="1"/>
  <c r="AY67" i="19"/>
  <c r="AY73" i="19" s="1"/>
  <c r="AY34" i="19"/>
  <c r="AY40" i="19" s="1"/>
  <c r="AY56" i="19"/>
  <c r="AY62" i="19" s="1"/>
  <c r="AX55" i="21"/>
  <c r="AX44" i="21"/>
  <c r="AX33" i="21"/>
  <c r="AX66" i="21"/>
  <c r="AX23" i="21"/>
  <c r="D44" i="18"/>
  <c r="D66" i="18"/>
  <c r="D33" i="18"/>
  <c r="D55" i="18"/>
  <c r="D23" i="18"/>
  <c r="L23" i="20"/>
  <c r="L44" i="20"/>
  <c r="L55" i="20"/>
  <c r="L33" i="20"/>
  <c r="L66" i="20"/>
  <c r="H56" i="19"/>
  <c r="H62" i="19" s="1"/>
  <c r="H24" i="19"/>
  <c r="H67" i="19"/>
  <c r="H73" i="19" s="1"/>
  <c r="H34" i="19"/>
  <c r="H40" i="19" s="1"/>
  <c r="H45" i="19"/>
  <c r="H51" i="19" s="1"/>
  <c r="I55" i="18"/>
  <c r="I23" i="18"/>
  <c r="I44" i="18"/>
  <c r="I66" i="18"/>
  <c r="I33" i="18"/>
  <c r="X66" i="19"/>
  <c r="X55" i="19"/>
  <c r="X23" i="19"/>
  <c r="X44" i="19"/>
  <c r="X33" i="19"/>
  <c r="I50" i="19"/>
  <c r="I46" i="19"/>
  <c r="AV66" i="20"/>
  <c r="AV55" i="20"/>
  <c r="AV23" i="20"/>
  <c r="AV44" i="20"/>
  <c r="AV33" i="20"/>
  <c r="AT39" i="21"/>
  <c r="X44" i="21"/>
  <c r="X33" i="21"/>
  <c r="X55" i="21"/>
  <c r="X23" i="21"/>
  <c r="X66" i="21"/>
  <c r="F34" i="21"/>
  <c r="F40" i="21" s="1"/>
  <c r="F24" i="21"/>
  <c r="F45" i="21"/>
  <c r="F51" i="21" s="1"/>
  <c r="F67" i="21"/>
  <c r="F73" i="21" s="1"/>
  <c r="F56" i="21"/>
  <c r="F62" i="21" s="1"/>
  <c r="L66" i="21"/>
  <c r="L55" i="21"/>
  <c r="L23" i="21"/>
  <c r="L33" i="21"/>
  <c r="L44" i="21"/>
  <c r="O24" i="21"/>
  <c r="O56" i="21"/>
  <c r="O62" i="21" s="1"/>
  <c r="O34" i="21"/>
  <c r="O40" i="21" s="1"/>
  <c r="O45" i="21"/>
  <c r="O51" i="21" s="1"/>
  <c r="O67" i="21"/>
  <c r="O73" i="21" s="1"/>
  <c r="S39" i="21"/>
  <c r="S35" i="21"/>
  <c r="AJ23" i="21"/>
  <c r="AJ55" i="21"/>
  <c r="AJ44" i="21"/>
  <c r="AJ33" i="21"/>
  <c r="AJ66" i="21"/>
  <c r="N44" i="19"/>
  <c r="N33" i="19"/>
  <c r="N55" i="19"/>
  <c r="N23" i="19"/>
  <c r="N66" i="19"/>
  <c r="AY55" i="18"/>
  <c r="AY33" i="18"/>
  <c r="AY66" i="18"/>
  <c r="AY44" i="18"/>
  <c r="AY23" i="18"/>
  <c r="AH44" i="19"/>
  <c r="AH33" i="19"/>
  <c r="AH55" i="19"/>
  <c r="AH23" i="19"/>
  <c r="AH66" i="19"/>
  <c r="AV22" i="21"/>
  <c r="AV21" i="21"/>
  <c r="AF45" i="20"/>
  <c r="AF51" i="20" s="1"/>
  <c r="AF67" i="20"/>
  <c r="AF73" i="20" s="1"/>
  <c r="AF34" i="20"/>
  <c r="AF40" i="20" s="1"/>
  <c r="AF56" i="20"/>
  <c r="AF62" i="20" s="1"/>
  <c r="AF24" i="20"/>
  <c r="AQ22" i="21"/>
  <c r="AQ21" i="21"/>
  <c r="AD39" i="21"/>
  <c r="AD35" i="21"/>
  <c r="J22" i="20"/>
  <c r="AL67" i="18"/>
  <c r="AL73" i="18" s="1"/>
  <c r="AL34" i="18"/>
  <c r="AL40" i="18" s="1"/>
  <c r="AL56" i="18"/>
  <c r="AL62" i="18" s="1"/>
  <c r="AL24" i="18"/>
  <c r="AL45" i="18"/>
  <c r="AL51" i="18" s="1"/>
  <c r="AJ56" i="19"/>
  <c r="AJ62" i="19" s="1"/>
  <c r="AJ24" i="19"/>
  <c r="AJ67" i="19"/>
  <c r="AJ73" i="19" s="1"/>
  <c r="AJ34" i="19"/>
  <c r="AJ40" i="19" s="1"/>
  <c r="AJ45" i="19"/>
  <c r="AJ51" i="19" s="1"/>
  <c r="V44" i="19"/>
  <c r="V33" i="19"/>
  <c r="V55" i="19"/>
  <c r="V23" i="19"/>
  <c r="V66" i="19"/>
  <c r="J23" i="18"/>
  <c r="J44" i="18"/>
  <c r="J66" i="18"/>
  <c r="J33" i="18"/>
  <c r="J55" i="18"/>
  <c r="AF66" i="20"/>
  <c r="AF33" i="20"/>
  <c r="AF55" i="20"/>
  <c r="AF44" i="20"/>
  <c r="AF23" i="20"/>
  <c r="AQ45" i="19"/>
  <c r="AQ51" i="19" s="1"/>
  <c r="AQ34" i="19"/>
  <c r="AQ40" i="19" s="1"/>
  <c r="AQ56" i="19"/>
  <c r="AQ62" i="19" s="1"/>
  <c r="AQ24" i="19"/>
  <c r="AQ67" i="19"/>
  <c r="AQ73" i="19" s="1"/>
  <c r="AQ44" i="20"/>
  <c r="AQ33" i="20"/>
  <c r="AQ23" i="20"/>
  <c r="AQ55" i="20"/>
  <c r="AQ66" i="20"/>
  <c r="J55" i="20"/>
  <c r="J66" i="20"/>
  <c r="J44" i="20"/>
  <c r="J23" i="20"/>
  <c r="J33" i="20"/>
  <c r="AK21" i="18"/>
  <c r="AK22" i="18"/>
  <c r="AL33" i="18"/>
  <c r="AL55" i="18"/>
  <c r="AL23" i="18"/>
  <c r="AL66" i="18"/>
  <c r="AL44" i="18"/>
  <c r="AZ10" i="19"/>
  <c r="X66" i="20"/>
  <c r="X33" i="20"/>
  <c r="X55" i="20"/>
  <c r="X23" i="20"/>
  <c r="X44" i="20"/>
  <c r="AL44" i="21"/>
  <c r="AL33" i="21"/>
  <c r="AL66" i="21"/>
  <c r="AL23" i="21"/>
  <c r="AL55" i="21"/>
  <c r="AA50" i="21"/>
  <c r="AA46" i="21"/>
  <c r="R66" i="21"/>
  <c r="R55" i="21"/>
  <c r="R23" i="21"/>
  <c r="R44" i="21"/>
  <c r="R33" i="21"/>
  <c r="AD56" i="21"/>
  <c r="AD62" i="21" s="1"/>
  <c r="AD45" i="21"/>
  <c r="AD51" i="21" s="1"/>
  <c r="AD67" i="21"/>
  <c r="AD73" i="21" s="1"/>
  <c r="AD34" i="21"/>
  <c r="AD40" i="21" s="1"/>
  <c r="AD24" i="21"/>
  <c r="K35" i="21"/>
  <c r="K39" i="21"/>
  <c r="AS50" i="18"/>
  <c r="AS46" i="18"/>
  <c r="AG56" i="18"/>
  <c r="AG62" i="18" s="1"/>
  <c r="AG24" i="18"/>
  <c r="AG45" i="18"/>
  <c r="AG51" i="18" s="1"/>
  <c r="AG34" i="18"/>
  <c r="AG40" i="18" s="1"/>
  <c r="AG67" i="18"/>
  <c r="AG73" i="18" s="1"/>
  <c r="AJ45" i="18"/>
  <c r="AJ51" i="18" s="1"/>
  <c r="AJ67" i="18"/>
  <c r="AJ73" i="18" s="1"/>
  <c r="AJ34" i="18"/>
  <c r="AJ40" i="18" s="1"/>
  <c r="AJ24" i="18"/>
  <c r="AJ56" i="18"/>
  <c r="AJ62" i="18" s="1"/>
  <c r="Z45" i="18"/>
  <c r="Z51" i="18" s="1"/>
  <c r="Z56" i="18"/>
  <c r="Z62" i="18" s="1"/>
  <c r="Z67" i="18"/>
  <c r="Z73" i="18" s="1"/>
  <c r="Z24" i="18"/>
  <c r="Z34" i="18"/>
  <c r="Z40" i="18" s="1"/>
  <c r="AY34" i="18"/>
  <c r="AY40" i="18" s="1"/>
  <c r="AY56" i="18"/>
  <c r="AY62" i="18" s="1"/>
  <c r="AY67" i="18"/>
  <c r="AY73" i="18" s="1"/>
  <c r="AY24" i="18"/>
  <c r="AY45" i="18"/>
  <c r="AY51" i="18" s="1"/>
  <c r="AW56" i="19"/>
  <c r="AW62" i="19" s="1"/>
  <c r="AW24" i="19"/>
  <c r="AW45" i="19"/>
  <c r="AW51" i="19" s="1"/>
  <c r="AW34" i="19"/>
  <c r="AW40" i="19" s="1"/>
  <c r="AW67" i="19"/>
  <c r="AW73" i="19" s="1"/>
  <c r="K44" i="18"/>
  <c r="K66" i="18"/>
  <c r="K33" i="18"/>
  <c r="K55" i="18"/>
  <c r="K23" i="18"/>
  <c r="W45" i="18"/>
  <c r="W51" i="18" s="1"/>
  <c r="W67" i="18"/>
  <c r="W73" i="18" s="1"/>
  <c r="W24" i="18"/>
  <c r="W56" i="18"/>
  <c r="W62" i="18" s="1"/>
  <c r="W34" i="18"/>
  <c r="W40" i="18" s="1"/>
  <c r="AB23" i="19"/>
  <c r="AB66" i="19"/>
  <c r="AB33" i="19"/>
  <c r="AB44" i="19"/>
  <c r="AB55" i="19"/>
  <c r="AK33" i="19"/>
  <c r="AK23" i="19"/>
  <c r="AK44" i="19"/>
  <c r="AK55" i="19"/>
  <c r="AK66" i="19"/>
  <c r="AI45" i="19"/>
  <c r="AI51" i="19" s="1"/>
  <c r="AI34" i="19"/>
  <c r="AI40" i="19" s="1"/>
  <c r="AI56" i="19"/>
  <c r="AI62" i="19" s="1"/>
  <c r="AI24" i="19"/>
  <c r="AI67" i="19"/>
  <c r="AI73" i="19" s="1"/>
  <c r="AH67" i="19"/>
  <c r="AH73" i="19" s="1"/>
  <c r="AH34" i="19"/>
  <c r="AH40" i="19" s="1"/>
  <c r="AH56" i="19"/>
  <c r="AH62" i="19" s="1"/>
  <c r="AH24" i="19"/>
  <c r="AH45" i="19"/>
  <c r="AH51" i="19" s="1"/>
  <c r="AN21" i="20"/>
  <c r="AN22" i="20"/>
  <c r="AY55" i="20"/>
  <c r="AY44" i="20"/>
  <c r="AY66" i="20"/>
  <c r="AY33" i="20"/>
  <c r="AY23" i="20"/>
  <c r="O45" i="19"/>
  <c r="O51" i="19" s="1"/>
  <c r="O34" i="19"/>
  <c r="O40" i="19" s="1"/>
  <c r="O56" i="19"/>
  <c r="O62" i="19" s="1"/>
  <c r="O24" i="19"/>
  <c r="O67" i="19"/>
  <c r="O73" i="19" s="1"/>
  <c r="G21" i="20"/>
  <c r="G22" i="20"/>
  <c r="AR56" i="19"/>
  <c r="AR62" i="19" s="1"/>
  <c r="AR24" i="19"/>
  <c r="AR34" i="19"/>
  <c r="AR40" i="19" s="1"/>
  <c r="AR45" i="19"/>
  <c r="AR51" i="19" s="1"/>
  <c r="AR67" i="19"/>
  <c r="AR73" i="19" s="1"/>
  <c r="Z44" i="19"/>
  <c r="Z66" i="19"/>
  <c r="Z55" i="19"/>
  <c r="Z23" i="19"/>
  <c r="Z33" i="19"/>
  <c r="AH21" i="20"/>
  <c r="AH22" i="20"/>
  <c r="G27" i="20"/>
  <c r="F30" i="20"/>
  <c r="W22" i="20"/>
  <c r="AO67" i="21"/>
  <c r="AO73" i="21" s="1"/>
  <c r="AO34" i="21"/>
  <c r="AO40" i="21" s="1"/>
  <c r="AO56" i="21"/>
  <c r="AO62" i="21" s="1"/>
  <c r="AO45" i="21"/>
  <c r="AO51" i="21" s="1"/>
  <c r="AO24" i="21"/>
  <c r="T61" i="21"/>
  <c r="AU22" i="20"/>
  <c r="AH24" i="18"/>
  <c r="AH45" i="18"/>
  <c r="AH51" i="18" s="1"/>
  <c r="AH56" i="18"/>
  <c r="AH62" i="18" s="1"/>
  <c r="AH67" i="18"/>
  <c r="AH73" i="18" s="1"/>
  <c r="AH34" i="18"/>
  <c r="AH40" i="18" s="1"/>
  <c r="AA55" i="20"/>
  <c r="AA23" i="20"/>
  <c r="AA44" i="20"/>
  <c r="AA66" i="20"/>
  <c r="AA33" i="20"/>
  <c r="AK22" i="20"/>
  <c r="N44" i="20"/>
  <c r="N66" i="20"/>
  <c r="N33" i="20"/>
  <c r="N55" i="20"/>
  <c r="N23" i="20"/>
  <c r="U61" i="21"/>
  <c r="U57" i="21"/>
  <c r="AF23" i="19"/>
  <c r="AF66" i="19"/>
  <c r="AF33" i="19"/>
  <c r="AF55" i="19"/>
  <c r="AF44" i="19"/>
  <c r="AR56" i="21"/>
  <c r="AR62" i="21" s="1"/>
  <c r="AR24" i="21"/>
  <c r="AR45" i="21"/>
  <c r="AR51" i="21" s="1"/>
  <c r="AR34" i="21"/>
  <c r="AR40" i="21" s="1"/>
  <c r="AR67" i="21"/>
  <c r="AR73" i="21" s="1"/>
  <c r="AQ55" i="18"/>
  <c r="AQ23" i="18"/>
  <c r="AQ33" i="18"/>
  <c r="AQ66" i="18"/>
  <c r="AQ44" i="18"/>
  <c r="L22" i="20"/>
  <c r="AP22" i="20"/>
  <c r="I56" i="18"/>
  <c r="I62" i="18" s="1"/>
  <c r="I24" i="18"/>
  <c r="I45" i="18"/>
  <c r="I51" i="18" s="1"/>
  <c r="I67" i="18"/>
  <c r="I73" i="18" s="1"/>
  <c r="I34" i="18"/>
  <c r="I40" i="18" s="1"/>
  <c r="K55" i="19"/>
  <c r="K44" i="19"/>
  <c r="K66" i="19"/>
  <c r="K33" i="19"/>
  <c r="K23" i="19"/>
  <c r="AW33" i="20"/>
  <c r="AW23" i="20"/>
  <c r="AW44" i="20"/>
  <c r="AW55" i="20"/>
  <c r="AW66" i="20"/>
  <c r="AT50" i="21"/>
  <c r="H23" i="21"/>
  <c r="H55" i="21"/>
  <c r="H66" i="21"/>
  <c r="H33" i="21"/>
  <c r="H44" i="21"/>
  <c r="F33" i="21"/>
  <c r="F44" i="21"/>
  <c r="F23" i="21"/>
  <c r="F66" i="21"/>
  <c r="F55" i="21"/>
  <c r="L34" i="21"/>
  <c r="L40" i="21" s="1"/>
  <c r="L56" i="21"/>
  <c r="L62" i="21" s="1"/>
  <c r="L45" i="21"/>
  <c r="L51" i="21" s="1"/>
  <c r="L24" i="21"/>
  <c r="L67" i="21"/>
  <c r="L73" i="21" s="1"/>
  <c r="O55" i="21"/>
  <c r="O44" i="21"/>
  <c r="O23" i="21"/>
  <c r="O66" i="21"/>
  <c r="O33" i="21"/>
  <c r="P67" i="21"/>
  <c r="P73" i="21" s="1"/>
  <c r="P34" i="21"/>
  <c r="P40" i="21" s="1"/>
  <c r="P56" i="21"/>
  <c r="P62" i="21" s="1"/>
  <c r="P45" i="21"/>
  <c r="P51" i="21" s="1"/>
  <c r="P24" i="21"/>
  <c r="Z66" i="21"/>
  <c r="Z55" i="21"/>
  <c r="Z23" i="21"/>
  <c r="Z44" i="21"/>
  <c r="Z33" i="21"/>
  <c r="N34" i="21"/>
  <c r="N40" i="21" s="1"/>
  <c r="N24" i="21"/>
  <c r="N56" i="21"/>
  <c r="N62" i="21" s="1"/>
  <c r="N67" i="21"/>
  <c r="N73" i="21" s="1"/>
  <c r="N45" i="21"/>
  <c r="N51" i="21" s="1"/>
  <c r="G56" i="21"/>
  <c r="G62" i="21" s="1"/>
  <c r="G45" i="21"/>
  <c r="G51" i="21" s="1"/>
  <c r="G24" i="21"/>
  <c r="G34" i="21"/>
  <c r="G40" i="21" s="1"/>
  <c r="G67" i="21"/>
  <c r="G73" i="21" s="1"/>
  <c r="Y55" i="21"/>
  <c r="Y23" i="21"/>
  <c r="Y33" i="21"/>
  <c r="Y44" i="21"/>
  <c r="Y66" i="21"/>
  <c r="F35" i="21" l="1"/>
  <c r="F39" i="21"/>
  <c r="K46" i="19"/>
  <c r="K50" i="19"/>
  <c r="AA39" i="20"/>
  <c r="AB39" i="19"/>
  <c r="AB35" i="19"/>
  <c r="R46" i="21"/>
  <c r="R50" i="21"/>
  <c r="AL68" i="21"/>
  <c r="AL72" i="21"/>
  <c r="J39" i="20"/>
  <c r="AF46" i="20"/>
  <c r="AF50" i="20"/>
  <c r="J34" i="20"/>
  <c r="J40" i="20" s="1"/>
  <c r="J24" i="20"/>
  <c r="J56" i="20"/>
  <c r="J62" i="20" s="1"/>
  <c r="J67" i="20"/>
  <c r="J73" i="20" s="1"/>
  <c r="J45" i="20"/>
  <c r="J51" i="20" s="1"/>
  <c r="AH50" i="19"/>
  <c r="AH46" i="19"/>
  <c r="X46" i="19"/>
  <c r="X50" i="19"/>
  <c r="L61" i="20"/>
  <c r="AL39" i="20"/>
  <c r="Q57" i="21"/>
  <c r="Q61" i="21"/>
  <c r="AC50" i="20"/>
  <c r="R68" i="19"/>
  <c r="R72" i="19"/>
  <c r="Z72" i="18"/>
  <c r="Z68" i="18"/>
  <c r="AC35" i="21"/>
  <c r="AC39" i="21"/>
  <c r="AR23" i="20"/>
  <c r="AR66" i="20"/>
  <c r="AR33" i="20"/>
  <c r="AR44" i="20"/>
  <c r="AR55" i="20"/>
  <c r="I39" i="21"/>
  <c r="I35" i="21"/>
  <c r="AI57" i="20"/>
  <c r="AI61" i="20"/>
  <c r="G68" i="18"/>
  <c r="G72" i="18"/>
  <c r="AR39" i="18"/>
  <c r="AR35" i="18"/>
  <c r="T50" i="20"/>
  <c r="AP35" i="19"/>
  <c r="AP39" i="19"/>
  <c r="S46" i="18"/>
  <c r="S50" i="18"/>
  <c r="F68" i="19"/>
  <c r="F72" i="19"/>
  <c r="F61" i="18"/>
  <c r="F57" i="18"/>
  <c r="P68" i="18"/>
  <c r="P72" i="18"/>
  <c r="E45" i="18"/>
  <c r="E51" i="18" s="1"/>
  <c r="E67" i="18"/>
  <c r="E73" i="18" s="1"/>
  <c r="E34" i="18"/>
  <c r="E40" i="18" s="1"/>
  <c r="E56" i="18"/>
  <c r="E62" i="18" s="1"/>
  <c r="E24" i="18"/>
  <c r="AT39" i="18"/>
  <c r="AT35" i="18"/>
  <c r="AI72" i="21"/>
  <c r="AI68" i="21"/>
  <c r="AU72" i="20"/>
  <c r="S46" i="21"/>
  <c r="AB46" i="20"/>
  <c r="AB50" i="20"/>
  <c r="Q72" i="19"/>
  <c r="Q68" i="19"/>
  <c r="AN72" i="21"/>
  <c r="AN68" i="21"/>
  <c r="AG50" i="20"/>
  <c r="Z67" i="20"/>
  <c r="Z73" i="20" s="1"/>
  <c r="Z34" i="20"/>
  <c r="Z40" i="20" s="1"/>
  <c r="Z56" i="20"/>
  <c r="Z62" i="20" s="1"/>
  <c r="Z24" i="20"/>
  <c r="Z45" i="20"/>
  <c r="Z51" i="20" s="1"/>
  <c r="AN35" i="18"/>
  <c r="AN39" i="18"/>
  <c r="AK35" i="21"/>
  <c r="AK39" i="21"/>
  <c r="P45" i="20"/>
  <c r="P51" i="20" s="1"/>
  <c r="P67" i="20"/>
  <c r="P73" i="20" s="1"/>
  <c r="P34" i="20"/>
  <c r="P40" i="20" s="1"/>
  <c r="P56" i="20"/>
  <c r="P62" i="20" s="1"/>
  <c r="P24" i="20"/>
  <c r="AJ46" i="19"/>
  <c r="AJ50" i="19"/>
  <c r="AX68" i="19"/>
  <c r="AX72" i="19"/>
  <c r="AE57" i="19"/>
  <c r="AE61" i="19"/>
  <c r="AE72" i="20"/>
  <c r="R44" i="18"/>
  <c r="R33" i="18"/>
  <c r="R23" i="18"/>
  <c r="R55" i="18"/>
  <c r="R66" i="18"/>
  <c r="AW57" i="18"/>
  <c r="AW61" i="18"/>
  <c r="AC68" i="18"/>
  <c r="AC72" i="18"/>
  <c r="E67" i="21"/>
  <c r="E73" i="21" s="1"/>
  <c r="E56" i="21"/>
  <c r="E62" i="21" s="1"/>
  <c r="E24" i="21"/>
  <c r="E34" i="21"/>
  <c r="E40" i="21" s="1"/>
  <c r="E45" i="21"/>
  <c r="E51" i="21" s="1"/>
  <c r="AW61" i="20"/>
  <c r="AQ46" i="18"/>
  <c r="AQ50" i="18"/>
  <c r="Z57" i="19"/>
  <c r="Z61" i="19"/>
  <c r="AB68" i="19"/>
  <c r="AB72" i="19"/>
  <c r="AL50" i="18"/>
  <c r="AL46" i="18"/>
  <c r="AF61" i="20"/>
  <c r="AF57" i="20"/>
  <c r="X68" i="21"/>
  <c r="X72" i="21"/>
  <c r="AZ22" i="18"/>
  <c r="R46" i="19"/>
  <c r="R50" i="19"/>
  <c r="AW72" i="19"/>
  <c r="AW68" i="19"/>
  <c r="Z46" i="18"/>
  <c r="Z50" i="18"/>
  <c r="AC72" i="21"/>
  <c r="AC68" i="21"/>
  <c r="T35" i="18"/>
  <c r="T39" i="18"/>
  <c r="I68" i="21"/>
  <c r="I72" i="21"/>
  <c r="AO68" i="21"/>
  <c r="AO72" i="21"/>
  <c r="AM61" i="20"/>
  <c r="AM57" i="20"/>
  <c r="AR72" i="19"/>
  <c r="AR68" i="19"/>
  <c r="AU72" i="19"/>
  <c r="AU68" i="19"/>
  <c r="AU46" i="18"/>
  <c r="AU50" i="18"/>
  <c r="AM45" i="21"/>
  <c r="AM51" i="21" s="1"/>
  <c r="AM34" i="21"/>
  <c r="AM40" i="21" s="1"/>
  <c r="AM24" i="21"/>
  <c r="AM67" i="21"/>
  <c r="AM73" i="21" s="1"/>
  <c r="AM56" i="21"/>
  <c r="AM62" i="21" s="1"/>
  <c r="AI35" i="21"/>
  <c r="AI39" i="21"/>
  <c r="AJ61" i="20"/>
  <c r="AV50" i="19"/>
  <c r="AV46" i="19"/>
  <c r="AI72" i="18"/>
  <c r="AI68" i="18"/>
  <c r="AN72" i="18"/>
  <c r="AN68" i="18"/>
  <c r="P66" i="20"/>
  <c r="P33" i="20"/>
  <c r="P55" i="20"/>
  <c r="P44" i="20"/>
  <c r="P23" i="20"/>
  <c r="AK50" i="20"/>
  <c r="D72" i="20"/>
  <c r="AE50" i="20"/>
  <c r="M68" i="21"/>
  <c r="M72" i="21"/>
  <c r="P68" i="21"/>
  <c r="P72" i="21"/>
  <c r="E33" i="21"/>
  <c r="E23" i="21"/>
  <c r="E66" i="21"/>
  <c r="E55" i="21"/>
  <c r="E44" i="21"/>
  <c r="AZ21" i="21"/>
  <c r="Y46" i="21"/>
  <c r="Y50" i="21"/>
  <c r="O35" i="21"/>
  <c r="O39" i="21"/>
  <c r="H39" i="21"/>
  <c r="H35" i="21"/>
  <c r="AW50" i="20"/>
  <c r="AW46" i="20"/>
  <c r="AQ72" i="18"/>
  <c r="AQ68" i="18"/>
  <c r="AA46" i="20"/>
  <c r="AA50" i="20"/>
  <c r="AU45" i="20"/>
  <c r="AU51" i="20" s="1"/>
  <c r="AU34" i="20"/>
  <c r="AU40" i="20" s="1"/>
  <c r="AU56" i="20"/>
  <c r="AU62" i="20" s="1"/>
  <c r="AU24" i="20"/>
  <c r="AU67" i="20"/>
  <c r="AU73" i="20" s="1"/>
  <c r="W45" i="20"/>
  <c r="W51" i="20" s="1"/>
  <c r="W67" i="20"/>
  <c r="W73" i="20" s="1"/>
  <c r="W34" i="20"/>
  <c r="W40" i="20" s="1"/>
  <c r="W24" i="20"/>
  <c r="W56" i="20"/>
  <c r="W62" i="20" s="1"/>
  <c r="Z68" i="19"/>
  <c r="Z72" i="19"/>
  <c r="G66" i="20"/>
  <c r="G33" i="20"/>
  <c r="G23" i="20"/>
  <c r="G44" i="20"/>
  <c r="G55" i="20"/>
  <c r="AY72" i="20"/>
  <c r="AY68" i="20"/>
  <c r="AK57" i="19"/>
  <c r="AK61" i="19"/>
  <c r="K35" i="18"/>
  <c r="K39" i="18"/>
  <c r="R57" i="21"/>
  <c r="R61" i="21"/>
  <c r="AL50" i="21"/>
  <c r="AL46" i="21"/>
  <c r="AL68" i="18"/>
  <c r="AL72" i="18"/>
  <c r="J46" i="20"/>
  <c r="J50" i="20"/>
  <c r="AF35" i="20"/>
  <c r="AF39" i="20"/>
  <c r="AV66" i="21"/>
  <c r="AV33" i="21"/>
  <c r="AV55" i="21"/>
  <c r="AV44" i="21"/>
  <c r="AV23" i="21"/>
  <c r="AY46" i="18"/>
  <c r="AY50" i="18"/>
  <c r="N50" i="19"/>
  <c r="N46" i="19"/>
  <c r="L57" i="21"/>
  <c r="L61" i="21"/>
  <c r="X57" i="19"/>
  <c r="X61" i="19"/>
  <c r="AX68" i="21"/>
  <c r="AX72" i="21"/>
  <c r="AL46" i="20"/>
  <c r="AL50" i="20"/>
  <c r="AE24" i="21"/>
  <c r="AE67" i="21"/>
  <c r="AE73" i="21" s="1"/>
  <c r="AE34" i="21"/>
  <c r="AE40" i="21" s="1"/>
  <c r="AE45" i="21"/>
  <c r="AE51" i="21" s="1"/>
  <c r="AE56" i="21"/>
  <c r="AE62" i="21" s="1"/>
  <c r="AG68" i="21"/>
  <c r="AG72" i="21"/>
  <c r="W68" i="19"/>
  <c r="W72" i="19"/>
  <c r="AT57" i="19"/>
  <c r="AT61" i="19"/>
  <c r="W50" i="18"/>
  <c r="W46" i="18"/>
  <c r="AW35" i="19"/>
  <c r="AW39" i="19"/>
  <c r="V39" i="18"/>
  <c r="V35" i="18"/>
  <c r="AO35" i="18"/>
  <c r="AO39" i="18"/>
  <c r="AC46" i="21"/>
  <c r="AC50" i="21"/>
  <c r="D57" i="21"/>
  <c r="T46" i="18"/>
  <c r="T50" i="18"/>
  <c r="AS57" i="19"/>
  <c r="AS61" i="19"/>
  <c r="AY35" i="21"/>
  <c r="AY39" i="21"/>
  <c r="J35" i="19"/>
  <c r="J39" i="19"/>
  <c r="G57" i="18"/>
  <c r="G61" i="18"/>
  <c r="AP57" i="18"/>
  <c r="AP61" i="18"/>
  <c r="AR50" i="18"/>
  <c r="AR46" i="18"/>
  <c r="AO61" i="21"/>
  <c r="AO57" i="21"/>
  <c r="P72" i="19"/>
  <c r="P68" i="19"/>
  <c r="AM39" i="20"/>
  <c r="AJ39" i="18"/>
  <c r="AJ35" i="18"/>
  <c r="J61" i="21"/>
  <c r="J57" i="21"/>
  <c r="T61" i="20"/>
  <c r="H35" i="19"/>
  <c r="H39" i="19"/>
  <c r="V68" i="20"/>
  <c r="V72" i="20"/>
  <c r="AQ45" i="20"/>
  <c r="AQ51" i="20" s="1"/>
  <c r="AQ24" i="20"/>
  <c r="AQ56" i="20"/>
  <c r="AQ62" i="20" s="1"/>
  <c r="AQ34" i="20"/>
  <c r="AQ40" i="20" s="1"/>
  <c r="AQ67" i="20"/>
  <c r="AQ73" i="20" s="1"/>
  <c r="U35" i="19"/>
  <c r="U39" i="19"/>
  <c r="Z68" i="20"/>
  <c r="Z72" i="20"/>
  <c r="S57" i="18"/>
  <c r="S61" i="18"/>
  <c r="F61" i="19"/>
  <c r="F57" i="19"/>
  <c r="AX39" i="20"/>
  <c r="AX35" i="20"/>
  <c r="AU46" i="19"/>
  <c r="AU50" i="19"/>
  <c r="F68" i="18"/>
  <c r="F72" i="18"/>
  <c r="Y24" i="18"/>
  <c r="Y67" i="18"/>
  <c r="Y73" i="18" s="1"/>
  <c r="Y45" i="18"/>
  <c r="Y51" i="18" s="1"/>
  <c r="Y56" i="18"/>
  <c r="Y62" i="18" s="1"/>
  <c r="Y34" i="18"/>
  <c r="Y40" i="18" s="1"/>
  <c r="T11" i="23"/>
  <c r="T45" i="23" s="1"/>
  <c r="W61" i="20"/>
  <c r="AM66" i="21"/>
  <c r="AM33" i="21"/>
  <c r="AM55" i="21"/>
  <c r="AM23" i="21"/>
  <c r="AM44" i="21"/>
  <c r="AT68" i="18"/>
  <c r="AT72" i="18"/>
  <c r="AI46" i="21"/>
  <c r="AI50" i="21"/>
  <c r="AO67" i="20"/>
  <c r="AO73" i="20" s="1"/>
  <c r="AO34" i="20"/>
  <c r="AO40" i="20" s="1"/>
  <c r="AO56" i="20"/>
  <c r="AO62" i="20" s="1"/>
  <c r="AO24" i="20"/>
  <c r="AO45" i="20"/>
  <c r="AO51" i="20" s="1"/>
  <c r="AB57" i="20"/>
  <c r="AB61" i="20"/>
  <c r="F61" i="20"/>
  <c r="Q50" i="19"/>
  <c r="Q46" i="19"/>
  <c r="AH57" i="21"/>
  <c r="AH61" i="21"/>
  <c r="AG61" i="20"/>
  <c r="AM61" i="19"/>
  <c r="AM57" i="19"/>
  <c r="AV35" i="19"/>
  <c r="AV39" i="19"/>
  <c r="AC66" i="19"/>
  <c r="AC33" i="19"/>
  <c r="AC55" i="19"/>
  <c r="AC44" i="19"/>
  <c r="AC23" i="19"/>
  <c r="AI46" i="18"/>
  <c r="AI50" i="18"/>
  <c r="L23" i="19"/>
  <c r="L66" i="19"/>
  <c r="L33" i="19"/>
  <c r="L44" i="19"/>
  <c r="L55" i="19"/>
  <c r="AN46" i="18"/>
  <c r="AN50" i="18"/>
  <c r="G35" i="21"/>
  <c r="G39" i="21"/>
  <c r="AK57" i="21"/>
  <c r="AK61" i="21"/>
  <c r="AZ22" i="21"/>
  <c r="AM46" i="18"/>
  <c r="AM50" i="18"/>
  <c r="N57" i="21"/>
  <c r="N61" i="21"/>
  <c r="AA35" i="19"/>
  <c r="AA39" i="19"/>
  <c r="AJ57" i="19"/>
  <c r="AJ61" i="19"/>
  <c r="AP35" i="21"/>
  <c r="AP39" i="21"/>
  <c r="D50" i="20"/>
  <c r="M57" i="20"/>
  <c r="M61" i="20"/>
  <c r="AF68" i="21"/>
  <c r="AF72" i="21"/>
  <c r="H39" i="20"/>
  <c r="U72" i="20"/>
  <c r="AU45" i="21"/>
  <c r="AU51" i="21" s="1"/>
  <c r="AU34" i="21"/>
  <c r="AU40" i="21" s="1"/>
  <c r="AU24" i="21"/>
  <c r="AU56" i="21"/>
  <c r="AU62" i="21" s="1"/>
  <c r="AU67" i="21"/>
  <c r="AU73" i="21" s="1"/>
  <c r="X57" i="18"/>
  <c r="X61" i="18"/>
  <c r="AD50" i="18"/>
  <c r="AD46" i="18"/>
  <c r="S72" i="20"/>
  <c r="D68" i="19"/>
  <c r="D72" i="19"/>
  <c r="I68" i="20"/>
  <c r="I72" i="20"/>
  <c r="O39" i="20"/>
  <c r="M57" i="21"/>
  <c r="M61" i="21"/>
  <c r="AS24" i="20"/>
  <c r="AS67" i="20"/>
  <c r="AS73" i="20" s="1"/>
  <c r="AS34" i="20"/>
  <c r="AS40" i="20" s="1"/>
  <c r="AS56" i="20"/>
  <c r="AS62" i="20" s="1"/>
  <c r="AS45" i="20"/>
  <c r="AS51" i="20" s="1"/>
  <c r="O45" i="20"/>
  <c r="O51" i="20" s="1"/>
  <c r="O67" i="20"/>
  <c r="O73" i="20" s="1"/>
  <c r="O34" i="20"/>
  <c r="O40" i="20" s="1"/>
  <c r="O56" i="20"/>
  <c r="O62" i="20" s="1"/>
  <c r="O24" i="20"/>
  <c r="AP39" i="20"/>
  <c r="E21" i="20"/>
  <c r="E22" i="20"/>
  <c r="AZ22" i="20" s="1"/>
  <c r="Y35" i="21"/>
  <c r="Y39" i="21"/>
  <c r="Z57" i="21"/>
  <c r="Z61" i="21"/>
  <c r="O72" i="21"/>
  <c r="O68" i="21"/>
  <c r="H72" i="21"/>
  <c r="H68" i="21"/>
  <c r="AQ35" i="18"/>
  <c r="AQ39" i="18"/>
  <c r="AF46" i="19"/>
  <c r="AF50" i="19"/>
  <c r="N57" i="20"/>
  <c r="N61" i="20"/>
  <c r="Z46" i="19"/>
  <c r="Z50" i="19"/>
  <c r="AY46" i="20"/>
  <c r="AY50" i="20"/>
  <c r="AK50" i="19"/>
  <c r="AK46" i="19"/>
  <c r="K72" i="18"/>
  <c r="K68" i="18"/>
  <c r="R72" i="21"/>
  <c r="R68" i="21"/>
  <c r="X50" i="20"/>
  <c r="J72" i="20"/>
  <c r="AF68" i="20"/>
  <c r="AF72" i="20"/>
  <c r="V61" i="19"/>
  <c r="V57" i="19"/>
  <c r="AQ55" i="21"/>
  <c r="AQ23" i="21"/>
  <c r="AQ44" i="21"/>
  <c r="AQ33" i="21"/>
  <c r="AQ66" i="21"/>
  <c r="AV67" i="21"/>
  <c r="AV73" i="21" s="1"/>
  <c r="AV56" i="21"/>
  <c r="AV62" i="21" s="1"/>
  <c r="AV45" i="21"/>
  <c r="AV51" i="21" s="1"/>
  <c r="AV24" i="21"/>
  <c r="AV34" i="21"/>
  <c r="AV40" i="21" s="1"/>
  <c r="AY72" i="18"/>
  <c r="AY68" i="18"/>
  <c r="AJ68" i="21"/>
  <c r="AJ72" i="21"/>
  <c r="L72" i="21"/>
  <c r="L68" i="21"/>
  <c r="X61" i="21"/>
  <c r="X57" i="21"/>
  <c r="AV57" i="20"/>
  <c r="AV61" i="20"/>
  <c r="X72" i="19"/>
  <c r="X68" i="19"/>
  <c r="AX35" i="21"/>
  <c r="AX39" i="21"/>
  <c r="AA34" i="20"/>
  <c r="AA40" i="20" s="1"/>
  <c r="AA56" i="20"/>
  <c r="AA62" i="20" s="1"/>
  <c r="AA24" i="20"/>
  <c r="AA45" i="20"/>
  <c r="AA51" i="20" s="1"/>
  <c r="AA67" i="20"/>
  <c r="AA73" i="20" s="1"/>
  <c r="AE66" i="21"/>
  <c r="AE33" i="21"/>
  <c r="AE55" i="21"/>
  <c r="AE23" i="21"/>
  <c r="AE44" i="21"/>
  <c r="AG57" i="21"/>
  <c r="AG61" i="21"/>
  <c r="W24" i="21"/>
  <c r="W67" i="21"/>
  <c r="W73" i="21" s="1"/>
  <c r="W34" i="21"/>
  <c r="W40" i="21" s="1"/>
  <c r="W56" i="21"/>
  <c r="W62" i="21" s="1"/>
  <c r="W45" i="21"/>
  <c r="W51" i="21" s="1"/>
  <c r="W46" i="19"/>
  <c r="W50" i="19"/>
  <c r="H57" i="18"/>
  <c r="H61" i="18"/>
  <c r="W61" i="18"/>
  <c r="W57" i="18"/>
  <c r="AW46" i="19"/>
  <c r="AW50" i="19"/>
  <c r="AO57" i="18"/>
  <c r="AO61" i="18"/>
  <c r="AC61" i="21"/>
  <c r="AC57" i="21"/>
  <c r="K55" i="20"/>
  <c r="K23" i="20"/>
  <c r="K44" i="20"/>
  <c r="K33" i="20"/>
  <c r="K66" i="20"/>
  <c r="AS68" i="19"/>
  <c r="AS72" i="19"/>
  <c r="AY46" i="21"/>
  <c r="AY50" i="21"/>
  <c r="J68" i="19"/>
  <c r="J72" i="19"/>
  <c r="G35" i="18"/>
  <c r="G39" i="18"/>
  <c r="AO50" i="21"/>
  <c r="AO46" i="21"/>
  <c r="O46" i="19"/>
  <c r="O50" i="19"/>
  <c r="AM72" i="20"/>
  <c r="AJ68" i="18"/>
  <c r="AJ72" i="18"/>
  <c r="J35" i="21"/>
  <c r="J39" i="21"/>
  <c r="H46" i="19"/>
  <c r="H50" i="19"/>
  <c r="V46" i="20"/>
  <c r="V50" i="20"/>
  <c r="U68" i="21"/>
  <c r="U68" i="19"/>
  <c r="U72" i="19"/>
  <c r="Z50" i="20"/>
  <c r="Z46" i="20"/>
  <c r="G68" i="19"/>
  <c r="G72" i="19"/>
  <c r="F35" i="19"/>
  <c r="F39" i="19"/>
  <c r="AU61" i="19"/>
  <c r="AU57" i="19"/>
  <c r="AY57" i="19"/>
  <c r="AY61" i="19"/>
  <c r="AU35" i="18"/>
  <c r="AU39" i="18"/>
  <c r="AA46" i="18"/>
  <c r="AA50" i="18"/>
  <c r="AT46" i="18"/>
  <c r="AT50" i="18"/>
  <c r="AO66" i="20"/>
  <c r="AO33" i="20"/>
  <c r="AO55" i="20"/>
  <c r="AO23" i="20"/>
  <c r="AO44" i="20"/>
  <c r="AR68" i="21"/>
  <c r="AR72" i="21"/>
  <c r="AU57" i="20"/>
  <c r="AU61" i="20"/>
  <c r="AI50" i="19"/>
  <c r="AI46" i="19"/>
  <c r="AB39" i="21"/>
  <c r="AB35" i="21"/>
  <c r="D35" i="21"/>
  <c r="AG35" i="20"/>
  <c r="AG39" i="20"/>
  <c r="AV68" i="19"/>
  <c r="AV72" i="19"/>
  <c r="AJ56" i="20"/>
  <c r="AJ62" i="20" s="1"/>
  <c r="AJ24" i="20"/>
  <c r="AJ45" i="20"/>
  <c r="AJ51" i="20" s="1"/>
  <c r="AJ67" i="20"/>
  <c r="AJ73" i="20" s="1"/>
  <c r="AJ34" i="20"/>
  <c r="AJ40" i="20" s="1"/>
  <c r="G72" i="21"/>
  <c r="G68" i="21"/>
  <c r="AK68" i="21"/>
  <c r="AK72" i="21"/>
  <c r="AL35" i="19"/>
  <c r="AL39" i="19"/>
  <c r="AM35" i="18"/>
  <c r="AM39" i="18"/>
  <c r="N50" i="21"/>
  <c r="N46" i="21"/>
  <c r="AA72" i="19"/>
  <c r="AA68" i="19"/>
  <c r="AJ72" i="19"/>
  <c r="AJ68" i="19"/>
  <c r="D61" i="20"/>
  <c r="V56" i="21"/>
  <c r="V62" i="21" s="1"/>
  <c r="V45" i="21"/>
  <c r="V51" i="21" s="1"/>
  <c r="V67" i="21"/>
  <c r="V73" i="21" s="1"/>
  <c r="V34" i="21"/>
  <c r="V40" i="21" s="1"/>
  <c r="V24" i="21"/>
  <c r="AZ24" i="21" s="1"/>
  <c r="M72" i="20"/>
  <c r="H72" i="20"/>
  <c r="U50" i="20"/>
  <c r="AU66" i="21"/>
  <c r="AU23" i="21"/>
  <c r="AU44" i="21"/>
  <c r="AU55" i="21"/>
  <c r="AU33" i="21"/>
  <c r="AD61" i="19"/>
  <c r="AD57" i="19"/>
  <c r="O72" i="18"/>
  <c r="O68" i="18"/>
  <c r="X46" i="18"/>
  <c r="X50" i="18"/>
  <c r="S39" i="20"/>
  <c r="I61" i="20"/>
  <c r="I57" i="20"/>
  <c r="O68" i="20"/>
  <c r="O72" i="20"/>
  <c r="AS66" i="20"/>
  <c r="AS33" i="20"/>
  <c r="AS55" i="20"/>
  <c r="AS23" i="20"/>
  <c r="AS44" i="20"/>
  <c r="P61" i="21"/>
  <c r="P57" i="21"/>
  <c r="AL24" i="20"/>
  <c r="AL45" i="20"/>
  <c r="AL51" i="20" s="1"/>
  <c r="AL67" i="20"/>
  <c r="AL73" i="20" s="1"/>
  <c r="AL34" i="20"/>
  <c r="AL40" i="20" s="1"/>
  <c r="AL56" i="20"/>
  <c r="AL62" i="20" s="1"/>
  <c r="Z72" i="21"/>
  <c r="Z68" i="21"/>
  <c r="F57" i="21"/>
  <c r="F61" i="21"/>
  <c r="H57" i="21"/>
  <c r="H61" i="21"/>
  <c r="AW39" i="20"/>
  <c r="AF57" i="19"/>
  <c r="AF61" i="19"/>
  <c r="N39" i="20"/>
  <c r="AA61" i="20"/>
  <c r="T57" i="21"/>
  <c r="G30" i="20"/>
  <c r="H27" i="20"/>
  <c r="AY61" i="20"/>
  <c r="AY57" i="20"/>
  <c r="K46" i="18"/>
  <c r="K50" i="18"/>
  <c r="AL57" i="18"/>
  <c r="AL61" i="18"/>
  <c r="J57" i="20"/>
  <c r="J61" i="20"/>
  <c r="J57" i="18"/>
  <c r="J61" i="18"/>
  <c r="V35" i="19"/>
  <c r="V39" i="19"/>
  <c r="AQ56" i="21"/>
  <c r="AQ62" i="21" s="1"/>
  <c r="AQ34" i="21"/>
  <c r="AQ40" i="21" s="1"/>
  <c r="AQ67" i="21"/>
  <c r="AQ73" i="21" s="1"/>
  <c r="AQ24" i="21"/>
  <c r="AQ45" i="21"/>
  <c r="AQ51" i="21" s="1"/>
  <c r="AH68" i="19"/>
  <c r="AH72" i="19"/>
  <c r="AY35" i="18"/>
  <c r="AY39" i="18"/>
  <c r="AJ39" i="21"/>
  <c r="AJ35" i="21"/>
  <c r="X35" i="21"/>
  <c r="X39" i="21"/>
  <c r="AV72" i="20"/>
  <c r="I35" i="18"/>
  <c r="I39" i="18"/>
  <c r="D61" i="18"/>
  <c r="D57" i="18"/>
  <c r="AX50" i="21"/>
  <c r="AX46" i="21"/>
  <c r="U46" i="21"/>
  <c r="Q35" i="21"/>
  <c r="Q39" i="21"/>
  <c r="W66" i="21"/>
  <c r="W33" i="21"/>
  <c r="W55" i="21"/>
  <c r="W44" i="21"/>
  <c r="W23" i="21"/>
  <c r="W35" i="19"/>
  <c r="W39" i="19"/>
  <c r="I27" i="18"/>
  <c r="H30" i="18"/>
  <c r="AV56" i="20"/>
  <c r="AV62" i="20" s="1"/>
  <c r="AV24" i="20"/>
  <c r="AV34" i="20"/>
  <c r="AV40" i="20" s="1"/>
  <c r="AV45" i="20"/>
  <c r="AV51" i="20" s="1"/>
  <c r="AV67" i="20"/>
  <c r="AV73" i="20" s="1"/>
  <c r="AT35" i="19"/>
  <c r="AT39" i="19"/>
  <c r="V57" i="18"/>
  <c r="V61" i="18"/>
  <c r="AV67" i="18"/>
  <c r="AV73" i="18" s="1"/>
  <c r="AV34" i="18"/>
  <c r="AV40" i="18" s="1"/>
  <c r="AV24" i="18"/>
  <c r="AV45" i="18"/>
  <c r="AV51" i="18" s="1"/>
  <c r="AV56" i="18"/>
  <c r="AV62" i="18" s="1"/>
  <c r="K56" i="20"/>
  <c r="K62" i="20" s="1"/>
  <c r="K34" i="20"/>
  <c r="K40" i="20" s="1"/>
  <c r="K67" i="20"/>
  <c r="K73" i="20" s="1"/>
  <c r="K24" i="20"/>
  <c r="K45" i="20"/>
  <c r="K51" i="20" s="1"/>
  <c r="T61" i="18"/>
  <c r="T57" i="18"/>
  <c r="AS57" i="21"/>
  <c r="AS50" i="19"/>
  <c r="AS46" i="19"/>
  <c r="AI68" i="20"/>
  <c r="AI72" i="20"/>
  <c r="J46" i="19"/>
  <c r="J50" i="19"/>
  <c r="AX68" i="18"/>
  <c r="AX72" i="18"/>
  <c r="O35" i="19"/>
  <c r="O39" i="19"/>
  <c r="AM50" i="20"/>
  <c r="Q66" i="18"/>
  <c r="Q33" i="18"/>
  <c r="Q55" i="18"/>
  <c r="Q44" i="18"/>
  <c r="Q23" i="18"/>
  <c r="J50" i="21"/>
  <c r="J46" i="21"/>
  <c r="I68" i="19"/>
  <c r="AH39" i="18"/>
  <c r="AH35" i="18"/>
  <c r="G46" i="19"/>
  <c r="G50" i="19"/>
  <c r="F50" i="19"/>
  <c r="F46" i="19"/>
  <c r="AX61" i="20"/>
  <c r="AU68" i="18"/>
  <c r="AU72" i="18"/>
  <c r="AA57" i="18"/>
  <c r="AA61" i="18"/>
  <c r="S68" i="21"/>
  <c r="W39" i="20"/>
  <c r="W35" i="20"/>
  <c r="Y72" i="19"/>
  <c r="Y68" i="19"/>
  <c r="AI61" i="21"/>
  <c r="AI57" i="21"/>
  <c r="E24" i="19"/>
  <c r="E67" i="19"/>
  <c r="E73" i="19" s="1"/>
  <c r="E34" i="19"/>
  <c r="E40" i="19" s="1"/>
  <c r="E45" i="19"/>
  <c r="E51" i="19" s="1"/>
  <c r="E56" i="19"/>
  <c r="E62" i="19" s="1"/>
  <c r="AS35" i="21"/>
  <c r="AR39" i="21"/>
  <c r="AR35" i="21"/>
  <c r="AI68" i="19"/>
  <c r="AI72" i="19"/>
  <c r="AB68" i="21"/>
  <c r="AB72" i="21"/>
  <c r="I57" i="19"/>
  <c r="F72" i="20"/>
  <c r="AZ22" i="19"/>
  <c r="Q39" i="19"/>
  <c r="Q35" i="19"/>
  <c r="AN46" i="21"/>
  <c r="AN50" i="21"/>
  <c r="AG72" i="20"/>
  <c r="AD61" i="20"/>
  <c r="AN57" i="18"/>
  <c r="AN61" i="18"/>
  <c r="AK46" i="21"/>
  <c r="AK50" i="21"/>
  <c r="AM68" i="18"/>
  <c r="AM72" i="18"/>
  <c r="AA46" i="19"/>
  <c r="AA50" i="19"/>
  <c r="T68" i="21"/>
  <c r="AN56" i="19"/>
  <c r="AN62" i="19" s="1"/>
  <c r="AN45" i="19"/>
  <c r="AN51" i="19" s="1"/>
  <c r="AN67" i="19"/>
  <c r="AN73" i="19" s="1"/>
  <c r="AN34" i="19"/>
  <c r="AN40" i="19" s="1"/>
  <c r="AN24" i="19"/>
  <c r="AP46" i="21"/>
  <c r="AP50" i="21"/>
  <c r="V23" i="21"/>
  <c r="V66" i="21"/>
  <c r="V33" i="21"/>
  <c r="V44" i="21"/>
  <c r="V55" i="21"/>
  <c r="AF61" i="21"/>
  <c r="AF57" i="21"/>
  <c r="AE46" i="19"/>
  <c r="AE50" i="19"/>
  <c r="T56" i="19"/>
  <c r="T62" i="19" s="1"/>
  <c r="T45" i="19"/>
  <c r="T51" i="19" s="1"/>
  <c r="T67" i="19"/>
  <c r="T73" i="19" s="1"/>
  <c r="T34" i="19"/>
  <c r="T40" i="19" s="1"/>
  <c r="T24" i="19"/>
  <c r="AD35" i="19"/>
  <c r="AD39" i="19"/>
  <c r="X39" i="18"/>
  <c r="X35" i="18"/>
  <c r="AD57" i="18"/>
  <c r="AD61" i="18"/>
  <c r="S50" i="20"/>
  <c r="S46" i="20"/>
  <c r="I50" i="20"/>
  <c r="O46" i="20"/>
  <c r="O50" i="20"/>
  <c r="M39" i="21"/>
  <c r="M35" i="21"/>
  <c r="I67" i="20"/>
  <c r="I73" i="20" s="1"/>
  <c r="I34" i="20"/>
  <c r="I40" i="20" s="1"/>
  <c r="I56" i="20"/>
  <c r="I62" i="20" s="1"/>
  <c r="I45" i="20"/>
  <c r="I51" i="20" s="1"/>
  <c r="I24" i="20"/>
  <c r="AC46" i="18"/>
  <c r="AC50" i="18"/>
  <c r="P35" i="21"/>
  <c r="P39" i="21"/>
  <c r="U56" i="20"/>
  <c r="U62" i="20" s="1"/>
  <c r="U24" i="20"/>
  <c r="U45" i="20"/>
  <c r="U51" i="20" s="1"/>
  <c r="U67" i="20"/>
  <c r="U73" i="20" s="1"/>
  <c r="U34" i="20"/>
  <c r="U40" i="20" s="1"/>
  <c r="AG24" i="19"/>
  <c r="AG67" i="19"/>
  <c r="AG73" i="19" s="1"/>
  <c r="AG34" i="19"/>
  <c r="AG40" i="19" s="1"/>
  <c r="AG45" i="19"/>
  <c r="AG51" i="19" s="1"/>
  <c r="AG56" i="19"/>
  <c r="AG62" i="19" s="1"/>
  <c r="AG66" i="19"/>
  <c r="AG33" i="19"/>
  <c r="AG55" i="19"/>
  <c r="AG23" i="19"/>
  <c r="AG44" i="19"/>
  <c r="Z35" i="21"/>
  <c r="Z39" i="21"/>
  <c r="AW72" i="20"/>
  <c r="L56" i="20"/>
  <c r="L62" i="20" s="1"/>
  <c r="L24" i="20"/>
  <c r="L45" i="20"/>
  <c r="L51" i="20" s="1"/>
  <c r="L34" i="20"/>
  <c r="L40" i="20" s="1"/>
  <c r="L67" i="20"/>
  <c r="L73" i="20" s="1"/>
  <c r="AQ39" i="20"/>
  <c r="N61" i="19"/>
  <c r="N57" i="19"/>
  <c r="L35" i="21"/>
  <c r="L39" i="21"/>
  <c r="AV35" i="20"/>
  <c r="AV39" i="20"/>
  <c r="I57" i="18"/>
  <c r="I61" i="18"/>
  <c r="H68" i="18"/>
  <c r="H72" i="18"/>
  <c r="AO72" i="18"/>
  <c r="AO68" i="18"/>
  <c r="AG57" i="18"/>
  <c r="AG61" i="18"/>
  <c r="J57" i="19"/>
  <c r="J61" i="19"/>
  <c r="AX61" i="18"/>
  <c r="AX57" i="18"/>
  <c r="AP35" i="18"/>
  <c r="AP39" i="18"/>
  <c r="AJ57" i="18"/>
  <c r="AJ61" i="18"/>
  <c r="AR57" i="19"/>
  <c r="AR61" i="19"/>
  <c r="AH46" i="18"/>
  <c r="AH50" i="18"/>
  <c r="AU61" i="18"/>
  <c r="AU57" i="18"/>
  <c r="Y39" i="19"/>
  <c r="Y35" i="19"/>
  <c r="AH35" i="21"/>
  <c r="AH39" i="21"/>
  <c r="AM72" i="19"/>
  <c r="AM68" i="19"/>
  <c r="AX34" i="20"/>
  <c r="AX40" i="20" s="1"/>
  <c r="AX24" i="20"/>
  <c r="AX45" i="20"/>
  <c r="AX51" i="20" s="1"/>
  <c r="AX56" i="20"/>
  <c r="AX62" i="20" s="1"/>
  <c r="AX67" i="20"/>
  <c r="AX73" i="20" s="1"/>
  <c r="AI35" i="18"/>
  <c r="AI39" i="18"/>
  <c r="T56" i="20"/>
  <c r="T62" i="20" s="1"/>
  <c r="T24" i="20"/>
  <c r="T45" i="20"/>
  <c r="T51" i="20" s="1"/>
  <c r="T67" i="20"/>
  <c r="T73" i="20" s="1"/>
  <c r="T34" i="20"/>
  <c r="T40" i="20" s="1"/>
  <c r="N39" i="21"/>
  <c r="N35" i="21"/>
  <c r="AK72" i="20"/>
  <c r="AK68" i="20"/>
  <c r="D39" i="20"/>
  <c r="D35" i="20"/>
  <c r="M50" i="20"/>
  <c r="H50" i="20"/>
  <c r="U39" i="20"/>
  <c r="U35" i="20"/>
  <c r="AO66" i="19"/>
  <c r="AO33" i="19"/>
  <c r="AO55" i="19"/>
  <c r="AO44" i="19"/>
  <c r="AO23" i="19"/>
  <c r="AF56" i="18"/>
  <c r="AF62" i="18" s="1"/>
  <c r="AF24" i="18"/>
  <c r="AF45" i="18"/>
  <c r="AF51" i="18" s="1"/>
  <c r="AF67" i="18"/>
  <c r="AF73" i="18" s="1"/>
  <c r="AF34" i="18"/>
  <c r="AF40" i="18" s="1"/>
  <c r="D46" i="19"/>
  <c r="D50" i="19"/>
  <c r="M50" i="21"/>
  <c r="M46" i="21"/>
  <c r="D56" i="20"/>
  <c r="D62" i="20" s="1"/>
  <c r="D24" i="20"/>
  <c r="D45" i="20"/>
  <c r="D51" i="20" s="1"/>
  <c r="D67" i="20"/>
  <c r="D73" i="20" s="1"/>
  <c r="D34" i="20"/>
  <c r="D40" i="20" s="1"/>
  <c r="Y68" i="21"/>
  <c r="Y72" i="21"/>
  <c r="Z46" i="21"/>
  <c r="Z50" i="21"/>
  <c r="H46" i="21"/>
  <c r="H50" i="21"/>
  <c r="K61" i="19"/>
  <c r="K57" i="19"/>
  <c r="AA68" i="20"/>
  <c r="AA72" i="20"/>
  <c r="G45" i="20"/>
  <c r="G51" i="20" s="1"/>
  <c r="G34" i="20"/>
  <c r="G40" i="20" s="1"/>
  <c r="G24" i="20"/>
  <c r="G67" i="20"/>
  <c r="G73" i="20" s="1"/>
  <c r="G56" i="20"/>
  <c r="G62" i="20" s="1"/>
  <c r="AY35" i="20"/>
  <c r="AY39" i="20"/>
  <c r="AK72" i="19"/>
  <c r="AK68" i="19"/>
  <c r="K57" i="18"/>
  <c r="K61" i="18"/>
  <c r="AL35" i="21"/>
  <c r="AL39" i="21"/>
  <c r="AQ50" i="20"/>
  <c r="AQ46" i="20"/>
  <c r="V68" i="19"/>
  <c r="V72" i="19"/>
  <c r="N35" i="19"/>
  <c r="N39" i="19"/>
  <c r="AV46" i="20"/>
  <c r="AV50" i="20"/>
  <c r="L50" i="20"/>
  <c r="L46" i="20"/>
  <c r="AL72" i="20"/>
  <c r="AL68" i="20"/>
  <c r="AG46" i="21"/>
  <c r="AG50" i="21"/>
  <c r="H46" i="18"/>
  <c r="H50" i="18"/>
  <c r="W35" i="18"/>
  <c r="W39" i="18"/>
  <c r="AO50" i="18"/>
  <c r="AO46" i="18"/>
  <c r="AG46" i="18"/>
  <c r="AG50" i="18"/>
  <c r="AY72" i="21"/>
  <c r="AY68" i="21"/>
  <c r="AR57" i="18"/>
  <c r="AR61" i="18"/>
  <c r="P57" i="19"/>
  <c r="P61" i="19"/>
  <c r="J68" i="21"/>
  <c r="J72" i="21"/>
  <c r="V35" i="20"/>
  <c r="V39" i="20"/>
  <c r="U57" i="19"/>
  <c r="U61" i="19"/>
  <c r="AP50" i="19"/>
  <c r="AP46" i="19"/>
  <c r="S35" i="18"/>
  <c r="S39" i="18"/>
  <c r="F35" i="18"/>
  <c r="F39" i="18"/>
  <c r="Y66" i="18"/>
  <c r="Y33" i="18"/>
  <c r="Y55" i="18"/>
  <c r="Y44" i="18"/>
  <c r="Y23" i="18"/>
  <c r="AQ57" i="19"/>
  <c r="AQ61" i="19"/>
  <c r="E66" i="18"/>
  <c r="E33" i="18"/>
  <c r="E55" i="18"/>
  <c r="E44" i="18"/>
  <c r="E23" i="18"/>
  <c r="X45" i="20"/>
  <c r="X51" i="20" s="1"/>
  <c r="X67" i="20"/>
  <c r="X73" i="20" s="1"/>
  <c r="X34" i="20"/>
  <c r="X40" i="20" s="1"/>
  <c r="X24" i="20"/>
  <c r="X56" i="20"/>
  <c r="X62" i="20" s="1"/>
  <c r="AU46" i="20"/>
  <c r="AU50" i="20"/>
  <c r="AB57" i="21"/>
  <c r="AB61" i="21"/>
  <c r="U39" i="18"/>
  <c r="U35" i="18"/>
  <c r="Q57" i="19"/>
  <c r="Q61" i="19"/>
  <c r="AH50" i="21"/>
  <c r="AH46" i="21"/>
  <c r="AM46" i="19"/>
  <c r="AM50" i="19"/>
  <c r="AC24" i="19"/>
  <c r="AC67" i="19"/>
  <c r="AC73" i="19" s="1"/>
  <c r="AC34" i="19"/>
  <c r="AC40" i="19" s="1"/>
  <c r="AC45" i="19"/>
  <c r="AC51" i="19" s="1"/>
  <c r="AC56" i="19"/>
  <c r="AC62" i="19" s="1"/>
  <c r="L56" i="19"/>
  <c r="L62" i="19" s="1"/>
  <c r="L45" i="19"/>
  <c r="L51" i="19" s="1"/>
  <c r="L67" i="19"/>
  <c r="L73" i="19" s="1"/>
  <c r="L34" i="19"/>
  <c r="L40" i="19" s="1"/>
  <c r="L24" i="19"/>
  <c r="AZ24" i="19" s="1"/>
  <c r="N68" i="21"/>
  <c r="N72" i="21"/>
  <c r="AX46" i="19"/>
  <c r="AX50" i="19"/>
  <c r="M39" i="20"/>
  <c r="M35" i="20"/>
  <c r="H61" i="20"/>
  <c r="U57" i="20"/>
  <c r="U61" i="20"/>
  <c r="AD68" i="19"/>
  <c r="AD72" i="19"/>
  <c r="AD68" i="18"/>
  <c r="AD72" i="18"/>
  <c r="AW35" i="18"/>
  <c r="AW39" i="18"/>
  <c r="D39" i="19"/>
  <c r="D35" i="19"/>
  <c r="O61" i="20"/>
  <c r="O57" i="20"/>
  <c r="AM45" i="20"/>
  <c r="AM51" i="20" s="1"/>
  <c r="AM67" i="20"/>
  <c r="AM73" i="20" s="1"/>
  <c r="AM34" i="20"/>
  <c r="AM40" i="20" s="1"/>
  <c r="AM56" i="20"/>
  <c r="AM62" i="20" s="1"/>
  <c r="AM24" i="20"/>
  <c r="AP61" i="20"/>
  <c r="Y57" i="21"/>
  <c r="Y61" i="21"/>
  <c r="O46" i="21"/>
  <c r="O50" i="21"/>
  <c r="F68" i="21"/>
  <c r="F72" i="21"/>
  <c r="AQ57" i="18"/>
  <c r="AQ61" i="18"/>
  <c r="AF39" i="19"/>
  <c r="AF35" i="19"/>
  <c r="N72" i="20"/>
  <c r="AH67" i="20"/>
  <c r="AH73" i="20" s="1"/>
  <c r="AH34" i="20"/>
  <c r="AH40" i="20" s="1"/>
  <c r="AH56" i="20"/>
  <c r="AH62" i="20" s="1"/>
  <c r="AH24" i="20"/>
  <c r="AH45" i="20"/>
  <c r="AH51" i="20" s="1"/>
  <c r="AN45" i="20"/>
  <c r="AN51" i="20" s="1"/>
  <c r="AN67" i="20"/>
  <c r="AN73" i="20" s="1"/>
  <c r="AN34" i="20"/>
  <c r="AN40" i="20" s="1"/>
  <c r="AN56" i="20"/>
  <c r="AN62" i="20" s="1"/>
  <c r="AN24" i="20"/>
  <c r="AK39" i="19"/>
  <c r="AK35" i="19"/>
  <c r="X61" i="20"/>
  <c r="X57" i="20"/>
  <c r="AL35" i="18"/>
  <c r="AL39" i="18"/>
  <c r="AQ68" i="20"/>
  <c r="AQ72" i="20"/>
  <c r="J39" i="18"/>
  <c r="J35" i="18"/>
  <c r="V50" i="19"/>
  <c r="V46" i="19"/>
  <c r="AY57" i="18"/>
  <c r="AY61" i="18"/>
  <c r="AJ46" i="21"/>
  <c r="AJ50" i="21"/>
  <c r="X50" i="21"/>
  <c r="X46" i="21"/>
  <c r="I72" i="18"/>
  <c r="I68" i="18"/>
  <c r="D39" i="18"/>
  <c r="D35" i="18"/>
  <c r="AX57" i="21"/>
  <c r="AX61" i="21"/>
  <c r="Q68" i="21"/>
  <c r="Q72" i="21"/>
  <c r="AG39" i="21"/>
  <c r="AG35" i="21"/>
  <c r="AC39" i="20"/>
  <c r="AT67" i="20"/>
  <c r="AT73" i="20" s="1"/>
  <c r="AT34" i="20"/>
  <c r="AT40" i="20" s="1"/>
  <c r="AT56" i="20"/>
  <c r="AT62" i="20" s="1"/>
  <c r="AT45" i="20"/>
  <c r="AT51" i="20" s="1"/>
  <c r="AT24" i="20"/>
  <c r="R35" i="19"/>
  <c r="R39" i="19"/>
  <c r="AT68" i="19"/>
  <c r="AT72" i="19"/>
  <c r="AW57" i="19"/>
  <c r="AW61" i="19"/>
  <c r="V68" i="18"/>
  <c r="V72" i="18"/>
  <c r="AV66" i="18"/>
  <c r="AV33" i="18"/>
  <c r="AV55" i="18"/>
  <c r="AV44" i="18"/>
  <c r="AV23" i="18"/>
  <c r="Y67" i="20"/>
  <c r="Y73" i="20" s="1"/>
  <c r="Y34" i="20"/>
  <c r="Y40" i="20" s="1"/>
  <c r="Y56" i="20"/>
  <c r="Y62" i="20" s="1"/>
  <c r="Y24" i="20"/>
  <c r="Y45" i="20"/>
  <c r="Y51" i="20" s="1"/>
  <c r="T72" i="18"/>
  <c r="T68" i="18"/>
  <c r="AI35" i="20"/>
  <c r="AI39" i="20"/>
  <c r="AY61" i="21"/>
  <c r="AY57" i="21"/>
  <c r="M24" i="19"/>
  <c r="M67" i="19"/>
  <c r="M73" i="19" s="1"/>
  <c r="M34" i="19"/>
  <c r="M40" i="19" s="1"/>
  <c r="M45" i="19"/>
  <c r="M51" i="19" s="1"/>
  <c r="M56" i="19"/>
  <c r="M62" i="19" s="1"/>
  <c r="AX35" i="18"/>
  <c r="AX39" i="18"/>
  <c r="AO39" i="21"/>
  <c r="AO35" i="21"/>
  <c r="O68" i="19"/>
  <c r="O72" i="19"/>
  <c r="Q24" i="18"/>
  <c r="Q67" i="18"/>
  <c r="Q73" i="18" s="1"/>
  <c r="Q45" i="18"/>
  <c r="Q51" i="18" s="1"/>
  <c r="Q56" i="18"/>
  <c r="Q62" i="18" s="1"/>
  <c r="Q34" i="18"/>
  <c r="Q40" i="18" s="1"/>
  <c r="AT68" i="21"/>
  <c r="AR35" i="19"/>
  <c r="AR39" i="19"/>
  <c r="H57" i="19"/>
  <c r="H61" i="19"/>
  <c r="AH57" i="18"/>
  <c r="AH61" i="18"/>
  <c r="AP68" i="19"/>
  <c r="AP72" i="19"/>
  <c r="Z57" i="20"/>
  <c r="Z61" i="20"/>
  <c r="G35" i="19"/>
  <c r="G39" i="19"/>
  <c r="AX72" i="20"/>
  <c r="AU35" i="19"/>
  <c r="AU39" i="19"/>
  <c r="AY35" i="19"/>
  <c r="AY39" i="19"/>
  <c r="P61" i="18"/>
  <c r="P57" i="18"/>
  <c r="AA39" i="18"/>
  <c r="AA35" i="18"/>
  <c r="AQ68" i="19"/>
  <c r="AQ72" i="19"/>
  <c r="W68" i="20"/>
  <c r="W72" i="20"/>
  <c r="Y57" i="19"/>
  <c r="Y61" i="19"/>
  <c r="AJ39" i="20"/>
  <c r="E66" i="19"/>
  <c r="E33" i="19"/>
  <c r="E55" i="19"/>
  <c r="E44" i="19"/>
  <c r="E23" i="19"/>
  <c r="AZ23" i="19" s="1"/>
  <c r="AR57" i="21"/>
  <c r="AR61" i="21"/>
  <c r="AI35" i="19"/>
  <c r="AI39" i="19"/>
  <c r="H27" i="21"/>
  <c r="G30" i="21"/>
  <c r="AB46" i="21"/>
  <c r="AB50" i="21"/>
  <c r="U50" i="18"/>
  <c r="U46" i="18"/>
  <c r="F35" i="20"/>
  <c r="F39" i="20"/>
  <c r="T40" i="21"/>
  <c r="T35" i="21"/>
  <c r="M56" i="20"/>
  <c r="M62" i="20" s="1"/>
  <c r="M24" i="20"/>
  <c r="M45" i="20"/>
  <c r="M51" i="20" s="1"/>
  <c r="M34" i="20"/>
  <c r="M40" i="20" s="1"/>
  <c r="M67" i="20"/>
  <c r="M73" i="20" s="1"/>
  <c r="AV57" i="19"/>
  <c r="AV61" i="19"/>
  <c r="AB45" i="18"/>
  <c r="AB51" i="18" s="1"/>
  <c r="AB67" i="18"/>
  <c r="AB73" i="18" s="1"/>
  <c r="AB34" i="18"/>
  <c r="AB40" i="18" s="1"/>
  <c r="AB24" i="18"/>
  <c r="AB56" i="18"/>
  <c r="AB62" i="18" s="1"/>
  <c r="AD35" i="20"/>
  <c r="AD39" i="20"/>
  <c r="G46" i="21"/>
  <c r="G50" i="21"/>
  <c r="AL57" i="19"/>
  <c r="AL61" i="19"/>
  <c r="AA61" i="19"/>
  <c r="AA57" i="19"/>
  <c r="AN23" i="19"/>
  <c r="AN66" i="19"/>
  <c r="AN33" i="19"/>
  <c r="AN44" i="19"/>
  <c r="AN55" i="19"/>
  <c r="AP68" i="21"/>
  <c r="AP72" i="21"/>
  <c r="AF35" i="21"/>
  <c r="AF39" i="21"/>
  <c r="AE35" i="19"/>
  <c r="AE39" i="19"/>
  <c r="AW67" i="21"/>
  <c r="AW73" i="21" s="1"/>
  <c r="AW34" i="21"/>
  <c r="AW40" i="21" s="1"/>
  <c r="AW56" i="21"/>
  <c r="AW62" i="21" s="1"/>
  <c r="AW45" i="21"/>
  <c r="AW51" i="21" s="1"/>
  <c r="AW24" i="21"/>
  <c r="T23" i="19"/>
  <c r="T66" i="19"/>
  <c r="T33" i="19"/>
  <c r="T55" i="19"/>
  <c r="T44" i="19"/>
  <c r="Q67" i="20"/>
  <c r="Q73" i="20" s="1"/>
  <c r="Q34" i="20"/>
  <c r="Q40" i="20" s="1"/>
  <c r="Q56" i="20"/>
  <c r="Q62" i="20" s="1"/>
  <c r="Q24" i="20"/>
  <c r="Q45" i="20"/>
  <c r="Q51" i="20" s="1"/>
  <c r="AD50" i="19"/>
  <c r="AD46" i="19"/>
  <c r="O35" i="18"/>
  <c r="O39" i="18"/>
  <c r="X68" i="18"/>
  <c r="X72" i="18"/>
  <c r="AD35" i="18"/>
  <c r="AD39" i="18"/>
  <c r="P50" i="21"/>
  <c r="P46" i="21"/>
  <c r="AW67" i="20"/>
  <c r="AW73" i="20" s="1"/>
  <c r="AW56" i="20"/>
  <c r="AW62" i="20" s="1"/>
  <c r="AW24" i="20"/>
  <c r="AW45" i="20"/>
  <c r="AW51" i="20" s="1"/>
  <c r="AW34" i="20"/>
  <c r="AW40" i="20" s="1"/>
  <c r="O57" i="21"/>
  <c r="O61" i="21"/>
  <c r="AT46" i="21"/>
  <c r="K35" i="19"/>
  <c r="K39" i="19"/>
  <c r="AF68" i="19"/>
  <c r="AF72" i="19"/>
  <c r="N46" i="20"/>
  <c r="N50" i="20"/>
  <c r="AH33" i="20"/>
  <c r="AH55" i="20"/>
  <c r="AH23" i="20"/>
  <c r="AH44" i="20"/>
  <c r="AH66" i="20"/>
  <c r="AN66" i="20"/>
  <c r="AN33" i="20"/>
  <c r="AN55" i="20"/>
  <c r="AN44" i="20"/>
  <c r="AN23" i="20"/>
  <c r="AB61" i="19"/>
  <c r="AB57" i="19"/>
  <c r="AL61" i="21"/>
  <c r="AL57" i="21"/>
  <c r="X35" i="20"/>
  <c r="X39" i="20"/>
  <c r="AK67" i="18"/>
  <c r="AK73" i="18" s="1"/>
  <c r="AK34" i="18"/>
  <c r="AK40" i="18" s="1"/>
  <c r="AK45" i="18"/>
  <c r="AK51" i="18" s="1"/>
  <c r="AK24" i="18"/>
  <c r="AK56" i="18"/>
  <c r="AK62" i="18" s="1"/>
  <c r="AQ61" i="20"/>
  <c r="J68" i="18"/>
  <c r="J72" i="18"/>
  <c r="AH61" i="19"/>
  <c r="AH57" i="19"/>
  <c r="N68" i="19"/>
  <c r="N72" i="19"/>
  <c r="AJ57" i="21"/>
  <c r="AJ61" i="21"/>
  <c r="I46" i="18"/>
  <c r="I50" i="18"/>
  <c r="L68" i="20"/>
  <c r="L72" i="20"/>
  <c r="D68" i="18"/>
  <c r="D72" i="18"/>
  <c r="AL57" i="20"/>
  <c r="AL61" i="20"/>
  <c r="Q46" i="21"/>
  <c r="Q50" i="21"/>
  <c r="AC61" i="20"/>
  <c r="W57" i="19"/>
  <c r="W61" i="19"/>
  <c r="AT44" i="20"/>
  <c r="AT33" i="20"/>
  <c r="AT55" i="20"/>
  <c r="AT23" i="20"/>
  <c r="AT66" i="20"/>
  <c r="AT46" i="19"/>
  <c r="AT50" i="19"/>
  <c r="N34" i="18"/>
  <c r="N40" i="18" s="1"/>
  <c r="N24" i="18"/>
  <c r="N45" i="18"/>
  <c r="N51" i="18" s="1"/>
  <c r="N67" i="18"/>
  <c r="N73" i="18" s="1"/>
  <c r="N56" i="18"/>
  <c r="N62" i="18" s="1"/>
  <c r="Z35" i="18"/>
  <c r="Z39" i="18"/>
  <c r="V46" i="18"/>
  <c r="V50" i="18"/>
  <c r="Y66" i="20"/>
  <c r="Y33" i="20"/>
  <c r="Y55" i="20"/>
  <c r="Y23" i="20"/>
  <c r="Y44" i="20"/>
  <c r="AG68" i="18"/>
  <c r="AG72" i="18"/>
  <c r="I57" i="21"/>
  <c r="I61" i="21"/>
  <c r="AS39" i="19"/>
  <c r="AS35" i="19"/>
  <c r="AI46" i="20"/>
  <c r="AI50" i="20"/>
  <c r="R67" i="20"/>
  <c r="R73" i="20" s="1"/>
  <c r="R34" i="20"/>
  <c r="R40" i="20" s="1"/>
  <c r="R56" i="20"/>
  <c r="R62" i="20" s="1"/>
  <c r="R24" i="20"/>
  <c r="R45" i="20"/>
  <c r="R51" i="20" s="1"/>
  <c r="M66" i="19"/>
  <c r="M33" i="19"/>
  <c r="M55" i="19"/>
  <c r="M23" i="19"/>
  <c r="M44" i="19"/>
  <c r="AX46" i="18"/>
  <c r="AX50" i="18"/>
  <c r="AP72" i="18"/>
  <c r="AP68" i="18"/>
  <c r="P35" i="19"/>
  <c r="P39" i="19"/>
  <c r="K68" i="21"/>
  <c r="T72" i="20"/>
  <c r="T68" i="20"/>
  <c r="AR46" i="19"/>
  <c r="AR50" i="19"/>
  <c r="H72" i="19"/>
  <c r="H68" i="19"/>
  <c r="AC56" i="20"/>
  <c r="AC62" i="20" s="1"/>
  <c r="AC24" i="20"/>
  <c r="AC45" i="20"/>
  <c r="AC51" i="20" s="1"/>
  <c r="AC67" i="20"/>
  <c r="AC73" i="20" s="1"/>
  <c r="AC34" i="20"/>
  <c r="AC40" i="20" s="1"/>
  <c r="Z35" i="20"/>
  <c r="Z39" i="20"/>
  <c r="S68" i="18"/>
  <c r="S72" i="18"/>
  <c r="AX50" i="20"/>
  <c r="F46" i="18"/>
  <c r="F50" i="18"/>
  <c r="AY68" i="19"/>
  <c r="AY72" i="19"/>
  <c r="P46" i="18"/>
  <c r="P50" i="18"/>
  <c r="AA68" i="18"/>
  <c r="AA72" i="18"/>
  <c r="AQ46" i="19"/>
  <c r="AQ50" i="19"/>
  <c r="W46" i="20"/>
  <c r="W50" i="20"/>
  <c r="Y50" i="19"/>
  <c r="Y46" i="19"/>
  <c r="AJ72" i="20"/>
  <c r="AJ68" i="20"/>
  <c r="AR46" i="21"/>
  <c r="AR50" i="21"/>
  <c r="AB35" i="20"/>
  <c r="AB39" i="20"/>
  <c r="U68" i="18"/>
  <c r="U72" i="18"/>
  <c r="F50" i="20"/>
  <c r="F46" i="20"/>
  <c r="U35" i="21"/>
  <c r="AN57" i="21"/>
  <c r="AN61" i="21"/>
  <c r="AH68" i="21"/>
  <c r="AH72" i="21"/>
  <c r="AI61" i="18"/>
  <c r="AI57" i="18"/>
  <c r="AB66" i="18"/>
  <c r="AB33" i="18"/>
  <c r="AB23" i="18"/>
  <c r="AB55" i="18"/>
  <c r="AB44" i="18"/>
  <c r="AD72" i="20"/>
  <c r="G57" i="21"/>
  <c r="G61" i="21"/>
  <c r="D51" i="21"/>
  <c r="D46" i="21"/>
  <c r="AL68" i="19"/>
  <c r="AL72" i="19"/>
  <c r="AM57" i="18"/>
  <c r="AM61" i="18"/>
  <c r="AK61" i="20"/>
  <c r="AP57" i="21"/>
  <c r="AP61" i="21"/>
  <c r="AX57" i="19"/>
  <c r="AX61" i="19"/>
  <c r="AF50" i="21"/>
  <c r="AF46" i="21"/>
  <c r="AE68" i="19"/>
  <c r="AE72" i="19"/>
  <c r="AW33" i="21"/>
  <c r="AW23" i="21"/>
  <c r="AW66" i="21"/>
  <c r="AW44" i="21"/>
  <c r="AW55" i="21"/>
  <c r="AE61" i="20"/>
  <c r="Q66" i="20"/>
  <c r="Q33" i="20"/>
  <c r="Q55" i="20"/>
  <c r="Q23" i="20"/>
  <c r="Q44" i="20"/>
  <c r="O50" i="18"/>
  <c r="O46" i="18"/>
  <c r="AW68" i="18"/>
  <c r="AW72" i="18"/>
  <c r="S61" i="20"/>
  <c r="I39" i="20"/>
  <c r="AC57" i="18"/>
  <c r="AC61" i="18"/>
  <c r="AD24" i="20"/>
  <c r="AD45" i="20"/>
  <c r="AD51" i="20" s="1"/>
  <c r="AD67" i="20"/>
  <c r="AD73" i="20" s="1"/>
  <c r="AD34" i="20"/>
  <c r="AD40" i="20" s="1"/>
  <c r="AD56" i="20"/>
  <c r="AD62" i="20" s="1"/>
  <c r="AP72" i="20"/>
  <c r="F50" i="21"/>
  <c r="F46" i="21"/>
  <c r="K72" i="19"/>
  <c r="K68" i="19"/>
  <c r="AP67" i="20"/>
  <c r="AP73" i="20" s="1"/>
  <c r="AP34" i="20"/>
  <c r="AP40" i="20" s="1"/>
  <c r="AP56" i="20"/>
  <c r="AP62" i="20" s="1"/>
  <c r="AP24" i="20"/>
  <c r="AP45" i="20"/>
  <c r="AP51" i="20" s="1"/>
  <c r="AK56" i="20"/>
  <c r="AK62" i="20" s="1"/>
  <c r="AK24" i="20"/>
  <c r="AK45" i="20"/>
  <c r="AK51" i="20" s="1"/>
  <c r="AK34" i="20"/>
  <c r="AK40" i="20" s="1"/>
  <c r="AK67" i="20"/>
  <c r="AK73" i="20" s="1"/>
  <c r="Z35" i="19"/>
  <c r="Z39" i="19"/>
  <c r="AB46" i="19"/>
  <c r="AB50" i="19"/>
  <c r="R35" i="21"/>
  <c r="R39" i="21"/>
  <c r="X68" i="20"/>
  <c r="X72" i="20"/>
  <c r="AK66" i="18"/>
  <c r="AK33" i="18"/>
  <c r="AK55" i="18"/>
  <c r="AK44" i="18"/>
  <c r="AK23" i="18"/>
  <c r="J46" i="18"/>
  <c r="J50" i="18"/>
  <c r="AH35" i="19"/>
  <c r="AH39" i="19"/>
  <c r="L46" i="21"/>
  <c r="L50" i="21"/>
  <c r="AT35" i="21"/>
  <c r="X35" i="19"/>
  <c r="X39" i="19"/>
  <c r="L39" i="20"/>
  <c r="D46" i="18"/>
  <c r="D50" i="18"/>
  <c r="AC68" i="20"/>
  <c r="AC72" i="20"/>
  <c r="H35" i="18"/>
  <c r="H39" i="18"/>
  <c r="R57" i="19"/>
  <c r="R61" i="19"/>
  <c r="W72" i="18"/>
  <c r="W68" i="18"/>
  <c r="N44" i="18"/>
  <c r="N66" i="18"/>
  <c r="N55" i="18"/>
  <c r="N23" i="18"/>
  <c r="N33" i="18"/>
  <c r="Z61" i="18"/>
  <c r="Z57" i="18"/>
  <c r="AR56" i="20"/>
  <c r="AR62" i="20" s="1"/>
  <c r="AR45" i="20"/>
  <c r="AR51" i="20" s="1"/>
  <c r="AR67" i="20"/>
  <c r="AR73" i="20" s="1"/>
  <c r="AR34" i="20"/>
  <c r="AR40" i="20" s="1"/>
  <c r="AR24" i="20"/>
  <c r="AG39" i="18"/>
  <c r="AG35" i="18"/>
  <c r="I46" i="21"/>
  <c r="I50" i="21"/>
  <c r="R33" i="20"/>
  <c r="R55" i="20"/>
  <c r="R23" i="20"/>
  <c r="R44" i="20"/>
  <c r="R66" i="20"/>
  <c r="G50" i="18"/>
  <c r="G46" i="18"/>
  <c r="AP46" i="18"/>
  <c r="AP50" i="18"/>
  <c r="AR68" i="18"/>
  <c r="AR72" i="18"/>
  <c r="P46" i="19"/>
  <c r="P50" i="19"/>
  <c r="O57" i="19"/>
  <c r="O61" i="19"/>
  <c r="AJ46" i="18"/>
  <c r="AJ50" i="18"/>
  <c r="T35" i="20"/>
  <c r="T39" i="20"/>
  <c r="V57" i="20"/>
  <c r="V61" i="20"/>
  <c r="AH68" i="18"/>
  <c r="AH72" i="18"/>
  <c r="U46" i="19"/>
  <c r="U50" i="19"/>
  <c r="F45" i="20"/>
  <c r="F51" i="20" s="1"/>
  <c r="F67" i="20"/>
  <c r="F73" i="20" s="1"/>
  <c r="F24" i="20"/>
  <c r="F34" i="20"/>
  <c r="F40" i="20" s="1"/>
  <c r="F56" i="20"/>
  <c r="F62" i="20" s="1"/>
  <c r="AP61" i="19"/>
  <c r="AP57" i="19"/>
  <c r="G57" i="19"/>
  <c r="G61" i="19"/>
  <c r="AY46" i="19"/>
  <c r="AY50" i="19"/>
  <c r="P39" i="18"/>
  <c r="P35" i="18"/>
  <c r="AQ35" i="19"/>
  <c r="AQ39" i="19"/>
  <c r="AT61" i="18"/>
  <c r="AT57" i="18"/>
  <c r="AD68" i="21"/>
  <c r="AJ46" i="20"/>
  <c r="AJ50" i="20"/>
  <c r="AU35" i="20"/>
  <c r="AU39" i="20"/>
  <c r="AI57" i="19"/>
  <c r="AI61" i="19"/>
  <c r="AS46" i="21"/>
  <c r="AB72" i="20"/>
  <c r="AB68" i="20"/>
  <c r="U57" i="18"/>
  <c r="U61" i="18"/>
  <c r="H67" i="20"/>
  <c r="H73" i="20" s="1"/>
  <c r="H24" i="20"/>
  <c r="H56" i="20"/>
  <c r="H62" i="20" s="1"/>
  <c r="H34" i="20"/>
  <c r="H40" i="20" s="1"/>
  <c r="H45" i="20"/>
  <c r="H51" i="20" s="1"/>
  <c r="AN35" i="21"/>
  <c r="AN39" i="21"/>
  <c r="AM35" i="19"/>
  <c r="AM39" i="19"/>
  <c r="AD46" i="20"/>
  <c r="AD50" i="20"/>
  <c r="S34" i="20"/>
  <c r="S40" i="20" s="1"/>
  <c r="S56" i="20"/>
  <c r="S62" i="20" s="1"/>
  <c r="S24" i="20"/>
  <c r="S67" i="20"/>
  <c r="S73" i="20" s="1"/>
  <c r="S45" i="20"/>
  <c r="S51" i="20" s="1"/>
  <c r="AL46" i="19"/>
  <c r="AL50" i="19"/>
  <c r="AK39" i="20"/>
  <c r="AK35" i="20"/>
  <c r="AJ35" i="19"/>
  <c r="AJ39" i="19"/>
  <c r="AS68" i="21"/>
  <c r="AX39" i="19"/>
  <c r="AX35" i="19"/>
  <c r="F30" i="19"/>
  <c r="G27" i="19"/>
  <c r="AG67" i="20"/>
  <c r="AG73" i="20" s="1"/>
  <c r="AG34" i="20"/>
  <c r="AG40" i="20" s="1"/>
  <c r="AG56" i="20"/>
  <c r="AG62" i="20" s="1"/>
  <c r="AG45" i="20"/>
  <c r="AG51" i="20" s="1"/>
  <c r="AG24" i="20"/>
  <c r="AE35" i="20"/>
  <c r="AE39" i="20"/>
  <c r="AO24" i="19"/>
  <c r="AO67" i="19"/>
  <c r="AO73" i="19" s="1"/>
  <c r="AO34" i="19"/>
  <c r="AO40" i="19" s="1"/>
  <c r="AO45" i="19"/>
  <c r="AO51" i="19" s="1"/>
  <c r="AO56" i="19"/>
  <c r="AO62" i="19" s="1"/>
  <c r="O61" i="18"/>
  <c r="O57" i="18"/>
  <c r="R67" i="18"/>
  <c r="R73" i="18" s="1"/>
  <c r="R34" i="18"/>
  <c r="R40" i="18" s="1"/>
  <c r="R56" i="18"/>
  <c r="R62" i="18" s="1"/>
  <c r="R24" i="18"/>
  <c r="R45" i="18"/>
  <c r="R51" i="18" s="1"/>
  <c r="AW50" i="18"/>
  <c r="AW46" i="18"/>
  <c r="AF55" i="18"/>
  <c r="AF23" i="18"/>
  <c r="AF44" i="18"/>
  <c r="AF66" i="18"/>
  <c r="AF33" i="18"/>
  <c r="D57" i="19"/>
  <c r="D61" i="19"/>
  <c r="AE45" i="20"/>
  <c r="AE51" i="20" s="1"/>
  <c r="AE67" i="20"/>
  <c r="AE73" i="20" s="1"/>
  <c r="AE34" i="20"/>
  <c r="AE40" i="20" s="1"/>
  <c r="AE56" i="20"/>
  <c r="AE62" i="20" s="1"/>
  <c r="AE24" i="20"/>
  <c r="AC35" i="18"/>
  <c r="AC39" i="18"/>
  <c r="N24" i="20"/>
  <c r="N45" i="20"/>
  <c r="N51" i="20" s="1"/>
  <c r="N67" i="20"/>
  <c r="N73" i="20" s="1"/>
  <c r="N34" i="20"/>
  <c r="N40" i="20" s="1"/>
  <c r="N56" i="20"/>
  <c r="N62" i="20" s="1"/>
  <c r="AP50" i="20"/>
  <c r="M21" i="18"/>
  <c r="M22" i="18"/>
  <c r="T57" i="19" l="1"/>
  <c r="T61" i="19"/>
  <c r="AG35" i="19"/>
  <c r="AG39" i="19"/>
  <c r="W68" i="21"/>
  <c r="W72" i="21"/>
  <c r="AS57" i="20"/>
  <c r="AS61" i="20"/>
  <c r="AU35" i="21"/>
  <c r="AU39" i="21"/>
  <c r="K72" i="20"/>
  <c r="K68" i="20"/>
  <c r="AQ35" i="21"/>
  <c r="AQ39" i="21"/>
  <c r="AP35" i="20"/>
  <c r="AM68" i="21"/>
  <c r="AM72" i="21"/>
  <c r="AV72" i="21"/>
  <c r="AV68" i="21"/>
  <c r="E57" i="21"/>
  <c r="E61" i="21"/>
  <c r="P57" i="20"/>
  <c r="P61" i="20"/>
  <c r="R68" i="18"/>
  <c r="R72" i="18"/>
  <c r="AK35" i="18"/>
  <c r="AK39" i="18"/>
  <c r="AW57" i="21"/>
  <c r="AW61" i="21"/>
  <c r="AD68" i="20"/>
  <c r="M35" i="19"/>
  <c r="M39" i="19"/>
  <c r="AN46" i="20"/>
  <c r="AN50" i="20"/>
  <c r="AH35" i="20"/>
  <c r="AH39" i="20"/>
  <c r="T39" i="19"/>
  <c r="T35" i="19"/>
  <c r="AN39" i="19"/>
  <c r="AN35" i="19"/>
  <c r="I27" i="21"/>
  <c r="H30" i="21"/>
  <c r="E35" i="19"/>
  <c r="E39" i="19"/>
  <c r="AV68" i="18"/>
  <c r="AV72" i="18"/>
  <c r="Y46" i="18"/>
  <c r="Y50" i="18"/>
  <c r="AG68" i="19"/>
  <c r="AG72" i="19"/>
  <c r="I46" i="20"/>
  <c r="J27" i="18"/>
  <c r="I30" i="18"/>
  <c r="AS35" i="20"/>
  <c r="AS39" i="20"/>
  <c r="S35" i="20"/>
  <c r="AU61" i="21"/>
  <c r="AU57" i="21"/>
  <c r="D57" i="20"/>
  <c r="K35" i="20"/>
  <c r="K39" i="20"/>
  <c r="AE46" i="21"/>
  <c r="AE50" i="21"/>
  <c r="AQ46" i="21"/>
  <c r="AQ50" i="21"/>
  <c r="J68" i="20"/>
  <c r="H35" i="20"/>
  <c r="L61" i="19"/>
  <c r="L57" i="19"/>
  <c r="AC46" i="19"/>
  <c r="AC50" i="19"/>
  <c r="W57" i="20"/>
  <c r="T57" i="20"/>
  <c r="G57" i="20"/>
  <c r="G61" i="20"/>
  <c r="E68" i="21"/>
  <c r="E72" i="21"/>
  <c r="AE46" i="20"/>
  <c r="P35" i="20"/>
  <c r="P39" i="20"/>
  <c r="R61" i="18"/>
  <c r="R57" i="18"/>
  <c r="T46" i="20"/>
  <c r="M45" i="18"/>
  <c r="M51" i="18" s="1"/>
  <c r="M67" i="18"/>
  <c r="M73" i="18" s="1"/>
  <c r="M34" i="18"/>
  <c r="M40" i="18" s="1"/>
  <c r="M24" i="18"/>
  <c r="AZ24" i="18" s="1"/>
  <c r="M56" i="18"/>
  <c r="M62" i="18" s="1"/>
  <c r="AK68" i="18"/>
  <c r="AK72" i="18"/>
  <c r="AP68" i="20"/>
  <c r="I35" i="20"/>
  <c r="Q46" i="20"/>
  <c r="Q50" i="20"/>
  <c r="AW50" i="21"/>
  <c r="AW46" i="21"/>
  <c r="AB46" i="18"/>
  <c r="AB50" i="18"/>
  <c r="M68" i="19"/>
  <c r="M72" i="19"/>
  <c r="Y57" i="20"/>
  <c r="Y61" i="20"/>
  <c r="AT61" i="20"/>
  <c r="AT57" i="20"/>
  <c r="AN57" i="20"/>
  <c r="AN61" i="20"/>
  <c r="T68" i="19"/>
  <c r="T72" i="19"/>
  <c r="AN68" i="19"/>
  <c r="AN72" i="19"/>
  <c r="E68" i="19"/>
  <c r="E72" i="19"/>
  <c r="E46" i="18"/>
  <c r="E50" i="18"/>
  <c r="Y57" i="18"/>
  <c r="Y61" i="18"/>
  <c r="AW68" i="20"/>
  <c r="Q46" i="18"/>
  <c r="Q50" i="18"/>
  <c r="AA57" i="20"/>
  <c r="AS68" i="20"/>
  <c r="AS72" i="20"/>
  <c r="AU46" i="21"/>
  <c r="AU50" i="21"/>
  <c r="M68" i="20"/>
  <c r="AO46" i="20"/>
  <c r="AO50" i="20"/>
  <c r="K46" i="20"/>
  <c r="K50" i="20"/>
  <c r="L46" i="19"/>
  <c r="L50" i="19"/>
  <c r="AC57" i="19"/>
  <c r="AC61" i="19"/>
  <c r="AG57" i="20"/>
  <c r="G46" i="20"/>
  <c r="G50" i="20"/>
  <c r="AZ23" i="21"/>
  <c r="P68" i="20"/>
  <c r="P72" i="20"/>
  <c r="AJ57" i="20"/>
  <c r="J35" i="20"/>
  <c r="AA35" i="20"/>
  <c r="N46" i="18"/>
  <c r="N50" i="18"/>
  <c r="M57" i="19"/>
  <c r="M61" i="19"/>
  <c r="E57" i="19"/>
  <c r="E61" i="19"/>
  <c r="M66" i="18"/>
  <c r="M33" i="18"/>
  <c r="M55" i="18"/>
  <c r="M44" i="18"/>
  <c r="M23" i="18"/>
  <c r="AZ23" i="18" s="1"/>
  <c r="AZ21" i="18"/>
  <c r="AW68" i="21"/>
  <c r="AW72" i="21"/>
  <c r="AB57" i="18"/>
  <c r="AB61" i="18"/>
  <c r="Y35" i="20"/>
  <c r="Y39" i="20"/>
  <c r="AT35" i="20"/>
  <c r="AT39" i="20"/>
  <c r="AN35" i="20"/>
  <c r="AN39" i="20"/>
  <c r="E57" i="18"/>
  <c r="E61" i="18"/>
  <c r="Y35" i="18"/>
  <c r="Y39" i="18"/>
  <c r="H46" i="20"/>
  <c r="AQ35" i="20"/>
  <c r="AD57" i="20"/>
  <c r="Q57" i="18"/>
  <c r="Q61" i="18"/>
  <c r="AV68" i="20"/>
  <c r="AM68" i="20"/>
  <c r="AE57" i="21"/>
  <c r="AE61" i="21"/>
  <c r="AQ61" i="21"/>
  <c r="AQ57" i="21"/>
  <c r="X46" i="20"/>
  <c r="L39" i="19"/>
  <c r="L35" i="19"/>
  <c r="AC35" i="19"/>
  <c r="AC39" i="19"/>
  <c r="E39" i="21"/>
  <c r="E35" i="21"/>
  <c r="D68" i="20"/>
  <c r="R39" i="18"/>
  <c r="R35" i="18"/>
  <c r="AR57" i="20"/>
  <c r="AR61" i="20"/>
  <c r="AL35" i="20"/>
  <c r="AP46" i="20"/>
  <c r="AF35" i="18"/>
  <c r="AF39" i="18"/>
  <c r="R68" i="20"/>
  <c r="R72" i="20"/>
  <c r="N39" i="18"/>
  <c r="N35" i="18"/>
  <c r="L35" i="20"/>
  <c r="Q57" i="20"/>
  <c r="Q61" i="20"/>
  <c r="Y68" i="20"/>
  <c r="Y72" i="20"/>
  <c r="AT50" i="20"/>
  <c r="AT46" i="20"/>
  <c r="AQ57" i="20"/>
  <c r="AN68" i="20"/>
  <c r="AN72" i="20"/>
  <c r="AJ35" i="20"/>
  <c r="AX68" i="20"/>
  <c r="AP57" i="20"/>
  <c r="E35" i="18"/>
  <c r="E39" i="18"/>
  <c r="Y72" i="18"/>
  <c r="Y68" i="18"/>
  <c r="AO46" i="19"/>
  <c r="AO50" i="19"/>
  <c r="V57" i="21"/>
  <c r="V61" i="21"/>
  <c r="F68" i="20"/>
  <c r="Q35" i="18"/>
  <c r="Q39" i="18"/>
  <c r="N35" i="20"/>
  <c r="AU68" i="21"/>
  <c r="AU72" i="21"/>
  <c r="AO61" i="20"/>
  <c r="AO57" i="20"/>
  <c r="K61" i="20"/>
  <c r="K57" i="20"/>
  <c r="AE35" i="21"/>
  <c r="AE39" i="21"/>
  <c r="S68" i="20"/>
  <c r="L68" i="19"/>
  <c r="L72" i="19"/>
  <c r="AC68" i="19"/>
  <c r="AC72" i="19"/>
  <c r="AM46" i="21"/>
  <c r="AM50" i="21"/>
  <c r="G35" i="20"/>
  <c r="G39" i="20"/>
  <c r="R50" i="18"/>
  <c r="R46" i="18"/>
  <c r="AG46" i="20"/>
  <c r="AR46" i="20"/>
  <c r="AR50" i="20"/>
  <c r="AF57" i="18"/>
  <c r="AF61" i="18"/>
  <c r="R35" i="20"/>
  <c r="R39" i="20"/>
  <c r="AK61" i="18"/>
  <c r="AK57" i="18"/>
  <c r="Y46" i="20"/>
  <c r="Y50" i="20"/>
  <c r="AT68" i="20"/>
  <c r="AT72" i="20"/>
  <c r="AC57" i="20"/>
  <c r="AH57" i="20"/>
  <c r="AH61" i="20"/>
  <c r="AN46" i="19"/>
  <c r="AN50" i="19"/>
  <c r="AV35" i="18"/>
  <c r="AV39" i="18"/>
  <c r="AF72" i="18"/>
  <c r="AF68" i="18"/>
  <c r="R50" i="20"/>
  <c r="R46" i="20"/>
  <c r="S57" i="20"/>
  <c r="Q35" i="20"/>
  <c r="Q39" i="20"/>
  <c r="AW39" i="21"/>
  <c r="AW35" i="21"/>
  <c r="AB39" i="18"/>
  <c r="AB35" i="18"/>
  <c r="AH68" i="20"/>
  <c r="AH72" i="20"/>
  <c r="E68" i="18"/>
  <c r="E72" i="18"/>
  <c r="AO57" i="19"/>
  <c r="AO61" i="19"/>
  <c r="M46" i="20"/>
  <c r="AG46" i="19"/>
  <c r="AG50" i="19"/>
  <c r="V46" i="21"/>
  <c r="V50" i="21"/>
  <c r="AG68" i="20"/>
  <c r="Q72" i="18"/>
  <c r="Q68" i="18"/>
  <c r="W46" i="21"/>
  <c r="W50" i="21"/>
  <c r="AO35" i="20"/>
  <c r="AO39" i="20"/>
  <c r="AE68" i="21"/>
  <c r="AE72" i="21"/>
  <c r="E24" i="20"/>
  <c r="E67" i="20"/>
  <c r="E73" i="20" s="1"/>
  <c r="E45" i="20"/>
  <c r="E51" i="20" s="1"/>
  <c r="E34" i="20"/>
  <c r="E40" i="20" s="1"/>
  <c r="E56" i="20"/>
  <c r="E62" i="20" s="1"/>
  <c r="AV46" i="21"/>
  <c r="AV50" i="21"/>
  <c r="G68" i="20"/>
  <c r="G72" i="20"/>
  <c r="AK46" i="20"/>
  <c r="AU68" i="20"/>
  <c r="AR39" i="20"/>
  <c r="AR35" i="20"/>
  <c r="L57" i="20"/>
  <c r="AF50" i="18"/>
  <c r="AF46" i="18"/>
  <c r="H27" i="19"/>
  <c r="G30" i="19"/>
  <c r="N57" i="18"/>
  <c r="N61" i="18"/>
  <c r="Q68" i="20"/>
  <c r="Q72" i="20"/>
  <c r="AB68" i="18"/>
  <c r="AB72" i="18"/>
  <c r="M46" i="19"/>
  <c r="M50" i="19"/>
  <c r="AH50" i="20"/>
  <c r="AH46" i="20"/>
  <c r="AV46" i="18"/>
  <c r="AV50" i="18"/>
  <c r="AO35" i="19"/>
  <c r="AO39" i="19"/>
  <c r="V39" i="21"/>
  <c r="V35" i="21"/>
  <c r="W57" i="21"/>
  <c r="W61" i="21"/>
  <c r="H30" i="20"/>
  <c r="I27" i="20"/>
  <c r="AS46" i="20"/>
  <c r="AS50" i="20"/>
  <c r="U46" i="20"/>
  <c r="AO68" i="20"/>
  <c r="AO72" i="20"/>
  <c r="E44" i="20"/>
  <c r="E66" i="20"/>
  <c r="E55" i="20"/>
  <c r="E33" i="20"/>
  <c r="E23" i="20"/>
  <c r="AZ23" i="20" s="1"/>
  <c r="AZ21" i="20"/>
  <c r="O35" i="20"/>
  <c r="U68" i="20"/>
  <c r="AM57" i="21"/>
  <c r="AM61" i="21"/>
  <c r="AV61" i="21"/>
  <c r="AV57" i="21"/>
  <c r="AW57" i="20"/>
  <c r="AE68" i="20"/>
  <c r="AR68" i="20"/>
  <c r="AR72" i="20"/>
  <c r="R57" i="20"/>
  <c r="R61" i="20"/>
  <c r="N68" i="18"/>
  <c r="N72" i="18"/>
  <c r="AK46" i="18"/>
  <c r="AK50" i="18"/>
  <c r="AE57" i="20"/>
  <c r="AK57" i="20"/>
  <c r="AX46" i="20"/>
  <c r="T46" i="19"/>
  <c r="T50" i="19"/>
  <c r="AN57" i="19"/>
  <c r="AN61" i="19"/>
  <c r="E46" i="19"/>
  <c r="E50" i="19"/>
  <c r="AV57" i="18"/>
  <c r="AV61" i="18"/>
  <c r="AC35" i="20"/>
  <c r="N68" i="20"/>
  <c r="H57" i="20"/>
  <c r="AZ24" i="20"/>
  <c r="AO68" i="19"/>
  <c r="AO72" i="19"/>
  <c r="AG57" i="19"/>
  <c r="AG61" i="19"/>
  <c r="V68" i="21"/>
  <c r="V72" i="21"/>
  <c r="AX57" i="20"/>
  <c r="AM46" i="20"/>
  <c r="W35" i="21"/>
  <c r="W39" i="21"/>
  <c r="AW35" i="20"/>
  <c r="H68" i="20"/>
  <c r="AQ72" i="21"/>
  <c r="AQ68" i="21"/>
  <c r="D46" i="20"/>
  <c r="F57" i="20"/>
  <c r="AM35" i="21"/>
  <c r="AM39" i="21"/>
  <c r="AM35" i="20"/>
  <c r="AV35" i="21"/>
  <c r="AV39" i="21"/>
  <c r="E50" i="21"/>
  <c r="E46" i="21"/>
  <c r="P46" i="20"/>
  <c r="P50" i="20"/>
  <c r="AC46" i="20"/>
  <c r="E35" i="20" l="1"/>
  <c r="E39" i="20"/>
  <c r="E57" i="20"/>
  <c r="E61" i="20"/>
  <c r="I30" i="20"/>
  <c r="J27" i="20"/>
  <c r="K27" i="18"/>
  <c r="J30" i="18"/>
  <c r="E68" i="20"/>
  <c r="E72" i="20"/>
  <c r="M35" i="18"/>
  <c r="M39" i="18"/>
  <c r="E46" i="20"/>
  <c r="E50" i="20"/>
  <c r="M68" i="18"/>
  <c r="M72" i="18"/>
  <c r="J27" i="21"/>
  <c r="I30" i="21"/>
  <c r="M46" i="18"/>
  <c r="M50" i="18"/>
  <c r="H30" i="19"/>
  <c r="I27" i="19"/>
  <c r="M61" i="18"/>
  <c r="M57" i="18"/>
  <c r="J27" i="19" l="1"/>
  <c r="I30" i="19"/>
  <c r="L27" i="18"/>
  <c r="K30" i="18"/>
  <c r="K27" i="20"/>
  <c r="J30" i="20"/>
  <c r="J30" i="21"/>
  <c r="K27" i="21"/>
  <c r="L27" i="20" l="1"/>
  <c r="K30" i="20"/>
  <c r="K30" i="21"/>
  <c r="L27" i="21"/>
  <c r="L30" i="18"/>
  <c r="M27" i="18"/>
  <c r="K27" i="19"/>
  <c r="J30" i="19"/>
  <c r="K30" i="19" l="1"/>
  <c r="L27" i="19"/>
  <c r="N27" i="18"/>
  <c r="M30" i="18"/>
  <c r="L30" i="21"/>
  <c r="M27" i="21"/>
  <c r="M27" i="20"/>
  <c r="L30" i="20"/>
  <c r="N27" i="20" l="1"/>
  <c r="M30" i="20"/>
  <c r="N27" i="21"/>
  <c r="M30" i="21"/>
  <c r="O27" i="18"/>
  <c r="N30" i="18"/>
  <c r="L30" i="19"/>
  <c r="M27" i="19"/>
  <c r="N27" i="19" l="1"/>
  <c r="M30" i="19"/>
  <c r="O30" i="18"/>
  <c r="P27" i="18"/>
  <c r="O27" i="21"/>
  <c r="N30" i="21"/>
  <c r="O27" i="20"/>
  <c r="N30" i="20"/>
  <c r="P30" i="18" l="1"/>
  <c r="Q27" i="18"/>
  <c r="O30" i="20"/>
  <c r="P27" i="20"/>
  <c r="P27" i="21"/>
  <c r="O30" i="21"/>
  <c r="O27" i="19"/>
  <c r="N30" i="19"/>
  <c r="P30" i="20" l="1"/>
  <c r="Q27" i="20"/>
  <c r="P27" i="19"/>
  <c r="O30" i="19"/>
  <c r="Q27" i="21"/>
  <c r="P30" i="21"/>
  <c r="R27" i="18"/>
  <c r="Q30" i="18"/>
  <c r="R30" i="18" l="1"/>
  <c r="S27" i="18"/>
  <c r="R27" i="21"/>
  <c r="Q30" i="21"/>
  <c r="P30" i="19"/>
  <c r="Q27" i="19"/>
  <c r="Q30" i="20"/>
  <c r="R27" i="20"/>
  <c r="S27" i="20" l="1"/>
  <c r="R30" i="20"/>
  <c r="R27" i="19"/>
  <c r="Q30" i="19"/>
  <c r="R30" i="21"/>
  <c r="S27" i="21"/>
  <c r="T27" i="18"/>
  <c r="S30" i="18"/>
  <c r="T27" i="21" l="1"/>
  <c r="S30" i="21"/>
  <c r="T30" i="18"/>
  <c r="U27" i="18"/>
  <c r="S27" i="19"/>
  <c r="R30" i="19"/>
  <c r="T27" i="20"/>
  <c r="S30" i="20"/>
  <c r="U27" i="20" l="1"/>
  <c r="T30" i="20"/>
  <c r="V27" i="18"/>
  <c r="U30" i="18"/>
  <c r="S30" i="19"/>
  <c r="T27" i="19"/>
  <c r="U27" i="21"/>
  <c r="T30" i="21"/>
  <c r="T30" i="19" l="1"/>
  <c r="U27" i="19"/>
  <c r="U30" i="21"/>
  <c r="V27" i="21"/>
  <c r="W27" i="18"/>
  <c r="V30" i="18"/>
  <c r="V27" i="20"/>
  <c r="U30" i="20"/>
  <c r="V30" i="21" l="1"/>
  <c r="W27" i="21"/>
  <c r="W27" i="20"/>
  <c r="V30" i="20"/>
  <c r="W30" i="18"/>
  <c r="X27" i="18"/>
  <c r="V27" i="19"/>
  <c r="U30" i="19"/>
  <c r="Y27" i="18" l="1"/>
  <c r="X30" i="18"/>
  <c r="V30" i="19"/>
  <c r="W27" i="19"/>
  <c r="W30" i="20"/>
  <c r="X27" i="20"/>
  <c r="X27" i="21"/>
  <c r="W30" i="21"/>
  <c r="Y27" i="21" l="1"/>
  <c r="X30" i="21"/>
  <c r="X27" i="19"/>
  <c r="W30" i="19"/>
  <c r="X30" i="20"/>
  <c r="Y27" i="20"/>
  <c r="Z27" i="18"/>
  <c r="Y30" i="18"/>
  <c r="Z30" i="18" l="1"/>
  <c r="AA27" i="18"/>
  <c r="Y30" i="20"/>
  <c r="Z27" i="20"/>
  <c r="X30" i="19"/>
  <c r="Y27" i="19"/>
  <c r="Z27" i="21"/>
  <c r="Y30" i="21"/>
  <c r="Z27" i="19" l="1"/>
  <c r="Y30" i="19"/>
  <c r="AA27" i="20"/>
  <c r="Z30" i="20"/>
  <c r="Z30" i="21"/>
  <c r="AA27" i="21"/>
  <c r="AA30" i="18"/>
  <c r="AB27" i="18"/>
  <c r="AB27" i="20" l="1"/>
  <c r="AA30" i="20"/>
  <c r="AB30" i="18"/>
  <c r="AC27" i="18"/>
  <c r="AB27" i="21"/>
  <c r="AA30" i="21"/>
  <c r="AA27" i="19"/>
  <c r="Z30" i="19"/>
  <c r="AC27" i="21" l="1"/>
  <c r="AB30" i="21"/>
  <c r="AA30" i="19"/>
  <c r="AB27" i="19"/>
  <c r="AC30" i="18"/>
  <c r="AD27" i="18"/>
  <c r="AC27" i="20"/>
  <c r="AB30" i="20"/>
  <c r="AD27" i="20" l="1"/>
  <c r="AC30" i="20"/>
  <c r="AB30" i="19"/>
  <c r="AC27" i="19"/>
  <c r="AD30" i="18"/>
  <c r="AE27" i="18"/>
  <c r="AC30" i="21"/>
  <c r="AD27" i="21"/>
  <c r="AD27" i="19" l="1"/>
  <c r="AC30" i="19"/>
  <c r="AD30" i="21"/>
  <c r="AE27" i="21"/>
  <c r="AF27" i="18"/>
  <c r="AE30" i="18"/>
  <c r="AE27" i="20"/>
  <c r="AD30" i="20"/>
  <c r="AG27" i="18" l="1"/>
  <c r="AF30" i="18"/>
  <c r="AE30" i="20"/>
  <c r="AF27" i="20"/>
  <c r="AF27" i="21"/>
  <c r="AE30" i="21"/>
  <c r="AE27" i="19"/>
  <c r="AD30" i="19"/>
  <c r="AG27" i="21" l="1"/>
  <c r="AF30" i="21"/>
  <c r="AF30" i="20"/>
  <c r="AG27" i="20"/>
  <c r="AF27" i="19"/>
  <c r="AE30" i="19"/>
  <c r="AH27" i="18"/>
  <c r="AG30" i="18"/>
  <c r="AI27" i="18" l="1"/>
  <c r="AH30" i="18"/>
  <c r="AG30" i="20"/>
  <c r="AH27" i="20"/>
  <c r="AF30" i="19"/>
  <c r="AG27" i="19"/>
  <c r="AH27" i="21"/>
  <c r="AG30" i="21"/>
  <c r="AI27" i="21" l="1"/>
  <c r="AH30" i="21"/>
  <c r="AH27" i="19"/>
  <c r="AG30" i="19"/>
  <c r="AI27" i="20"/>
  <c r="AH30" i="20"/>
  <c r="AI30" i="18"/>
  <c r="AJ27" i="18"/>
  <c r="AJ30" i="18" l="1"/>
  <c r="AK27" i="18"/>
  <c r="AJ27" i="20"/>
  <c r="AI30" i="20"/>
  <c r="AI27" i="19"/>
  <c r="AH30" i="19"/>
  <c r="AJ27" i="21"/>
  <c r="AI30" i="21"/>
  <c r="AK27" i="21" l="1"/>
  <c r="AJ30" i="21"/>
  <c r="AJ27" i="19"/>
  <c r="AI30" i="19"/>
  <c r="AK27" i="20"/>
  <c r="AJ30" i="20"/>
  <c r="AK30" i="18"/>
  <c r="AL27" i="18"/>
  <c r="AL30" i="18" l="1"/>
  <c r="AM27" i="18"/>
  <c r="AL27" i="20"/>
  <c r="AK30" i="20"/>
  <c r="AJ30" i="19"/>
  <c r="AK27" i="19"/>
  <c r="AL27" i="21"/>
  <c r="AK30" i="21"/>
  <c r="AM27" i="21" l="1"/>
  <c r="AL30" i="21"/>
  <c r="AL27" i="19"/>
  <c r="AK30" i="19"/>
  <c r="AM27" i="20"/>
  <c r="AL30" i="20"/>
  <c r="AN27" i="18"/>
  <c r="AM30" i="18"/>
  <c r="AO27" i="18" l="1"/>
  <c r="AN30" i="18"/>
  <c r="AM30" i="20"/>
  <c r="AN27" i="20"/>
  <c r="AM27" i="19"/>
  <c r="AL30" i="19"/>
  <c r="AM30" i="21"/>
  <c r="AN27" i="21"/>
  <c r="AM30" i="19" l="1"/>
  <c r="AN27" i="19"/>
  <c r="AN30" i="20"/>
  <c r="AO27" i="20"/>
  <c r="AN30" i="21"/>
  <c r="AO27" i="21"/>
  <c r="AO30" i="18"/>
  <c r="AP27" i="18"/>
  <c r="AO30" i="21" l="1"/>
  <c r="AP27" i="21"/>
  <c r="AO30" i="20"/>
  <c r="AP27" i="20"/>
  <c r="AP30" i="18"/>
  <c r="AQ27" i="18"/>
  <c r="AN30" i="19"/>
  <c r="AO27" i="19"/>
  <c r="AP27" i="19" l="1"/>
  <c r="AO30" i="19"/>
  <c r="AQ27" i="20"/>
  <c r="AP30" i="20"/>
  <c r="AR27" i="18"/>
  <c r="AQ30" i="18"/>
  <c r="AQ27" i="21"/>
  <c r="AP30" i="21"/>
  <c r="AQ30" i="21" l="1"/>
  <c r="AR27" i="21"/>
  <c r="AS27" i="18"/>
  <c r="AR30" i="18"/>
  <c r="AQ30" i="20"/>
  <c r="AR27" i="20"/>
  <c r="AP30" i="19"/>
  <c r="AQ27" i="19"/>
  <c r="AR27" i="19" l="1"/>
  <c r="AQ30" i="19"/>
  <c r="AR30" i="20"/>
  <c r="AS27" i="20"/>
  <c r="AS27" i="21"/>
  <c r="AR30" i="21"/>
  <c r="AT27" i="18"/>
  <c r="AS30" i="18"/>
  <c r="AT30" i="18" l="1"/>
  <c r="AU27" i="18"/>
  <c r="AT27" i="20"/>
  <c r="AS30" i="20"/>
  <c r="AT27" i="21"/>
  <c r="AS30" i="21"/>
  <c r="AR30" i="19"/>
  <c r="AS27" i="19"/>
  <c r="AU27" i="20" l="1"/>
  <c r="AT30" i="20"/>
  <c r="AT27" i="19"/>
  <c r="AS30" i="19"/>
  <c r="AU27" i="21"/>
  <c r="AT30" i="21"/>
  <c r="AU30" i="18"/>
  <c r="AV27" i="18"/>
  <c r="AV30" i="18" l="1"/>
  <c r="AW27" i="18"/>
  <c r="AU30" i="21"/>
  <c r="AV27" i="21"/>
  <c r="AU27" i="19"/>
  <c r="AT30" i="19"/>
  <c r="AV27" i="20"/>
  <c r="AU30" i="20"/>
  <c r="AV30" i="20" l="1"/>
  <c r="AW27" i="20"/>
  <c r="AX27" i="18"/>
  <c r="AW30" i="18"/>
  <c r="AV27" i="19"/>
  <c r="AU30" i="19"/>
  <c r="AV30" i="21"/>
  <c r="AW27" i="21"/>
  <c r="AX27" i="21" l="1"/>
  <c r="AW30" i="21"/>
  <c r="AW27" i="19"/>
  <c r="AV30" i="19"/>
  <c r="AY27" i="18"/>
  <c r="AY30" i="18" s="1"/>
  <c r="AZ30" i="18" s="1"/>
  <c r="AX30" i="18"/>
  <c r="AX27" i="20"/>
  <c r="AW30" i="20"/>
  <c r="AY27" i="20" l="1"/>
  <c r="AY30" i="20" s="1"/>
  <c r="AZ30" i="20" s="1"/>
  <c r="AX30" i="20"/>
  <c r="AX27" i="19"/>
  <c r="AW30" i="19"/>
  <c r="AY27" i="21"/>
  <c r="AY30" i="21" s="1"/>
  <c r="AZ30" i="21" s="1"/>
  <c r="AX30" i="21"/>
  <c r="AY27" i="19" l="1"/>
  <c r="AY30" i="19" s="1"/>
  <c r="AZ30" i="19" s="1"/>
  <c r="AX30" i="19"/>
  <c r="I19" i="7" l="1"/>
  <c r="G19" i="7"/>
  <c r="H19" i="7" s="1"/>
  <c r="E19" i="7"/>
  <c r="C19" i="7"/>
  <c r="C30" i="7"/>
  <c r="C29" i="7"/>
  <c r="C28" i="7"/>
  <c r="C27" i="7"/>
  <c r="C8" i="7"/>
  <c r="G8" i="7"/>
  <c r="K8" i="7" s="1"/>
  <c r="I7" i="7"/>
  <c r="E7" i="7"/>
  <c r="D6" i="7"/>
  <c r="K6" i="7" s="1"/>
  <c r="F6" i="7"/>
  <c r="H6" i="7"/>
  <c r="J6" i="7"/>
  <c r="K31" i="7"/>
  <c r="J31" i="7"/>
  <c r="I31" i="7"/>
  <c r="H31" i="7"/>
  <c r="G31" i="7"/>
  <c r="F31" i="7"/>
  <c r="E31" i="7"/>
  <c r="D31" i="7"/>
  <c r="C31" i="7"/>
  <c r="J19" i="7"/>
  <c r="F19" i="7"/>
  <c r="D19" i="7"/>
  <c r="K11" i="7"/>
  <c r="K10" i="7"/>
  <c r="K9" i="7"/>
  <c r="K7" i="7"/>
  <c r="G12" i="5"/>
  <c r="G9" i="5"/>
  <c r="D16" i="5"/>
  <c r="P36" i="6"/>
  <c r="P30" i="6"/>
  <c r="G21" i="5"/>
  <c r="G6" i="5"/>
  <c r="H6" i="5" s="1"/>
  <c r="G7" i="5"/>
  <c r="H7" i="5" s="1"/>
  <c r="G8" i="5"/>
  <c r="H8" i="5"/>
  <c r="H9" i="5"/>
  <c r="G10" i="5"/>
  <c r="H10" i="5"/>
  <c r="G11" i="5"/>
  <c r="H11" i="5" s="1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 s="1"/>
  <c r="G40" i="5"/>
  <c r="H40" i="5"/>
  <c r="G41" i="5"/>
  <c r="H41" i="5"/>
  <c r="G42" i="5"/>
  <c r="H42" i="5"/>
  <c r="G43" i="5"/>
  <c r="H43" i="5" s="1"/>
  <c r="G44" i="5"/>
  <c r="H44" i="5"/>
  <c r="G45" i="5"/>
  <c r="H45" i="5"/>
  <c r="G46" i="5"/>
  <c r="H46" i="5"/>
  <c r="G47" i="5"/>
  <c r="H47" i="5" s="1"/>
  <c r="G48" i="5"/>
  <c r="H48" i="5"/>
  <c r="G49" i="5"/>
  <c r="H49" i="5"/>
  <c r="G50" i="5"/>
  <c r="H50" i="5"/>
  <c r="G51" i="5"/>
  <c r="H51" i="5" s="1"/>
  <c r="G52" i="5"/>
  <c r="H52" i="5"/>
  <c r="G53" i="5"/>
  <c r="H53" i="5"/>
  <c r="G54" i="5"/>
  <c r="H54" i="5"/>
  <c r="G55" i="5"/>
  <c r="H55" i="5" s="1"/>
  <c r="G56" i="5"/>
  <c r="H56" i="5"/>
  <c r="G57" i="5"/>
  <c r="H57" i="5"/>
  <c r="G58" i="5"/>
  <c r="H58" i="5"/>
  <c r="G59" i="5"/>
  <c r="H59" i="5" s="1"/>
  <c r="G60" i="5"/>
  <c r="H60" i="5"/>
  <c r="G61" i="5"/>
  <c r="H61" i="5"/>
  <c r="G62" i="5"/>
  <c r="H62" i="5"/>
  <c r="G63" i="5"/>
  <c r="H63" i="5" s="1"/>
  <c r="G64" i="5"/>
  <c r="H64" i="5"/>
  <c r="G65" i="5"/>
  <c r="H65" i="5"/>
  <c r="G66" i="5"/>
  <c r="H66" i="5"/>
  <c r="G67" i="5"/>
  <c r="H67" i="5" s="1"/>
  <c r="G68" i="5"/>
  <c r="H68" i="5"/>
  <c r="G69" i="5"/>
  <c r="H69" i="5"/>
  <c r="G70" i="5"/>
  <c r="H70" i="5"/>
  <c r="G71" i="5"/>
  <c r="H71" i="5" s="1"/>
  <c r="G72" i="5"/>
  <c r="H72" i="5"/>
  <c r="G73" i="5"/>
  <c r="H73" i="5"/>
  <c r="G74" i="5"/>
  <c r="H74" i="5"/>
  <c r="G75" i="5"/>
  <c r="H75" i="5" s="1"/>
  <c r="G76" i="5"/>
  <c r="H76" i="5"/>
  <c r="G77" i="5"/>
  <c r="H77" i="5"/>
  <c r="G78" i="5"/>
  <c r="H78" i="5"/>
  <c r="G79" i="5"/>
  <c r="H79" i="5" s="1"/>
  <c r="G80" i="5"/>
  <c r="H80" i="5"/>
  <c r="G81" i="5"/>
  <c r="H81" i="5"/>
  <c r="G82" i="5"/>
  <c r="H82" i="5"/>
  <c r="G83" i="5"/>
  <c r="H83" i="5" s="1"/>
  <c r="G84" i="5"/>
  <c r="H84" i="5"/>
  <c r="G85" i="5"/>
  <c r="H85" i="5"/>
  <c r="G86" i="5"/>
  <c r="H86" i="5"/>
  <c r="G87" i="5"/>
  <c r="H87" i="5" s="1"/>
  <c r="G88" i="5"/>
  <c r="H88" i="5"/>
  <c r="G89" i="5"/>
  <c r="H89" i="5"/>
  <c r="G90" i="5"/>
  <c r="H90" i="5"/>
  <c r="G91" i="5"/>
  <c r="H91" i="5" s="1"/>
  <c r="G92" i="5"/>
  <c r="H92" i="5"/>
  <c r="G93" i="5"/>
  <c r="H93" i="5"/>
  <c r="G94" i="5"/>
  <c r="H94" i="5"/>
  <c r="G95" i="5"/>
  <c r="H95" i="5" s="1"/>
  <c r="G96" i="5"/>
  <c r="H96" i="5"/>
  <c r="G97" i="5"/>
  <c r="H97" i="5"/>
  <c r="G98" i="5"/>
  <c r="H98" i="5"/>
  <c r="G99" i="5"/>
  <c r="H99" i="5" s="1"/>
  <c r="G100" i="5"/>
  <c r="H100" i="5"/>
  <c r="G101" i="5"/>
  <c r="H101" i="5"/>
  <c r="G102" i="5"/>
  <c r="H102" i="5"/>
  <c r="G103" i="5"/>
  <c r="H103" i="5" s="1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G107" i="5" l="1"/>
  <c r="G16" i="5"/>
</calcChain>
</file>

<file path=xl/sharedStrings.xml><?xml version="1.0" encoding="utf-8"?>
<sst xmlns="http://schemas.openxmlformats.org/spreadsheetml/2006/main" count="3153" uniqueCount="416">
  <si>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</si>
  <si>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</si>
  <si>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</si>
  <si>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</si>
  <si>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</si>
  <si>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</si>
  <si>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</si>
  <si>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</si>
  <si>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</si>
  <si>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</si>
  <si>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</si>
  <si>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</si>
  <si>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</si>
  <si>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</si>
  <si>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</si>
  <si>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</si>
  <si>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</si>
  <si>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</si>
  <si>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</si>
  <si>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</si>
  <si>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</si>
  <si>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</si>
  <si>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</si>
  <si>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</si>
  <si>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</si>
  <si>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</si>
  <si>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</si>
  <si>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</si>
  <si>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</si>
  <si>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</si>
  <si>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</si>
  <si>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</si>
  <si>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</si>
  <si>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</si>
  <si>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</si>
  <si>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</si>
  <si>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</si>
  <si>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</si>
  <si>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</si>
  <si>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</si>
  <si>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</si>
  <si>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</si>
  <si>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</si>
  <si>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</si>
  <si>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</si>
  <si>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</si>
  <si>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</si>
  <si>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</si>
  <si>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</si>
  <si>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</si>
  <si>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</si>
  <si>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</si>
  <si>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</si>
  <si>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</si>
  <si>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</si>
  <si>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</si>
  <si>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</si>
  <si>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</si>
  <si>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</si>
  <si>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</si>
  <si>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</si>
  <si>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</si>
  <si>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</si>
  <si>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</si>
  <si>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</si>
  <si>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</si>
  <si>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</si>
  <si>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</si>
  <si>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</si>
  <si>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</si>
  <si>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</si>
  <si>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</si>
  <si>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</si>
  <si>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</si>
  <si>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</si>
  <si>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</si>
  <si>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</si>
  <si>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</si>
  <si>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</si>
  <si>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</si>
  <si>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</si>
  <si>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</si>
  <si>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</si>
  <si>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</si>
  <si>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</si>
  <si>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</si>
  <si>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</si>
  <si>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</si>
  <si>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</si>
  <si>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</si>
  <si>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</si>
  <si>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</si>
  <si>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</si>
  <si>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</si>
  <si>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</si>
  <si>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</si>
  <si>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</si>
  <si>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</si>
  <si>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</si>
  <si>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</si>
  <si>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</si>
  <si>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</si>
  <si>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</si>
  <si>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</si>
  <si>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</si>
  <si>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</si>
  <si>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</si>
  <si>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</si>
  <si>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</si>
  <si>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</si>
  <si>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</si>
  <si>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</si>
  <si>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</si>
  <si>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</si>
  <si>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</si>
  <si>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</si>
  <si>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</si>
  <si>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</si>
  <si>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</si>
  <si>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</si>
  <si>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</si>
  <si>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</si>
  <si>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</si>
  <si>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</si>
  <si>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</si>
  <si>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</si>
  <si>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</si>
  <si>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</si>
  <si>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</si>
  <si>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</si>
  <si>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</si>
  <si>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</si>
  <si>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</si>
  <si>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</si>
  <si>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</si>
  <si>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</si>
  <si>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</si>
  <si>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</si>
  <si>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</si>
  <si>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</si>
  <si>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</si>
  <si>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</si>
  <si>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</si>
  <si>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</si>
  <si>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</si>
  <si>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</si>
  <si>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</si>
  <si>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</si>
  <si>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</si>
  <si>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</si>
  <si>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</si>
  <si>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</si>
  <si>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</si>
  <si>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</si>
  <si>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</si>
  <si>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</si>
  <si>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</si>
  <si>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</si>
  <si>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</si>
  <si>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</si>
  <si>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</si>
  <si>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</si>
  <si>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</si>
  <si>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</si>
  <si>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</si>
  <si>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</si>
  <si>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>sold</t>
  </si>
  <si>
    <t>new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</si>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</sst>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7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3"/>
  <sheetViews>
    <sheetView showGridLines="0" workbookViewId="0"/>
  </sheetViews>
  <sheetFormatPr defaultColWidth="8.85546875"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8" t="s">
        <v>165</v>
      </c>
      <c r="E4" s="99"/>
      <c r="F4" s="100"/>
    </row>
    <row r="5" spans="2:6" x14ac:dyDescent="0.2">
      <c r="B5" s="6"/>
      <c r="C5" s="7" t="s">
        <v>111</v>
      </c>
      <c r="D5" s="101">
        <v>2016</v>
      </c>
      <c r="E5" s="102"/>
      <c r="F5" s="103"/>
    </row>
    <row r="6" spans="2:6" x14ac:dyDescent="0.2">
      <c r="B6" s="3"/>
      <c r="C6" s="3"/>
      <c r="D6" s="3"/>
      <c r="E6" s="3"/>
      <c r="F6" s="3"/>
    </row>
    <row r="8" spans="2:6" x14ac:dyDescent="0.2">
      <c r="B8">
        <v>4</v>
      </c>
      <c r="C8" t="s">
        <v>339</v>
      </c>
      <c r="D8">
        <v>4</v>
      </c>
      <c r="E8" t="s">
        <v>340</v>
      </c>
    </row>
    <row r="10" spans="2:6" x14ac:dyDescent="0.2">
      <c r="C10" t="s">
        <v>7</v>
      </c>
      <c r="E10" t="s">
        <v>34</v>
      </c>
    </row>
    <row r="11" spans="2:6" x14ac:dyDescent="0.2">
      <c r="C11" t="s">
        <v>8</v>
      </c>
      <c r="E11" t="s">
        <v>49</v>
      </c>
    </row>
    <row r="12" spans="2:6" x14ac:dyDescent="0.2">
      <c r="C12" t="s">
        <v>10</v>
      </c>
      <c r="E12" t="s">
        <v>57</v>
      </c>
    </row>
    <row r="13" spans="2:6" x14ac:dyDescent="0.2">
      <c r="C13" t="s">
        <v>14</v>
      </c>
      <c r="E13" t="s">
        <v>70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topLeftCell="A2" zoomScale="150" workbookViewId="0">
      <selection activeCell="C30" sqref="C30"/>
    </sheetView>
  </sheetViews>
  <sheetFormatPr defaultColWidth="8.85546875"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8.8554687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>
        <v>-1450</v>
      </c>
      <c r="D7" s="15">
        <v>1700</v>
      </c>
      <c r="E7" s="15" t="s">
        <v>167</v>
      </c>
      <c r="F7" s="15" t="s">
        <v>6</v>
      </c>
      <c r="G7" s="15">
        <f t="shared" si="0"/>
        <v>250</v>
      </c>
      <c r="H7" s="17" t="str">
        <f t="shared" si="1"/>
        <v/>
      </c>
    </row>
    <row r="8" spans="2:8" x14ac:dyDescent="0.2">
      <c r="B8" s="14" t="s">
        <v>8</v>
      </c>
      <c r="C8" s="84">
        <v>-4750</v>
      </c>
      <c r="D8" s="15">
        <v>5500</v>
      </c>
      <c r="E8" s="15" t="s">
        <v>167</v>
      </c>
      <c r="F8" s="15" t="s">
        <v>6</v>
      </c>
      <c r="G8" s="15">
        <f t="shared" si="0"/>
        <v>750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168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>
        <v>-2050</v>
      </c>
      <c r="D10" s="15">
        <v>2300</v>
      </c>
      <c r="E10" s="15" t="s">
        <v>168</v>
      </c>
      <c r="F10" s="15" t="s">
        <v>6</v>
      </c>
      <c r="G10" s="15">
        <f t="shared" si="0"/>
        <v>250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168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0</v>
      </c>
      <c r="E12" s="15" t="s">
        <v>166</v>
      </c>
      <c r="F12" s="15" t="s">
        <v>6</v>
      </c>
      <c r="G12" s="15">
        <f t="shared" si="0"/>
        <v>0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168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>
        <v>-1050</v>
      </c>
      <c r="D14" s="15">
        <v>1300</v>
      </c>
      <c r="E14" s="15" t="s">
        <v>167</v>
      </c>
      <c r="F14" s="15" t="s">
        <v>6</v>
      </c>
      <c r="G14" s="15">
        <f t="shared" si="0"/>
        <v>250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168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4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>
        <v>-40</v>
      </c>
      <c r="D22" s="15">
        <v>57</v>
      </c>
      <c r="E22" s="15"/>
      <c r="F22" s="15" t="s">
        <v>6</v>
      </c>
      <c r="G22" s="15">
        <f t="shared" si="2"/>
        <v>17</v>
      </c>
      <c r="H22" s="17"/>
    </row>
    <row r="23" spans="2:8" x14ac:dyDescent="0.2">
      <c r="B23" s="14" t="s">
        <v>8</v>
      </c>
      <c r="C23" s="85">
        <v>-132</v>
      </c>
      <c r="D23" s="15">
        <v>182</v>
      </c>
      <c r="E23" s="15"/>
      <c r="F23" s="15" t="s">
        <v>6</v>
      </c>
      <c r="G23" s="15">
        <f t="shared" si="2"/>
        <v>50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-42</v>
      </c>
      <c r="D25" s="15">
        <v>59</v>
      </c>
      <c r="E25" s="15"/>
      <c r="F25" s="15" t="s">
        <v>6</v>
      </c>
      <c r="G25" s="15">
        <f t="shared" si="2"/>
        <v>17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>
        <v>-26</v>
      </c>
      <c r="D29" s="15">
        <v>43</v>
      </c>
      <c r="E29" s="15"/>
      <c r="F29" s="15" t="s">
        <v>6</v>
      </c>
      <c r="G29" s="15">
        <f t="shared" si="2"/>
        <v>17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341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168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168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168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0</v>
      </c>
      <c r="E39" s="15" t="s">
        <v>166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168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168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168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168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168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168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168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168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168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168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168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>
        <v>-2000</v>
      </c>
      <c r="D51" s="14">
        <v>3000</v>
      </c>
      <c r="E51" s="15" t="s">
        <v>167</v>
      </c>
      <c r="F51" s="15" t="s">
        <v>6</v>
      </c>
      <c r="G51" s="15">
        <f t="shared" si="3"/>
        <v>1000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168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168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168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168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168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168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168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168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168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168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168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168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168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168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>
        <v>-9000</v>
      </c>
      <c r="D66" s="15">
        <v>12000</v>
      </c>
      <c r="E66" s="15" t="s">
        <v>167</v>
      </c>
      <c r="F66" s="15" t="s">
        <v>6</v>
      </c>
      <c r="G66" s="15">
        <f t="shared" si="3"/>
        <v>3000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168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168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168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168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168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168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168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>
        <v>-3250</v>
      </c>
      <c r="D74" s="15">
        <v>4000</v>
      </c>
      <c r="E74" s="15" t="s">
        <v>167</v>
      </c>
      <c r="F74" s="15" t="s">
        <v>6</v>
      </c>
      <c r="G74" s="15">
        <f t="shared" si="5"/>
        <v>750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168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0</v>
      </c>
      <c r="E76" s="15" t="s">
        <v>166</v>
      </c>
      <c r="F76" s="15" t="s">
        <v>6</v>
      </c>
      <c r="G76" s="15">
        <f t="shared" si="5"/>
        <v>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168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168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168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168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168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168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168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168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168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168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>
        <v>-2600</v>
      </c>
      <c r="D87" s="15">
        <v>4000</v>
      </c>
      <c r="E87" s="15" t="s">
        <v>167</v>
      </c>
      <c r="F87" s="15" t="s">
        <v>6</v>
      </c>
      <c r="G87" s="15">
        <f t="shared" si="5"/>
        <v>1400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168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168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168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168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168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168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168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168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168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168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168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168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168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168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168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168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168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168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168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4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topLeftCell="A11" zoomScale="125" workbookViewId="0">
      <selection activeCell="I17" sqref="I17"/>
    </sheetView>
  </sheetViews>
  <sheetFormatPr defaultColWidth="8.85546875"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8.8554687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1976</v>
      </c>
      <c r="D6" s="86">
        <v>1976</v>
      </c>
      <c r="E6" s="86">
        <v>1976</v>
      </c>
      <c r="F6" s="86">
        <v>1976</v>
      </c>
      <c r="G6" s="86">
        <v>1976</v>
      </c>
      <c r="H6" s="86">
        <v>1976</v>
      </c>
      <c r="I6" s="86">
        <v>1976</v>
      </c>
      <c r="J6" s="86">
        <v>1976</v>
      </c>
      <c r="K6" s="86">
        <v>1976</v>
      </c>
      <c r="L6" s="86">
        <v>1976</v>
      </c>
      <c r="M6" s="86">
        <v>1976</v>
      </c>
      <c r="N6" s="86">
        <v>1976</v>
      </c>
    </row>
    <row r="7" spans="2:14" x14ac:dyDescent="0.2">
      <c r="B7" s="36" t="s">
        <v>105</v>
      </c>
      <c r="C7" s="87">
        <v>314</v>
      </c>
      <c r="D7" s="87">
        <v>314</v>
      </c>
      <c r="E7" s="87">
        <v>314</v>
      </c>
      <c r="F7" s="87">
        <v>314</v>
      </c>
      <c r="G7" s="87">
        <v>314</v>
      </c>
      <c r="H7" s="87">
        <v>314</v>
      </c>
      <c r="I7" s="87">
        <v>314</v>
      </c>
      <c r="J7" s="87">
        <v>314</v>
      </c>
      <c r="K7" s="87">
        <v>314</v>
      </c>
      <c r="L7" s="87">
        <v>314</v>
      </c>
      <c r="M7" s="87">
        <v>314</v>
      </c>
      <c r="N7" s="87">
        <v>314</v>
      </c>
    </row>
    <row r="8" spans="2:14" x14ac:dyDescent="0.2">
      <c r="B8" s="36" t="s">
        <v>106</v>
      </c>
      <c r="C8" s="87">
        <v>389</v>
      </c>
      <c r="D8" s="87">
        <v>389</v>
      </c>
      <c r="E8" s="87">
        <v>389</v>
      </c>
      <c r="F8" s="87">
        <v>389</v>
      </c>
      <c r="G8" s="87">
        <v>389</v>
      </c>
      <c r="H8" s="87">
        <v>389</v>
      </c>
      <c r="I8" s="87">
        <v>389</v>
      </c>
      <c r="J8" s="87">
        <v>389</v>
      </c>
      <c r="K8" s="87">
        <v>389</v>
      </c>
      <c r="L8" s="87">
        <v>389</v>
      </c>
      <c r="M8" s="87">
        <v>389</v>
      </c>
      <c r="N8" s="87">
        <v>389</v>
      </c>
    </row>
    <row r="9" spans="2:14" x14ac:dyDescent="0.2">
      <c r="B9" s="36" t="s">
        <v>107</v>
      </c>
      <c r="C9" s="87">
        <v>0</v>
      </c>
      <c r="D9" s="87">
        <v>0</v>
      </c>
      <c r="E9" s="87">
        <v>0</v>
      </c>
      <c r="F9" s="87">
        <v>0</v>
      </c>
      <c r="G9" s="87">
        <v>0</v>
      </c>
      <c r="H9" s="87">
        <v>0</v>
      </c>
      <c r="I9" s="87">
        <v>0</v>
      </c>
      <c r="J9" s="87">
        <v>0</v>
      </c>
      <c r="K9" s="87">
        <v>0</v>
      </c>
      <c r="L9" s="87">
        <v>0</v>
      </c>
      <c r="M9" s="87">
        <v>0</v>
      </c>
      <c r="N9" s="87">
        <v>0</v>
      </c>
    </row>
    <row r="10" spans="2:14" x14ac:dyDescent="0.2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 x14ac:dyDescent="0.2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89">
        <v>1.1000000000000001</v>
      </c>
      <c r="D17" s="89">
        <v>0.6</v>
      </c>
      <c r="E17" s="89">
        <v>1</v>
      </c>
      <c r="F17" s="89">
        <v>0.7</v>
      </c>
      <c r="G17" s="89">
        <v>0.9</v>
      </c>
      <c r="H17" s="89">
        <v>1000000</v>
      </c>
      <c r="I17" s="29" t="s">
        <v>110</v>
      </c>
    </row>
    <row r="18" spans="2:33" x14ac:dyDescent="0.2">
      <c r="B18" s="36" t="s">
        <v>105</v>
      </c>
      <c r="C18" s="90">
        <v>1.1000000000000001</v>
      </c>
      <c r="D18" s="90">
        <v>0.65</v>
      </c>
      <c r="E18" s="90">
        <v>1</v>
      </c>
      <c r="F18" s="90">
        <v>0.8</v>
      </c>
      <c r="G18" s="90">
        <v>0.9</v>
      </c>
      <c r="H18" s="90">
        <v>1000000</v>
      </c>
      <c r="I18" s="29" t="s">
        <v>110</v>
      </c>
    </row>
    <row r="19" spans="2:33" x14ac:dyDescent="0.2">
      <c r="B19" s="36" t="s">
        <v>106</v>
      </c>
      <c r="C19" s="90">
        <v>1.1000000000000001</v>
      </c>
      <c r="D19" s="90">
        <v>0.72</v>
      </c>
      <c r="E19" s="90">
        <v>1</v>
      </c>
      <c r="F19" s="90">
        <v>0.82</v>
      </c>
      <c r="G19" s="90">
        <v>0.9</v>
      </c>
      <c r="H19" s="90">
        <v>1000000</v>
      </c>
      <c r="I19" s="29" t="s">
        <v>110</v>
      </c>
    </row>
    <row r="20" spans="2:33" x14ac:dyDescent="0.2">
      <c r="B20" s="36" t="s">
        <v>107</v>
      </c>
      <c r="C20" s="90">
        <v>1</v>
      </c>
      <c r="D20" s="90">
        <v>1000000</v>
      </c>
      <c r="E20" s="90">
        <v>1</v>
      </c>
      <c r="F20" s="90">
        <v>1000000</v>
      </c>
      <c r="G20" s="90">
        <v>1</v>
      </c>
      <c r="H20" s="90">
        <v>1000000</v>
      </c>
    </row>
    <row r="21" spans="2:33" x14ac:dyDescent="0.2">
      <c r="B21" s="36" t="s">
        <v>108</v>
      </c>
      <c r="C21" s="90">
        <v>1</v>
      </c>
      <c r="D21" s="90">
        <v>1000000</v>
      </c>
      <c r="E21" s="90">
        <v>1</v>
      </c>
      <c r="F21" s="90">
        <v>1000000</v>
      </c>
      <c r="G21" s="90">
        <v>1</v>
      </c>
      <c r="H21" s="90">
        <v>1000000</v>
      </c>
    </row>
    <row r="22" spans="2:33" x14ac:dyDescent="0.2">
      <c r="B22" s="37" t="s">
        <v>109</v>
      </c>
      <c r="C22" s="90">
        <v>1</v>
      </c>
      <c r="D22" s="90">
        <v>1000000</v>
      </c>
      <c r="E22" s="90">
        <v>1</v>
      </c>
      <c r="F22" s="90">
        <v>1000000</v>
      </c>
      <c r="G22" s="90">
        <v>1</v>
      </c>
      <c r="H22" s="90">
        <v>1000000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2016</v>
      </c>
      <c r="D30" s="44">
        <v>0.67862145488531522</v>
      </c>
      <c r="E30" s="35">
        <v>0</v>
      </c>
      <c r="F30" s="47">
        <v>0.77144919455166439</v>
      </c>
      <c r="G30" s="46">
        <v>0</v>
      </c>
      <c r="H30" s="47">
        <v>0.74927989201390566</v>
      </c>
      <c r="I30" s="46">
        <v>0</v>
      </c>
      <c r="J30" s="47">
        <v>0.67403456532264949</v>
      </c>
      <c r="K30" s="46">
        <v>0</v>
      </c>
      <c r="L30" s="47">
        <v>0.9094305994382329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 x14ac:dyDescent="0.2">
      <c r="B31" s="36"/>
      <c r="C31" s="47">
        <f>basic_info!$D$5+1</f>
        <v>2017</v>
      </c>
      <c r="D31" s="76"/>
      <c r="E31" s="75"/>
      <c r="F31" s="69">
        <v>0.71662753591933626</v>
      </c>
      <c r="G31" s="79">
        <v>0</v>
      </c>
      <c r="H31" s="61">
        <v>0.7118064307683698</v>
      </c>
      <c r="I31" s="62">
        <v>0</v>
      </c>
      <c r="J31" s="61">
        <v>0.65742258166301204</v>
      </c>
      <c r="K31" s="62">
        <v>0</v>
      </c>
      <c r="L31" s="61">
        <v>0.8608485705892801</v>
      </c>
      <c r="M31" s="62">
        <v>0</v>
      </c>
      <c r="N31" s="63">
        <v>0.91910454752448723</v>
      </c>
      <c r="O31" s="88"/>
      <c r="P31" s="63">
        <f>O31+M31+K31+I31+G31</f>
        <v>0</v>
      </c>
    </row>
    <row r="32" spans="2:33" x14ac:dyDescent="0.2">
      <c r="B32" s="36"/>
      <c r="C32" s="47">
        <f>basic_info!$D$5+2</f>
        <v>2018</v>
      </c>
      <c r="D32" s="76"/>
      <c r="E32" s="75"/>
      <c r="F32" s="75"/>
      <c r="G32" s="75"/>
      <c r="H32" s="69">
        <v>0.68616087553988669</v>
      </c>
      <c r="I32" s="79">
        <v>0</v>
      </c>
      <c r="J32" s="61">
        <v>0.64171751702829749</v>
      </c>
      <c r="K32" s="62">
        <v>0</v>
      </c>
      <c r="L32" s="61">
        <v>0.8295043288750632</v>
      </c>
      <c r="M32" s="62">
        <v>0</v>
      </c>
      <c r="N32" s="63">
        <v>0.85195298768145433</v>
      </c>
      <c r="O32" s="88"/>
      <c r="P32" s="63">
        <f>O32+M32+K32+I32</f>
        <v>0</v>
      </c>
    </row>
    <row r="33" spans="2:17" x14ac:dyDescent="0.2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0.65376248745918275</v>
      </c>
      <c r="K33" s="79">
        <v>0</v>
      </c>
      <c r="L33" s="61">
        <v>0.84540928358710421</v>
      </c>
      <c r="M33" s="62">
        <v>0</v>
      </c>
      <c r="N33" s="63">
        <v>0.79341974686465555</v>
      </c>
      <c r="O33" s="88"/>
      <c r="P33" s="63">
        <f>O33+M33+K33</f>
        <v>0</v>
      </c>
    </row>
    <row r="34" spans="2:17" x14ac:dyDescent="0.2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0.76962524616122252</v>
      </c>
      <c r="M34" s="79">
        <v>0</v>
      </c>
      <c r="N34" s="63">
        <v>0.75112057603575599</v>
      </c>
      <c r="O34" s="88"/>
      <c r="P34" s="63">
        <f>O34+M34</f>
        <v>0</v>
      </c>
    </row>
    <row r="35" spans="2:17" x14ac:dyDescent="0.2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0.73914561780691146</v>
      </c>
      <c r="O35" s="88"/>
      <c r="P35" s="65">
        <f>O35</f>
        <v>0</v>
      </c>
    </row>
    <row r="36" spans="2:17" x14ac:dyDescent="0.2">
      <c r="B36" s="41" t="s">
        <v>113</v>
      </c>
      <c r="C36" s="36">
        <f>basic_info!$D$5</f>
        <v>2016</v>
      </c>
      <c r="D36" s="44">
        <v>1.2381058075672227</v>
      </c>
      <c r="E36" s="35">
        <v>0</v>
      </c>
      <c r="F36" s="73">
        <v>1.0896456341169221</v>
      </c>
      <c r="G36" s="74">
        <v>0</v>
      </c>
      <c r="H36" s="73">
        <v>1.1880059380028796</v>
      </c>
      <c r="I36" s="74">
        <v>0</v>
      </c>
      <c r="J36" s="73">
        <v>1.1979988746751256</v>
      </c>
      <c r="K36" s="74">
        <v>0</v>
      </c>
      <c r="L36" s="66">
        <v>1.1284743819827652</v>
      </c>
      <c r="M36" s="67">
        <v>136000</v>
      </c>
      <c r="N36" s="68"/>
      <c r="O36" s="71" t="s">
        <v>162</v>
      </c>
      <c r="P36" s="41">
        <f>M36+K36+I36+E36+G36</f>
        <v>136000</v>
      </c>
      <c r="Q36" s="70"/>
    </row>
    <row r="37" spans="2:17" x14ac:dyDescent="0.2">
      <c r="B37" s="36"/>
      <c r="C37" s="47">
        <f>basic_info!$D$5+1</f>
        <v>2017</v>
      </c>
      <c r="D37" s="76"/>
      <c r="E37" s="75"/>
      <c r="F37" s="69">
        <v>1.0587453955633634</v>
      </c>
      <c r="G37" s="79">
        <v>0</v>
      </c>
      <c r="H37" s="61">
        <v>1.0938135695671274</v>
      </c>
      <c r="I37" s="62">
        <v>0</v>
      </c>
      <c r="J37" s="61">
        <v>1.1014713588815135</v>
      </c>
      <c r="K37" s="62">
        <v>0</v>
      </c>
      <c r="L37" s="61">
        <v>1.042842908637313</v>
      </c>
      <c r="M37" s="62">
        <v>136000</v>
      </c>
      <c r="N37" s="61">
        <v>1.1390647533197611</v>
      </c>
      <c r="O37" s="88"/>
      <c r="P37" s="63">
        <f>O37+M37+K37+I37+G37</f>
        <v>136000</v>
      </c>
    </row>
    <row r="38" spans="2:17" x14ac:dyDescent="0.2">
      <c r="B38" s="36"/>
      <c r="C38" s="47">
        <f>basic_info!$D$5+2</f>
        <v>2018</v>
      </c>
      <c r="D38" s="76"/>
      <c r="E38" s="75"/>
      <c r="F38" s="75"/>
      <c r="G38" s="75"/>
      <c r="H38" s="69">
        <v>1.0288140534879155</v>
      </c>
      <c r="I38" s="79">
        <v>0</v>
      </c>
      <c r="J38" s="61">
        <v>1.0108999284690923</v>
      </c>
      <c r="K38" s="62">
        <v>0</v>
      </c>
      <c r="L38" s="61">
        <v>1.0032828986441651</v>
      </c>
      <c r="M38" s="62">
        <v>136000</v>
      </c>
      <c r="N38" s="61">
        <v>1.0357981248188022</v>
      </c>
      <c r="O38" s="88"/>
      <c r="P38" s="63">
        <f>O38+M38+K38+I38</f>
        <v>136000</v>
      </c>
    </row>
    <row r="39" spans="2:17" x14ac:dyDescent="0.2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0.98955166281759732</v>
      </c>
      <c r="K39" s="79">
        <v>0</v>
      </c>
      <c r="L39" s="61">
        <v>0.95103433990902408</v>
      </c>
      <c r="M39" s="62">
        <v>136000</v>
      </c>
      <c r="N39" s="61">
        <v>0.9919351074281193</v>
      </c>
      <c r="O39" s="88"/>
      <c r="P39" s="63">
        <f>O39+M39+K39</f>
        <v>136000</v>
      </c>
    </row>
    <row r="40" spans="2:17" x14ac:dyDescent="0.2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0.9180320969671012</v>
      </c>
      <c r="M40" s="79">
        <v>136000</v>
      </c>
      <c r="N40" s="61">
        <v>0.95493263137485418</v>
      </c>
      <c r="O40" s="88"/>
      <c r="P40" s="63">
        <f>O40+M40</f>
        <v>136000</v>
      </c>
    </row>
    <row r="41" spans="2:17" x14ac:dyDescent="0.2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0.9100411573201419</v>
      </c>
      <c r="O41" s="88">
        <v>89461</v>
      </c>
      <c r="P41" s="64">
        <f>O41</f>
        <v>89461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1">
        <v>8.1999999999999993</v>
      </c>
      <c r="D47" s="91">
        <v>8.1999999999999993</v>
      </c>
      <c r="E47" s="91">
        <v>8.1999999999999993</v>
      </c>
      <c r="F47" s="91">
        <v>8.1999999999999993</v>
      </c>
      <c r="G47" s="91">
        <v>8.1999999999999993</v>
      </c>
      <c r="H47" s="91">
        <v>8.1999999999999993</v>
      </c>
      <c r="I47" s="91">
        <v>8.1999999999999993</v>
      </c>
      <c r="J47" s="91">
        <v>8.1999999999999993</v>
      </c>
      <c r="K47" s="91">
        <v>8.1999999999999993</v>
      </c>
      <c r="L47" s="91">
        <v>9</v>
      </c>
      <c r="M47" s="91">
        <v>9</v>
      </c>
      <c r="N47" s="91">
        <v>8.1999999999999993</v>
      </c>
      <c r="O47" s="33">
        <f>SUM(C47:N47)</f>
        <v>100.00000000000001</v>
      </c>
    </row>
    <row r="48" spans="2:17" x14ac:dyDescent="0.2">
      <c r="B48" s="37" t="s">
        <v>113</v>
      </c>
      <c r="C48" s="91">
        <v>8.1999999999999993</v>
      </c>
      <c r="D48" s="91">
        <v>8.1999999999999993</v>
      </c>
      <c r="E48" s="91">
        <v>8.1999999999999993</v>
      </c>
      <c r="F48" s="91">
        <v>8.1999999999999993</v>
      </c>
      <c r="G48" s="91">
        <v>8.1999999999999993</v>
      </c>
      <c r="H48" s="91">
        <v>8.1999999999999993</v>
      </c>
      <c r="I48" s="91">
        <v>8.1999999999999993</v>
      </c>
      <c r="J48" s="91">
        <v>8.1999999999999993</v>
      </c>
      <c r="K48" s="91">
        <v>8.1999999999999993</v>
      </c>
      <c r="L48" s="91">
        <v>9</v>
      </c>
      <c r="M48" s="91">
        <v>9</v>
      </c>
      <c r="N48" s="91">
        <v>8.1999999999999993</v>
      </c>
      <c r="O48" s="33">
        <f>SUM(C48:N48)</f>
        <v>100.00000000000001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7"/>
  <sheetViews>
    <sheetView showGridLines="0" topLeftCell="A17" zoomScale="125" workbookViewId="0">
      <selection activeCell="B36" sqref="B36"/>
    </sheetView>
  </sheetViews>
  <sheetFormatPr defaultColWidth="8.85546875" defaultRowHeight="12.75" x14ac:dyDescent="0.2"/>
  <cols>
    <col min="1" max="1" width="4.7109375" style="29" customWidth="1"/>
    <col min="2" max="2" width="17.28515625" style="29" customWidth="1"/>
    <col min="3" max="16384" width="8.85546875" style="29"/>
  </cols>
  <sheetData>
    <row r="2" spans="2:20" x14ac:dyDescent="0.2">
      <c r="B2" s="28" t="s">
        <v>114</v>
      </c>
    </row>
    <row r="3" spans="2:20" x14ac:dyDescent="0.2">
      <c r="B3" s="30" t="s">
        <v>144</v>
      </c>
    </row>
    <row r="4" spans="2:20" x14ac:dyDescent="0.2">
      <c r="B4" s="48"/>
      <c r="C4" s="48"/>
      <c r="D4" s="48"/>
      <c r="E4" s="48"/>
      <c r="F4" s="48"/>
      <c r="G4" s="48"/>
      <c r="H4" s="48"/>
      <c r="I4" s="48"/>
      <c r="J4" s="48"/>
      <c r="K4" s="48"/>
      <c r="L4" s="49"/>
      <c r="M4" s="49"/>
      <c r="N4" s="49"/>
      <c r="O4" s="49"/>
      <c r="P4" s="49"/>
      <c r="Q4" s="49"/>
    </row>
    <row r="5" spans="2:20" x14ac:dyDescent="0.2">
      <c r="B5" s="45" t="s">
        <v>115</v>
      </c>
      <c r="C5" s="45" t="s">
        <v>7</v>
      </c>
      <c r="D5" s="45" t="s">
        <v>8</v>
      </c>
      <c r="E5" s="45" t="s">
        <v>10</v>
      </c>
      <c r="F5" s="45" t="s">
        <v>14</v>
      </c>
      <c r="G5" s="45" t="s">
        <v>34</v>
      </c>
      <c r="H5" s="45" t="s">
        <v>49</v>
      </c>
      <c r="I5" s="45" t="s">
        <v>57</v>
      </c>
      <c r="J5" s="45" t="s">
        <v>70</v>
      </c>
      <c r="K5" s="45" t="s">
        <v>150</v>
      </c>
      <c r="L5" s="50"/>
      <c r="M5" s="50"/>
      <c r="N5" s="50"/>
      <c r="O5" s="50"/>
      <c r="P5" s="50"/>
      <c r="Q5" s="50"/>
      <c r="R5" s="50"/>
      <c r="S5" s="50"/>
      <c r="T5" s="50"/>
    </row>
    <row r="6" spans="2:20" x14ac:dyDescent="0.2">
      <c r="B6" s="45" t="s">
        <v>163</v>
      </c>
      <c r="C6" s="92"/>
      <c r="D6" s="92">
        <f>639/1979 * 100</f>
        <v>32.289034866093985</v>
      </c>
      <c r="E6" s="92"/>
      <c r="F6" s="92">
        <f>181/1979 * 100</f>
        <v>9.1460333501768574</v>
      </c>
      <c r="G6" s="92"/>
      <c r="H6" s="92">
        <f>100*858/1979</f>
        <v>43.355229914098032</v>
      </c>
      <c r="I6" s="92"/>
      <c r="J6" s="92">
        <f>100*301/1979</f>
        <v>15.209701869631127</v>
      </c>
      <c r="K6" s="96">
        <f>SUM($C$6:$J$6)</f>
        <v>100.00000000000001</v>
      </c>
      <c r="L6" s="49"/>
      <c r="M6" s="49"/>
      <c r="N6" s="49"/>
      <c r="O6" s="49"/>
      <c r="P6" s="49"/>
      <c r="Q6" s="49"/>
      <c r="R6" s="50"/>
      <c r="S6" s="50"/>
      <c r="T6" s="50"/>
    </row>
    <row r="7" spans="2:20" x14ac:dyDescent="0.2">
      <c r="B7" s="45" t="s">
        <v>105</v>
      </c>
      <c r="C7" s="92"/>
      <c r="D7" s="92"/>
      <c r="E7" s="92">
        <f>100*183/316</f>
        <v>57.911392405063289</v>
      </c>
      <c r="F7" s="92"/>
      <c r="G7" s="92"/>
      <c r="H7" s="92"/>
      <c r="I7" s="92">
        <f>100*133/316</f>
        <v>42.088607594936711</v>
      </c>
      <c r="J7" s="92"/>
      <c r="K7" s="96">
        <f>SUM($C$7:$J$7)</f>
        <v>100</v>
      </c>
      <c r="L7" s="49"/>
      <c r="M7" s="49"/>
      <c r="N7" s="49"/>
      <c r="O7" s="49"/>
      <c r="P7" s="49"/>
      <c r="Q7" s="49"/>
      <c r="R7" s="50"/>
      <c r="S7" s="50"/>
      <c r="T7" s="50"/>
    </row>
    <row r="8" spans="2:20" x14ac:dyDescent="0.2">
      <c r="B8" s="45" t="s">
        <v>106</v>
      </c>
      <c r="C8" s="92">
        <f>100*193/389</f>
        <v>49.614395886889461</v>
      </c>
      <c r="D8" s="92"/>
      <c r="E8" s="92"/>
      <c r="F8" s="92"/>
      <c r="G8" s="92">
        <f>100*196/389</f>
        <v>50.385604113110539</v>
      </c>
      <c r="H8" s="92"/>
      <c r="I8" s="92"/>
      <c r="J8" s="92"/>
      <c r="K8" s="96">
        <f>SUM($C$8:$J$8)</f>
        <v>100</v>
      </c>
      <c r="L8" s="49"/>
      <c r="M8" s="49"/>
      <c r="N8" s="49"/>
      <c r="O8" s="49"/>
      <c r="P8" s="49"/>
      <c r="Q8" s="49"/>
      <c r="R8" s="50"/>
      <c r="S8" s="50"/>
      <c r="T8" s="50"/>
    </row>
    <row r="9" spans="2:20" x14ac:dyDescent="0.2">
      <c r="B9" s="45" t="s">
        <v>107</v>
      </c>
      <c r="C9" s="92">
        <v>100</v>
      </c>
      <c r="D9" s="92"/>
      <c r="E9" s="92"/>
      <c r="F9" s="92"/>
      <c r="G9" s="92"/>
      <c r="H9" s="92"/>
      <c r="I9" s="92"/>
      <c r="J9" s="92"/>
      <c r="K9" s="96">
        <f>SUM($C$9:$J$9)</f>
        <v>100</v>
      </c>
      <c r="L9" s="49"/>
      <c r="M9" s="49"/>
      <c r="N9" s="49"/>
      <c r="O9" s="49"/>
      <c r="P9" s="49"/>
      <c r="Q9" s="49"/>
      <c r="R9" s="50"/>
      <c r="S9" s="50"/>
      <c r="T9" s="50"/>
    </row>
    <row r="10" spans="2:20" x14ac:dyDescent="0.2">
      <c r="B10" s="45" t="s">
        <v>108</v>
      </c>
      <c r="C10" s="92">
        <v>100</v>
      </c>
      <c r="D10" s="92"/>
      <c r="E10" s="92"/>
      <c r="F10" s="92"/>
      <c r="G10" s="92"/>
      <c r="H10" s="92"/>
      <c r="I10" s="92"/>
      <c r="J10" s="92"/>
      <c r="K10" s="96">
        <f>SUM($C$10:$J$10)</f>
        <v>100</v>
      </c>
      <c r="L10" s="49"/>
      <c r="M10" s="49"/>
      <c r="N10" s="49"/>
      <c r="O10" s="49"/>
      <c r="P10" s="49"/>
      <c r="Q10" s="49"/>
      <c r="R10" s="50"/>
      <c r="S10" s="50"/>
      <c r="T10" s="50"/>
    </row>
    <row r="11" spans="2:20" x14ac:dyDescent="0.2">
      <c r="B11" s="45" t="s">
        <v>109</v>
      </c>
      <c r="C11" s="93">
        <v>100</v>
      </c>
      <c r="D11" s="93"/>
      <c r="E11" s="93"/>
      <c r="F11" s="93"/>
      <c r="G11" s="93"/>
      <c r="H11" s="93"/>
      <c r="I11" s="93"/>
      <c r="J11" s="93"/>
      <c r="K11" s="95">
        <f>SUM($C$11:$J$11)</f>
        <v>100</v>
      </c>
      <c r="L11" s="49"/>
      <c r="M11" s="49"/>
      <c r="N11" s="49"/>
      <c r="O11" s="49"/>
      <c r="P11" s="49"/>
      <c r="Q11" s="49"/>
      <c r="R11" s="50"/>
      <c r="S11" s="50"/>
      <c r="T11" s="50"/>
    </row>
    <row r="12" spans="2:20" x14ac:dyDescent="0.2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49"/>
      <c r="M12" s="49"/>
      <c r="N12" s="49"/>
      <c r="O12" s="49"/>
      <c r="P12" s="49"/>
      <c r="Q12" s="49"/>
      <c r="R12" s="50"/>
      <c r="S12" s="50"/>
      <c r="T12" s="50"/>
    </row>
    <row r="13" spans="2:20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20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20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20" x14ac:dyDescent="0.2">
      <c r="B16" s="31"/>
      <c r="C16" s="31"/>
      <c r="D16" s="31"/>
      <c r="E16" s="31"/>
      <c r="F16" s="31"/>
      <c r="G16" s="31"/>
      <c r="H16" s="31"/>
      <c r="I16" s="31"/>
      <c r="J16" s="31"/>
      <c r="K16" s="50"/>
      <c r="L16" s="50"/>
      <c r="M16" s="50"/>
      <c r="N16" s="50"/>
      <c r="Q16" s="50"/>
      <c r="R16" s="50"/>
      <c r="S16" s="50"/>
    </row>
    <row r="17" spans="2:20" x14ac:dyDescent="0.2">
      <c r="B17" s="45" t="s">
        <v>118</v>
      </c>
      <c r="C17" s="45" t="s">
        <v>7</v>
      </c>
      <c r="D17" s="45"/>
      <c r="E17" s="45" t="s">
        <v>8</v>
      </c>
      <c r="F17" s="45"/>
      <c r="G17" s="45" t="s">
        <v>10</v>
      </c>
      <c r="H17" s="45"/>
      <c r="I17" s="45" t="s">
        <v>14</v>
      </c>
      <c r="J17" s="45"/>
      <c r="K17" s="50"/>
      <c r="L17" s="50"/>
      <c r="M17" s="50"/>
      <c r="N17" s="50"/>
      <c r="Q17" s="50"/>
      <c r="R17" s="50"/>
      <c r="S17" s="50"/>
    </row>
    <row r="18" spans="2:20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45" t="s">
        <v>133</v>
      </c>
      <c r="J18" s="45" t="s">
        <v>123</v>
      </c>
      <c r="K18" s="50"/>
      <c r="L18" s="50"/>
      <c r="M18" s="50"/>
      <c r="N18" s="50"/>
      <c r="O18" s="50"/>
      <c r="Q18" s="50"/>
      <c r="R18" s="50"/>
      <c r="S18" s="50"/>
    </row>
    <row r="19" spans="2:20" x14ac:dyDescent="0.2">
      <c r="B19" s="45" t="s">
        <v>120</v>
      </c>
      <c r="C19" s="93">
        <f>100*(146/(146+47))</f>
        <v>75.647668393782382</v>
      </c>
      <c r="D19" s="44">
        <f>100-$C$19</f>
        <v>24.352331606217618</v>
      </c>
      <c r="E19" s="93">
        <f>100*((91+217+77)/(91+217+77+67+133+54))</f>
        <v>60.250391236306733</v>
      </c>
      <c r="F19" s="44">
        <f>100-$E$19</f>
        <v>39.749608763693267</v>
      </c>
      <c r="G19" s="93">
        <f>100*((34+70)/(34+70+22+57))</f>
        <v>56.830601092896174</v>
      </c>
      <c r="H19" s="44">
        <f>100-$G$19</f>
        <v>43.169398907103826</v>
      </c>
      <c r="I19" s="93">
        <f>100*(109/(109+73))</f>
        <v>59.890109890109891</v>
      </c>
      <c r="J19" s="33">
        <f>100-$I$19</f>
        <v>40.109890109890109</v>
      </c>
      <c r="Q19" s="50"/>
      <c r="R19" s="50"/>
      <c r="S19" s="50"/>
    </row>
    <row r="20" spans="2:20" x14ac:dyDescent="0.2">
      <c r="B20" s="54"/>
      <c r="C20" s="54"/>
      <c r="D20" s="54"/>
      <c r="E20" s="54"/>
      <c r="F20" s="54"/>
      <c r="G20" s="54"/>
      <c r="H20" s="54"/>
      <c r="I20" s="54"/>
      <c r="J20" s="54"/>
      <c r="K20" s="50"/>
      <c r="L20" s="50"/>
      <c r="M20" s="50"/>
      <c r="N20" s="50"/>
      <c r="Q20" s="50"/>
      <c r="R20" s="50"/>
      <c r="S20" s="50"/>
    </row>
    <row r="21" spans="2:20" x14ac:dyDescent="0.2">
      <c r="I21" s="50"/>
      <c r="J21" s="50"/>
      <c r="K21" s="50"/>
    </row>
    <row r="22" spans="2:20" x14ac:dyDescent="0.2">
      <c r="B22" s="52" t="s">
        <v>114</v>
      </c>
      <c r="I22" s="50"/>
      <c r="J22" s="50"/>
      <c r="K22" s="50"/>
    </row>
    <row r="23" spans="2:20" x14ac:dyDescent="0.2">
      <c r="B23" s="55" t="s">
        <v>145</v>
      </c>
      <c r="I23" s="50"/>
      <c r="J23" s="50"/>
      <c r="K23" s="50"/>
    </row>
    <row r="24" spans="2:20" x14ac:dyDescent="0.2">
      <c r="B24" s="31"/>
      <c r="C24" s="31"/>
      <c r="D24" s="31"/>
      <c r="E24" s="31"/>
      <c r="F24" s="31"/>
      <c r="G24" s="31"/>
      <c r="H24" s="31"/>
      <c r="I24" s="31"/>
      <c r="J24" s="31"/>
      <c r="K24" s="31"/>
      <c r="R24" s="50"/>
      <c r="S24" s="50"/>
      <c r="T24" s="50"/>
    </row>
    <row r="25" spans="2:20" x14ac:dyDescent="0.2">
      <c r="B25" s="45" t="s">
        <v>121</v>
      </c>
      <c r="C25" s="45" t="s">
        <v>122</v>
      </c>
      <c r="D25" s="45" t="s">
        <v>7</v>
      </c>
      <c r="E25" s="45"/>
      <c r="F25" s="45" t="s">
        <v>8</v>
      </c>
      <c r="G25" s="45"/>
      <c r="H25" s="45" t="s">
        <v>10</v>
      </c>
      <c r="I25" s="45"/>
      <c r="J25" s="45" t="s">
        <v>14</v>
      </c>
      <c r="K25" s="45"/>
      <c r="R25" s="50"/>
      <c r="S25" s="50"/>
      <c r="T25" s="50"/>
    </row>
    <row r="26" spans="2:20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J26" s="45" t="s">
        <v>133</v>
      </c>
      <c r="K26" s="45" t="s">
        <v>123</v>
      </c>
      <c r="R26" s="50"/>
      <c r="S26" s="50"/>
      <c r="T26" s="50"/>
    </row>
    <row r="27" spans="2:20" x14ac:dyDescent="0.2">
      <c r="B27" s="45" t="s">
        <v>34</v>
      </c>
      <c r="C27" s="92">
        <f>100*479/2841</f>
        <v>16.860260471664908</v>
      </c>
      <c r="D27" s="92">
        <v>100</v>
      </c>
      <c r="E27" s="92">
        <v>100</v>
      </c>
      <c r="F27" s="92">
        <v>0</v>
      </c>
      <c r="G27" s="92">
        <v>0</v>
      </c>
      <c r="H27" s="92">
        <v>0</v>
      </c>
      <c r="I27" s="92">
        <v>0</v>
      </c>
      <c r="J27" s="92">
        <v>0</v>
      </c>
      <c r="K27" s="94">
        <v>0</v>
      </c>
      <c r="R27" s="50"/>
      <c r="S27" s="50"/>
      <c r="T27" s="50"/>
    </row>
    <row r="28" spans="2:20" x14ac:dyDescent="0.2">
      <c r="B28" s="45" t="s">
        <v>49</v>
      </c>
      <c r="C28" s="92">
        <f>100*(476+400+440)/2841</f>
        <v>46.321717705033436</v>
      </c>
      <c r="D28" s="92">
        <v>0</v>
      </c>
      <c r="E28" s="92">
        <v>0</v>
      </c>
      <c r="F28" s="92">
        <v>100</v>
      </c>
      <c r="G28" s="92">
        <v>100</v>
      </c>
      <c r="H28" s="92">
        <v>0</v>
      </c>
      <c r="I28" s="92">
        <v>0</v>
      </c>
      <c r="J28" s="92">
        <v>0</v>
      </c>
      <c r="K28" s="94">
        <v>0</v>
      </c>
      <c r="R28" s="50"/>
      <c r="S28" s="50"/>
      <c r="T28" s="50"/>
    </row>
    <row r="29" spans="2:20" x14ac:dyDescent="0.2">
      <c r="B29" s="45" t="s">
        <v>57</v>
      </c>
      <c r="C29" s="92">
        <f>100*(100+194)/2841</f>
        <v>10.348468848996832</v>
      </c>
      <c r="D29" s="92">
        <v>0</v>
      </c>
      <c r="E29" s="92">
        <v>0</v>
      </c>
      <c r="F29" s="92">
        <v>0</v>
      </c>
      <c r="G29" s="92">
        <v>0</v>
      </c>
      <c r="H29" s="92">
        <v>100</v>
      </c>
      <c r="I29" s="92">
        <v>100</v>
      </c>
      <c r="J29" s="92">
        <v>0</v>
      </c>
      <c r="K29" s="94">
        <v>0</v>
      </c>
      <c r="R29" s="50"/>
      <c r="S29" s="50"/>
      <c r="T29" s="50"/>
    </row>
    <row r="30" spans="2:20" x14ac:dyDescent="0.2">
      <c r="B30" s="45" t="s">
        <v>70</v>
      </c>
      <c r="C30" s="92">
        <f>100*(752/2841)</f>
        <v>26.469552974304822</v>
      </c>
      <c r="D30" s="92">
        <v>0</v>
      </c>
      <c r="E30" s="92">
        <v>0</v>
      </c>
      <c r="F30" s="92">
        <v>0</v>
      </c>
      <c r="G30" s="92">
        <v>0</v>
      </c>
      <c r="H30" s="92">
        <v>0</v>
      </c>
      <c r="I30" s="92">
        <v>0</v>
      </c>
      <c r="J30" s="92">
        <v>100</v>
      </c>
      <c r="K30" s="94">
        <v>100</v>
      </c>
      <c r="R30" s="50"/>
      <c r="S30" s="50"/>
      <c r="T30" s="50"/>
    </row>
    <row r="31" spans="2:20" x14ac:dyDescent="0.2">
      <c r="B31" s="45" t="s">
        <v>150</v>
      </c>
      <c r="C31" s="97">
        <f>SUM($C$27:$C$30)</f>
        <v>100</v>
      </c>
      <c r="D31" s="97">
        <f>SUM($D$27:$D$30)</f>
        <v>100</v>
      </c>
      <c r="E31" s="97">
        <f>SUM($E$27:$E$30)</f>
        <v>100</v>
      </c>
      <c r="F31" s="97">
        <f>SUM($F$27:$F$30)</f>
        <v>100</v>
      </c>
      <c r="G31" s="97">
        <f>SUM($G$27:$G$30)</f>
        <v>100</v>
      </c>
      <c r="H31" s="97">
        <f>SUM($H$27:$H$30)</f>
        <v>100</v>
      </c>
      <c r="I31" s="97">
        <f>SUM($I$27:$I$30)</f>
        <v>100</v>
      </c>
      <c r="J31" s="97">
        <f>SUM($J$27:$J$30)</f>
        <v>100</v>
      </c>
      <c r="K31" s="95">
        <f>SUM($K$27:$K$30)</f>
        <v>100</v>
      </c>
      <c r="R31" s="50"/>
      <c r="S31" s="50"/>
      <c r="T31" s="50"/>
    </row>
    <row r="32" spans="2:20" x14ac:dyDescent="0.2">
      <c r="B32" s="54"/>
      <c r="C32" s="54"/>
      <c r="D32" s="54"/>
      <c r="E32" s="54"/>
      <c r="F32" s="54"/>
      <c r="G32" s="54"/>
      <c r="H32" s="54"/>
      <c r="I32" s="54"/>
      <c r="J32" s="54"/>
      <c r="K32" s="54"/>
      <c r="R32" s="50"/>
      <c r="S32" s="50"/>
      <c r="T32" s="50"/>
    </row>
    <row r="33" spans="2:14" x14ac:dyDescent="0.2">
      <c r="I33" s="50"/>
      <c r="J33" s="50"/>
      <c r="K33" s="50"/>
    </row>
    <row r="34" spans="2:14" x14ac:dyDescent="0.2">
      <c r="B34" s="52" t="s">
        <v>124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2">
      <c r="B35" s="53" t="s">
        <v>143</v>
      </c>
      <c r="C35" s="50"/>
      <c r="D35" s="50"/>
      <c r="E35" s="50"/>
      <c r="F35" s="50"/>
      <c r="G35" s="50"/>
      <c r="H35" s="50"/>
      <c r="I35" s="50"/>
      <c r="J35" s="50"/>
      <c r="K35" s="50"/>
    </row>
    <row r="36" spans="2:14" x14ac:dyDescent="0.2"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</row>
    <row r="37" spans="2:14" x14ac:dyDescent="0.2">
      <c r="B37" s="45" t="s">
        <v>147</v>
      </c>
      <c r="C37" s="45" t="s">
        <v>92</v>
      </c>
      <c r="D37" s="45" t="s">
        <v>93</v>
      </c>
      <c r="E37" s="45" t="s">
        <v>94</v>
      </c>
      <c r="F37" s="45" t="s">
        <v>95</v>
      </c>
      <c r="G37" s="45" t="s">
        <v>96</v>
      </c>
      <c r="H37" s="45" t="s">
        <v>97</v>
      </c>
      <c r="I37" s="45" t="s">
        <v>98</v>
      </c>
      <c r="J37" s="45" t="s">
        <v>99</v>
      </c>
      <c r="K37" s="45" t="s">
        <v>100</v>
      </c>
      <c r="L37" s="45" t="s">
        <v>101</v>
      </c>
      <c r="M37" s="45" t="s">
        <v>102</v>
      </c>
      <c r="N37" s="45" t="s">
        <v>103</v>
      </c>
    </row>
    <row r="38" spans="2:14" x14ac:dyDescent="0.2">
      <c r="B38" s="45" t="s">
        <v>34</v>
      </c>
      <c r="C38" s="92">
        <v>10</v>
      </c>
      <c r="D38" s="92">
        <v>10</v>
      </c>
      <c r="E38" s="92">
        <v>10</v>
      </c>
      <c r="F38" s="92">
        <v>10</v>
      </c>
      <c r="G38" s="92">
        <v>10</v>
      </c>
      <c r="H38" s="92">
        <v>10</v>
      </c>
      <c r="I38" s="92">
        <v>10</v>
      </c>
      <c r="J38" s="92">
        <v>10</v>
      </c>
      <c r="K38" s="92">
        <v>10</v>
      </c>
      <c r="L38" s="92">
        <v>10</v>
      </c>
      <c r="M38" s="92">
        <v>10</v>
      </c>
      <c r="N38" s="92">
        <v>10</v>
      </c>
    </row>
    <row r="39" spans="2:14" x14ac:dyDescent="0.2">
      <c r="B39" s="45" t="s">
        <v>49</v>
      </c>
      <c r="C39" s="92">
        <v>18</v>
      </c>
      <c r="D39" s="92">
        <v>18</v>
      </c>
      <c r="E39" s="92">
        <v>18</v>
      </c>
      <c r="F39" s="92">
        <v>18</v>
      </c>
      <c r="G39" s="92">
        <v>18</v>
      </c>
      <c r="H39" s="92">
        <v>18</v>
      </c>
      <c r="I39" s="92">
        <v>18</v>
      </c>
      <c r="J39" s="92">
        <v>18</v>
      </c>
      <c r="K39" s="92">
        <v>18</v>
      </c>
      <c r="L39" s="92">
        <v>18</v>
      </c>
      <c r="M39" s="92">
        <v>18</v>
      </c>
      <c r="N39" s="92">
        <v>18</v>
      </c>
    </row>
    <row r="40" spans="2:14" x14ac:dyDescent="0.2">
      <c r="B40" s="45" t="s">
        <v>57</v>
      </c>
      <c r="C40" s="92">
        <v>23</v>
      </c>
      <c r="D40" s="92">
        <v>23</v>
      </c>
      <c r="E40" s="92">
        <v>23</v>
      </c>
      <c r="F40" s="92">
        <v>23</v>
      </c>
      <c r="G40" s="92">
        <v>23</v>
      </c>
      <c r="H40" s="92">
        <v>23</v>
      </c>
      <c r="I40" s="92">
        <v>23</v>
      </c>
      <c r="J40" s="92">
        <v>23</v>
      </c>
      <c r="K40" s="92">
        <v>23</v>
      </c>
      <c r="L40" s="92">
        <v>23</v>
      </c>
      <c r="M40" s="92">
        <v>23</v>
      </c>
      <c r="N40" s="92">
        <v>23</v>
      </c>
    </row>
    <row r="41" spans="2:14" x14ac:dyDescent="0.2">
      <c r="B41" s="45" t="s">
        <v>70</v>
      </c>
      <c r="C41" s="93">
        <v>10</v>
      </c>
      <c r="D41" s="93">
        <v>10</v>
      </c>
      <c r="E41" s="93">
        <v>10</v>
      </c>
      <c r="F41" s="93">
        <v>10</v>
      </c>
      <c r="G41" s="93">
        <v>10</v>
      </c>
      <c r="H41" s="93">
        <v>10</v>
      </c>
      <c r="I41" s="93">
        <v>10</v>
      </c>
      <c r="J41" s="93">
        <v>10</v>
      </c>
      <c r="K41" s="93">
        <v>10</v>
      </c>
      <c r="L41" s="93">
        <v>10</v>
      </c>
      <c r="M41" s="93">
        <v>10</v>
      </c>
      <c r="N41" s="93">
        <v>10</v>
      </c>
    </row>
    <row r="42" spans="2:14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</row>
    <row r="43" spans="2:14" x14ac:dyDescent="0.2">
      <c r="I43" s="50"/>
      <c r="J43" s="50"/>
      <c r="K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6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2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2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2:24" x14ac:dyDescent="0.2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2:24" x14ac:dyDescent="0.2"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3" spans="2:24" x14ac:dyDescent="0.2">
      <c r="P53" s="50"/>
      <c r="Q53" s="50"/>
      <c r="R53" s="50"/>
      <c r="S53" s="50"/>
      <c r="T53" s="50"/>
      <c r="U53" s="50"/>
      <c r="V53" s="50"/>
      <c r="W53" s="50"/>
      <c r="X53" s="50"/>
    </row>
    <row r="65" spans="9:10" x14ac:dyDescent="0.2">
      <c r="I65" s="50"/>
      <c r="J65" s="50"/>
    </row>
    <row r="66" spans="9:10" x14ac:dyDescent="0.2">
      <c r="I66" s="50"/>
      <c r="J66" s="50"/>
    </row>
    <row r="67" spans="9:10" x14ac:dyDescent="0.2">
      <c r="I67" s="50"/>
      <c r="J67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J11 C19 E19 G19 I19 C27:K30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8:N41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topLeftCell="A4" zoomScale="115" workbookViewId="0">
      <selection activeCell="O33" sqref="O33"/>
    </sheetView>
  </sheetViews>
  <sheetFormatPr defaultColWidth="8.85546875"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8.8554687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8">
        <v>2.1</v>
      </c>
      <c r="E6" s="88">
        <v>2.1</v>
      </c>
      <c r="F6" s="88">
        <v>2.1</v>
      </c>
      <c r="G6" s="88">
        <v>2.1</v>
      </c>
      <c r="H6" s="88">
        <v>2.1</v>
      </c>
      <c r="I6" s="88">
        <v>2.1</v>
      </c>
      <c r="J6" s="88">
        <v>2.1</v>
      </c>
      <c r="K6" s="88">
        <v>2.1</v>
      </c>
      <c r="L6" s="88">
        <v>2.1</v>
      </c>
      <c r="M6" s="88">
        <v>2.1</v>
      </c>
      <c r="N6" s="88">
        <v>2.1</v>
      </c>
      <c r="O6" s="88">
        <v>2.1</v>
      </c>
    </row>
    <row r="7" spans="2:15" x14ac:dyDescent="0.2">
      <c r="C7" s="36" t="s">
        <v>127</v>
      </c>
      <c r="D7" s="88">
        <v>2</v>
      </c>
      <c r="E7" s="88">
        <v>2</v>
      </c>
      <c r="F7" s="88">
        <v>2</v>
      </c>
      <c r="G7" s="88">
        <v>2</v>
      </c>
      <c r="H7" s="88">
        <v>2</v>
      </c>
      <c r="I7" s="88">
        <v>2</v>
      </c>
      <c r="J7" s="88">
        <v>2</v>
      </c>
      <c r="K7" s="88">
        <v>2</v>
      </c>
      <c r="L7" s="88">
        <v>2</v>
      </c>
      <c r="M7" s="88">
        <v>2</v>
      </c>
      <c r="N7" s="88">
        <v>2</v>
      </c>
      <c r="O7" s="88">
        <v>2</v>
      </c>
    </row>
    <row r="8" spans="2:15" x14ac:dyDescent="0.2">
      <c r="C8" s="36" t="s">
        <v>128</v>
      </c>
      <c r="D8" s="88">
        <v>2.2999999999999998</v>
      </c>
      <c r="E8" s="88">
        <v>2.2999999999999998</v>
      </c>
      <c r="F8" s="88">
        <v>2.2999999999999998</v>
      </c>
      <c r="G8" s="88">
        <v>2.2999999999999998</v>
      </c>
      <c r="H8" s="88">
        <v>2.2999999999999998</v>
      </c>
      <c r="I8" s="88">
        <v>2.2999999999999998</v>
      </c>
      <c r="J8" s="88">
        <v>2.2999999999999998</v>
      </c>
      <c r="K8" s="88">
        <v>2.2999999999999998</v>
      </c>
      <c r="L8" s="88">
        <v>2.2999999999999998</v>
      </c>
      <c r="M8" s="88">
        <v>2.2999999999999998</v>
      </c>
      <c r="N8" s="88">
        <v>2.2999999999999998</v>
      </c>
      <c r="O8" s="88">
        <v>2.2999999999999998</v>
      </c>
    </row>
    <row r="9" spans="2:15" x14ac:dyDescent="0.2">
      <c r="C9" s="36" t="s">
        <v>129</v>
      </c>
      <c r="D9" s="88">
        <v>2.35</v>
      </c>
      <c r="E9" s="88">
        <v>2.35</v>
      </c>
      <c r="F9" s="88">
        <v>2.35</v>
      </c>
      <c r="G9" s="88">
        <v>2.35</v>
      </c>
      <c r="H9" s="88">
        <v>2.35</v>
      </c>
      <c r="I9" s="88">
        <v>2.35</v>
      </c>
      <c r="J9" s="88">
        <v>2.35</v>
      </c>
      <c r="K9" s="88">
        <v>2.35</v>
      </c>
      <c r="L9" s="88">
        <v>2.35</v>
      </c>
      <c r="M9" s="88">
        <v>2.35</v>
      </c>
      <c r="N9" s="88">
        <v>2.35</v>
      </c>
      <c r="O9" s="88">
        <v>2.35</v>
      </c>
    </row>
    <row r="10" spans="2:15" x14ac:dyDescent="0.2">
      <c r="C10" s="36" t="s">
        <v>130</v>
      </c>
      <c r="D10" s="88">
        <v>2.2000000000000002</v>
      </c>
      <c r="E10" s="88">
        <v>2.2000000000000002</v>
      </c>
      <c r="F10" s="88">
        <v>2.2000000000000002</v>
      </c>
      <c r="G10" s="88">
        <v>2.2000000000000002</v>
      </c>
      <c r="H10" s="88">
        <v>2.2000000000000002</v>
      </c>
      <c r="I10" s="88">
        <v>2.2000000000000002</v>
      </c>
      <c r="J10" s="88">
        <v>2.2000000000000002</v>
      </c>
      <c r="K10" s="88">
        <v>2.2000000000000002</v>
      </c>
      <c r="L10" s="88">
        <v>2.2000000000000002</v>
      </c>
      <c r="M10" s="88">
        <v>2.2000000000000002</v>
      </c>
      <c r="N10" s="88">
        <v>2.2000000000000002</v>
      </c>
      <c r="O10" s="88">
        <v>2.2000000000000002</v>
      </c>
    </row>
    <row r="11" spans="2:15" x14ac:dyDescent="0.2">
      <c r="C11" s="36" t="s">
        <v>131</v>
      </c>
      <c r="D11" s="88">
        <v>4</v>
      </c>
      <c r="E11" s="88">
        <v>4</v>
      </c>
      <c r="F11" s="88">
        <v>4</v>
      </c>
      <c r="G11" s="88">
        <v>4</v>
      </c>
      <c r="H11" s="88">
        <v>4</v>
      </c>
      <c r="I11" s="88">
        <v>4</v>
      </c>
      <c r="J11" s="88">
        <v>4</v>
      </c>
      <c r="K11" s="88">
        <v>4</v>
      </c>
      <c r="L11" s="88">
        <v>4</v>
      </c>
      <c r="M11" s="88">
        <v>4</v>
      </c>
      <c r="N11" s="88">
        <v>4</v>
      </c>
      <c r="O11" s="88">
        <v>4</v>
      </c>
    </row>
    <row r="12" spans="2:15" x14ac:dyDescent="0.2">
      <c r="C12" s="37" t="s">
        <v>132</v>
      </c>
      <c r="D12" s="88">
        <v>2.75</v>
      </c>
      <c r="E12" s="88">
        <v>2.75</v>
      </c>
      <c r="F12" s="88">
        <v>2.75</v>
      </c>
      <c r="G12" s="88">
        <v>2.75</v>
      </c>
      <c r="H12" s="88">
        <v>2.75</v>
      </c>
      <c r="I12" s="88">
        <v>2.75</v>
      </c>
      <c r="J12" s="88">
        <v>2.75</v>
      </c>
      <c r="K12" s="88">
        <v>2.75</v>
      </c>
      <c r="L12" s="88">
        <v>2.75</v>
      </c>
      <c r="M12" s="88">
        <v>2.75</v>
      </c>
      <c r="N12" s="88">
        <v>2.75</v>
      </c>
      <c r="O12" s="88">
        <v>2.75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8">
        <v>3.43</v>
      </c>
      <c r="E15" s="88">
        <v>3.43</v>
      </c>
      <c r="F15" s="88">
        <v>3.43</v>
      </c>
      <c r="G15" s="88">
        <v>3.43</v>
      </c>
      <c r="H15" s="88">
        <v>3.43</v>
      </c>
      <c r="I15" s="88">
        <v>3.43</v>
      </c>
      <c r="J15" s="88">
        <v>3.43</v>
      </c>
      <c r="K15" s="88">
        <v>3.43</v>
      </c>
      <c r="L15" s="88">
        <v>3.43</v>
      </c>
      <c r="M15" s="88">
        <v>3.43</v>
      </c>
      <c r="N15" s="88">
        <v>3.43</v>
      </c>
      <c r="O15" s="88">
        <v>3.43</v>
      </c>
    </row>
    <row r="16" spans="2:15" x14ac:dyDescent="0.2">
      <c r="C16" s="36" t="s">
        <v>127</v>
      </c>
      <c r="D16" s="88">
        <v>3.38</v>
      </c>
      <c r="E16" s="88">
        <v>3.38</v>
      </c>
      <c r="F16" s="88">
        <v>3.38</v>
      </c>
      <c r="G16" s="88">
        <v>3.38</v>
      </c>
      <c r="H16" s="88">
        <v>3.38</v>
      </c>
      <c r="I16" s="88">
        <v>3.38</v>
      </c>
      <c r="J16" s="88">
        <v>3.38</v>
      </c>
      <c r="K16" s="88">
        <v>3.38</v>
      </c>
      <c r="L16" s="88">
        <v>3.38</v>
      </c>
      <c r="M16" s="88">
        <v>3.38</v>
      </c>
      <c r="N16" s="88">
        <v>3.38</v>
      </c>
      <c r="O16" s="88">
        <v>3.38</v>
      </c>
    </row>
    <row r="17" spans="2:15" x14ac:dyDescent="0.2">
      <c r="C17" s="36" t="s">
        <v>128</v>
      </c>
      <c r="D17" s="88">
        <v>4</v>
      </c>
      <c r="E17" s="88">
        <v>4</v>
      </c>
      <c r="F17" s="88">
        <v>4</v>
      </c>
      <c r="G17" s="88">
        <v>4</v>
      </c>
      <c r="H17" s="88">
        <v>4</v>
      </c>
      <c r="I17" s="88">
        <v>4</v>
      </c>
      <c r="J17" s="88">
        <v>4</v>
      </c>
      <c r="K17" s="88">
        <v>4</v>
      </c>
      <c r="L17" s="88">
        <v>4</v>
      </c>
      <c r="M17" s="88">
        <v>4</v>
      </c>
      <c r="N17" s="88">
        <v>4</v>
      </c>
      <c r="O17" s="88">
        <v>4</v>
      </c>
    </row>
    <row r="18" spans="2:15" x14ac:dyDescent="0.2">
      <c r="C18" s="36" t="s">
        <v>129</v>
      </c>
      <c r="D18" s="88">
        <v>4</v>
      </c>
      <c r="E18" s="88">
        <v>4</v>
      </c>
      <c r="F18" s="88">
        <v>4</v>
      </c>
      <c r="G18" s="88">
        <v>4</v>
      </c>
      <c r="H18" s="88">
        <v>4</v>
      </c>
      <c r="I18" s="88">
        <v>4</v>
      </c>
      <c r="J18" s="88">
        <v>4</v>
      </c>
      <c r="K18" s="88">
        <v>4</v>
      </c>
      <c r="L18" s="88">
        <v>4</v>
      </c>
      <c r="M18" s="88">
        <v>4</v>
      </c>
      <c r="N18" s="88">
        <v>4</v>
      </c>
      <c r="O18" s="88">
        <v>4</v>
      </c>
    </row>
    <row r="19" spans="2:15" x14ac:dyDescent="0.2">
      <c r="C19" s="36" t="s">
        <v>130</v>
      </c>
      <c r="D19" s="88">
        <v>3.35</v>
      </c>
      <c r="E19" s="88">
        <v>3.35</v>
      </c>
      <c r="F19" s="88">
        <v>3.35</v>
      </c>
      <c r="G19" s="88">
        <v>3.35</v>
      </c>
      <c r="H19" s="88">
        <v>3.35</v>
      </c>
      <c r="I19" s="88">
        <v>3.35</v>
      </c>
      <c r="J19" s="88">
        <v>3.35</v>
      </c>
      <c r="K19" s="88">
        <v>3.35</v>
      </c>
      <c r="L19" s="88">
        <v>3.35</v>
      </c>
      <c r="M19" s="88">
        <v>3.35</v>
      </c>
      <c r="N19" s="88">
        <v>3.35</v>
      </c>
      <c r="O19" s="88">
        <v>3.35</v>
      </c>
    </row>
    <row r="20" spans="2:15" x14ac:dyDescent="0.2">
      <c r="C20" s="36" t="s">
        <v>131</v>
      </c>
      <c r="D20" s="88">
        <v>4</v>
      </c>
      <c r="E20" s="88">
        <v>4</v>
      </c>
      <c r="F20" s="88">
        <v>4</v>
      </c>
      <c r="G20" s="88">
        <v>4</v>
      </c>
      <c r="H20" s="88">
        <v>4</v>
      </c>
      <c r="I20" s="88">
        <v>4</v>
      </c>
      <c r="J20" s="88">
        <v>4</v>
      </c>
      <c r="K20" s="88">
        <v>4</v>
      </c>
      <c r="L20" s="88">
        <v>4</v>
      </c>
      <c r="M20" s="88">
        <v>4</v>
      </c>
      <c r="N20" s="88">
        <v>4</v>
      </c>
      <c r="O20" s="88">
        <v>4</v>
      </c>
    </row>
    <row r="21" spans="2:15" x14ac:dyDescent="0.2">
      <c r="C21" s="37" t="s">
        <v>132</v>
      </c>
      <c r="D21" s="88">
        <v>4</v>
      </c>
      <c r="E21" s="88">
        <v>4</v>
      </c>
      <c r="F21" s="88">
        <v>4</v>
      </c>
      <c r="G21" s="88">
        <v>4</v>
      </c>
      <c r="H21" s="88">
        <v>4</v>
      </c>
      <c r="I21" s="88">
        <v>4</v>
      </c>
      <c r="J21" s="88">
        <v>4</v>
      </c>
      <c r="K21" s="88">
        <v>4</v>
      </c>
      <c r="L21" s="88">
        <v>4</v>
      </c>
      <c r="M21" s="88">
        <v>4</v>
      </c>
      <c r="N21" s="88">
        <v>4</v>
      </c>
      <c r="O21" s="88">
        <v>4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8">
        <v>3.6</v>
      </c>
      <c r="E24" s="88">
        <v>3.6</v>
      </c>
      <c r="F24" s="88">
        <v>3.6</v>
      </c>
      <c r="G24" s="88">
        <v>3.6</v>
      </c>
      <c r="H24" s="88">
        <v>3.6</v>
      </c>
      <c r="I24" s="88">
        <v>3.6</v>
      </c>
      <c r="J24" s="88">
        <v>3.6</v>
      </c>
      <c r="K24" s="88">
        <v>3.6</v>
      </c>
      <c r="L24" s="88">
        <v>3.6</v>
      </c>
      <c r="M24" s="88">
        <v>3.6</v>
      </c>
      <c r="N24" s="88">
        <v>3.6</v>
      </c>
      <c r="O24" s="88">
        <v>3.6</v>
      </c>
    </row>
    <row r="25" spans="2:15" x14ac:dyDescent="0.2">
      <c r="C25" s="36" t="s">
        <v>127</v>
      </c>
      <c r="D25" s="88">
        <v>3.61</v>
      </c>
      <c r="E25" s="88">
        <v>3.61</v>
      </c>
      <c r="F25" s="88">
        <v>3.61</v>
      </c>
      <c r="G25" s="88">
        <v>3.61</v>
      </c>
      <c r="H25" s="88">
        <v>3.61</v>
      </c>
      <c r="I25" s="88">
        <v>3.61</v>
      </c>
      <c r="J25" s="88">
        <v>3.61</v>
      </c>
      <c r="K25" s="88">
        <v>3.61</v>
      </c>
      <c r="L25" s="88">
        <v>3.61</v>
      </c>
      <c r="M25" s="88">
        <v>3.61</v>
      </c>
      <c r="N25" s="88">
        <v>3.61</v>
      </c>
      <c r="O25" s="88">
        <v>3.61</v>
      </c>
    </row>
    <row r="26" spans="2:15" x14ac:dyDescent="0.2">
      <c r="C26" s="36" t="s">
        <v>128</v>
      </c>
      <c r="D26" s="88">
        <v>3.9</v>
      </c>
      <c r="E26" s="88">
        <v>3.9</v>
      </c>
      <c r="F26" s="88">
        <v>3.9</v>
      </c>
      <c r="G26" s="88">
        <v>3.9</v>
      </c>
      <c r="H26" s="88">
        <v>3.9</v>
      </c>
      <c r="I26" s="88">
        <v>3.9</v>
      </c>
      <c r="J26" s="88">
        <v>3.9</v>
      </c>
      <c r="K26" s="88">
        <v>3.9</v>
      </c>
      <c r="L26" s="88">
        <v>3.9</v>
      </c>
      <c r="M26" s="88">
        <v>3.9</v>
      </c>
      <c r="N26" s="88">
        <v>3.9</v>
      </c>
      <c r="O26" s="88">
        <v>3.9</v>
      </c>
    </row>
    <row r="27" spans="2:15" x14ac:dyDescent="0.2">
      <c r="C27" s="36" t="s">
        <v>129</v>
      </c>
      <c r="D27" s="88">
        <v>3.9</v>
      </c>
      <c r="E27" s="88">
        <v>3.9</v>
      </c>
      <c r="F27" s="88">
        <v>3.9</v>
      </c>
      <c r="G27" s="88">
        <v>3.9</v>
      </c>
      <c r="H27" s="88">
        <v>3.9</v>
      </c>
      <c r="I27" s="88">
        <v>3.9</v>
      </c>
      <c r="J27" s="88">
        <v>3.9</v>
      </c>
      <c r="K27" s="88">
        <v>3.9</v>
      </c>
      <c r="L27" s="88">
        <v>3.9</v>
      </c>
      <c r="M27" s="88">
        <v>3.9</v>
      </c>
      <c r="N27" s="88">
        <v>3.9</v>
      </c>
      <c r="O27" s="88">
        <v>3.9</v>
      </c>
    </row>
    <row r="28" spans="2:15" x14ac:dyDescent="0.2">
      <c r="C28" s="36" t="s">
        <v>130</v>
      </c>
      <c r="D28" s="88">
        <v>3.9</v>
      </c>
      <c r="E28" s="88">
        <v>3.9</v>
      </c>
      <c r="F28" s="88">
        <v>3.9</v>
      </c>
      <c r="G28" s="88">
        <v>3.9</v>
      </c>
      <c r="H28" s="88">
        <v>3.9</v>
      </c>
      <c r="I28" s="88">
        <v>3.9</v>
      </c>
      <c r="J28" s="88">
        <v>3.9</v>
      </c>
      <c r="K28" s="88">
        <v>3.9</v>
      </c>
      <c r="L28" s="88">
        <v>3.9</v>
      </c>
      <c r="M28" s="88">
        <v>3.9</v>
      </c>
      <c r="N28" s="88">
        <v>3.9</v>
      </c>
      <c r="O28" s="88">
        <v>3.9</v>
      </c>
    </row>
    <row r="29" spans="2:15" x14ac:dyDescent="0.2">
      <c r="C29" s="36" t="s">
        <v>131</v>
      </c>
      <c r="D29" s="88">
        <v>3.9</v>
      </c>
      <c r="E29" s="88">
        <v>3.9</v>
      </c>
      <c r="F29" s="88">
        <v>3.9</v>
      </c>
      <c r="G29" s="88">
        <v>3.9</v>
      </c>
      <c r="H29" s="88">
        <v>3.9</v>
      </c>
      <c r="I29" s="88">
        <v>3.9</v>
      </c>
      <c r="J29" s="88">
        <v>3.9</v>
      </c>
      <c r="K29" s="88">
        <v>3.9</v>
      </c>
      <c r="L29" s="88">
        <v>3.9</v>
      </c>
      <c r="M29" s="88">
        <v>3.9</v>
      </c>
      <c r="N29" s="88">
        <v>3.9</v>
      </c>
      <c r="O29" s="88">
        <v>3.9</v>
      </c>
    </row>
    <row r="30" spans="2:15" x14ac:dyDescent="0.2">
      <c r="C30" s="37" t="s">
        <v>132</v>
      </c>
      <c r="D30" s="88">
        <v>3.9</v>
      </c>
      <c r="E30" s="88">
        <v>3.9</v>
      </c>
      <c r="F30" s="88">
        <v>3.9</v>
      </c>
      <c r="G30" s="88">
        <v>3.9</v>
      </c>
      <c r="H30" s="88">
        <v>3.9</v>
      </c>
      <c r="I30" s="88">
        <v>3.9</v>
      </c>
      <c r="J30" s="88">
        <v>3.9</v>
      </c>
      <c r="K30" s="88">
        <v>3.9</v>
      </c>
      <c r="L30" s="88">
        <v>3.9</v>
      </c>
      <c r="M30" s="88">
        <v>3.9</v>
      </c>
      <c r="N30" s="88">
        <v>3.9</v>
      </c>
      <c r="O30" s="88">
        <v>3.9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8">
        <v>1.6</v>
      </c>
      <c r="E33" s="88">
        <v>1.6</v>
      </c>
      <c r="F33" s="88">
        <v>1.6</v>
      </c>
      <c r="G33" s="88">
        <v>1.6</v>
      </c>
      <c r="H33" s="88">
        <v>1.6</v>
      </c>
      <c r="I33" s="88">
        <v>1.6</v>
      </c>
      <c r="J33" s="88">
        <v>1.6</v>
      </c>
      <c r="K33" s="88">
        <v>1.6</v>
      </c>
      <c r="L33" s="88">
        <v>1.6</v>
      </c>
      <c r="M33" s="88">
        <v>1.6</v>
      </c>
      <c r="N33" s="88">
        <v>1.6</v>
      </c>
      <c r="O33" s="88">
        <v>1.6</v>
      </c>
    </row>
    <row r="34" spans="3:15" x14ac:dyDescent="0.2">
      <c r="C34" s="36" t="s">
        <v>127</v>
      </c>
      <c r="D34" s="88">
        <v>1.6</v>
      </c>
      <c r="E34" s="88">
        <v>1.6</v>
      </c>
      <c r="F34" s="88">
        <v>1.6</v>
      </c>
      <c r="G34" s="88">
        <v>1.6</v>
      </c>
      <c r="H34" s="88">
        <v>1.6</v>
      </c>
      <c r="I34" s="88">
        <v>1.6</v>
      </c>
      <c r="J34" s="88">
        <v>1.6</v>
      </c>
      <c r="K34" s="88">
        <v>1.6</v>
      </c>
      <c r="L34" s="88">
        <v>1.6</v>
      </c>
      <c r="M34" s="88">
        <v>1.6</v>
      </c>
      <c r="N34" s="88">
        <v>1.6</v>
      </c>
      <c r="O34" s="88">
        <v>1.6</v>
      </c>
    </row>
    <row r="35" spans="3:15" x14ac:dyDescent="0.2">
      <c r="C35" s="36" t="s">
        <v>128</v>
      </c>
      <c r="D35" s="88">
        <v>1.63</v>
      </c>
      <c r="E35" s="88">
        <v>1.63</v>
      </c>
      <c r="F35" s="88">
        <v>1.63</v>
      </c>
      <c r="G35" s="88">
        <v>1.63</v>
      </c>
      <c r="H35" s="88">
        <v>1.63</v>
      </c>
      <c r="I35" s="88">
        <v>1.63</v>
      </c>
      <c r="J35" s="88">
        <v>1.63</v>
      </c>
      <c r="K35" s="88">
        <v>1.63</v>
      </c>
      <c r="L35" s="88">
        <v>1.63</v>
      </c>
      <c r="M35" s="88">
        <v>1.63</v>
      </c>
      <c r="N35" s="88">
        <v>1.63</v>
      </c>
      <c r="O35" s="88">
        <v>1.63</v>
      </c>
    </row>
    <row r="36" spans="3:15" x14ac:dyDescent="0.2">
      <c r="C36" s="36" t="s">
        <v>129</v>
      </c>
      <c r="D36" s="88">
        <v>1.48</v>
      </c>
      <c r="E36" s="88">
        <v>1.48</v>
      </c>
      <c r="F36" s="88">
        <v>1.48</v>
      </c>
      <c r="G36" s="88">
        <v>1.48</v>
      </c>
      <c r="H36" s="88">
        <v>1.48</v>
      </c>
      <c r="I36" s="88">
        <v>1.48</v>
      </c>
      <c r="J36" s="88">
        <v>1.48</v>
      </c>
      <c r="K36" s="88">
        <v>1.48</v>
      </c>
      <c r="L36" s="88">
        <v>1.48</v>
      </c>
      <c r="M36" s="88">
        <v>1.48</v>
      </c>
      <c r="N36" s="88">
        <v>1.48</v>
      </c>
      <c r="O36" s="88">
        <v>1.48</v>
      </c>
    </row>
    <row r="37" spans="3:15" x14ac:dyDescent="0.2">
      <c r="C37" s="36" t="s">
        <v>130</v>
      </c>
      <c r="D37" s="88">
        <v>1.5</v>
      </c>
      <c r="E37" s="88">
        <v>1.5</v>
      </c>
      <c r="F37" s="88">
        <v>1.5</v>
      </c>
      <c r="G37" s="88">
        <v>1.5</v>
      </c>
      <c r="H37" s="88">
        <v>1.5</v>
      </c>
      <c r="I37" s="88">
        <v>1.5</v>
      </c>
      <c r="J37" s="88">
        <v>1.5</v>
      </c>
      <c r="K37" s="88">
        <v>1.5</v>
      </c>
      <c r="L37" s="88">
        <v>1.5</v>
      </c>
      <c r="M37" s="88">
        <v>1.5</v>
      </c>
      <c r="N37" s="88">
        <v>1.5</v>
      </c>
      <c r="O37" s="88">
        <v>1.5</v>
      </c>
    </row>
    <row r="38" spans="3:15" x14ac:dyDescent="0.2">
      <c r="C38" s="36" t="s">
        <v>131</v>
      </c>
      <c r="D38" s="88">
        <v>2.2000000000000002</v>
      </c>
      <c r="E38" s="88">
        <v>2.2000000000000002</v>
      </c>
      <c r="F38" s="88">
        <v>2.2000000000000002</v>
      </c>
      <c r="G38" s="88">
        <v>2.2000000000000002</v>
      </c>
      <c r="H38" s="88">
        <v>2.2000000000000002</v>
      </c>
      <c r="I38" s="88">
        <v>2.2000000000000002</v>
      </c>
      <c r="J38" s="88">
        <v>2.2000000000000002</v>
      </c>
      <c r="K38" s="88">
        <v>2.2000000000000002</v>
      </c>
      <c r="L38" s="88">
        <v>2.2000000000000002</v>
      </c>
      <c r="M38" s="88">
        <v>2.2000000000000002</v>
      </c>
      <c r="N38" s="88">
        <v>2.2000000000000002</v>
      </c>
      <c r="O38" s="88">
        <v>2.2000000000000002</v>
      </c>
    </row>
    <row r="39" spans="3:15" x14ac:dyDescent="0.2">
      <c r="C39" s="37" t="s">
        <v>132</v>
      </c>
      <c r="D39" s="88">
        <v>2.1</v>
      </c>
      <c r="E39" s="88">
        <v>2.1</v>
      </c>
      <c r="F39" s="88">
        <v>2.1</v>
      </c>
      <c r="G39" s="88">
        <v>2.1</v>
      </c>
      <c r="H39" s="88">
        <v>2.1</v>
      </c>
      <c r="I39" s="88">
        <v>2.1</v>
      </c>
      <c r="J39" s="88">
        <v>2.1</v>
      </c>
      <c r="K39" s="88">
        <v>2.1</v>
      </c>
      <c r="L39" s="88">
        <v>2.1</v>
      </c>
      <c r="M39" s="88">
        <v>2.1</v>
      </c>
      <c r="N39" s="88">
        <v>2.1</v>
      </c>
      <c r="O39" s="88">
        <v>2.1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5" customWidth="1"/>
    <col min="2" max="6" width="9.140625" style="105"/>
    <col min="7" max="7" width="2.7109375" style="105" customWidth="1"/>
    <col min="8" max="8" width="11.140625" style="105" customWidth="1"/>
    <col min="9" max="10" width="9.140625" style="105"/>
    <col min="11" max="12" width="4.7109375" style="105" customWidth="1"/>
    <col min="13" max="17" width="9.140625" style="105"/>
    <col min="18" max="18" width="2.7109375" style="105" customWidth="1"/>
    <col min="19" max="19" width="14.7109375" style="105" customWidth="1"/>
    <col min="20" max="20" width="16.7109375" style="105" customWidth="1"/>
    <col min="21" max="21" width="4.7109375" style="105" customWidth="1"/>
    <col min="22" max="16384" width="9.140625" style="105"/>
  </cols>
  <sheetData>
    <row r="1" spans="1:20" x14ac:dyDescent="0.2">
      <c r="A1" s="184"/>
    </row>
    <row r="2" spans="1:20" ht="15.75" x14ac:dyDescent="0.25">
      <c r="C2" s="185" t="s">
        <v>165</v>
      </c>
      <c r="D2" s="185"/>
      <c r="E2" s="185"/>
      <c r="F2" s="185"/>
      <c r="G2" s="185"/>
      <c r="H2" s="185"/>
    </row>
    <row r="3" spans="1:20" ht="18.75" x14ac:dyDescent="0.25">
      <c r="C3" s="186" t="s">
        <v>415</v>
      </c>
      <c r="D3" s="186"/>
      <c r="E3" s="186"/>
      <c r="F3" s="186"/>
      <c r="G3" s="186"/>
    </row>
    <row r="5" spans="1:20" ht="15.75" x14ac:dyDescent="0.25">
      <c r="A5" s="187" t="s">
        <v>354</v>
      </c>
      <c r="B5" s="188"/>
      <c r="G5" s="189"/>
      <c r="L5" s="187" t="s">
        <v>355</v>
      </c>
      <c r="M5" s="188"/>
      <c r="R5" s="189"/>
    </row>
    <row r="6" spans="1:20" x14ac:dyDescent="0.2">
      <c r="A6" s="190" t="s">
        <v>356</v>
      </c>
      <c r="B6" s="188"/>
      <c r="G6" s="191"/>
      <c r="H6" s="115"/>
      <c r="L6" s="190" t="s">
        <v>357</v>
      </c>
      <c r="M6" s="188"/>
      <c r="S6" s="130"/>
    </row>
    <row r="7" spans="1:20" x14ac:dyDescent="0.2">
      <c r="A7" s="188"/>
      <c r="B7" s="188" t="s">
        <v>358</v>
      </c>
      <c r="G7" s="191"/>
      <c r="H7" s="192">
        <f>SUM(ORA!$D$116:$O$116)</f>
        <v>58743.795121870382</v>
      </c>
      <c r="L7" s="188"/>
      <c r="M7" s="188" t="s">
        <v>358</v>
      </c>
      <c r="S7" s="193">
        <f>SUM(ORA!$D$127:$O$127)</f>
        <v>264342301.11156449</v>
      </c>
    </row>
    <row r="8" spans="1:20" x14ac:dyDescent="0.2">
      <c r="A8" s="188"/>
      <c r="B8" s="188" t="s">
        <v>359</v>
      </c>
      <c r="G8" s="191"/>
      <c r="H8" s="194">
        <f>SUM(POJ!$D$116:$O$116)</f>
        <v>33233.860290189848</v>
      </c>
      <c r="L8" s="188"/>
      <c r="M8" s="188" t="s">
        <v>359</v>
      </c>
      <c r="S8" s="195">
        <f>SUM(POJ!$D$127:$O$127)</f>
        <v>240480844.81146058</v>
      </c>
    </row>
    <row r="9" spans="1:20" x14ac:dyDescent="0.2">
      <c r="A9" s="188"/>
      <c r="B9" s="188" t="s">
        <v>360</v>
      </c>
      <c r="G9" s="191"/>
      <c r="H9" s="194">
        <f>SUM(ROJ!$D$116:$O$116)</f>
        <v>22746.527068687232</v>
      </c>
      <c r="L9" s="188"/>
      <c r="M9" s="188" t="s">
        <v>360</v>
      </c>
      <c r="S9" s="195">
        <f>SUM(ROJ!$D$127:$O$127)</f>
        <v>170925501.76881143</v>
      </c>
    </row>
    <row r="10" spans="1:20" x14ac:dyDescent="0.2">
      <c r="A10" s="188"/>
      <c r="B10" s="188" t="s">
        <v>361</v>
      </c>
      <c r="G10" s="191"/>
      <c r="H10" s="196">
        <f>SUM(FCOJ!$D$116:$O$116)</f>
        <v>126959.731708151</v>
      </c>
      <c r="L10" s="188"/>
      <c r="M10" s="188" t="s">
        <v>361</v>
      </c>
      <c r="S10" s="197">
        <f>SUM(FCOJ!$D$127:$O$127)</f>
        <v>410533747.9739055</v>
      </c>
    </row>
    <row r="11" spans="1:20" x14ac:dyDescent="0.2">
      <c r="A11" s="188"/>
      <c r="B11" s="188"/>
      <c r="G11" s="191"/>
      <c r="M11" s="188" t="s">
        <v>362</v>
      </c>
      <c r="T11" s="198">
        <f>SUM($S$7:$S$10)</f>
        <v>1086282395.6657419</v>
      </c>
    </row>
    <row r="12" spans="1:20" x14ac:dyDescent="0.2">
      <c r="A12" s="190" t="s">
        <v>363</v>
      </c>
      <c r="B12" s="188"/>
      <c r="G12" s="191"/>
    </row>
    <row r="13" spans="1:20" x14ac:dyDescent="0.2">
      <c r="A13" s="188"/>
      <c r="B13" s="188" t="s">
        <v>364</v>
      </c>
      <c r="G13" s="191"/>
      <c r="H13" s="199">
        <f>SUM(grove!$C$48:$AX$53)</f>
        <v>129819.19999999995</v>
      </c>
      <c r="L13" s="190" t="s">
        <v>365</v>
      </c>
      <c r="M13" s="188"/>
    </row>
    <row r="14" spans="1:20" x14ac:dyDescent="0.2">
      <c r="A14" s="188"/>
      <c r="B14" s="188" t="s">
        <v>366</v>
      </c>
      <c r="G14" s="191"/>
      <c r="H14" s="192">
        <f>raw_materials!$P$30</f>
        <v>0</v>
      </c>
      <c r="L14" s="188"/>
      <c r="M14" s="188" t="s">
        <v>367</v>
      </c>
      <c r="S14" s="193">
        <f>SUM(grove!$C$58:$AX$63)</f>
        <v>174933336.54936436</v>
      </c>
    </row>
    <row r="15" spans="1:20" x14ac:dyDescent="0.2">
      <c r="A15" s="188"/>
      <c r="B15" s="188" t="s">
        <v>368</v>
      </c>
      <c r="G15" s="191"/>
      <c r="H15" s="196">
        <f>raw_materials!$P$36</f>
        <v>136000</v>
      </c>
      <c r="L15" s="188"/>
      <c r="M15" s="188" t="s">
        <v>369</v>
      </c>
      <c r="S15" s="195">
        <f>(raw_materials!D30*raw_materials!E30+raw_materials!F30*raw_materials!G30+raw_materials!H30*raw_materials!I30+raw_materials!J30*raw_materials!K30+raw_materials!L30*raw_materials!M30)*2000</f>
        <v>0</v>
      </c>
    </row>
    <row r="16" spans="1:20" x14ac:dyDescent="0.2">
      <c r="A16" s="188"/>
      <c r="B16" s="188" t="s">
        <v>370</v>
      </c>
      <c r="G16" s="191"/>
      <c r="H16" s="200">
        <v>35562.377332325079</v>
      </c>
      <c r="L16" s="188"/>
      <c r="M16" s="188" t="s">
        <v>371</v>
      </c>
      <c r="S16" s="195">
        <f>(raw_materials!D36*raw_materials!E36+raw_materials!F36*raw_materials!G36+raw_materials!H36*raw_materials!I36+raw_materials!J36*raw_materials!K36+raw_materials!L36*raw_materials!M36)*2000</f>
        <v>306945031.89931208</v>
      </c>
    </row>
    <row r="17" spans="1:21" x14ac:dyDescent="0.2">
      <c r="A17" s="188"/>
      <c r="B17" s="188" t="s">
        <v>372</v>
      </c>
      <c r="G17" s="191"/>
      <c r="H17" s="201">
        <v>21673.277695466713</v>
      </c>
      <c r="L17" s="188"/>
      <c r="M17" s="188" t="s">
        <v>373</v>
      </c>
      <c r="S17" s="195">
        <v>23993866.477698252</v>
      </c>
    </row>
    <row r="18" spans="1:21" x14ac:dyDescent="0.2">
      <c r="A18" s="188"/>
      <c r="B18" s="188" t="s">
        <v>374</v>
      </c>
      <c r="G18" s="191"/>
      <c r="H18" s="202">
        <v>28945.617336388081</v>
      </c>
      <c r="L18" s="188"/>
      <c r="M18" s="188" t="s">
        <v>375</v>
      </c>
      <c r="S18" s="197">
        <v>41889937.796550527</v>
      </c>
    </row>
    <row r="19" spans="1:21" x14ac:dyDescent="0.2">
      <c r="A19" s="188"/>
      <c r="B19" s="188" t="s">
        <v>376</v>
      </c>
      <c r="G19" s="191"/>
      <c r="H19" s="201">
        <v>4812.5326268582739</v>
      </c>
      <c r="L19" s="188"/>
      <c r="M19" s="188" t="s">
        <v>377</v>
      </c>
      <c r="S19" s="203" t="s">
        <v>378</v>
      </c>
      <c r="T19" s="204">
        <f>SUM($S$14:$S$18)</f>
        <v>547762172.72292531</v>
      </c>
      <c r="U19" s="105" t="s">
        <v>379</v>
      </c>
    </row>
    <row r="20" spans="1:21" x14ac:dyDescent="0.2">
      <c r="A20" s="188"/>
      <c r="B20" s="188" t="s">
        <v>380</v>
      </c>
      <c r="G20" s="191"/>
      <c r="H20" s="196">
        <v>7428.2165555801294</v>
      </c>
      <c r="L20" s="188"/>
      <c r="M20" s="188"/>
    </row>
    <row r="21" spans="1:21" x14ac:dyDescent="0.2">
      <c r="A21" s="188"/>
      <c r="B21" s="188"/>
      <c r="G21" s="191"/>
      <c r="L21" s="190" t="s">
        <v>381</v>
      </c>
      <c r="M21" s="188"/>
      <c r="S21" s="130"/>
    </row>
    <row r="22" spans="1:21" x14ac:dyDescent="0.2">
      <c r="A22" s="190" t="s">
        <v>382</v>
      </c>
      <c r="B22" s="188"/>
      <c r="G22" s="191"/>
      <c r="L22" s="188"/>
      <c r="M22" s="188" t="s">
        <v>383</v>
      </c>
      <c r="S22" s="195">
        <v>71124754.664650172</v>
      </c>
    </row>
    <row r="23" spans="1:21" x14ac:dyDescent="0.2">
      <c r="A23" s="188"/>
      <c r="B23" s="188" t="s">
        <v>384</v>
      </c>
      <c r="G23" s="191"/>
      <c r="H23" s="192">
        <f>SUM(raw_materials!$O$31:$O$35)</f>
        <v>0</v>
      </c>
      <c r="L23" s="188"/>
      <c r="M23" s="188" t="s">
        <v>385</v>
      </c>
      <c r="S23" s="195">
        <v>21673277.695466734</v>
      </c>
    </row>
    <row r="24" spans="1:21" x14ac:dyDescent="0.2">
      <c r="A24" s="188"/>
      <c r="B24" s="188" t="s">
        <v>386</v>
      </c>
      <c r="G24" s="191"/>
      <c r="H24" s="196">
        <f>SUM(raw_materials!$O$37:$O$41)</f>
        <v>89461</v>
      </c>
      <c r="L24" s="188"/>
      <c r="M24" s="188" t="s">
        <v>387</v>
      </c>
      <c r="S24" s="197">
        <v>18814651.268652253</v>
      </c>
    </row>
    <row r="25" spans="1:21" x14ac:dyDescent="0.2">
      <c r="A25" s="188"/>
      <c r="B25" s="188"/>
      <c r="G25" s="191"/>
      <c r="L25" s="188"/>
      <c r="M25" s="188" t="s">
        <v>388</v>
      </c>
      <c r="S25" s="203" t="s">
        <v>378</v>
      </c>
      <c r="T25" s="204">
        <f>SUM($S$22:$S$24)</f>
        <v>111612683.62876916</v>
      </c>
      <c r="U25" s="105" t="s">
        <v>379</v>
      </c>
    </row>
    <row r="26" spans="1:21" x14ac:dyDescent="0.2">
      <c r="A26" s="190" t="s">
        <v>389</v>
      </c>
      <c r="B26" s="188"/>
      <c r="G26" s="191"/>
      <c r="L26" s="188"/>
      <c r="M26" s="188"/>
    </row>
    <row r="27" spans="1:21" x14ac:dyDescent="0.2">
      <c r="A27" s="188"/>
      <c r="B27" s="188" t="s">
        <v>390</v>
      </c>
      <c r="G27" s="191"/>
      <c r="H27" s="192">
        <f>SUMIF(facilities!$C$6:$C$15,"&gt;0",facilities!$C$6:$C$15)</f>
        <v>0</v>
      </c>
      <c r="L27" s="190" t="s">
        <v>391</v>
      </c>
      <c r="M27" s="188"/>
    </row>
    <row r="28" spans="1:21" x14ac:dyDescent="0.2">
      <c r="A28" s="188"/>
      <c r="B28" s="188" t="s">
        <v>392</v>
      </c>
      <c r="G28" s="191"/>
      <c r="H28" s="194">
        <f>SUMIF(facilities!$C$36:$C$106,"&gt;0",facilities!$C$36:$C$106)</f>
        <v>0</v>
      </c>
      <c r="L28" s="188"/>
      <c r="M28" s="188" t="s">
        <v>393</v>
      </c>
      <c r="S28" s="193">
        <v>19537812</v>
      </c>
    </row>
    <row r="29" spans="1:21" x14ac:dyDescent="0.2">
      <c r="A29" s="188"/>
      <c r="B29" s="188" t="s">
        <v>394</v>
      </c>
      <c r="G29" s="191"/>
      <c r="H29" s="194">
        <f>SUMIF(facilities!$C$6:$C$15,"&lt;0",facilities!$C$6:$C$15)</f>
        <v>-9300</v>
      </c>
      <c r="L29" s="188"/>
      <c r="M29" s="188" t="s">
        <v>395</v>
      </c>
      <c r="S29" s="195">
        <v>-5.6220414990093567E-10</v>
      </c>
    </row>
    <row r="30" spans="1:21" x14ac:dyDescent="0.2">
      <c r="A30" s="188"/>
      <c r="B30" s="188" t="s">
        <v>396</v>
      </c>
      <c r="G30" s="191"/>
      <c r="H30" s="196">
        <f>SUMIF(facilities!$C$36:$C$106,"&lt;0",facilities!$C$36:$C$106)</f>
        <v>-16850</v>
      </c>
      <c r="L30" s="188"/>
      <c r="M30" s="188" t="s">
        <v>397</v>
      </c>
      <c r="S30" s="195">
        <v>22506857.077272065</v>
      </c>
    </row>
    <row r="31" spans="1:21" x14ac:dyDescent="0.2">
      <c r="L31" s="188"/>
      <c r="M31" s="188" t="s">
        <v>398</v>
      </c>
      <c r="S31" s="197">
        <f>SUM(ORA!D138:O138)+SUM(POJ!D138:O138)+SUM(ROJ!D138:O138)+SUM(FCOJ!D138:O138)</f>
        <v>124884009.98301792</v>
      </c>
    </row>
    <row r="32" spans="1:21" x14ac:dyDescent="0.2">
      <c r="A32" s="190" t="s">
        <v>399</v>
      </c>
      <c r="B32" s="188"/>
      <c r="G32" s="191"/>
      <c r="L32" s="188"/>
      <c r="M32" s="188" t="s">
        <v>400</v>
      </c>
      <c r="S32" s="118" t="s">
        <v>378</v>
      </c>
      <c r="T32" s="204">
        <f>SUM($S$28:$S$31)</f>
        <v>166928679.06028998</v>
      </c>
      <c r="U32" s="105" t="s">
        <v>379</v>
      </c>
    </row>
    <row r="33" spans="1:21" x14ac:dyDescent="0.2">
      <c r="A33" s="188"/>
      <c r="B33" s="188" t="s">
        <v>401</v>
      </c>
      <c r="G33" s="191"/>
      <c r="H33" s="192">
        <f>COUNTIF(facilities!$H$6:$H$15,"=new")</f>
        <v>0</v>
      </c>
      <c r="M33" s="188"/>
    </row>
    <row r="34" spans="1:21" x14ac:dyDescent="0.2">
      <c r="A34" s="188"/>
      <c r="B34" s="188" t="s">
        <v>402</v>
      </c>
      <c r="G34" s="191"/>
      <c r="H34" s="194">
        <f>COUNTIF(facilities!$H$36:$H$106,"=new")</f>
        <v>0</v>
      </c>
      <c r="L34" s="190" t="s">
        <v>403</v>
      </c>
      <c r="M34" s="188"/>
    </row>
    <row r="35" spans="1:21" x14ac:dyDescent="0.2">
      <c r="B35" s="188" t="s">
        <v>18</v>
      </c>
      <c r="H35" s="196">
        <f>SUMIF(facilities!$C$21:$C$30,"&gt;0",facilities!$C$21:$C$30)</f>
        <v>0</v>
      </c>
      <c r="L35" s="188"/>
      <c r="M35" s="188" t="s">
        <v>404</v>
      </c>
      <c r="S35" s="193">
        <v>59000000</v>
      </c>
    </row>
    <row r="36" spans="1:21" x14ac:dyDescent="0.2">
      <c r="L36" s="188"/>
      <c r="M36" s="188" t="s">
        <v>405</v>
      </c>
      <c r="S36" s="195">
        <f>H33*12000000-H38*70/100*12000000</f>
        <v>0</v>
      </c>
    </row>
    <row r="37" spans="1:21" x14ac:dyDescent="0.2">
      <c r="A37" s="190" t="s">
        <v>406</v>
      </c>
      <c r="L37" s="188"/>
      <c r="M37" s="188" t="s">
        <v>407</v>
      </c>
      <c r="S37" s="195">
        <f>H27*8000+H29*70/100*8000</f>
        <v>-52080000</v>
      </c>
    </row>
    <row r="38" spans="1:21" x14ac:dyDescent="0.2">
      <c r="B38" s="188" t="s">
        <v>401</v>
      </c>
      <c r="H38" s="192">
        <f>COUNTIF(facilities!$H$6:$H$15,"=sold")</f>
        <v>0</v>
      </c>
      <c r="L38" s="188"/>
      <c r="M38" s="188" t="s">
        <v>408</v>
      </c>
      <c r="S38" s="195">
        <v>44950000</v>
      </c>
    </row>
    <row r="39" spans="1:21" x14ac:dyDescent="0.2">
      <c r="B39" s="188" t="s">
        <v>402</v>
      </c>
      <c r="H39" s="194">
        <f>COUNTIF(facilities!$H$36:$H$106,"=sold")</f>
        <v>0</v>
      </c>
      <c r="L39" s="188"/>
      <c r="M39" s="188" t="s">
        <v>409</v>
      </c>
      <c r="S39" s="195">
        <f>H34*9000000-H39*80/100*9000000</f>
        <v>0</v>
      </c>
    </row>
    <row r="40" spans="1:21" x14ac:dyDescent="0.2">
      <c r="B40" s="188" t="s">
        <v>18</v>
      </c>
      <c r="H40" s="196">
        <f>-SUMIF(facilities!$C$21:$C$30,"&lt;0",facilities!$C$21:$C$30)</f>
        <v>240</v>
      </c>
      <c r="L40" s="188"/>
      <c r="M40" s="188" t="s">
        <v>410</v>
      </c>
      <c r="S40" s="195">
        <f>H28*6000+H30*80/100*6000</f>
        <v>-80880000</v>
      </c>
    </row>
    <row r="41" spans="1:21" x14ac:dyDescent="0.2">
      <c r="L41" s="188"/>
      <c r="M41" s="188" t="s">
        <v>411</v>
      </c>
      <c r="S41" s="195">
        <v>143690</v>
      </c>
    </row>
    <row r="42" spans="1:21" x14ac:dyDescent="0.2">
      <c r="L42" s="188"/>
      <c r="M42" s="188" t="s">
        <v>412</v>
      </c>
      <c r="S42" s="197">
        <f>H35*100000-H40*60/100*100000</f>
        <v>-14400000</v>
      </c>
    </row>
    <row r="43" spans="1:21" x14ac:dyDescent="0.2">
      <c r="L43" s="188"/>
      <c r="M43" s="188" t="s">
        <v>413</v>
      </c>
      <c r="S43" s="182" t="s">
        <v>378</v>
      </c>
      <c r="T43" s="204">
        <f>SUM($S$35:$S$42)</f>
        <v>-43266310</v>
      </c>
      <c r="U43" s="105" t="s">
        <v>379</v>
      </c>
    </row>
    <row r="44" spans="1:21" x14ac:dyDescent="0.2">
      <c r="L44" s="188"/>
      <c r="S44" s="115"/>
    </row>
    <row r="45" spans="1:21" ht="14.25" thickBot="1" x14ac:dyDescent="0.3">
      <c r="L45" s="205" t="s">
        <v>414</v>
      </c>
      <c r="M45" s="188"/>
      <c r="T45" s="206">
        <f>$T$11-$T$19-$T$25-$T$32-$T$43</f>
        <v>303245170.25375748</v>
      </c>
    </row>
    <row r="46" spans="1:21" ht="13.5" thickTop="1" x14ac:dyDescent="0.2">
      <c r="M46" s="188"/>
    </row>
    <row r="316" spans="1:1" x14ac:dyDescent="0.2">
      <c r="A316" s="184"/>
    </row>
    <row r="317" spans="1:1" x14ac:dyDescent="0.2">
      <c r="A317" s="184"/>
    </row>
    <row r="318" spans="1:1" x14ac:dyDescent="0.2">
      <c r="A318" s="184"/>
    </row>
    <row r="319" spans="1:1" x14ac:dyDescent="0.2">
      <c r="A319" s="184"/>
    </row>
    <row r="320" spans="1:1" x14ac:dyDescent="0.2">
      <c r="A320" s="184"/>
    </row>
    <row r="321" spans="1:1" x14ac:dyDescent="0.2">
      <c r="A321" s="184"/>
    </row>
    <row r="322" spans="1:1" x14ac:dyDescent="0.2">
      <c r="A322" s="184"/>
    </row>
    <row r="323" spans="1:1" x14ac:dyDescent="0.2">
      <c r="A323" s="184"/>
    </row>
    <row r="325" spans="1:1" x14ac:dyDescent="0.2">
      <c r="A325" s="184"/>
    </row>
    <row r="326" spans="1:1" x14ac:dyDescent="0.2">
      <c r="A326" s="184"/>
    </row>
    <row r="327" spans="1:1" x14ac:dyDescent="0.2">
      <c r="A327" s="184"/>
    </row>
    <row r="328" spans="1:1" x14ac:dyDescent="0.2">
      <c r="A328" s="184"/>
    </row>
    <row r="329" spans="1:1" x14ac:dyDescent="0.2">
      <c r="A329" s="184"/>
    </row>
    <row r="330" spans="1:1" x14ac:dyDescent="0.2">
      <c r="A330" s="184"/>
    </row>
    <row r="331" spans="1:1" x14ac:dyDescent="0.2">
      <c r="A331" s="184"/>
    </row>
    <row r="332" spans="1:1" x14ac:dyDescent="0.2">
      <c r="A332" s="184"/>
    </row>
    <row r="334" spans="1:1" x14ac:dyDescent="0.2">
      <c r="A334" s="184"/>
    </row>
    <row r="335" spans="1:1" x14ac:dyDescent="0.2">
      <c r="A335" s="184"/>
    </row>
    <row r="336" spans="1:1" x14ac:dyDescent="0.2">
      <c r="A336" s="184"/>
    </row>
    <row r="337" spans="1:1" x14ac:dyDescent="0.2">
      <c r="A337" s="184"/>
    </row>
    <row r="338" spans="1:1" x14ac:dyDescent="0.2">
      <c r="A338" s="184"/>
    </row>
    <row r="339" spans="1:1" x14ac:dyDescent="0.2">
      <c r="A339" s="184"/>
    </row>
    <row r="340" spans="1:1" x14ac:dyDescent="0.2">
      <c r="A340" s="184"/>
    </row>
    <row r="341" spans="1:1" x14ac:dyDescent="0.2">
      <c r="A341" s="184"/>
    </row>
    <row r="343" spans="1:1" x14ac:dyDescent="0.2">
      <c r="A343" s="184"/>
    </row>
    <row r="344" spans="1:1" x14ac:dyDescent="0.2">
      <c r="A344" s="184"/>
    </row>
    <row r="345" spans="1:1" x14ac:dyDescent="0.2">
      <c r="A345" s="184"/>
    </row>
    <row r="346" spans="1:1" x14ac:dyDescent="0.2">
      <c r="A346" s="184"/>
    </row>
    <row r="347" spans="1:1" x14ac:dyDescent="0.2">
      <c r="A347" s="184"/>
    </row>
    <row r="348" spans="1:1" x14ac:dyDescent="0.2">
      <c r="A348" s="184"/>
    </row>
    <row r="349" spans="1:1" x14ac:dyDescent="0.2">
      <c r="A349" s="184"/>
    </row>
    <row r="350" spans="1:1" x14ac:dyDescent="0.2">
      <c r="A350" s="184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51"/>
  <sheetViews>
    <sheetView topLeftCell="A26" workbookViewId="0">
      <selection activeCell="C38" sqref="C38:AX43"/>
    </sheetView>
  </sheetViews>
  <sheetFormatPr defaultRowHeight="12.75" x14ac:dyDescent="0.2"/>
  <cols>
    <col min="1" max="1" width="4.7109375" style="105" customWidth="1"/>
    <col min="2" max="2" width="15.7109375" style="105" customWidth="1"/>
    <col min="3" max="16384" width="9.140625" style="105"/>
  </cols>
  <sheetData>
    <row r="2" spans="2:14" x14ac:dyDescent="0.2">
      <c r="B2" s="107" t="s">
        <v>315</v>
      </c>
    </row>
    <row r="3" spans="2:14" x14ac:dyDescent="0.2">
      <c r="B3" s="108" t="s">
        <v>316</v>
      </c>
    </row>
    <row r="4" spans="2:14" x14ac:dyDescent="0.2">
      <c r="B4" s="175" t="s">
        <v>91</v>
      </c>
      <c r="C4" s="175" t="s">
        <v>92</v>
      </c>
      <c r="D4" s="175" t="s">
        <v>93</v>
      </c>
      <c r="E4" s="175" t="s">
        <v>94</v>
      </c>
      <c r="F4" s="175" t="s">
        <v>95</v>
      </c>
      <c r="G4" s="175" t="s">
        <v>96</v>
      </c>
      <c r="H4" s="175" t="s">
        <v>97</v>
      </c>
      <c r="I4" s="175" t="s">
        <v>98</v>
      </c>
      <c r="J4" s="175" t="s">
        <v>99</v>
      </c>
      <c r="K4" s="175" t="s">
        <v>100</v>
      </c>
      <c r="L4" s="175" t="s">
        <v>101</v>
      </c>
      <c r="M4" s="175" t="s">
        <v>102</v>
      </c>
      <c r="N4" s="175" t="s">
        <v>103</v>
      </c>
    </row>
    <row r="5" spans="2:14" x14ac:dyDescent="0.2">
      <c r="B5" s="176" t="s">
        <v>104</v>
      </c>
      <c r="C5" s="105">
        <v>0.69455161832293888</v>
      </c>
      <c r="D5" s="105">
        <v>0.56883797840170003</v>
      </c>
      <c r="E5" s="105">
        <v>0.53809995385219744</v>
      </c>
      <c r="F5" s="105">
        <v>0.6482905230506385</v>
      </c>
      <c r="G5" s="105">
        <v>0.70903183916045776</v>
      </c>
      <c r="H5" s="105">
        <v>0.9250502780972184</v>
      </c>
      <c r="I5" s="105">
        <v>0.765681031786553</v>
      </c>
      <c r="J5" s="105">
        <v>0.58574590963672357</v>
      </c>
      <c r="K5" s="105">
        <v>0.53469291487133641</v>
      </c>
      <c r="L5" s="105">
        <v>0.55410295701593959</v>
      </c>
      <c r="M5" s="105">
        <v>0.67270164995306359</v>
      </c>
      <c r="N5" s="105">
        <v>0.70725209145723378</v>
      </c>
    </row>
    <row r="6" spans="2:14" x14ac:dyDescent="0.2">
      <c r="B6" s="176" t="s">
        <v>105</v>
      </c>
      <c r="C6" s="105">
        <v>0.67127313349274542</v>
      </c>
      <c r="D6" s="105">
        <v>0.70948037241145345</v>
      </c>
      <c r="E6" s="105">
        <v>0.8635034902244404</v>
      </c>
      <c r="F6" s="105">
        <v>0.69970132550763209</v>
      </c>
      <c r="G6" s="105">
        <v>0.73322868107809469</v>
      </c>
      <c r="H6" s="105">
        <v>0.7096246506255125</v>
      </c>
      <c r="I6" s="105">
        <v>0.75731580112284824</v>
      </c>
      <c r="J6" s="105">
        <v>0.67842792152538722</v>
      </c>
      <c r="K6" s="105">
        <v>0.63274757956525951</v>
      </c>
      <c r="L6" s="105">
        <v>0.69763919578291445</v>
      </c>
      <c r="M6" s="105">
        <v>0.63506870060303278</v>
      </c>
      <c r="N6" s="105">
        <v>0.73347085809577894</v>
      </c>
    </row>
    <row r="7" spans="2:14" x14ac:dyDescent="0.2">
      <c r="B7" s="176" t="s">
        <v>106</v>
      </c>
      <c r="C7" s="105">
        <v>0.79824351482930112</v>
      </c>
      <c r="D7" s="105">
        <v>0.75040164989941693</v>
      </c>
      <c r="E7" s="105">
        <v>0.70040922917824588</v>
      </c>
      <c r="F7" s="105">
        <v>0.74292200313052104</v>
      </c>
      <c r="G7" s="105">
        <v>0.68679452880847558</v>
      </c>
      <c r="H7" s="105">
        <v>0.731030163596608</v>
      </c>
      <c r="I7" s="105">
        <v>0.68199666019485516</v>
      </c>
      <c r="J7" s="105">
        <v>0.80468537230829495</v>
      </c>
      <c r="K7" s="105">
        <v>0.73437189093587385</v>
      </c>
      <c r="L7" s="105">
        <v>0.80637092657208975</v>
      </c>
      <c r="M7" s="105">
        <v>0.97784462440353548</v>
      </c>
      <c r="N7" s="105">
        <v>0.79243048627245072</v>
      </c>
    </row>
    <row r="8" spans="2:14" x14ac:dyDescent="0.2">
      <c r="B8" s="176" t="s">
        <v>107</v>
      </c>
      <c r="C8" s="105">
        <v>0.69697194081545055</v>
      </c>
      <c r="D8" s="105">
        <v>0.71981793984079545</v>
      </c>
      <c r="E8" s="105">
        <v>0.76546322048249182</v>
      </c>
      <c r="F8" s="105">
        <v>0.69149345009698426</v>
      </c>
      <c r="G8" s="105">
        <v>0.72859257846534442</v>
      </c>
      <c r="H8" s="105">
        <v>0.78786964414747174</v>
      </c>
      <c r="I8" s="105">
        <v>0.71203252027553832</v>
      </c>
      <c r="J8" s="105">
        <v>0.72216504625690447</v>
      </c>
      <c r="K8" s="105">
        <v>0.72048056662071691</v>
      </c>
      <c r="L8" s="105">
        <v>0.75760805050658553</v>
      </c>
      <c r="M8" s="105">
        <v>0.68044320551457871</v>
      </c>
      <c r="N8" s="105">
        <v>0.77643401355192243</v>
      </c>
    </row>
    <row r="9" spans="2:14" x14ac:dyDescent="0.2">
      <c r="B9" s="176" t="s">
        <v>108</v>
      </c>
      <c r="C9" s="105">
        <v>2.086407814025879</v>
      </c>
      <c r="D9" s="105">
        <v>2.0769172465801238</v>
      </c>
      <c r="E9" s="105">
        <v>2.0150752282142639</v>
      </c>
      <c r="F9" s="105">
        <v>2.0902924454212188</v>
      </c>
      <c r="G9" s="105">
        <v>2.0393173074722291</v>
      </c>
      <c r="H9" s="105">
        <v>2.0369631803035735</v>
      </c>
      <c r="I9" s="105">
        <v>2.1036141848564149</v>
      </c>
      <c r="J9" s="105">
        <v>2.0436453020572665</v>
      </c>
      <c r="K9" s="105">
        <v>2.0473495578765868</v>
      </c>
      <c r="L9" s="105">
        <v>2.0335939681529998</v>
      </c>
      <c r="M9" s="105">
        <v>2.0765392041206359</v>
      </c>
      <c r="N9" s="105">
        <v>2.0614180958271029</v>
      </c>
    </row>
    <row r="10" spans="2:14" x14ac:dyDescent="0.2">
      <c r="B10" s="176" t="s">
        <v>109</v>
      </c>
      <c r="C10" s="105">
        <v>0.6993876218795777</v>
      </c>
      <c r="D10" s="105">
        <v>0.61641044020652769</v>
      </c>
      <c r="E10" s="105">
        <v>0.67629779577255256</v>
      </c>
      <c r="F10" s="105">
        <v>0.68251829743385317</v>
      </c>
      <c r="G10" s="105">
        <v>0.64995908737182617</v>
      </c>
      <c r="H10" s="105">
        <v>0.6580798327922821</v>
      </c>
      <c r="I10" s="105">
        <v>0.69613825082778935</v>
      </c>
      <c r="J10" s="105">
        <v>0.6134510338306427</v>
      </c>
      <c r="K10" s="105">
        <v>0.6107985734939575</v>
      </c>
      <c r="L10" s="105">
        <v>0.63964828848838806</v>
      </c>
      <c r="M10" s="105">
        <v>0.68417214155197148</v>
      </c>
      <c r="N10" s="105">
        <v>0.67613158822059638</v>
      </c>
    </row>
    <row r="11" spans="2:14" x14ac:dyDescent="0.2">
      <c r="B11" s="177"/>
      <c r="C11" s="106"/>
      <c r="D11" s="106"/>
      <c r="E11" s="106"/>
      <c r="F11" s="106"/>
      <c r="G11" s="106"/>
    </row>
    <row r="12" spans="2:14" x14ac:dyDescent="0.2">
      <c r="B12" s="109" t="s">
        <v>317</v>
      </c>
      <c r="C12" s="106"/>
      <c r="D12" s="106"/>
      <c r="E12" s="106"/>
      <c r="F12" s="106"/>
      <c r="G12" s="106"/>
    </row>
    <row r="13" spans="2:14" x14ac:dyDescent="0.2">
      <c r="B13" s="176" t="s">
        <v>318</v>
      </c>
      <c r="C13" s="176" t="s">
        <v>92</v>
      </c>
      <c r="D13" s="176" t="s">
        <v>93</v>
      </c>
      <c r="E13" s="175" t="s">
        <v>94</v>
      </c>
      <c r="F13" s="175" t="s">
        <v>95</v>
      </c>
      <c r="G13" s="175" t="s">
        <v>96</v>
      </c>
      <c r="H13" s="175" t="s">
        <v>97</v>
      </c>
      <c r="I13" s="175" t="s">
        <v>98</v>
      </c>
      <c r="J13" s="175" t="s">
        <v>99</v>
      </c>
      <c r="K13" s="175" t="s">
        <v>100</v>
      </c>
      <c r="L13" s="175" t="s">
        <v>101</v>
      </c>
      <c r="M13" s="175" t="s">
        <v>102</v>
      </c>
      <c r="N13" s="175" t="s">
        <v>103</v>
      </c>
    </row>
    <row r="14" spans="2:14" x14ac:dyDescent="0.2">
      <c r="B14" s="175" t="s">
        <v>319</v>
      </c>
      <c r="C14" s="106">
        <v>0.3384819198766813</v>
      </c>
      <c r="D14" s="106">
        <v>0.3397383219801326</v>
      </c>
      <c r="E14" s="106">
        <v>0.34099118879763651</v>
      </c>
      <c r="F14" s="106">
        <v>0.34223699499089444</v>
      </c>
      <c r="G14" s="106">
        <v>0.34347223508891411</v>
      </c>
      <c r="H14" s="105">
        <v>0.34469343335176478</v>
      </c>
      <c r="I14" s="105">
        <v>0.34589715355067391</v>
      </c>
      <c r="J14" s="105">
        <v>0.34708000863694755</v>
      </c>
      <c r="K14" s="105">
        <v>0.34823867027250605</v>
      </c>
      <c r="L14" s="105">
        <v>0.34936987819521925</v>
      </c>
      <c r="M14" s="105">
        <v>0.35047044939268884</v>
      </c>
      <c r="N14" s="105">
        <v>0.35153728705866327</v>
      </c>
    </row>
    <row r="15" spans="2:14" x14ac:dyDescent="0.2">
      <c r="B15" s="175" t="s">
        <v>320</v>
      </c>
      <c r="C15" s="105">
        <v>1.1983436919155597</v>
      </c>
      <c r="D15" s="105">
        <v>1.2015209064278671</v>
      </c>
      <c r="E15" s="105">
        <v>1.2046891808390829</v>
      </c>
      <c r="F15" s="105">
        <v>1.2078396002039251</v>
      </c>
      <c r="G15" s="105">
        <v>1.2109632998179514</v>
      </c>
      <c r="H15" s="105">
        <v>1.2140514901612145</v>
      </c>
      <c r="I15" s="105">
        <v>1.2170954816303681</v>
      </c>
      <c r="J15" s="105">
        <v>1.2200867089896201</v>
      </c>
      <c r="K15" s="105">
        <v>1.2230167554717437</v>
      </c>
      <c r="L15" s="105">
        <v>1.2258773764613211</v>
      </c>
      <c r="M15" s="105">
        <v>1.2286605226935845</v>
      </c>
      <c r="N15" s="105">
        <v>1.2313583629035769</v>
      </c>
    </row>
    <row r="16" spans="2:14" x14ac:dyDescent="0.2">
      <c r="B16" s="106"/>
    </row>
    <row r="17" spans="2:14" x14ac:dyDescent="0.2">
      <c r="B17" s="108" t="s">
        <v>321</v>
      </c>
    </row>
    <row r="18" spans="2:14" x14ac:dyDescent="0.2">
      <c r="B18" s="104" t="s">
        <v>91</v>
      </c>
      <c r="C18" s="104" t="s">
        <v>92</v>
      </c>
      <c r="D18" s="104" t="s">
        <v>93</v>
      </c>
      <c r="E18" s="104" t="s">
        <v>94</v>
      </c>
      <c r="F18" s="104" t="s">
        <v>95</v>
      </c>
      <c r="G18" s="104" t="s">
        <v>96</v>
      </c>
      <c r="H18" s="104" t="s">
        <v>97</v>
      </c>
      <c r="I18" s="104" t="s">
        <v>98</v>
      </c>
      <c r="J18" s="104" t="s">
        <v>99</v>
      </c>
      <c r="K18" s="104" t="s">
        <v>100</v>
      </c>
      <c r="L18" s="104" t="s">
        <v>101</v>
      </c>
      <c r="M18" s="104" t="s">
        <v>102</v>
      </c>
      <c r="N18" s="104" t="s">
        <v>103</v>
      </c>
    </row>
    <row r="19" spans="2:14" x14ac:dyDescent="0.2">
      <c r="B19" s="178" t="s">
        <v>104</v>
      </c>
      <c r="C19" s="105">
        <f>C5</f>
        <v>0.69455161832293888</v>
      </c>
      <c r="D19" s="105">
        <f t="shared" ref="D19:N20" si="0">D5</f>
        <v>0.56883797840170003</v>
      </c>
      <c r="E19" s="105">
        <f t="shared" si="0"/>
        <v>0.53809995385219744</v>
      </c>
      <c r="F19" s="105">
        <f t="shared" si="0"/>
        <v>0.6482905230506385</v>
      </c>
      <c r="G19" s="105">
        <f t="shared" si="0"/>
        <v>0.70903183916045776</v>
      </c>
      <c r="H19" s="105">
        <f t="shared" si="0"/>
        <v>0.9250502780972184</v>
      </c>
      <c r="I19" s="105">
        <f t="shared" si="0"/>
        <v>0.765681031786553</v>
      </c>
      <c r="J19" s="105">
        <f t="shared" si="0"/>
        <v>0.58574590963672357</v>
      </c>
      <c r="K19" s="105">
        <f t="shared" si="0"/>
        <v>0.53469291487133641</v>
      </c>
      <c r="L19" s="105">
        <f t="shared" si="0"/>
        <v>0.55410295701593959</v>
      </c>
      <c r="M19" s="105">
        <f t="shared" si="0"/>
        <v>0.67270164995306359</v>
      </c>
      <c r="N19" s="105">
        <f t="shared" si="0"/>
        <v>0.70725209145723378</v>
      </c>
    </row>
    <row r="20" spans="2:14" x14ac:dyDescent="0.2">
      <c r="B20" s="178" t="s">
        <v>105</v>
      </c>
      <c r="C20" s="105">
        <f>C6</f>
        <v>0.67127313349274542</v>
      </c>
      <c r="D20" s="105">
        <f t="shared" si="0"/>
        <v>0.70948037241145345</v>
      </c>
      <c r="E20" s="105">
        <f t="shared" si="0"/>
        <v>0.8635034902244404</v>
      </c>
      <c r="F20" s="105">
        <f t="shared" si="0"/>
        <v>0.69970132550763209</v>
      </c>
      <c r="G20" s="105">
        <f t="shared" si="0"/>
        <v>0.73322868107809469</v>
      </c>
      <c r="H20" s="105">
        <f t="shared" si="0"/>
        <v>0.7096246506255125</v>
      </c>
      <c r="I20" s="105">
        <f t="shared" si="0"/>
        <v>0.75731580112284824</v>
      </c>
      <c r="J20" s="105">
        <f t="shared" si="0"/>
        <v>0.67842792152538722</v>
      </c>
      <c r="K20" s="105">
        <f t="shared" si="0"/>
        <v>0.63274757956525951</v>
      </c>
      <c r="L20" s="105">
        <f t="shared" si="0"/>
        <v>0.69763919578291445</v>
      </c>
      <c r="M20" s="105">
        <f t="shared" si="0"/>
        <v>0.63506870060303278</v>
      </c>
      <c r="N20" s="105">
        <f t="shared" si="0"/>
        <v>0.73347085809577894</v>
      </c>
    </row>
    <row r="21" spans="2:14" x14ac:dyDescent="0.2">
      <c r="B21" s="178" t="s">
        <v>106</v>
      </c>
      <c r="C21" s="105">
        <f t="shared" ref="C21:N22" si="1">C7</f>
        <v>0.79824351482930112</v>
      </c>
      <c r="D21" s="105">
        <f t="shared" si="1"/>
        <v>0.75040164989941693</v>
      </c>
      <c r="E21" s="105">
        <f t="shared" si="1"/>
        <v>0.70040922917824588</v>
      </c>
      <c r="F21" s="105">
        <f t="shared" si="1"/>
        <v>0.74292200313052104</v>
      </c>
      <c r="G21" s="105">
        <f t="shared" si="1"/>
        <v>0.68679452880847558</v>
      </c>
      <c r="H21" s="105">
        <f t="shared" si="1"/>
        <v>0.731030163596608</v>
      </c>
      <c r="I21" s="105">
        <f t="shared" si="1"/>
        <v>0.68199666019485516</v>
      </c>
      <c r="J21" s="105">
        <f t="shared" si="1"/>
        <v>0.80468537230829495</v>
      </c>
      <c r="K21" s="105">
        <f t="shared" si="1"/>
        <v>0.73437189093587385</v>
      </c>
      <c r="L21" s="105">
        <f t="shared" si="1"/>
        <v>0.80637092657208975</v>
      </c>
      <c r="M21" s="105">
        <f t="shared" si="1"/>
        <v>0.97784462440353548</v>
      </c>
      <c r="N21" s="105">
        <f t="shared" si="1"/>
        <v>0.79243048627245072</v>
      </c>
    </row>
    <row r="22" spans="2:14" x14ac:dyDescent="0.2">
      <c r="B22" s="178" t="s">
        <v>107</v>
      </c>
      <c r="C22" s="105">
        <f t="shared" si="1"/>
        <v>0.69697194081545055</v>
      </c>
      <c r="D22" s="105">
        <f t="shared" si="1"/>
        <v>0.71981793984079545</v>
      </c>
      <c r="E22" s="105">
        <f t="shared" si="1"/>
        <v>0.76546322048249182</v>
      </c>
      <c r="F22" s="105">
        <f t="shared" si="1"/>
        <v>0.69149345009698426</v>
      </c>
      <c r="G22" s="105">
        <f t="shared" si="1"/>
        <v>0.72859257846534442</v>
      </c>
      <c r="H22" s="105">
        <f t="shared" si="1"/>
        <v>0.78786964414747174</v>
      </c>
      <c r="I22" s="105">
        <f t="shared" si="1"/>
        <v>0.71203252027553832</v>
      </c>
      <c r="J22" s="105">
        <f t="shared" si="1"/>
        <v>0.72216504625690447</v>
      </c>
      <c r="K22" s="105">
        <f t="shared" si="1"/>
        <v>0.72048056662071691</v>
      </c>
      <c r="L22" s="105">
        <f t="shared" si="1"/>
        <v>0.75760805050658553</v>
      </c>
      <c r="M22" s="105">
        <f t="shared" si="1"/>
        <v>0.68044320551457871</v>
      </c>
      <c r="N22" s="105">
        <f t="shared" si="1"/>
        <v>0.77643401355192243</v>
      </c>
    </row>
    <row r="23" spans="2:14" x14ac:dyDescent="0.2">
      <c r="B23" s="178" t="s">
        <v>108</v>
      </c>
      <c r="C23" s="105">
        <f>C9*C14</f>
        <v>0.70621132253718932</v>
      </c>
      <c r="D23" s="105">
        <f t="shared" ref="D23:N24" si="2">D9*D14</f>
        <v>0.70560838024472849</v>
      </c>
      <c r="E23" s="105">
        <f t="shared" si="2"/>
        <v>0.68712289758545053</v>
      </c>
      <c r="F23" s="105">
        <f t="shared" si="2"/>
        <v>0.71537540517312614</v>
      </c>
      <c r="G23" s="105">
        <f t="shared" si="2"/>
        <v>0.7004488736529928</v>
      </c>
      <c r="H23" s="105">
        <f t="shared" si="2"/>
        <v>0.70212783222996866</v>
      </c>
      <c r="I23" s="105">
        <f t="shared" si="2"/>
        <v>0.72763415871065507</v>
      </c>
      <c r="J23" s="105">
        <f t="shared" si="2"/>
        <v>0.70930842908889336</v>
      </c>
      <c r="K23" s="105">
        <f t="shared" si="2"/>
        <v>0.71296628761794578</v>
      </c>
      <c r="L23" s="105">
        <f t="shared" si="2"/>
        <v>0.71047647695214611</v>
      </c>
      <c r="M23" s="105">
        <f t="shared" si="2"/>
        <v>0.72776562804969569</v>
      </c>
      <c r="N23" s="105">
        <f t="shared" si="2"/>
        <v>0.72466532490069535</v>
      </c>
    </row>
    <row r="24" spans="2:14" x14ac:dyDescent="0.2">
      <c r="B24" s="178" t="s">
        <v>109</v>
      </c>
      <c r="C24" s="105">
        <f>C10*C15</f>
        <v>0.83810674488321657</v>
      </c>
      <c r="D24" s="105">
        <f t="shared" si="2"/>
        <v>0.74063003084854773</v>
      </c>
      <c r="E24" s="105">
        <f t="shared" si="2"/>
        <v>0.81472863759251379</v>
      </c>
      <c r="F24" s="105">
        <f t="shared" si="2"/>
        <v>0.8243726275043689</v>
      </c>
      <c r="G24" s="105">
        <f t="shared" si="2"/>
        <v>0.78707660119045075</v>
      </c>
      <c r="H24" s="105">
        <f t="shared" si="2"/>
        <v>0.79894280164651299</v>
      </c>
      <c r="I24" s="105">
        <f t="shared" si="2"/>
        <v>0.84726671967257028</v>
      </c>
      <c r="J24" s="105">
        <f t="shared" si="2"/>
        <v>0.748463452992709</v>
      </c>
      <c r="K24" s="105">
        <f t="shared" si="2"/>
        <v>0.74701688960134927</v>
      </c>
      <c r="L24" s="105">
        <f t="shared" si="2"/>
        <v>0.78413036575011941</v>
      </c>
      <c r="M24" s="105">
        <f t="shared" si="2"/>
        <v>0.8406153010516344</v>
      </c>
      <c r="N24" s="105">
        <f t="shared" si="2"/>
        <v>0.83256028557870898</v>
      </c>
    </row>
    <row r="25" spans="2:14" x14ac:dyDescent="0.2">
      <c r="B25" s="177"/>
    </row>
    <row r="26" spans="2:14" x14ac:dyDescent="0.2">
      <c r="B26" s="109" t="s">
        <v>322</v>
      </c>
    </row>
    <row r="27" spans="2:14" x14ac:dyDescent="0.2">
      <c r="B27" s="104" t="s">
        <v>323</v>
      </c>
      <c r="C27" s="104" t="s">
        <v>92</v>
      </c>
      <c r="D27" s="104" t="s">
        <v>93</v>
      </c>
      <c r="E27" s="104" t="s">
        <v>94</v>
      </c>
      <c r="F27" s="104" t="s">
        <v>95</v>
      </c>
      <c r="G27" s="104" t="s">
        <v>96</v>
      </c>
      <c r="H27" s="104" t="s">
        <v>97</v>
      </c>
      <c r="I27" s="104" t="s">
        <v>98</v>
      </c>
      <c r="J27" s="104" t="s">
        <v>99</v>
      </c>
      <c r="K27" s="104" t="s">
        <v>100</v>
      </c>
      <c r="L27" s="104" t="s">
        <v>101</v>
      </c>
      <c r="M27" s="104" t="s">
        <v>102</v>
      </c>
      <c r="N27" s="104" t="s">
        <v>103</v>
      </c>
    </row>
    <row r="28" spans="2:14" x14ac:dyDescent="0.2">
      <c r="B28" s="104" t="s">
        <v>104</v>
      </c>
      <c r="C28" s="105">
        <f>IF(C19&lt;=raw_materials!$D17,raw_materials!$C17,IF(C19&lt;=raw_materials!$F17,raw_materials!$E17,IF(C19&lt;=raw_materials!$H17,raw_materials!$G17,0)))</f>
        <v>1</v>
      </c>
      <c r="D28" s="105">
        <f>IF(D19&lt;=raw_materials!$D17,raw_materials!$C17,IF(D19&lt;=raw_materials!$F17,raw_materials!$E17,IF(D19&lt;=raw_materials!$H17,raw_materials!$G17,0)))</f>
        <v>1.1000000000000001</v>
      </c>
      <c r="E28" s="105">
        <f>IF(E19&lt;=raw_materials!$D17,raw_materials!$C17,IF(E19&lt;=raw_materials!$F17,raw_materials!$E17,IF(E19&lt;=raw_materials!$H17,raw_materials!$G17,0)))</f>
        <v>1.1000000000000001</v>
      </c>
      <c r="F28" s="105">
        <f>IF(F19&lt;=raw_materials!$D17,raw_materials!$C17,IF(F19&lt;=raw_materials!$F17,raw_materials!$E17,IF(F19&lt;=raw_materials!$H17,raw_materials!$G17,0)))</f>
        <v>1</v>
      </c>
      <c r="G28" s="105">
        <f>IF(G19&lt;=raw_materials!$D17,raw_materials!$C17,IF(G19&lt;=raw_materials!$F17,raw_materials!$E17,IF(G19&lt;=raw_materials!$H17,raw_materials!$G17,0)))</f>
        <v>0.9</v>
      </c>
      <c r="H28" s="105">
        <f>IF(H19&lt;=raw_materials!$D17,raw_materials!$C17,IF(H19&lt;=raw_materials!$F17,raw_materials!$E17,IF(H19&lt;=raw_materials!$H17,raw_materials!$G17,0)))</f>
        <v>0.9</v>
      </c>
      <c r="I28" s="105">
        <f>IF(I19&lt;=raw_materials!$D17,raw_materials!$C17,IF(I19&lt;=raw_materials!$F17,raw_materials!$E17,IF(I19&lt;=raw_materials!$H17,raw_materials!$G17,0)))</f>
        <v>0.9</v>
      </c>
      <c r="J28" s="105">
        <f>IF(J19&lt;=raw_materials!$D17,raw_materials!$C17,IF(J19&lt;=raw_materials!$F17,raw_materials!$E17,IF(J19&lt;=raw_materials!$H17,raw_materials!$G17,0)))</f>
        <v>1.1000000000000001</v>
      </c>
      <c r="K28" s="105">
        <f>IF(K19&lt;=raw_materials!$D17,raw_materials!$C17,IF(K19&lt;=raw_materials!$F17,raw_materials!$E17,IF(K19&lt;=raw_materials!$H17,raw_materials!$G17,0)))</f>
        <v>1.1000000000000001</v>
      </c>
      <c r="L28" s="105">
        <f>IF(L19&lt;=raw_materials!$D17,raw_materials!$C17,IF(L19&lt;=raw_materials!$F17,raw_materials!$E17,IF(L19&lt;=raw_materials!$H17,raw_materials!$G17,0)))</f>
        <v>1.1000000000000001</v>
      </c>
      <c r="M28" s="105">
        <f>IF(M19&lt;=raw_materials!$D17,raw_materials!$C17,IF(M19&lt;=raw_materials!$F17,raw_materials!$E17,IF(M19&lt;=raw_materials!$H17,raw_materials!$G17,0)))</f>
        <v>1</v>
      </c>
      <c r="N28" s="105">
        <f>IF(N19&lt;=raw_materials!$D17,raw_materials!$C17,IF(N19&lt;=raw_materials!$F17,raw_materials!$E17,IF(N19&lt;=raw_materials!$H17,raw_materials!$G17,0)))</f>
        <v>0.9</v>
      </c>
    </row>
    <row r="29" spans="2:14" x14ac:dyDescent="0.2">
      <c r="B29" s="104" t="s">
        <v>105</v>
      </c>
      <c r="C29" s="105">
        <f>IF(C20&lt;=raw_materials!$D18,raw_materials!$C18,IF(C20&lt;=raw_materials!$F18,raw_materials!$E18,IF(C20&lt;=raw_materials!$H18,raw_materials!$G18,0)))</f>
        <v>1</v>
      </c>
      <c r="D29" s="105">
        <f>IF(D20&lt;=raw_materials!$D18,raw_materials!$C18,IF(D20&lt;=raw_materials!$F18,raw_materials!$E18,IF(D20&lt;=raw_materials!$H18,raw_materials!$G18,0)))</f>
        <v>1</v>
      </c>
      <c r="E29" s="105">
        <f>IF(E20&lt;=raw_materials!$D18,raw_materials!$C18,IF(E20&lt;=raw_materials!$F18,raw_materials!$E18,IF(E20&lt;=raw_materials!$H18,raw_materials!$G18,0)))</f>
        <v>0.9</v>
      </c>
      <c r="F29" s="105">
        <f>IF(F20&lt;=raw_materials!$D18,raw_materials!$C18,IF(F20&lt;=raw_materials!$F18,raw_materials!$E18,IF(F20&lt;=raw_materials!$H18,raw_materials!$G18,0)))</f>
        <v>1</v>
      </c>
      <c r="G29" s="105">
        <f>IF(G20&lt;=raw_materials!$D18,raw_materials!$C18,IF(G20&lt;=raw_materials!$F18,raw_materials!$E18,IF(G20&lt;=raw_materials!$H18,raw_materials!$G18,0)))</f>
        <v>1</v>
      </c>
      <c r="H29" s="105">
        <f>IF(H20&lt;=raw_materials!$D18,raw_materials!$C18,IF(H20&lt;=raw_materials!$F18,raw_materials!$E18,IF(H20&lt;=raw_materials!$H18,raw_materials!$G18,0)))</f>
        <v>1</v>
      </c>
      <c r="I29" s="105">
        <f>IF(I20&lt;=raw_materials!$D18,raw_materials!$C18,IF(I20&lt;=raw_materials!$F18,raw_materials!$E18,IF(I20&lt;=raw_materials!$H18,raw_materials!$G18,0)))</f>
        <v>1</v>
      </c>
      <c r="J29" s="105">
        <f>IF(J20&lt;=raw_materials!$D18,raw_materials!$C18,IF(J20&lt;=raw_materials!$F18,raw_materials!$E18,IF(J20&lt;=raw_materials!$H18,raw_materials!$G18,0)))</f>
        <v>1</v>
      </c>
      <c r="K29" s="105">
        <f>IF(K20&lt;=raw_materials!$D18,raw_materials!$C18,IF(K20&lt;=raw_materials!$F18,raw_materials!$E18,IF(K20&lt;=raw_materials!$H18,raw_materials!$G18,0)))</f>
        <v>1.1000000000000001</v>
      </c>
      <c r="L29" s="105">
        <f>IF(L20&lt;=raw_materials!$D18,raw_materials!$C18,IF(L20&lt;=raw_materials!$F18,raw_materials!$E18,IF(L20&lt;=raw_materials!$H18,raw_materials!$G18,0)))</f>
        <v>1</v>
      </c>
      <c r="M29" s="105">
        <f>IF(M20&lt;=raw_materials!$D18,raw_materials!$C18,IF(M20&lt;=raw_materials!$F18,raw_materials!$E18,IF(M20&lt;=raw_materials!$H18,raw_materials!$G18,0)))</f>
        <v>1.1000000000000001</v>
      </c>
      <c r="N29" s="105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4" t="s">
        <v>106</v>
      </c>
      <c r="C30" s="105">
        <f>IF(C21&lt;=raw_materials!$D19,raw_materials!$C19,IF(C21&lt;=raw_materials!$F19,raw_materials!$E19,IF(C21&lt;=raw_materials!$H19,raw_materials!$G19,0)))</f>
        <v>1</v>
      </c>
      <c r="D30" s="105">
        <f>IF(D21&lt;=raw_materials!$D19,raw_materials!$C19,IF(D21&lt;=raw_materials!$F19,raw_materials!$E19,IF(D21&lt;=raw_materials!$H19,raw_materials!$G19,0)))</f>
        <v>1</v>
      </c>
      <c r="E30" s="105">
        <f>IF(E21&lt;=raw_materials!$D19,raw_materials!$C19,IF(E21&lt;=raw_materials!$F19,raw_materials!$E19,IF(E21&lt;=raw_materials!$H19,raw_materials!$G19,0)))</f>
        <v>1.1000000000000001</v>
      </c>
      <c r="F30" s="105">
        <f>IF(F21&lt;=raw_materials!$D19,raw_materials!$C19,IF(F21&lt;=raw_materials!$F19,raw_materials!$E19,IF(F21&lt;=raw_materials!$H19,raw_materials!$G19,0)))</f>
        <v>1</v>
      </c>
      <c r="G30" s="105">
        <f>IF(G21&lt;=raw_materials!$D19,raw_materials!$C19,IF(G21&lt;=raw_materials!$F19,raw_materials!$E19,IF(G21&lt;=raw_materials!$H19,raw_materials!$G19,0)))</f>
        <v>1.1000000000000001</v>
      </c>
      <c r="H30" s="105">
        <f>IF(H21&lt;=raw_materials!$D19,raw_materials!$C19,IF(H21&lt;=raw_materials!$F19,raw_materials!$E19,IF(H21&lt;=raw_materials!$H19,raw_materials!$G19,0)))</f>
        <v>1</v>
      </c>
      <c r="I30" s="105">
        <f>IF(I21&lt;=raw_materials!$D19,raw_materials!$C19,IF(I21&lt;=raw_materials!$F19,raw_materials!$E19,IF(I21&lt;=raw_materials!$H19,raw_materials!$G19,0)))</f>
        <v>1.1000000000000001</v>
      </c>
      <c r="J30" s="105">
        <f>IF(J21&lt;=raw_materials!$D19,raw_materials!$C19,IF(J21&lt;=raw_materials!$F19,raw_materials!$E19,IF(J21&lt;=raw_materials!$H19,raw_materials!$G19,0)))</f>
        <v>1</v>
      </c>
      <c r="K30" s="105">
        <f>IF(K21&lt;=raw_materials!$D19,raw_materials!$C19,IF(K21&lt;=raw_materials!$F19,raw_materials!$E19,IF(K21&lt;=raw_materials!$H19,raw_materials!$G19,0)))</f>
        <v>1</v>
      </c>
      <c r="L30" s="105">
        <f>IF(L21&lt;=raw_materials!$D19,raw_materials!$C19,IF(L21&lt;=raw_materials!$F19,raw_materials!$E19,IF(L21&lt;=raw_materials!$H19,raw_materials!$G19,0)))</f>
        <v>1</v>
      </c>
      <c r="M30" s="105">
        <f>IF(M21&lt;=raw_materials!$D19,raw_materials!$C19,IF(M21&lt;=raw_materials!$F19,raw_materials!$E19,IF(M21&lt;=raw_materials!$H19,raw_materials!$G19,0)))</f>
        <v>0.9</v>
      </c>
      <c r="N30" s="105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4" t="s">
        <v>107</v>
      </c>
      <c r="C31" s="105">
        <f>IF(C22&lt;=raw_materials!$D20,raw_materials!$C20,IF(C22&lt;=raw_materials!$F20,raw_materials!$E20,IF(C22&lt;=raw_materials!$H20,raw_materials!$G20,0)))</f>
        <v>1</v>
      </c>
      <c r="D31" s="105">
        <f>IF(D22&lt;=raw_materials!$D20,raw_materials!$C20,IF(D22&lt;=raw_materials!$F20,raw_materials!$E20,IF(D22&lt;=raw_materials!$H20,raw_materials!$G20,0)))</f>
        <v>1</v>
      </c>
      <c r="E31" s="105">
        <f>IF(E22&lt;=raw_materials!$D20,raw_materials!$C20,IF(E22&lt;=raw_materials!$F20,raw_materials!$E20,IF(E22&lt;=raw_materials!$H20,raw_materials!$G20,0)))</f>
        <v>1</v>
      </c>
      <c r="F31" s="105">
        <f>IF(F22&lt;=raw_materials!$D20,raw_materials!$C20,IF(F22&lt;=raw_materials!$F20,raw_materials!$E20,IF(F22&lt;=raw_materials!$H20,raw_materials!$G20,0)))</f>
        <v>1</v>
      </c>
      <c r="G31" s="105">
        <f>IF(G22&lt;=raw_materials!$D20,raw_materials!$C20,IF(G22&lt;=raw_materials!$F20,raw_materials!$E20,IF(G22&lt;=raw_materials!$H20,raw_materials!$G20,0)))</f>
        <v>1</v>
      </c>
      <c r="H31" s="105">
        <f>IF(H22&lt;=raw_materials!$D20,raw_materials!$C20,IF(H22&lt;=raw_materials!$F20,raw_materials!$E20,IF(H22&lt;=raw_materials!$H20,raw_materials!$G20,0)))</f>
        <v>1</v>
      </c>
      <c r="I31" s="105">
        <f>IF(I22&lt;=raw_materials!$D20,raw_materials!$C20,IF(I22&lt;=raw_materials!$F20,raw_materials!$E20,IF(I22&lt;=raw_materials!$H20,raw_materials!$G20,0)))</f>
        <v>1</v>
      </c>
      <c r="J31" s="105">
        <f>IF(J22&lt;=raw_materials!$D20,raw_materials!$C20,IF(J22&lt;=raw_materials!$F20,raw_materials!$E20,IF(J22&lt;=raw_materials!$H20,raw_materials!$G20,0)))</f>
        <v>1</v>
      </c>
      <c r="K31" s="105">
        <f>IF(K22&lt;=raw_materials!$D20,raw_materials!$C20,IF(K22&lt;=raw_materials!$F20,raw_materials!$E20,IF(K22&lt;=raw_materials!$H20,raw_materials!$G20,0)))</f>
        <v>1</v>
      </c>
      <c r="L31" s="105">
        <f>IF(L22&lt;=raw_materials!$D20,raw_materials!$C20,IF(L22&lt;=raw_materials!$F20,raw_materials!$E20,IF(L22&lt;=raw_materials!$H20,raw_materials!$G20,0)))</f>
        <v>1</v>
      </c>
      <c r="M31" s="105">
        <f>IF(M22&lt;=raw_materials!$D20,raw_materials!$C20,IF(M22&lt;=raw_materials!$F20,raw_materials!$E20,IF(M22&lt;=raw_materials!$H20,raw_materials!$G20,0)))</f>
        <v>1</v>
      </c>
      <c r="N31" s="105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4" t="s">
        <v>108</v>
      </c>
      <c r="C32" s="105">
        <f>IF(C23&lt;=raw_materials!$D21,raw_materials!$C21,IF(C23&lt;=raw_materials!$F21,raw_materials!$E21,IF(C23&lt;=raw_materials!$H21,raw_materials!$G21,0)))</f>
        <v>1</v>
      </c>
      <c r="D32" s="105">
        <f>IF(D23&lt;=raw_materials!$D21,raw_materials!$C21,IF(D23&lt;=raw_materials!$F21,raw_materials!$E21,IF(D23&lt;=raw_materials!$H21,raw_materials!$G21,0)))</f>
        <v>1</v>
      </c>
      <c r="E32" s="105">
        <f>IF(E23&lt;=raw_materials!$D21,raw_materials!$C21,IF(E23&lt;=raw_materials!$F21,raw_materials!$E21,IF(E23&lt;=raw_materials!$H21,raw_materials!$G21,0)))</f>
        <v>1</v>
      </c>
      <c r="F32" s="105">
        <f>IF(F23&lt;=raw_materials!$D21,raw_materials!$C21,IF(F23&lt;=raw_materials!$F21,raw_materials!$E21,IF(F23&lt;=raw_materials!$H21,raw_materials!$G21,0)))</f>
        <v>1</v>
      </c>
      <c r="G32" s="105">
        <f>IF(G23&lt;=raw_materials!$D21,raw_materials!$C21,IF(G23&lt;=raw_materials!$F21,raw_materials!$E21,IF(G23&lt;=raw_materials!$H21,raw_materials!$G21,0)))</f>
        <v>1</v>
      </c>
      <c r="H32" s="105">
        <f>IF(H23&lt;=raw_materials!$D21,raw_materials!$C21,IF(H23&lt;=raw_materials!$F21,raw_materials!$E21,IF(H23&lt;=raw_materials!$H21,raw_materials!$G21,0)))</f>
        <v>1</v>
      </c>
      <c r="I32" s="105">
        <f>IF(I23&lt;=raw_materials!$D21,raw_materials!$C21,IF(I23&lt;=raw_materials!$F21,raw_materials!$E21,IF(I23&lt;=raw_materials!$H21,raw_materials!$G21,0)))</f>
        <v>1</v>
      </c>
      <c r="J32" s="105">
        <f>IF(J23&lt;=raw_materials!$D21,raw_materials!$C21,IF(J23&lt;=raw_materials!$F21,raw_materials!$E21,IF(J23&lt;=raw_materials!$H21,raw_materials!$G21,0)))</f>
        <v>1</v>
      </c>
      <c r="K32" s="105">
        <f>IF(K23&lt;=raw_materials!$D21,raw_materials!$C21,IF(K23&lt;=raw_materials!$F21,raw_materials!$E21,IF(K23&lt;=raw_materials!$H21,raw_materials!$G21,0)))</f>
        <v>1</v>
      </c>
      <c r="L32" s="105">
        <f>IF(L23&lt;=raw_materials!$D21,raw_materials!$C21,IF(L23&lt;=raw_materials!$F21,raw_materials!$E21,IF(L23&lt;=raw_materials!$H21,raw_materials!$G21,0)))</f>
        <v>1</v>
      </c>
      <c r="M32" s="105">
        <f>IF(M23&lt;=raw_materials!$D21,raw_materials!$C21,IF(M23&lt;=raw_materials!$F21,raw_materials!$E21,IF(M23&lt;=raw_materials!$H21,raw_materials!$G21,0)))</f>
        <v>1</v>
      </c>
      <c r="N32" s="105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4" t="s">
        <v>109</v>
      </c>
      <c r="C33" s="105">
        <f>IF(C24&lt;=raw_materials!$D22,raw_materials!$C22,IF(C24&lt;=raw_materials!$F22,raw_materials!$E22,IF(C24&lt;=raw_materials!$H22,raw_materials!$G22,0)))</f>
        <v>1</v>
      </c>
      <c r="D33" s="105">
        <f>IF(D24&lt;=raw_materials!$D22,raw_materials!$C22,IF(D24&lt;=raw_materials!$F22,raw_materials!$E22,IF(D24&lt;=raw_materials!$H22,raw_materials!$G22,0)))</f>
        <v>1</v>
      </c>
      <c r="E33" s="105">
        <f>IF(E24&lt;=raw_materials!$D22,raw_materials!$C22,IF(E24&lt;=raw_materials!$F22,raw_materials!$E22,IF(E24&lt;=raw_materials!$H22,raw_materials!$G22,0)))</f>
        <v>1</v>
      </c>
      <c r="F33" s="105">
        <f>IF(F24&lt;=raw_materials!$D22,raw_materials!$C22,IF(F24&lt;=raw_materials!$F22,raw_materials!$E22,IF(F24&lt;=raw_materials!$H22,raw_materials!$G22,0)))</f>
        <v>1</v>
      </c>
      <c r="G33" s="105">
        <f>IF(G24&lt;=raw_materials!$D22,raw_materials!$C22,IF(G24&lt;=raw_materials!$F22,raw_materials!$E22,IF(G24&lt;=raw_materials!$H22,raw_materials!$G22,0)))</f>
        <v>1</v>
      </c>
      <c r="H33" s="105">
        <f>IF(H24&lt;=raw_materials!$D22,raw_materials!$C22,IF(H24&lt;=raw_materials!$F22,raw_materials!$E22,IF(H24&lt;=raw_materials!$H22,raw_materials!$G22,0)))</f>
        <v>1</v>
      </c>
      <c r="I33" s="105">
        <f>IF(I24&lt;=raw_materials!$D22,raw_materials!$C22,IF(I24&lt;=raw_materials!$F22,raw_materials!$E22,IF(I24&lt;=raw_materials!$H22,raw_materials!$G22,0)))</f>
        <v>1</v>
      </c>
      <c r="J33" s="105">
        <f>IF(J24&lt;=raw_materials!$D22,raw_materials!$C22,IF(J24&lt;=raw_materials!$F22,raw_materials!$E22,IF(J24&lt;=raw_materials!$H22,raw_materials!$G22,0)))</f>
        <v>1</v>
      </c>
      <c r="K33" s="105">
        <f>IF(K24&lt;=raw_materials!$D22,raw_materials!$C22,IF(K24&lt;=raw_materials!$F22,raw_materials!$E22,IF(K24&lt;=raw_materials!$H22,raw_materials!$G22,0)))</f>
        <v>1</v>
      </c>
      <c r="L33" s="105">
        <f>IF(L24&lt;=raw_materials!$D22,raw_materials!$C22,IF(L24&lt;=raw_materials!$F22,raw_materials!$E22,IF(L24&lt;=raw_materials!$H22,raw_materials!$G22,0)))</f>
        <v>1</v>
      </c>
      <c r="M33" s="105">
        <f>IF(M24&lt;=raw_materials!$D22,raw_materials!$C22,IF(M24&lt;=raw_materials!$F22,raw_materials!$E22,IF(M24&lt;=raw_materials!$H22,raw_materials!$G22,0)))</f>
        <v>1</v>
      </c>
      <c r="N33" s="105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8" t="s">
        <v>324</v>
      </c>
    </row>
    <row r="36" spans="2:50" x14ac:dyDescent="0.2">
      <c r="B36" s="175" t="s">
        <v>276</v>
      </c>
      <c r="C36" s="175" t="s">
        <v>92</v>
      </c>
      <c r="D36" s="106"/>
      <c r="E36" s="106"/>
      <c r="F36" s="106"/>
      <c r="G36" s="175" t="s">
        <v>93</v>
      </c>
      <c r="H36" s="106"/>
      <c r="I36" s="106"/>
      <c r="J36" s="106"/>
      <c r="K36" s="175" t="s">
        <v>94</v>
      </c>
      <c r="L36" s="106"/>
      <c r="M36" s="106"/>
      <c r="N36" s="106"/>
      <c r="O36" s="175" t="s">
        <v>95</v>
      </c>
      <c r="P36" s="106"/>
      <c r="Q36" s="106"/>
      <c r="R36" s="106"/>
      <c r="S36" s="175" t="s">
        <v>96</v>
      </c>
      <c r="T36" s="106"/>
      <c r="U36" s="106"/>
      <c r="V36" s="106"/>
      <c r="W36" s="175" t="s">
        <v>97</v>
      </c>
      <c r="X36" s="106"/>
      <c r="Y36" s="106"/>
      <c r="Z36" s="106"/>
      <c r="AA36" s="175" t="s">
        <v>98</v>
      </c>
      <c r="AB36" s="106"/>
      <c r="AC36" s="106"/>
      <c r="AD36" s="106"/>
      <c r="AE36" s="175" t="s">
        <v>99</v>
      </c>
      <c r="AF36" s="106"/>
      <c r="AG36" s="106"/>
      <c r="AH36" s="106"/>
      <c r="AI36" s="175" t="s">
        <v>100</v>
      </c>
      <c r="AJ36" s="106"/>
      <c r="AK36" s="106"/>
      <c r="AL36" s="106"/>
      <c r="AM36" s="175" t="s">
        <v>101</v>
      </c>
      <c r="AN36" s="106"/>
      <c r="AO36" s="106"/>
      <c r="AP36" s="106"/>
      <c r="AQ36" s="175" t="s">
        <v>102</v>
      </c>
      <c r="AR36" s="106"/>
      <c r="AS36" s="106"/>
      <c r="AT36" s="106"/>
      <c r="AU36" s="175" t="s">
        <v>103</v>
      </c>
      <c r="AV36" s="106"/>
      <c r="AW36" s="106"/>
      <c r="AX36" s="106"/>
    </row>
    <row r="37" spans="2:50" x14ac:dyDescent="0.2">
      <c r="B37" s="175" t="s">
        <v>325</v>
      </c>
      <c r="C37" s="175">
        <v>1</v>
      </c>
      <c r="D37" s="175">
        <v>2</v>
      </c>
      <c r="E37" s="175">
        <v>3</v>
      </c>
      <c r="F37" s="175">
        <v>4</v>
      </c>
      <c r="G37" s="175">
        <v>1</v>
      </c>
      <c r="H37" s="175">
        <v>2</v>
      </c>
      <c r="I37" s="175">
        <v>3</v>
      </c>
      <c r="J37" s="175">
        <v>4</v>
      </c>
      <c r="K37" s="175">
        <v>1</v>
      </c>
      <c r="L37" s="175">
        <v>2</v>
      </c>
      <c r="M37" s="175">
        <v>3</v>
      </c>
      <c r="N37" s="175">
        <v>4</v>
      </c>
      <c r="O37" s="175">
        <v>1</v>
      </c>
      <c r="P37" s="175">
        <v>2</v>
      </c>
      <c r="Q37" s="175">
        <v>3</v>
      </c>
      <c r="R37" s="175">
        <v>4</v>
      </c>
      <c r="S37" s="175">
        <v>1</v>
      </c>
      <c r="T37" s="175">
        <v>2</v>
      </c>
      <c r="U37" s="175">
        <v>3</v>
      </c>
      <c r="V37" s="175">
        <v>4</v>
      </c>
      <c r="W37" s="175">
        <v>1</v>
      </c>
      <c r="X37" s="175">
        <v>2</v>
      </c>
      <c r="Y37" s="175">
        <v>3</v>
      </c>
      <c r="Z37" s="175">
        <v>4</v>
      </c>
      <c r="AA37" s="175">
        <v>1</v>
      </c>
      <c r="AB37" s="175">
        <v>2</v>
      </c>
      <c r="AC37" s="175">
        <v>3</v>
      </c>
      <c r="AD37" s="175">
        <v>4</v>
      </c>
      <c r="AE37" s="175">
        <v>1</v>
      </c>
      <c r="AF37" s="175">
        <v>2</v>
      </c>
      <c r="AG37" s="175">
        <v>3</v>
      </c>
      <c r="AH37" s="175">
        <v>4</v>
      </c>
      <c r="AI37" s="175">
        <v>1</v>
      </c>
      <c r="AJ37" s="175">
        <v>2</v>
      </c>
      <c r="AK37" s="175">
        <v>3</v>
      </c>
      <c r="AL37" s="175">
        <v>4</v>
      </c>
      <c r="AM37" s="175">
        <v>1</v>
      </c>
      <c r="AN37" s="175">
        <v>2</v>
      </c>
      <c r="AO37" s="175">
        <v>3</v>
      </c>
      <c r="AP37" s="175">
        <v>4</v>
      </c>
      <c r="AQ37" s="175">
        <v>1</v>
      </c>
      <c r="AR37" s="175">
        <v>2</v>
      </c>
      <c r="AS37" s="175">
        <v>3</v>
      </c>
      <c r="AT37" s="175">
        <v>4</v>
      </c>
      <c r="AU37" s="175">
        <v>1</v>
      </c>
      <c r="AV37" s="175">
        <v>2</v>
      </c>
      <c r="AW37" s="175">
        <v>3</v>
      </c>
      <c r="AX37" s="175">
        <v>4</v>
      </c>
    </row>
    <row r="38" spans="2:50" x14ac:dyDescent="0.2">
      <c r="B38" s="175" t="s">
        <v>104</v>
      </c>
      <c r="C38" s="105">
        <v>25054.902514011505</v>
      </c>
      <c r="D38" s="105">
        <v>25109.81675262624</v>
      </c>
      <c r="E38" s="105">
        <v>25164.733912812586</v>
      </c>
      <c r="F38" s="105">
        <v>25219.64518704552</v>
      </c>
      <c r="G38" s="105">
        <v>25274.541764850626</v>
      </c>
      <c r="H38" s="105">
        <v>25329.41483434946</v>
      </c>
      <c r="I38" s="105">
        <v>25384.255583806131</v>
      </c>
      <c r="J38" s="105">
        <v>25439.055203174696</v>
      </c>
      <c r="K38" s="105">
        <v>25493.804885647136</v>
      </c>
      <c r="L38" s="105">
        <v>25548.495829201689</v>
      </c>
      <c r="M38" s="105">
        <v>25603.119238151201</v>
      </c>
      <c r="N38" s="105">
        <v>25657.666324691218</v>
      </c>
      <c r="O38" s="105">
        <v>25712.128310447646</v>
      </c>
      <c r="P38" s="105">
        <v>25766.496428023554</v>
      </c>
      <c r="Q38" s="105">
        <v>25820.761922544945</v>
      </c>
      <c r="R38" s="105">
        <v>25874.916053205223</v>
      </c>
      <c r="S38" s="105">
        <v>25928.950094808049</v>
      </c>
      <c r="T38" s="105">
        <v>25982.855339308269</v>
      </c>
      <c r="U38" s="105">
        <v>26036.623097350748</v>
      </c>
      <c r="V38" s="105">
        <v>26090.24469980675</v>
      </c>
      <c r="W38" s="105">
        <v>26143.711499307632</v>
      </c>
      <c r="X38" s="105">
        <v>2619.7014871775555</v>
      </c>
      <c r="Y38" s="105">
        <v>12898.787463796951</v>
      </c>
      <c r="Z38" s="105">
        <v>13119.699521724489</v>
      </c>
      <c r="AA38" s="105">
        <v>8505.662670632657</v>
      </c>
      <c r="AB38" s="105">
        <v>7973.4628238466676</v>
      </c>
      <c r="AC38" s="105">
        <v>26460.780308405316</v>
      </c>
      <c r="AD38" s="105">
        <v>26512.923509318131</v>
      </c>
      <c r="AE38" s="105">
        <v>26564.8436946238</v>
      </c>
      <c r="AF38" s="105">
        <v>26616.532481229282</v>
      </c>
      <c r="AG38" s="105">
        <v>26667.981522929855</v>
      </c>
      <c r="AH38" s="105">
        <v>26719.182511895149</v>
      </c>
      <c r="AI38" s="105">
        <v>26770.127180149142</v>
      </c>
      <c r="AJ38" s="105">
        <v>26820.807301044035</v>
      </c>
      <c r="AK38" s="105">
        <v>26871.21469072756</v>
      </c>
      <c r="AL38" s="105">
        <v>26921.341209603564</v>
      </c>
      <c r="AM38" s="105">
        <v>26971.178763785614</v>
      </c>
      <c r="AN38" s="105">
        <v>27020.719306543244</v>
      </c>
      <c r="AO38" s="105">
        <v>27069.954839740756</v>
      </c>
      <c r="AP38" s="105">
        <v>27118.877415268147</v>
      </c>
      <c r="AQ38" s="105">
        <v>19017.235395524818</v>
      </c>
      <c r="AR38" s="105">
        <v>27215.752159530173</v>
      </c>
      <c r="AS38" s="105">
        <v>27263.688694937566</v>
      </c>
      <c r="AT38" s="105">
        <v>27311.281008823513</v>
      </c>
      <c r="AU38" s="105">
        <v>27358.521424379818</v>
      </c>
      <c r="AV38" s="105">
        <v>27405.40232323145</v>
      </c>
      <c r="AW38" s="105">
        <v>27451.916146805794</v>
      </c>
      <c r="AX38" s="105">
        <v>27498.055397691911</v>
      </c>
    </row>
    <row r="39" spans="2:50" x14ac:dyDescent="0.2">
      <c r="B39" s="175" t="s">
        <v>105</v>
      </c>
      <c r="C39" s="105">
        <v>15032.941508406904</v>
      </c>
      <c r="D39" s="105">
        <v>15065.890051575743</v>
      </c>
      <c r="E39" s="105">
        <v>15098.84034768755</v>
      </c>
      <c r="F39" s="105">
        <v>15131.787112227312</v>
      </c>
      <c r="G39" s="105">
        <v>15164.725058910377</v>
      </c>
      <c r="H39" s="105">
        <v>15197.648900609674</v>
      </c>
      <c r="I39" s="105">
        <v>15230.553350283679</v>
      </c>
      <c r="J39" s="105">
        <v>15263.433121904818</v>
      </c>
      <c r="K39" s="105">
        <v>15296.282931388283</v>
      </c>
      <c r="L39" s="105">
        <v>6131.6389990084062</v>
      </c>
      <c r="M39" s="105">
        <v>6144.7486171562887</v>
      </c>
      <c r="N39" s="105">
        <v>15394.599794814729</v>
      </c>
      <c r="O39" s="105">
        <v>15427.276986268587</v>
      </c>
      <c r="P39" s="105">
        <v>15459.897856814132</v>
      </c>
      <c r="Q39" s="105">
        <v>15492.457153526968</v>
      </c>
      <c r="R39" s="105">
        <v>15524.949631923135</v>
      </c>
      <c r="S39" s="105">
        <v>15557.370056884829</v>
      </c>
      <c r="T39" s="105">
        <v>15589.713203584963</v>
      </c>
      <c r="U39" s="105">
        <v>15621.973858410449</v>
      </c>
      <c r="V39" s="105">
        <v>15654.14681988405</v>
      </c>
      <c r="W39" s="105">
        <v>15686.226899584581</v>
      </c>
      <c r="X39" s="105">
        <v>15718.208923065331</v>
      </c>
      <c r="Y39" s="105">
        <v>15750.087730770527</v>
      </c>
      <c r="Z39" s="105">
        <v>15781.858178949733</v>
      </c>
      <c r="AA39" s="105">
        <v>15813.515140569893</v>
      </c>
      <c r="AB39" s="105">
        <v>15845.053506225015</v>
      </c>
      <c r="AC39" s="105">
        <v>11113.527729530231</v>
      </c>
      <c r="AD39" s="105">
        <v>11135.427873913615</v>
      </c>
      <c r="AE39" s="105">
        <v>11157.234351741996</v>
      </c>
      <c r="AF39" s="105">
        <v>15969.919488737569</v>
      </c>
      <c r="AG39" s="105">
        <v>16000.788913757913</v>
      </c>
      <c r="AH39" s="105">
        <v>16031.509507137089</v>
      </c>
      <c r="AI39" s="105">
        <v>16062.076308089485</v>
      </c>
      <c r="AJ39" s="105">
        <v>16092.48438062642</v>
      </c>
      <c r="AK39" s="105">
        <v>16122.728814436536</v>
      </c>
      <c r="AL39" s="105">
        <v>16152.80472576214</v>
      </c>
      <c r="AM39" s="105">
        <v>16182.707258271368</v>
      </c>
      <c r="AN39" s="105">
        <v>16212.431583925947</v>
      </c>
      <c r="AO39" s="105">
        <v>16241.972903844453</v>
      </c>
      <c r="AP39" s="105">
        <v>16271.326449160888</v>
      </c>
      <c r="AQ39" s="105">
        <v>16300.487481878417</v>
      </c>
      <c r="AR39" s="105">
        <v>16329.451295718105</v>
      </c>
      <c r="AS39" s="105">
        <v>16358.213216962538</v>
      </c>
      <c r="AT39" s="105">
        <v>16386.768605294106</v>
      </c>
      <c r="AU39" s="105">
        <v>16415.112854627889</v>
      </c>
      <c r="AV39" s="105">
        <v>16443.241393938872</v>
      </c>
      <c r="AW39" s="105">
        <v>16471.149688083475</v>
      </c>
      <c r="AX39" s="105">
        <v>11549.183267030601</v>
      </c>
    </row>
    <row r="40" spans="2:50" x14ac:dyDescent="0.2">
      <c r="B40" s="175" t="s">
        <v>106</v>
      </c>
      <c r="C40" s="105">
        <v>5010.9805028023011</v>
      </c>
      <c r="D40" s="105">
        <v>5021.9633505252477</v>
      </c>
      <c r="E40" s="105">
        <v>503.2946782562517</v>
      </c>
      <c r="F40" s="105">
        <v>5043.9290374091042</v>
      </c>
      <c r="G40" s="105">
        <v>5054.9083529701256</v>
      </c>
      <c r="H40" s="105">
        <v>5065.8829668698918</v>
      </c>
      <c r="I40" s="105">
        <v>5076.851116761226</v>
      </c>
      <c r="J40" s="105">
        <v>5087.8110406349388</v>
      </c>
      <c r="K40" s="105">
        <v>5098.7609771294274</v>
      </c>
      <c r="L40" s="105">
        <v>5109.6991658403376</v>
      </c>
      <c r="M40" s="105">
        <v>5120.6238476302397</v>
      </c>
      <c r="N40" s="105">
        <v>5131.5332649382435</v>
      </c>
      <c r="O40" s="105">
        <v>5142.4256620895294</v>
      </c>
      <c r="P40" s="105">
        <v>5153.2992856047113</v>
      </c>
      <c r="Q40" s="105">
        <v>5164.1523845089887</v>
      </c>
      <c r="R40" s="105">
        <v>5174.9832106410449</v>
      </c>
      <c r="S40" s="105">
        <v>5185.7900189616103</v>
      </c>
      <c r="T40" s="105">
        <v>5196.5710678616542</v>
      </c>
      <c r="U40" s="105">
        <v>5207.3246194701496</v>
      </c>
      <c r="V40" s="105">
        <v>5218.0489399613498</v>
      </c>
      <c r="W40" s="105">
        <v>5228.7422998615266</v>
      </c>
      <c r="X40" s="105">
        <v>5239.40297435511</v>
      </c>
      <c r="Y40" s="105">
        <v>5250.0292435901756</v>
      </c>
      <c r="Z40" s="105">
        <v>5260.6193929832443</v>
      </c>
      <c r="AA40" s="105">
        <v>5271.1717135232975</v>
      </c>
      <c r="AB40" s="105">
        <v>5281.6845020750052</v>
      </c>
      <c r="AC40" s="105">
        <v>5292.156061681063</v>
      </c>
      <c r="AD40" s="105">
        <v>5302.5847018636268</v>
      </c>
      <c r="AE40" s="105">
        <v>5312.9687389247601</v>
      </c>
      <c r="AF40" s="105">
        <v>5323.3064962458566</v>
      </c>
      <c r="AG40" s="105">
        <v>5333.5963045859717</v>
      </c>
      <c r="AH40" s="105">
        <v>534.383650237903</v>
      </c>
      <c r="AI40" s="105">
        <v>5354.0254360298286</v>
      </c>
      <c r="AJ40" s="105">
        <v>5364.1614602088066</v>
      </c>
      <c r="AK40" s="105">
        <v>5374.2429381455113</v>
      </c>
      <c r="AL40" s="105">
        <v>5384.2682419207131</v>
      </c>
      <c r="AM40" s="105">
        <v>5394.2357527571221</v>
      </c>
      <c r="AN40" s="105">
        <v>5404.1438613086484</v>
      </c>
      <c r="AO40" s="105">
        <v>2165.5963871792605</v>
      </c>
      <c r="AP40" s="105">
        <v>2169.510193221452</v>
      </c>
      <c r="AQ40" s="105">
        <v>543.34958272928066</v>
      </c>
      <c r="AR40" s="105">
        <v>544.31504319060355</v>
      </c>
      <c r="AS40" s="105">
        <v>5452.7377389875128</v>
      </c>
      <c r="AT40" s="105">
        <v>5462.2562017647024</v>
      </c>
      <c r="AU40" s="105">
        <v>5471.7042848759638</v>
      </c>
      <c r="AV40" s="105">
        <v>2192.4321858585163</v>
      </c>
      <c r="AW40" s="105">
        <v>2196.1532917444638</v>
      </c>
      <c r="AX40" s="105">
        <v>5499.611079538382</v>
      </c>
    </row>
    <row r="41" spans="2:50" x14ac:dyDescent="0.2">
      <c r="B41" s="175" t="s">
        <v>107</v>
      </c>
      <c r="C41" s="105">
        <v>3006.5883016813805</v>
      </c>
      <c r="D41" s="105">
        <v>3013.1780103151486</v>
      </c>
      <c r="E41" s="105">
        <v>3019.7680695375102</v>
      </c>
      <c r="F41" s="105">
        <v>3026.3574224454624</v>
      </c>
      <c r="G41" s="105">
        <v>3032.9450117820752</v>
      </c>
      <c r="H41" s="105">
        <v>3039.5297801219349</v>
      </c>
      <c r="I41" s="105">
        <v>3046.1106700567357</v>
      </c>
      <c r="J41" s="105">
        <v>3052.6866243809636</v>
      </c>
      <c r="K41" s="105">
        <v>3059.2565862776564</v>
      </c>
      <c r="L41" s="105">
        <v>3065.8194995042027</v>
      </c>
      <c r="M41" s="105">
        <v>2150.6620160047005</v>
      </c>
      <c r="N41" s="105">
        <v>3078.9199589629461</v>
      </c>
      <c r="O41" s="105">
        <v>3085.4553972537178</v>
      </c>
      <c r="P41" s="105">
        <v>3091.9795713628264</v>
      </c>
      <c r="Q41" s="105">
        <v>3098.4914307053937</v>
      </c>
      <c r="R41" s="105">
        <v>3104.9899263846269</v>
      </c>
      <c r="S41" s="105">
        <v>3111.4740113769658</v>
      </c>
      <c r="T41" s="105">
        <v>3117.9426407169926</v>
      </c>
      <c r="U41" s="105">
        <v>3124.3947716820899</v>
      </c>
      <c r="V41" s="105">
        <v>3130.8293639768099</v>
      </c>
      <c r="W41" s="105">
        <v>1254.8981519667666</v>
      </c>
      <c r="X41" s="105">
        <v>3143.6417846130662</v>
      </c>
      <c r="Y41" s="105">
        <v>3150.0175461541053</v>
      </c>
      <c r="Z41" s="105">
        <v>3156.3716357899466</v>
      </c>
      <c r="AA41" s="105">
        <v>3162.7030281139782</v>
      </c>
      <c r="AB41" s="105">
        <v>3169.010701245003</v>
      </c>
      <c r="AC41" s="105">
        <v>3175.2936370086377</v>
      </c>
      <c r="AD41" s="105">
        <v>3181.5508211181759</v>
      </c>
      <c r="AE41" s="105">
        <v>3187.7812433548561</v>
      </c>
      <c r="AF41" s="105">
        <v>3193.9838977475138</v>
      </c>
      <c r="AG41" s="105">
        <v>3200.1577827515825</v>
      </c>
      <c r="AH41" s="105">
        <v>3206.3019014274178</v>
      </c>
      <c r="AI41" s="105">
        <v>3212.4152616178967</v>
      </c>
      <c r="AJ41" s="105">
        <v>3218.496876125284</v>
      </c>
      <c r="AK41" s="105">
        <v>3224.5457628873069</v>
      </c>
      <c r="AL41" s="105">
        <v>3230.5609451524278</v>
      </c>
      <c r="AM41" s="105">
        <v>2265.5790161579912</v>
      </c>
      <c r="AN41" s="105">
        <v>2269.7404217496323</v>
      </c>
      <c r="AO41" s="105">
        <v>3248.3945807688906</v>
      </c>
      <c r="AP41" s="105">
        <v>3254.2652898321776</v>
      </c>
      <c r="AQ41" s="105">
        <v>3260.0974963756835</v>
      </c>
      <c r="AR41" s="105">
        <v>3265.8902591436208</v>
      </c>
      <c r="AS41" s="105">
        <v>3271.6426433925076</v>
      </c>
      <c r="AT41" s="105">
        <v>3277.3537210588215</v>
      </c>
      <c r="AU41" s="105">
        <v>1313.2090283702314</v>
      </c>
      <c r="AV41" s="105">
        <v>3288.648278787774</v>
      </c>
      <c r="AW41" s="105">
        <v>3294.2299376166952</v>
      </c>
      <c r="AX41" s="105">
        <v>3299.7666477230291</v>
      </c>
    </row>
    <row r="42" spans="2:50" x14ac:dyDescent="0.2">
      <c r="B42" s="175" t="s">
        <v>108</v>
      </c>
      <c r="C42" s="105">
        <v>10000000</v>
      </c>
      <c r="D42" s="105">
        <v>10000000</v>
      </c>
      <c r="E42" s="105">
        <v>10000000</v>
      </c>
      <c r="F42" s="105">
        <v>10000000</v>
      </c>
      <c r="G42" s="105">
        <v>10000000</v>
      </c>
      <c r="H42" s="105">
        <v>10000000</v>
      </c>
      <c r="I42" s="105">
        <v>10000000</v>
      </c>
      <c r="J42" s="105">
        <v>10000000</v>
      </c>
      <c r="K42" s="105">
        <v>10000000</v>
      </c>
      <c r="L42" s="105">
        <v>10000000</v>
      </c>
      <c r="M42" s="105">
        <v>10000000</v>
      </c>
      <c r="N42" s="105">
        <v>10000000</v>
      </c>
      <c r="O42" s="105">
        <v>10000000</v>
      </c>
      <c r="P42" s="105">
        <v>10000000</v>
      </c>
      <c r="Q42" s="105">
        <v>10000000</v>
      </c>
      <c r="R42" s="105">
        <v>10000000</v>
      </c>
      <c r="S42" s="105">
        <v>10000000</v>
      </c>
      <c r="T42" s="105">
        <v>10000000</v>
      </c>
      <c r="U42" s="105">
        <v>10000000</v>
      </c>
      <c r="V42" s="105">
        <v>10000000</v>
      </c>
      <c r="W42" s="105">
        <v>10000000</v>
      </c>
      <c r="X42" s="105">
        <v>10000000</v>
      </c>
      <c r="Y42" s="105">
        <v>10000000</v>
      </c>
      <c r="Z42" s="105">
        <v>10000000</v>
      </c>
      <c r="AA42" s="105">
        <v>10000000</v>
      </c>
      <c r="AB42" s="105">
        <v>10000000</v>
      </c>
      <c r="AC42" s="105">
        <v>10000000</v>
      </c>
      <c r="AD42" s="105">
        <v>10000000</v>
      </c>
      <c r="AE42" s="105">
        <v>10000000</v>
      </c>
      <c r="AF42" s="105">
        <v>10000000</v>
      </c>
      <c r="AG42" s="105">
        <v>10000000</v>
      </c>
      <c r="AH42" s="105">
        <v>10000000</v>
      </c>
      <c r="AI42" s="105">
        <v>10000000</v>
      </c>
      <c r="AJ42" s="105">
        <v>10000000</v>
      </c>
      <c r="AK42" s="105">
        <v>10000000</v>
      </c>
      <c r="AL42" s="105">
        <v>10000000</v>
      </c>
      <c r="AM42" s="105">
        <v>10000000</v>
      </c>
      <c r="AN42" s="105">
        <v>10000000</v>
      </c>
      <c r="AO42" s="105">
        <v>10000000</v>
      </c>
      <c r="AP42" s="105">
        <v>10000000</v>
      </c>
      <c r="AQ42" s="105">
        <v>10000000</v>
      </c>
      <c r="AR42" s="105">
        <v>10000000</v>
      </c>
      <c r="AS42" s="105">
        <v>10000000</v>
      </c>
      <c r="AT42" s="105">
        <v>10000000</v>
      </c>
      <c r="AU42" s="105">
        <v>10000000</v>
      </c>
      <c r="AV42" s="105">
        <v>10000000</v>
      </c>
      <c r="AW42" s="105">
        <v>10000000</v>
      </c>
      <c r="AX42" s="105">
        <v>10000000</v>
      </c>
    </row>
    <row r="43" spans="2:50" x14ac:dyDescent="0.2">
      <c r="B43" s="175" t="s">
        <v>109</v>
      </c>
      <c r="C43" s="105">
        <v>10000000</v>
      </c>
      <c r="D43" s="105">
        <v>10000000</v>
      </c>
      <c r="E43" s="105">
        <v>10000000</v>
      </c>
      <c r="F43" s="105">
        <v>10000000</v>
      </c>
      <c r="G43" s="105">
        <v>10000000</v>
      </c>
      <c r="H43" s="105">
        <v>10000000</v>
      </c>
      <c r="I43" s="105">
        <v>10000000</v>
      </c>
      <c r="J43" s="105">
        <v>10000000</v>
      </c>
      <c r="K43" s="105">
        <v>10000000</v>
      </c>
      <c r="L43" s="105">
        <v>10000000</v>
      </c>
      <c r="M43" s="105">
        <v>10000000</v>
      </c>
      <c r="N43" s="105">
        <v>10000000</v>
      </c>
      <c r="O43" s="105">
        <v>10000000</v>
      </c>
      <c r="P43" s="105">
        <v>10000000</v>
      </c>
      <c r="Q43" s="105">
        <v>10000000</v>
      </c>
      <c r="R43" s="105">
        <v>10000000</v>
      </c>
      <c r="S43" s="105">
        <v>10000000</v>
      </c>
      <c r="T43" s="105">
        <v>10000000</v>
      </c>
      <c r="U43" s="105">
        <v>10000000</v>
      </c>
      <c r="V43" s="105">
        <v>10000000</v>
      </c>
      <c r="W43" s="105">
        <v>10000000</v>
      </c>
      <c r="X43" s="105">
        <v>10000000</v>
      </c>
      <c r="Y43" s="105">
        <v>10000000</v>
      </c>
      <c r="Z43" s="105">
        <v>10000000</v>
      </c>
      <c r="AA43" s="105">
        <v>10000000</v>
      </c>
      <c r="AB43" s="105">
        <v>10000000</v>
      </c>
      <c r="AC43" s="105">
        <v>10000000</v>
      </c>
      <c r="AD43" s="105">
        <v>10000000</v>
      </c>
      <c r="AE43" s="105">
        <v>10000000</v>
      </c>
      <c r="AF43" s="105">
        <v>10000000</v>
      </c>
      <c r="AG43" s="105">
        <v>10000000</v>
      </c>
      <c r="AH43" s="105">
        <v>10000000</v>
      </c>
      <c r="AI43" s="105">
        <v>10000000</v>
      </c>
      <c r="AJ43" s="105">
        <v>10000000</v>
      </c>
      <c r="AK43" s="105">
        <v>10000000</v>
      </c>
      <c r="AL43" s="105">
        <v>10000000</v>
      </c>
      <c r="AM43" s="105">
        <v>10000000</v>
      </c>
      <c r="AN43" s="105">
        <v>10000000</v>
      </c>
      <c r="AO43" s="105">
        <v>10000000</v>
      </c>
      <c r="AP43" s="105">
        <v>10000000</v>
      </c>
      <c r="AQ43" s="105">
        <v>10000000</v>
      </c>
      <c r="AR43" s="105">
        <v>10000000</v>
      </c>
      <c r="AS43" s="105">
        <v>10000000</v>
      </c>
      <c r="AT43" s="105">
        <v>10000000</v>
      </c>
      <c r="AU43" s="105">
        <v>10000000</v>
      </c>
      <c r="AV43" s="105">
        <v>10000000</v>
      </c>
      <c r="AW43" s="105">
        <v>10000000</v>
      </c>
      <c r="AX43" s="105">
        <v>10000000</v>
      </c>
    </row>
    <row r="45" spans="2:50" x14ac:dyDescent="0.2">
      <c r="B45" s="108" t="s">
        <v>326</v>
      </c>
    </row>
    <row r="46" spans="2:50" x14ac:dyDescent="0.2">
      <c r="B46" s="104" t="s">
        <v>276</v>
      </c>
      <c r="C46" s="104" t="s">
        <v>92</v>
      </c>
      <c r="D46" s="106"/>
      <c r="E46" s="106"/>
      <c r="F46" s="106"/>
      <c r="G46" s="104" t="s">
        <v>93</v>
      </c>
      <c r="H46" s="106"/>
      <c r="I46" s="106"/>
      <c r="J46" s="106"/>
      <c r="K46" s="104" t="s">
        <v>94</v>
      </c>
      <c r="L46" s="106"/>
      <c r="M46" s="106"/>
      <c r="N46" s="106"/>
      <c r="O46" s="104" t="s">
        <v>95</v>
      </c>
      <c r="P46" s="106"/>
      <c r="Q46" s="106"/>
      <c r="R46" s="106"/>
      <c r="S46" s="104" t="s">
        <v>96</v>
      </c>
      <c r="T46" s="106"/>
      <c r="U46" s="106"/>
      <c r="V46" s="106"/>
      <c r="W46" s="104" t="s">
        <v>97</v>
      </c>
      <c r="X46" s="106"/>
      <c r="Y46" s="106"/>
      <c r="Z46" s="106"/>
      <c r="AA46" s="104" t="s">
        <v>98</v>
      </c>
      <c r="AB46" s="106"/>
      <c r="AC46" s="106"/>
      <c r="AD46" s="106"/>
      <c r="AE46" s="104" t="s">
        <v>99</v>
      </c>
      <c r="AF46" s="106"/>
      <c r="AG46" s="106"/>
      <c r="AH46" s="106"/>
      <c r="AI46" s="104" t="s">
        <v>100</v>
      </c>
      <c r="AJ46" s="106"/>
      <c r="AK46" s="106"/>
      <c r="AL46" s="106"/>
      <c r="AM46" s="104" t="s">
        <v>101</v>
      </c>
      <c r="AN46" s="106"/>
      <c r="AO46" s="106"/>
      <c r="AP46" s="106"/>
      <c r="AQ46" s="104" t="s">
        <v>102</v>
      </c>
      <c r="AR46" s="106"/>
      <c r="AS46" s="106"/>
      <c r="AT46" s="106"/>
      <c r="AU46" s="104" t="s">
        <v>103</v>
      </c>
      <c r="AV46" s="106"/>
      <c r="AW46" s="106"/>
    </row>
    <row r="47" spans="2:50" x14ac:dyDescent="0.2">
      <c r="B47" s="104" t="s">
        <v>327</v>
      </c>
      <c r="C47" s="104">
        <v>1</v>
      </c>
      <c r="D47" s="104">
        <v>2</v>
      </c>
      <c r="E47" s="104">
        <v>3</v>
      </c>
      <c r="F47" s="104">
        <v>4</v>
      </c>
      <c r="G47" s="104">
        <v>1</v>
      </c>
      <c r="H47" s="104">
        <v>2</v>
      </c>
      <c r="I47" s="104">
        <v>3</v>
      </c>
      <c r="J47" s="104">
        <v>4</v>
      </c>
      <c r="K47" s="104">
        <v>1</v>
      </c>
      <c r="L47" s="104">
        <v>2</v>
      </c>
      <c r="M47" s="104">
        <v>3</v>
      </c>
      <c r="N47" s="104">
        <v>4</v>
      </c>
      <c r="O47" s="104">
        <v>1</v>
      </c>
      <c r="P47" s="104">
        <v>2</v>
      </c>
      <c r="Q47" s="104">
        <v>3</v>
      </c>
      <c r="R47" s="104">
        <v>4</v>
      </c>
      <c r="S47" s="104">
        <v>1</v>
      </c>
      <c r="T47" s="104">
        <v>2</v>
      </c>
      <c r="U47" s="104">
        <v>3</v>
      </c>
      <c r="V47" s="104">
        <v>4</v>
      </c>
      <c r="W47" s="104">
        <v>1</v>
      </c>
      <c r="X47" s="104">
        <v>2</v>
      </c>
      <c r="Y47" s="104">
        <v>3</v>
      </c>
      <c r="Z47" s="104">
        <v>4</v>
      </c>
      <c r="AA47" s="104">
        <v>1</v>
      </c>
      <c r="AB47" s="104">
        <v>2</v>
      </c>
      <c r="AC47" s="104">
        <v>3</v>
      </c>
      <c r="AD47" s="104">
        <v>4</v>
      </c>
      <c r="AE47" s="104">
        <v>1</v>
      </c>
      <c r="AF47" s="104">
        <v>2</v>
      </c>
      <c r="AG47" s="104">
        <v>3</v>
      </c>
      <c r="AH47" s="104">
        <v>4</v>
      </c>
      <c r="AI47" s="104">
        <v>1</v>
      </c>
      <c r="AJ47" s="104">
        <v>2</v>
      </c>
      <c r="AK47" s="104">
        <v>3</v>
      </c>
      <c r="AL47" s="104">
        <v>4</v>
      </c>
      <c r="AM47" s="104">
        <v>1</v>
      </c>
      <c r="AN47" s="104">
        <v>2</v>
      </c>
      <c r="AO47" s="104">
        <v>3</v>
      </c>
      <c r="AP47" s="104">
        <v>4</v>
      </c>
      <c r="AQ47" s="104">
        <v>1</v>
      </c>
      <c r="AR47" s="104">
        <v>2</v>
      </c>
      <c r="AS47" s="104">
        <v>3</v>
      </c>
      <c r="AT47" s="104">
        <v>4</v>
      </c>
      <c r="AU47" s="104">
        <v>1</v>
      </c>
      <c r="AV47" s="104">
        <v>2</v>
      </c>
      <c r="AW47" s="104">
        <v>3</v>
      </c>
      <c r="AX47" s="104">
        <v>4</v>
      </c>
    </row>
    <row r="48" spans="2:50" x14ac:dyDescent="0.2">
      <c r="B48" s="104" t="s">
        <v>104</v>
      </c>
      <c r="C48" s="105">
        <v>1976</v>
      </c>
      <c r="D48" s="105">
        <v>1976</v>
      </c>
      <c r="E48" s="105">
        <v>1976</v>
      </c>
      <c r="F48" s="105">
        <v>1976</v>
      </c>
      <c r="G48" s="105">
        <v>2173.6000000000004</v>
      </c>
      <c r="H48" s="105">
        <v>2173.6000000000004</v>
      </c>
      <c r="I48" s="105">
        <v>2173.6000000000004</v>
      </c>
      <c r="J48" s="105">
        <v>2173.6000000000004</v>
      </c>
      <c r="K48" s="105">
        <v>2173.6000000000004</v>
      </c>
      <c r="L48" s="105">
        <v>2173.6000000000004</v>
      </c>
      <c r="M48" s="105">
        <v>2173.6000000000004</v>
      </c>
      <c r="N48" s="105">
        <v>2173.6000000000004</v>
      </c>
      <c r="O48" s="105">
        <v>1976</v>
      </c>
      <c r="P48" s="105">
        <v>1976</v>
      </c>
      <c r="Q48" s="105">
        <v>1976</v>
      </c>
      <c r="R48" s="105">
        <v>1976</v>
      </c>
      <c r="S48" s="105">
        <v>1778.4</v>
      </c>
      <c r="T48" s="105">
        <v>1778.4</v>
      </c>
      <c r="U48" s="105">
        <v>1778.4</v>
      </c>
      <c r="V48" s="105">
        <v>1778.4</v>
      </c>
      <c r="W48" s="105">
        <v>1778.4</v>
      </c>
      <c r="X48" s="105">
        <v>1778.4</v>
      </c>
      <c r="Y48" s="105">
        <v>1778.4</v>
      </c>
      <c r="Z48" s="105">
        <v>1778.4</v>
      </c>
      <c r="AA48" s="105">
        <v>1778.4</v>
      </c>
      <c r="AB48" s="105">
        <v>1778.4</v>
      </c>
      <c r="AC48" s="105">
        <v>1778.4</v>
      </c>
      <c r="AD48" s="105">
        <v>1778.4</v>
      </c>
      <c r="AE48" s="105">
        <v>2173.6000000000004</v>
      </c>
      <c r="AF48" s="105">
        <v>2173.6000000000004</v>
      </c>
      <c r="AG48" s="105">
        <v>2173.6000000000004</v>
      </c>
      <c r="AH48" s="105">
        <v>2173.6000000000004</v>
      </c>
      <c r="AI48" s="105">
        <v>2173.6000000000004</v>
      </c>
      <c r="AJ48" s="105">
        <v>2173.6000000000004</v>
      </c>
      <c r="AK48" s="105">
        <v>2173.6000000000004</v>
      </c>
      <c r="AL48" s="105">
        <v>2173.6000000000004</v>
      </c>
      <c r="AM48" s="105">
        <v>2173.6000000000004</v>
      </c>
      <c r="AN48" s="105">
        <v>2173.6000000000004</v>
      </c>
      <c r="AO48" s="105">
        <v>2173.6000000000004</v>
      </c>
      <c r="AP48" s="105">
        <v>2173.6000000000004</v>
      </c>
      <c r="AQ48" s="105">
        <v>1976</v>
      </c>
      <c r="AR48" s="105">
        <v>1976</v>
      </c>
      <c r="AS48" s="105">
        <v>1976</v>
      </c>
      <c r="AT48" s="105">
        <v>1976</v>
      </c>
      <c r="AU48" s="105">
        <v>1778.4</v>
      </c>
      <c r="AV48" s="105">
        <v>1778.4</v>
      </c>
      <c r="AW48" s="105">
        <v>1778.4</v>
      </c>
      <c r="AX48" s="105">
        <v>1778.4</v>
      </c>
    </row>
    <row r="49" spans="2:51" x14ac:dyDescent="0.2">
      <c r="B49" s="104" t="s">
        <v>105</v>
      </c>
      <c r="C49" s="105">
        <v>314</v>
      </c>
      <c r="D49" s="105">
        <v>314</v>
      </c>
      <c r="E49" s="105">
        <v>314</v>
      </c>
      <c r="F49" s="105">
        <v>314</v>
      </c>
      <c r="G49" s="105">
        <v>314</v>
      </c>
      <c r="H49" s="105">
        <v>314</v>
      </c>
      <c r="I49" s="105">
        <v>314</v>
      </c>
      <c r="J49" s="105">
        <v>314</v>
      </c>
      <c r="K49" s="105">
        <v>282.60000000000002</v>
      </c>
      <c r="L49" s="105">
        <v>282.60000000000002</v>
      </c>
      <c r="M49" s="105">
        <v>282.60000000000002</v>
      </c>
      <c r="N49" s="105">
        <v>282.60000000000002</v>
      </c>
      <c r="O49" s="105">
        <v>314</v>
      </c>
      <c r="P49" s="105">
        <v>314</v>
      </c>
      <c r="Q49" s="105">
        <v>314</v>
      </c>
      <c r="R49" s="105">
        <v>314</v>
      </c>
      <c r="S49" s="105">
        <v>314</v>
      </c>
      <c r="T49" s="105">
        <v>314</v>
      </c>
      <c r="U49" s="105">
        <v>314</v>
      </c>
      <c r="V49" s="105">
        <v>314</v>
      </c>
      <c r="W49" s="105">
        <v>314</v>
      </c>
      <c r="X49" s="105">
        <v>314</v>
      </c>
      <c r="Y49" s="105">
        <v>314</v>
      </c>
      <c r="Z49" s="105">
        <v>314</v>
      </c>
      <c r="AA49" s="105">
        <v>314</v>
      </c>
      <c r="AB49" s="105">
        <v>314</v>
      </c>
      <c r="AC49" s="105">
        <v>314</v>
      </c>
      <c r="AD49" s="105">
        <v>314</v>
      </c>
      <c r="AE49" s="105">
        <v>314</v>
      </c>
      <c r="AF49" s="105">
        <v>314</v>
      </c>
      <c r="AG49" s="105">
        <v>314</v>
      </c>
      <c r="AH49" s="105">
        <v>314</v>
      </c>
      <c r="AI49" s="105">
        <v>345.40000000000003</v>
      </c>
      <c r="AJ49" s="105">
        <v>345.40000000000003</v>
      </c>
      <c r="AK49" s="105">
        <v>345.40000000000003</v>
      </c>
      <c r="AL49" s="105">
        <v>345.40000000000003</v>
      </c>
      <c r="AM49" s="105">
        <v>314</v>
      </c>
      <c r="AN49" s="105">
        <v>314</v>
      </c>
      <c r="AO49" s="105">
        <v>314</v>
      </c>
      <c r="AP49" s="105">
        <v>314</v>
      </c>
      <c r="AQ49" s="105">
        <v>345.40000000000003</v>
      </c>
      <c r="AR49" s="105">
        <v>345.40000000000003</v>
      </c>
      <c r="AS49" s="105">
        <v>345.40000000000003</v>
      </c>
      <c r="AT49" s="105">
        <v>345.40000000000003</v>
      </c>
      <c r="AU49" s="105">
        <v>314</v>
      </c>
      <c r="AV49" s="105">
        <v>314</v>
      </c>
      <c r="AW49" s="105">
        <v>314</v>
      </c>
      <c r="AX49" s="105">
        <v>314</v>
      </c>
    </row>
    <row r="50" spans="2:51" x14ac:dyDescent="0.2">
      <c r="B50" s="104" t="s">
        <v>106</v>
      </c>
      <c r="C50" s="105">
        <v>389</v>
      </c>
      <c r="D50" s="105">
        <v>389</v>
      </c>
      <c r="E50" s="105">
        <v>389</v>
      </c>
      <c r="F50" s="105">
        <v>389</v>
      </c>
      <c r="G50" s="105">
        <v>389</v>
      </c>
      <c r="H50" s="105">
        <v>389</v>
      </c>
      <c r="I50" s="105">
        <v>389</v>
      </c>
      <c r="J50" s="105">
        <v>389</v>
      </c>
      <c r="K50" s="105">
        <v>427.90000000000003</v>
      </c>
      <c r="L50" s="105">
        <v>427.90000000000003</v>
      </c>
      <c r="M50" s="105">
        <v>427.90000000000003</v>
      </c>
      <c r="N50" s="105">
        <v>427.90000000000003</v>
      </c>
      <c r="O50" s="105">
        <v>389</v>
      </c>
      <c r="P50" s="105">
        <v>389</v>
      </c>
      <c r="Q50" s="105">
        <v>389</v>
      </c>
      <c r="R50" s="105">
        <v>389</v>
      </c>
      <c r="S50" s="105">
        <v>427.90000000000003</v>
      </c>
      <c r="T50" s="105">
        <v>427.90000000000003</v>
      </c>
      <c r="U50" s="105">
        <v>427.90000000000003</v>
      </c>
      <c r="V50" s="105">
        <v>427.90000000000003</v>
      </c>
      <c r="W50" s="105">
        <v>389</v>
      </c>
      <c r="X50" s="105">
        <v>389</v>
      </c>
      <c r="Y50" s="105">
        <v>389</v>
      </c>
      <c r="Z50" s="105">
        <v>389</v>
      </c>
      <c r="AA50" s="105">
        <v>427.90000000000003</v>
      </c>
      <c r="AB50" s="105">
        <v>427.90000000000003</v>
      </c>
      <c r="AC50" s="105">
        <v>427.90000000000003</v>
      </c>
      <c r="AD50" s="105">
        <v>427.90000000000003</v>
      </c>
      <c r="AE50" s="105">
        <v>389</v>
      </c>
      <c r="AF50" s="105">
        <v>389</v>
      </c>
      <c r="AG50" s="105">
        <v>389</v>
      </c>
      <c r="AH50" s="105">
        <v>389</v>
      </c>
      <c r="AI50" s="105">
        <v>389</v>
      </c>
      <c r="AJ50" s="105">
        <v>389</v>
      </c>
      <c r="AK50" s="105">
        <v>389</v>
      </c>
      <c r="AL50" s="105">
        <v>389</v>
      </c>
      <c r="AM50" s="105">
        <v>389</v>
      </c>
      <c r="AN50" s="105">
        <v>389</v>
      </c>
      <c r="AO50" s="105">
        <v>389</v>
      </c>
      <c r="AP50" s="105">
        <v>389</v>
      </c>
      <c r="AQ50" s="105">
        <v>350.1</v>
      </c>
      <c r="AR50" s="105">
        <v>350.1</v>
      </c>
      <c r="AS50" s="105">
        <v>350.1</v>
      </c>
      <c r="AT50" s="105">
        <v>350.1</v>
      </c>
      <c r="AU50" s="105">
        <v>389</v>
      </c>
      <c r="AV50" s="105">
        <v>389</v>
      </c>
      <c r="AW50" s="105">
        <v>389</v>
      </c>
      <c r="AX50" s="105">
        <v>389</v>
      </c>
      <c r="AY50" s="117"/>
    </row>
    <row r="51" spans="2:51" x14ac:dyDescent="0.2">
      <c r="B51" s="104" t="s">
        <v>107</v>
      </c>
      <c r="C51" s="105">
        <v>0</v>
      </c>
      <c r="D51" s="105">
        <v>0</v>
      </c>
      <c r="E51" s="105">
        <v>0</v>
      </c>
      <c r="F51" s="105">
        <v>0</v>
      </c>
      <c r="G51" s="105">
        <v>0</v>
      </c>
      <c r="H51" s="105">
        <v>0</v>
      </c>
      <c r="I51" s="105">
        <v>0</v>
      </c>
      <c r="J51" s="105">
        <v>0</v>
      </c>
      <c r="K51" s="105">
        <v>0</v>
      </c>
      <c r="L51" s="105">
        <v>0</v>
      </c>
      <c r="M51" s="105">
        <v>0</v>
      </c>
      <c r="N51" s="105">
        <v>0</v>
      </c>
      <c r="O51" s="105">
        <v>0</v>
      </c>
      <c r="P51" s="105">
        <v>0</v>
      </c>
      <c r="Q51" s="105">
        <v>0</v>
      </c>
      <c r="R51" s="105">
        <v>0</v>
      </c>
      <c r="S51" s="105">
        <v>0</v>
      </c>
      <c r="T51" s="105">
        <v>0</v>
      </c>
      <c r="U51" s="105">
        <v>0</v>
      </c>
      <c r="V51" s="105">
        <v>0</v>
      </c>
      <c r="W51" s="105">
        <v>0</v>
      </c>
      <c r="X51" s="105">
        <v>0</v>
      </c>
      <c r="Y51" s="105">
        <v>0</v>
      </c>
      <c r="Z51" s="105">
        <v>0</v>
      </c>
      <c r="AA51" s="105">
        <v>0</v>
      </c>
      <c r="AB51" s="105">
        <v>0</v>
      </c>
      <c r="AC51" s="105">
        <v>0</v>
      </c>
      <c r="AD51" s="105">
        <v>0</v>
      </c>
      <c r="AE51" s="105">
        <v>0</v>
      </c>
      <c r="AF51" s="105">
        <v>0</v>
      </c>
      <c r="AG51" s="105">
        <v>0</v>
      </c>
      <c r="AH51" s="105">
        <v>0</v>
      </c>
      <c r="AI51" s="105">
        <v>0</v>
      </c>
      <c r="AJ51" s="105">
        <v>0</v>
      </c>
      <c r="AK51" s="105">
        <v>0</v>
      </c>
      <c r="AL51" s="105">
        <v>0</v>
      </c>
      <c r="AM51" s="105">
        <v>0</v>
      </c>
      <c r="AN51" s="105">
        <v>0</v>
      </c>
      <c r="AO51" s="105">
        <v>0</v>
      </c>
      <c r="AP51" s="105">
        <v>0</v>
      </c>
      <c r="AQ51" s="105">
        <v>0</v>
      </c>
      <c r="AR51" s="105">
        <v>0</v>
      </c>
      <c r="AS51" s="105">
        <v>0</v>
      </c>
      <c r="AT51" s="105">
        <v>0</v>
      </c>
      <c r="AU51" s="105">
        <v>0</v>
      </c>
      <c r="AV51" s="105">
        <v>0</v>
      </c>
      <c r="AW51" s="105">
        <v>0</v>
      </c>
      <c r="AX51" s="105">
        <v>0</v>
      </c>
      <c r="AY51" s="116"/>
    </row>
    <row r="52" spans="2:51" x14ac:dyDescent="0.2">
      <c r="B52" s="104" t="s">
        <v>108</v>
      </c>
      <c r="C52" s="105">
        <v>0</v>
      </c>
      <c r="D52" s="105">
        <v>0</v>
      </c>
      <c r="E52" s="105">
        <v>0</v>
      </c>
      <c r="F52" s="105">
        <v>0</v>
      </c>
      <c r="G52" s="105">
        <v>0</v>
      </c>
      <c r="H52" s="105">
        <v>0</v>
      </c>
      <c r="I52" s="105">
        <v>0</v>
      </c>
      <c r="J52" s="105">
        <v>0</v>
      </c>
      <c r="K52" s="105">
        <v>0</v>
      </c>
      <c r="L52" s="105">
        <v>0</v>
      </c>
      <c r="M52" s="105">
        <v>0</v>
      </c>
      <c r="N52" s="105">
        <v>0</v>
      </c>
      <c r="O52" s="105">
        <v>0</v>
      </c>
      <c r="P52" s="105">
        <v>0</v>
      </c>
      <c r="Q52" s="105">
        <v>0</v>
      </c>
      <c r="R52" s="105">
        <v>0</v>
      </c>
      <c r="S52" s="105">
        <v>0</v>
      </c>
      <c r="T52" s="105">
        <v>0</v>
      </c>
      <c r="U52" s="105">
        <v>0</v>
      </c>
      <c r="V52" s="105">
        <v>0</v>
      </c>
      <c r="W52" s="105">
        <v>0</v>
      </c>
      <c r="X52" s="105">
        <v>0</v>
      </c>
      <c r="Y52" s="105">
        <v>0</v>
      </c>
      <c r="Z52" s="105">
        <v>0</v>
      </c>
      <c r="AA52" s="105">
        <v>0</v>
      </c>
      <c r="AB52" s="105">
        <v>0</v>
      </c>
      <c r="AC52" s="105">
        <v>0</v>
      </c>
      <c r="AD52" s="105">
        <v>0</v>
      </c>
      <c r="AE52" s="105">
        <v>0</v>
      </c>
      <c r="AF52" s="105">
        <v>0</v>
      </c>
      <c r="AG52" s="105">
        <v>0</v>
      </c>
      <c r="AH52" s="105">
        <v>0</v>
      </c>
      <c r="AI52" s="105">
        <v>0</v>
      </c>
      <c r="AJ52" s="105">
        <v>0</v>
      </c>
      <c r="AK52" s="105">
        <v>0</v>
      </c>
      <c r="AL52" s="105">
        <v>0</v>
      </c>
      <c r="AM52" s="105">
        <v>0</v>
      </c>
      <c r="AN52" s="105">
        <v>0</v>
      </c>
      <c r="AO52" s="105">
        <v>0</v>
      </c>
      <c r="AP52" s="105">
        <v>0</v>
      </c>
      <c r="AQ52" s="105">
        <v>0</v>
      </c>
      <c r="AR52" s="105">
        <v>0</v>
      </c>
      <c r="AS52" s="105">
        <v>0</v>
      </c>
      <c r="AT52" s="105">
        <v>0</v>
      </c>
      <c r="AU52" s="105">
        <v>0</v>
      </c>
      <c r="AV52" s="105">
        <v>0</v>
      </c>
      <c r="AW52" s="105">
        <v>0</v>
      </c>
      <c r="AX52" s="105">
        <v>0</v>
      </c>
    </row>
    <row r="53" spans="2:51" x14ac:dyDescent="0.2">
      <c r="B53" s="104" t="s">
        <v>109</v>
      </c>
      <c r="C53" s="105">
        <v>0</v>
      </c>
      <c r="D53" s="105">
        <v>0</v>
      </c>
      <c r="E53" s="105">
        <v>0</v>
      </c>
      <c r="F53" s="105">
        <v>0</v>
      </c>
      <c r="G53" s="105">
        <v>0</v>
      </c>
      <c r="H53" s="105">
        <v>0</v>
      </c>
      <c r="I53" s="105">
        <v>0</v>
      </c>
      <c r="J53" s="105">
        <v>0</v>
      </c>
      <c r="K53" s="105">
        <v>0</v>
      </c>
      <c r="L53" s="105">
        <v>0</v>
      </c>
      <c r="M53" s="105">
        <v>0</v>
      </c>
      <c r="N53" s="105">
        <v>0</v>
      </c>
      <c r="O53" s="105">
        <v>0</v>
      </c>
      <c r="P53" s="105">
        <v>0</v>
      </c>
      <c r="Q53" s="105">
        <v>0</v>
      </c>
      <c r="R53" s="105">
        <v>0</v>
      </c>
      <c r="S53" s="105">
        <v>0</v>
      </c>
      <c r="T53" s="105">
        <v>0</v>
      </c>
      <c r="U53" s="105">
        <v>0</v>
      </c>
      <c r="V53" s="105">
        <v>0</v>
      </c>
      <c r="W53" s="105">
        <v>0</v>
      </c>
      <c r="X53" s="105">
        <v>0</v>
      </c>
      <c r="Y53" s="105">
        <v>0</v>
      </c>
      <c r="Z53" s="105">
        <v>0</v>
      </c>
      <c r="AA53" s="105">
        <v>0</v>
      </c>
      <c r="AB53" s="105">
        <v>0</v>
      </c>
      <c r="AC53" s="105">
        <v>0</v>
      </c>
      <c r="AD53" s="105">
        <v>0</v>
      </c>
      <c r="AE53" s="105">
        <v>0</v>
      </c>
      <c r="AF53" s="105">
        <v>0</v>
      </c>
      <c r="AG53" s="105">
        <v>0</v>
      </c>
      <c r="AH53" s="105">
        <v>0</v>
      </c>
      <c r="AI53" s="105">
        <v>0</v>
      </c>
      <c r="AJ53" s="105">
        <v>0</v>
      </c>
      <c r="AK53" s="105">
        <v>0</v>
      </c>
      <c r="AL53" s="105">
        <v>0</v>
      </c>
      <c r="AM53" s="105">
        <v>0</v>
      </c>
      <c r="AN53" s="105">
        <v>0</v>
      </c>
      <c r="AO53" s="105">
        <v>0</v>
      </c>
      <c r="AP53" s="105">
        <v>0</v>
      </c>
      <c r="AQ53" s="105">
        <v>0</v>
      </c>
      <c r="AR53" s="105">
        <v>0</v>
      </c>
      <c r="AS53" s="105">
        <v>0</v>
      </c>
      <c r="AT53" s="105">
        <v>0</v>
      </c>
      <c r="AU53" s="105">
        <v>0</v>
      </c>
      <c r="AV53" s="105">
        <v>0</v>
      </c>
      <c r="AW53" s="105">
        <v>0</v>
      </c>
      <c r="AX53" s="105">
        <v>0</v>
      </c>
    </row>
    <row r="55" spans="2:51" x14ac:dyDescent="0.2">
      <c r="B55" s="179" t="s">
        <v>328</v>
      </c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  <c r="N55" s="180"/>
      <c r="O55" s="180"/>
      <c r="P55" s="180"/>
      <c r="Q55" s="180"/>
      <c r="R55" s="180"/>
      <c r="S55" s="180"/>
      <c r="T55" s="180"/>
      <c r="U55" s="180"/>
      <c r="V55" s="180"/>
      <c r="W55" s="180"/>
      <c r="X55" s="180"/>
      <c r="Y55" s="180"/>
      <c r="Z55" s="180"/>
      <c r="AA55" s="180"/>
      <c r="AB55" s="180"/>
      <c r="AC55" s="180"/>
      <c r="AD55" s="180"/>
      <c r="AE55" s="180"/>
      <c r="AF55" s="180"/>
      <c r="AG55" s="180"/>
      <c r="AH55" s="180"/>
      <c r="AI55" s="180"/>
      <c r="AJ55" s="180"/>
      <c r="AK55" s="180"/>
      <c r="AL55" s="180"/>
      <c r="AM55" s="180"/>
      <c r="AN55" s="180"/>
      <c r="AO55" s="180"/>
      <c r="AP55" s="180"/>
      <c r="AQ55" s="180"/>
      <c r="AR55" s="180"/>
      <c r="AS55" s="180"/>
      <c r="AT55" s="180"/>
      <c r="AU55" s="180"/>
      <c r="AV55" s="180"/>
      <c r="AW55" s="180"/>
      <c r="AX55" s="180"/>
    </row>
    <row r="56" spans="2:51" x14ac:dyDescent="0.2">
      <c r="B56" s="110" t="s">
        <v>276</v>
      </c>
      <c r="C56" s="110" t="s">
        <v>92</v>
      </c>
      <c r="D56" s="106"/>
      <c r="E56" s="106"/>
      <c r="F56" s="106"/>
      <c r="G56" s="110" t="s">
        <v>93</v>
      </c>
      <c r="H56" s="106"/>
      <c r="I56" s="106"/>
      <c r="J56" s="106"/>
      <c r="K56" s="110" t="s">
        <v>94</v>
      </c>
      <c r="L56" s="106"/>
      <c r="M56" s="106"/>
      <c r="N56" s="106"/>
      <c r="O56" s="110" t="s">
        <v>95</v>
      </c>
      <c r="P56" s="106"/>
      <c r="Q56" s="106"/>
      <c r="R56" s="106"/>
      <c r="S56" s="110" t="s">
        <v>96</v>
      </c>
      <c r="T56" s="106"/>
      <c r="U56" s="106"/>
      <c r="V56" s="106"/>
      <c r="W56" s="110" t="s">
        <v>97</v>
      </c>
      <c r="X56" s="106"/>
      <c r="Y56" s="106"/>
      <c r="Z56" s="106"/>
      <c r="AA56" s="110" t="s">
        <v>98</v>
      </c>
      <c r="AB56" s="106"/>
      <c r="AC56" s="106"/>
      <c r="AD56" s="106"/>
      <c r="AE56" s="110" t="s">
        <v>99</v>
      </c>
      <c r="AF56" s="106"/>
      <c r="AG56" s="106"/>
      <c r="AH56" s="106"/>
      <c r="AI56" s="110" t="s">
        <v>100</v>
      </c>
      <c r="AJ56" s="106"/>
      <c r="AK56" s="106"/>
      <c r="AL56" s="106"/>
      <c r="AM56" s="110" t="s">
        <v>101</v>
      </c>
      <c r="AN56" s="106"/>
      <c r="AO56" s="106"/>
      <c r="AP56" s="106"/>
      <c r="AQ56" s="110" t="s">
        <v>102</v>
      </c>
      <c r="AR56" s="106"/>
      <c r="AS56" s="106"/>
      <c r="AT56" s="106"/>
      <c r="AU56" s="110" t="s">
        <v>103</v>
      </c>
      <c r="AV56" s="106"/>
      <c r="AW56" s="106"/>
    </row>
    <row r="57" spans="2:51" x14ac:dyDescent="0.2">
      <c r="B57" s="110" t="s">
        <v>327</v>
      </c>
      <c r="C57" s="110">
        <v>1</v>
      </c>
      <c r="D57" s="110">
        <v>2</v>
      </c>
      <c r="E57" s="110">
        <v>3</v>
      </c>
      <c r="F57" s="110">
        <v>4</v>
      </c>
      <c r="G57" s="110">
        <v>1</v>
      </c>
      <c r="H57" s="110">
        <v>2</v>
      </c>
      <c r="I57" s="110">
        <v>3</v>
      </c>
      <c r="J57" s="110">
        <v>4</v>
      </c>
      <c r="K57" s="110">
        <v>1</v>
      </c>
      <c r="L57" s="110">
        <v>2</v>
      </c>
      <c r="M57" s="110">
        <v>3</v>
      </c>
      <c r="N57" s="110">
        <v>4</v>
      </c>
      <c r="O57" s="110">
        <v>1</v>
      </c>
      <c r="P57" s="110">
        <v>2</v>
      </c>
      <c r="Q57" s="110">
        <v>3</v>
      </c>
      <c r="R57" s="110">
        <v>4</v>
      </c>
      <c r="S57" s="110">
        <v>1</v>
      </c>
      <c r="T57" s="110">
        <v>2</v>
      </c>
      <c r="U57" s="110">
        <v>3</v>
      </c>
      <c r="V57" s="110">
        <v>4</v>
      </c>
      <c r="W57" s="110">
        <v>1</v>
      </c>
      <c r="X57" s="110">
        <v>2</v>
      </c>
      <c r="Y57" s="110">
        <v>3</v>
      </c>
      <c r="Z57" s="110">
        <v>4</v>
      </c>
      <c r="AA57" s="110">
        <v>1</v>
      </c>
      <c r="AB57" s="110">
        <v>2</v>
      </c>
      <c r="AC57" s="110">
        <v>3</v>
      </c>
      <c r="AD57" s="110">
        <v>4</v>
      </c>
      <c r="AE57" s="110">
        <v>1</v>
      </c>
      <c r="AF57" s="110">
        <v>2</v>
      </c>
      <c r="AG57" s="110">
        <v>3</v>
      </c>
      <c r="AH57" s="110">
        <v>4</v>
      </c>
      <c r="AI57" s="110">
        <v>1</v>
      </c>
      <c r="AJ57" s="110">
        <v>2</v>
      </c>
      <c r="AK57" s="110">
        <v>3</v>
      </c>
      <c r="AL57" s="110">
        <v>4</v>
      </c>
      <c r="AM57" s="110">
        <v>1</v>
      </c>
      <c r="AN57" s="110">
        <v>2</v>
      </c>
      <c r="AO57" s="110">
        <v>3</v>
      </c>
      <c r="AP57" s="110">
        <v>4</v>
      </c>
      <c r="AQ57" s="110">
        <v>1</v>
      </c>
      <c r="AR57" s="110">
        <v>2</v>
      </c>
      <c r="AS57" s="110">
        <v>3</v>
      </c>
      <c r="AT57" s="110">
        <v>4</v>
      </c>
      <c r="AU57" s="110">
        <v>1</v>
      </c>
      <c r="AV57" s="110">
        <v>2</v>
      </c>
      <c r="AW57" s="110">
        <v>3</v>
      </c>
      <c r="AX57" s="110">
        <v>4</v>
      </c>
    </row>
    <row r="58" spans="2:51" x14ac:dyDescent="0.2">
      <c r="B58" s="110" t="s">
        <v>104</v>
      </c>
      <c r="C58" s="105">
        <v>2744867.9956122548</v>
      </c>
      <c r="D58" s="105">
        <v>2744867.9956122548</v>
      </c>
      <c r="E58" s="105">
        <v>2744867.9956122548</v>
      </c>
      <c r="F58" s="105">
        <v>2744867.9956122548</v>
      </c>
      <c r="G58" s="105">
        <v>2472852.4597078706</v>
      </c>
      <c r="H58" s="105">
        <v>2472852.4597078706</v>
      </c>
      <c r="I58" s="105">
        <v>2472852.4597078706</v>
      </c>
      <c r="J58" s="105">
        <v>2472852.4597078706</v>
      </c>
      <c r="K58" s="105">
        <v>2339228.119386273</v>
      </c>
      <c r="L58" s="105">
        <v>2339228.119386273</v>
      </c>
      <c r="M58" s="105">
        <v>2339228.119386273</v>
      </c>
      <c r="N58" s="105">
        <v>2339228.119386273</v>
      </c>
      <c r="O58" s="105">
        <v>2562044.1470961231</v>
      </c>
      <c r="P58" s="105">
        <v>2562044.1470961231</v>
      </c>
      <c r="Q58" s="105">
        <v>2562044.1470961231</v>
      </c>
      <c r="R58" s="105">
        <v>2562044.1470961231</v>
      </c>
      <c r="S58" s="105">
        <v>2521884.4455259163</v>
      </c>
      <c r="T58" s="105">
        <v>2521884.4455259163</v>
      </c>
      <c r="U58" s="105">
        <v>2521884.4455259163</v>
      </c>
      <c r="V58" s="105">
        <v>2521884.4455259163</v>
      </c>
      <c r="W58" s="105">
        <v>3290218.8291361867</v>
      </c>
      <c r="X58" s="105">
        <v>3290218.8291361867</v>
      </c>
      <c r="Y58" s="105">
        <v>3290218.8291361867</v>
      </c>
      <c r="Z58" s="105">
        <v>3290218.8291361867</v>
      </c>
      <c r="AA58" s="105">
        <v>2723374.2938584117</v>
      </c>
      <c r="AB58" s="105">
        <v>2723374.2938584117</v>
      </c>
      <c r="AC58" s="105">
        <v>2723374.2938584117</v>
      </c>
      <c r="AD58" s="105">
        <v>2723374.2938584117</v>
      </c>
      <c r="AE58" s="105">
        <v>2546354.6183727654</v>
      </c>
      <c r="AF58" s="105">
        <v>2546354.6183727654</v>
      </c>
      <c r="AG58" s="105">
        <v>2546354.6183727654</v>
      </c>
      <c r="AH58" s="105">
        <v>2546354.6183727654</v>
      </c>
      <c r="AI58" s="105">
        <v>2324417.039528674</v>
      </c>
      <c r="AJ58" s="105">
        <v>2324417.039528674</v>
      </c>
      <c r="AK58" s="105">
        <v>2324417.039528674</v>
      </c>
      <c r="AL58" s="105">
        <v>2324417.039528674</v>
      </c>
      <c r="AM58" s="105">
        <v>2408796.374739693</v>
      </c>
      <c r="AN58" s="105">
        <v>2408796.374739693</v>
      </c>
      <c r="AO58" s="105">
        <v>2408796.374739693</v>
      </c>
      <c r="AP58" s="105">
        <v>2408796.374739693</v>
      </c>
      <c r="AQ58" s="105">
        <v>2658516.9206145075</v>
      </c>
      <c r="AR58" s="105">
        <v>2658516.9206145075</v>
      </c>
      <c r="AS58" s="105">
        <v>2658516.9206145075</v>
      </c>
      <c r="AT58" s="105">
        <v>2658516.9206145075</v>
      </c>
      <c r="AU58" s="105">
        <v>2515554.2388950894</v>
      </c>
      <c r="AV58" s="105">
        <v>2515554.2388950894</v>
      </c>
      <c r="AW58" s="105">
        <v>2515554.2388950894</v>
      </c>
      <c r="AX58" s="105">
        <v>2515554.2388950894</v>
      </c>
    </row>
    <row r="59" spans="2:51" x14ac:dyDescent="0.2">
      <c r="B59" s="110" t="s">
        <v>105</v>
      </c>
      <c r="C59" s="105">
        <v>421559.52783344412</v>
      </c>
      <c r="D59" s="105">
        <v>421559.52783344412</v>
      </c>
      <c r="E59" s="105">
        <v>421559.52783344412</v>
      </c>
      <c r="F59" s="105">
        <v>421559.52783344412</v>
      </c>
      <c r="G59" s="105">
        <v>445553.67387439276</v>
      </c>
      <c r="H59" s="105">
        <v>445553.67387439276</v>
      </c>
      <c r="I59" s="105">
        <v>445553.67387439276</v>
      </c>
      <c r="J59" s="105">
        <v>445553.67387439276</v>
      </c>
      <c r="K59" s="105">
        <v>488052.17267485376</v>
      </c>
      <c r="L59" s="105">
        <v>488052.17267485376</v>
      </c>
      <c r="M59" s="105">
        <v>488052.17267485376</v>
      </c>
      <c r="N59" s="105">
        <v>488052.17267485376</v>
      </c>
      <c r="O59" s="105">
        <v>439412.43241879297</v>
      </c>
      <c r="P59" s="105">
        <v>439412.43241879297</v>
      </c>
      <c r="Q59" s="105">
        <v>439412.43241879297</v>
      </c>
      <c r="R59" s="105">
        <v>439412.43241879297</v>
      </c>
      <c r="S59" s="105">
        <v>460467.61171704344</v>
      </c>
      <c r="T59" s="105">
        <v>460467.61171704344</v>
      </c>
      <c r="U59" s="105">
        <v>460467.61171704344</v>
      </c>
      <c r="V59" s="105">
        <v>460467.61171704344</v>
      </c>
      <c r="W59" s="105">
        <v>445644.28059282189</v>
      </c>
      <c r="X59" s="105">
        <v>445644.28059282189</v>
      </c>
      <c r="Y59" s="105">
        <v>445644.28059282189</v>
      </c>
      <c r="Z59" s="105">
        <v>445644.28059282189</v>
      </c>
      <c r="AA59" s="105">
        <v>475594.32310514868</v>
      </c>
      <c r="AB59" s="105">
        <v>475594.32310514868</v>
      </c>
      <c r="AC59" s="105">
        <v>475594.32310514868</v>
      </c>
      <c r="AD59" s="105">
        <v>475594.32310514868</v>
      </c>
      <c r="AE59" s="105">
        <v>426052.73471794318</v>
      </c>
      <c r="AF59" s="105">
        <v>426052.73471794318</v>
      </c>
      <c r="AG59" s="105">
        <v>426052.73471794318</v>
      </c>
      <c r="AH59" s="105">
        <v>426052.73471794318</v>
      </c>
      <c r="AI59" s="105">
        <v>437102.02796368132</v>
      </c>
      <c r="AJ59" s="105">
        <v>437102.02796368132</v>
      </c>
      <c r="AK59" s="105">
        <v>437102.02796368132</v>
      </c>
      <c r="AL59" s="105">
        <v>437102.02796368132</v>
      </c>
      <c r="AM59" s="105">
        <v>438117.41495167027</v>
      </c>
      <c r="AN59" s="105">
        <v>438117.41495167027</v>
      </c>
      <c r="AO59" s="105">
        <v>438117.41495167027</v>
      </c>
      <c r="AP59" s="105">
        <v>438117.41495167027</v>
      </c>
      <c r="AQ59" s="105">
        <v>438705.45837657509</v>
      </c>
      <c r="AR59" s="105">
        <v>438705.45837657509</v>
      </c>
      <c r="AS59" s="105">
        <v>438705.45837657509</v>
      </c>
      <c r="AT59" s="105">
        <v>438705.45837657509</v>
      </c>
      <c r="AU59" s="105">
        <v>460619.69888414914</v>
      </c>
      <c r="AV59" s="105">
        <v>460619.69888414914</v>
      </c>
      <c r="AW59" s="105">
        <v>460619.69888414914</v>
      </c>
      <c r="AX59" s="105">
        <v>460619.69888414914</v>
      </c>
    </row>
    <row r="60" spans="2:51" x14ac:dyDescent="0.2">
      <c r="B60" s="110" t="s">
        <v>106</v>
      </c>
      <c r="C60" s="105">
        <v>621033.4545371962</v>
      </c>
      <c r="D60" s="105">
        <v>621033.4545371962</v>
      </c>
      <c r="E60" s="105">
        <v>621033.4545371962</v>
      </c>
      <c r="F60" s="105">
        <v>621033.4545371962</v>
      </c>
      <c r="G60" s="105">
        <v>583812.48362174642</v>
      </c>
      <c r="H60" s="105">
        <v>583812.48362174642</v>
      </c>
      <c r="I60" s="105">
        <v>583812.48362174642</v>
      </c>
      <c r="J60" s="105">
        <v>583812.48362174642</v>
      </c>
      <c r="K60" s="105">
        <v>599410.21833074291</v>
      </c>
      <c r="L60" s="105">
        <v>599410.21833074291</v>
      </c>
      <c r="M60" s="105">
        <v>599410.21833074291</v>
      </c>
      <c r="N60" s="105">
        <v>599410.21833074291</v>
      </c>
      <c r="O60" s="105">
        <v>577993.31843554531</v>
      </c>
      <c r="P60" s="105">
        <v>577993.31843554531</v>
      </c>
      <c r="Q60" s="105">
        <v>577993.31843554531</v>
      </c>
      <c r="R60" s="105">
        <v>577993.31843554531</v>
      </c>
      <c r="S60" s="105">
        <v>587758.7577542935</v>
      </c>
      <c r="T60" s="105">
        <v>587758.7577542935</v>
      </c>
      <c r="U60" s="105">
        <v>587758.7577542935</v>
      </c>
      <c r="V60" s="105">
        <v>587758.7577542935</v>
      </c>
      <c r="W60" s="105">
        <v>568741.46727816109</v>
      </c>
      <c r="X60" s="105">
        <v>568741.46727816109</v>
      </c>
      <c r="Y60" s="105">
        <v>568741.46727816109</v>
      </c>
      <c r="Z60" s="105">
        <v>568741.46727816109</v>
      </c>
      <c r="AA60" s="105">
        <v>583652.74179475708</v>
      </c>
      <c r="AB60" s="105">
        <v>583652.74179475708</v>
      </c>
      <c r="AC60" s="105">
        <v>583652.74179475708</v>
      </c>
      <c r="AD60" s="105">
        <v>583652.74179475708</v>
      </c>
      <c r="AE60" s="105">
        <v>626045.21965585346</v>
      </c>
      <c r="AF60" s="105">
        <v>626045.21965585346</v>
      </c>
      <c r="AG60" s="105">
        <v>626045.21965585346</v>
      </c>
      <c r="AH60" s="105">
        <v>626045.21965585346</v>
      </c>
      <c r="AI60" s="105">
        <v>571341.33114810986</v>
      </c>
      <c r="AJ60" s="105">
        <v>571341.33114810986</v>
      </c>
      <c r="AK60" s="105">
        <v>571341.33114810986</v>
      </c>
      <c r="AL60" s="105">
        <v>571341.33114810986</v>
      </c>
      <c r="AM60" s="105">
        <v>627356.58087308577</v>
      </c>
      <c r="AN60" s="105">
        <v>627356.58087308577</v>
      </c>
      <c r="AO60" s="105">
        <v>627356.58087308577</v>
      </c>
      <c r="AP60" s="105">
        <v>627356.58087308577</v>
      </c>
      <c r="AQ60" s="105">
        <v>684686.80600735557</v>
      </c>
      <c r="AR60" s="105">
        <v>684686.80600735557</v>
      </c>
      <c r="AS60" s="105">
        <v>684686.80600735557</v>
      </c>
      <c r="AT60" s="105">
        <v>684686.80600735557</v>
      </c>
      <c r="AU60" s="105">
        <v>616510.91831996664</v>
      </c>
      <c r="AV60" s="105">
        <v>616510.91831996664</v>
      </c>
      <c r="AW60" s="105">
        <v>616510.91831996664</v>
      </c>
      <c r="AX60" s="105">
        <v>616510.91831996664</v>
      </c>
    </row>
    <row r="61" spans="2:51" x14ac:dyDescent="0.2">
      <c r="B61" s="110" t="s">
        <v>107</v>
      </c>
      <c r="C61" s="105">
        <v>0</v>
      </c>
      <c r="D61" s="105">
        <v>0</v>
      </c>
      <c r="E61" s="105">
        <v>0</v>
      </c>
      <c r="F61" s="105">
        <v>0</v>
      </c>
      <c r="G61" s="105">
        <v>0</v>
      </c>
      <c r="H61" s="105">
        <v>0</v>
      </c>
      <c r="I61" s="105">
        <v>0</v>
      </c>
      <c r="J61" s="105">
        <v>0</v>
      </c>
      <c r="K61" s="105">
        <v>0</v>
      </c>
      <c r="L61" s="105">
        <v>0</v>
      </c>
      <c r="M61" s="105">
        <v>0</v>
      </c>
      <c r="N61" s="105">
        <v>0</v>
      </c>
      <c r="O61" s="105">
        <v>0</v>
      </c>
      <c r="P61" s="105">
        <v>0</v>
      </c>
      <c r="Q61" s="105">
        <v>0</v>
      </c>
      <c r="R61" s="105">
        <v>0</v>
      </c>
      <c r="S61" s="105">
        <v>0</v>
      </c>
      <c r="T61" s="105">
        <v>0</v>
      </c>
      <c r="U61" s="105">
        <v>0</v>
      </c>
      <c r="V61" s="105">
        <v>0</v>
      </c>
      <c r="W61" s="105">
        <v>0</v>
      </c>
      <c r="X61" s="105">
        <v>0</v>
      </c>
      <c r="Y61" s="105">
        <v>0</v>
      </c>
      <c r="Z61" s="105">
        <v>0</v>
      </c>
      <c r="AA61" s="105">
        <v>0</v>
      </c>
      <c r="AB61" s="105">
        <v>0</v>
      </c>
      <c r="AC61" s="105">
        <v>0</v>
      </c>
      <c r="AD61" s="105">
        <v>0</v>
      </c>
      <c r="AE61" s="105">
        <v>0</v>
      </c>
      <c r="AF61" s="105">
        <v>0</v>
      </c>
      <c r="AG61" s="105">
        <v>0</v>
      </c>
      <c r="AH61" s="105">
        <v>0</v>
      </c>
      <c r="AI61" s="105">
        <v>0</v>
      </c>
      <c r="AJ61" s="105">
        <v>0</v>
      </c>
      <c r="AK61" s="105">
        <v>0</v>
      </c>
      <c r="AL61" s="105">
        <v>0</v>
      </c>
      <c r="AM61" s="105">
        <v>0</v>
      </c>
      <c r="AN61" s="105">
        <v>0</v>
      </c>
      <c r="AO61" s="105">
        <v>0</v>
      </c>
      <c r="AP61" s="105">
        <v>0</v>
      </c>
      <c r="AQ61" s="105">
        <v>0</v>
      </c>
      <c r="AR61" s="105">
        <v>0</v>
      </c>
      <c r="AS61" s="105">
        <v>0</v>
      </c>
      <c r="AT61" s="105">
        <v>0</v>
      </c>
      <c r="AU61" s="105">
        <v>0</v>
      </c>
      <c r="AV61" s="105">
        <v>0</v>
      </c>
      <c r="AW61" s="105">
        <v>0</v>
      </c>
      <c r="AX61" s="105">
        <v>0</v>
      </c>
    </row>
    <row r="62" spans="2:51" x14ac:dyDescent="0.2">
      <c r="B62" s="110" t="s">
        <v>108</v>
      </c>
      <c r="C62" s="105">
        <v>0</v>
      </c>
      <c r="D62" s="105">
        <v>0</v>
      </c>
      <c r="E62" s="105">
        <v>0</v>
      </c>
      <c r="F62" s="105">
        <v>0</v>
      </c>
      <c r="G62" s="105">
        <v>0</v>
      </c>
      <c r="H62" s="105">
        <v>0</v>
      </c>
      <c r="I62" s="105">
        <v>0</v>
      </c>
      <c r="J62" s="105">
        <v>0</v>
      </c>
      <c r="K62" s="105">
        <v>0</v>
      </c>
      <c r="L62" s="105">
        <v>0</v>
      </c>
      <c r="M62" s="105">
        <v>0</v>
      </c>
      <c r="N62" s="105">
        <v>0</v>
      </c>
      <c r="O62" s="105">
        <v>0</v>
      </c>
      <c r="P62" s="105">
        <v>0</v>
      </c>
      <c r="Q62" s="105">
        <v>0</v>
      </c>
      <c r="R62" s="105">
        <v>0</v>
      </c>
      <c r="S62" s="105">
        <v>0</v>
      </c>
      <c r="T62" s="105">
        <v>0</v>
      </c>
      <c r="U62" s="105">
        <v>0</v>
      </c>
      <c r="V62" s="105">
        <v>0</v>
      </c>
      <c r="W62" s="105">
        <v>0</v>
      </c>
      <c r="X62" s="105">
        <v>0</v>
      </c>
      <c r="Y62" s="105">
        <v>0</v>
      </c>
      <c r="Z62" s="105">
        <v>0</v>
      </c>
      <c r="AA62" s="105">
        <v>0</v>
      </c>
      <c r="AB62" s="105">
        <v>0</v>
      </c>
      <c r="AC62" s="105">
        <v>0</v>
      </c>
      <c r="AD62" s="105">
        <v>0</v>
      </c>
      <c r="AE62" s="105">
        <v>0</v>
      </c>
      <c r="AF62" s="105">
        <v>0</v>
      </c>
      <c r="AG62" s="105">
        <v>0</v>
      </c>
      <c r="AH62" s="105">
        <v>0</v>
      </c>
      <c r="AI62" s="105">
        <v>0</v>
      </c>
      <c r="AJ62" s="105">
        <v>0</v>
      </c>
      <c r="AK62" s="105">
        <v>0</v>
      </c>
      <c r="AL62" s="105">
        <v>0</v>
      </c>
      <c r="AM62" s="105">
        <v>0</v>
      </c>
      <c r="AN62" s="105">
        <v>0</v>
      </c>
      <c r="AO62" s="105">
        <v>0</v>
      </c>
      <c r="AP62" s="105">
        <v>0</v>
      </c>
      <c r="AQ62" s="105">
        <v>0</v>
      </c>
      <c r="AR62" s="105">
        <v>0</v>
      </c>
      <c r="AS62" s="105">
        <v>0</v>
      </c>
      <c r="AT62" s="105">
        <v>0</v>
      </c>
      <c r="AU62" s="105">
        <v>0</v>
      </c>
      <c r="AV62" s="105">
        <v>0</v>
      </c>
      <c r="AW62" s="105">
        <v>0</v>
      </c>
      <c r="AX62" s="105">
        <v>0</v>
      </c>
    </row>
    <row r="63" spans="2:51" x14ac:dyDescent="0.2">
      <c r="B63" s="110" t="s">
        <v>109</v>
      </c>
      <c r="C63" s="105">
        <v>0</v>
      </c>
      <c r="D63" s="105">
        <v>0</v>
      </c>
      <c r="E63" s="105">
        <v>0</v>
      </c>
      <c r="F63" s="105">
        <v>0</v>
      </c>
      <c r="G63" s="105">
        <v>0</v>
      </c>
      <c r="H63" s="105">
        <v>0</v>
      </c>
      <c r="I63" s="105">
        <v>0</v>
      </c>
      <c r="J63" s="105">
        <v>0</v>
      </c>
      <c r="K63" s="105">
        <v>0</v>
      </c>
      <c r="L63" s="105">
        <v>0</v>
      </c>
      <c r="M63" s="105">
        <v>0</v>
      </c>
      <c r="N63" s="105">
        <v>0</v>
      </c>
      <c r="O63" s="105">
        <v>0</v>
      </c>
      <c r="P63" s="105">
        <v>0</v>
      </c>
      <c r="Q63" s="105">
        <v>0</v>
      </c>
      <c r="R63" s="105">
        <v>0</v>
      </c>
      <c r="S63" s="105">
        <v>0</v>
      </c>
      <c r="T63" s="105">
        <v>0</v>
      </c>
      <c r="U63" s="105">
        <v>0</v>
      </c>
      <c r="V63" s="105">
        <v>0</v>
      </c>
      <c r="W63" s="105">
        <v>0</v>
      </c>
      <c r="X63" s="105">
        <v>0</v>
      </c>
      <c r="Y63" s="105">
        <v>0</v>
      </c>
      <c r="Z63" s="105">
        <v>0</v>
      </c>
      <c r="AA63" s="105">
        <v>0</v>
      </c>
      <c r="AB63" s="105">
        <v>0</v>
      </c>
      <c r="AC63" s="105">
        <v>0</v>
      </c>
      <c r="AD63" s="105">
        <v>0</v>
      </c>
      <c r="AE63" s="105">
        <v>0</v>
      </c>
      <c r="AF63" s="105">
        <v>0</v>
      </c>
      <c r="AG63" s="105">
        <v>0</v>
      </c>
      <c r="AH63" s="105">
        <v>0</v>
      </c>
      <c r="AI63" s="105">
        <v>0</v>
      </c>
      <c r="AJ63" s="105">
        <v>0</v>
      </c>
      <c r="AK63" s="105">
        <v>0</v>
      </c>
      <c r="AL63" s="105">
        <v>0</v>
      </c>
      <c r="AM63" s="105">
        <v>0</v>
      </c>
      <c r="AN63" s="105">
        <v>0</v>
      </c>
      <c r="AO63" s="105">
        <v>0</v>
      </c>
      <c r="AP63" s="105">
        <v>0</v>
      </c>
      <c r="AQ63" s="105">
        <v>0</v>
      </c>
      <c r="AR63" s="105">
        <v>0</v>
      </c>
      <c r="AS63" s="105">
        <v>0</v>
      </c>
      <c r="AT63" s="105">
        <v>0</v>
      </c>
      <c r="AU63" s="105">
        <v>0</v>
      </c>
      <c r="AV63" s="105">
        <v>0</v>
      </c>
      <c r="AW63" s="105">
        <v>0</v>
      </c>
      <c r="AX63" s="105">
        <v>0</v>
      </c>
    </row>
    <row r="64" spans="2:51" x14ac:dyDescent="0.2">
      <c r="B64" s="106"/>
    </row>
    <row r="65" spans="1:14" x14ac:dyDescent="0.2">
      <c r="B65" s="109" t="s">
        <v>329</v>
      </c>
    </row>
    <row r="66" spans="1:14" x14ac:dyDescent="0.2">
      <c r="B66" s="104" t="s">
        <v>330</v>
      </c>
      <c r="C66" s="104" t="s">
        <v>92</v>
      </c>
      <c r="D66" s="104" t="s">
        <v>93</v>
      </c>
      <c r="E66" s="104" t="s">
        <v>94</v>
      </c>
      <c r="F66" s="104" t="s">
        <v>95</v>
      </c>
      <c r="G66" s="104" t="s">
        <v>96</v>
      </c>
      <c r="H66" s="104" t="s">
        <v>97</v>
      </c>
      <c r="I66" s="104" t="s">
        <v>98</v>
      </c>
      <c r="J66" s="104" t="s">
        <v>99</v>
      </c>
      <c r="K66" s="104" t="s">
        <v>100</v>
      </c>
      <c r="L66" s="104" t="s">
        <v>101</v>
      </c>
      <c r="M66" s="104" t="s">
        <v>102</v>
      </c>
      <c r="N66" s="104" t="s">
        <v>103</v>
      </c>
    </row>
    <row r="67" spans="1:14" x14ac:dyDescent="0.2">
      <c r="B67" s="104" t="s">
        <v>331</v>
      </c>
      <c r="C67" s="105">
        <v>0</v>
      </c>
      <c r="D67" s="105">
        <v>0</v>
      </c>
      <c r="E67" s="105">
        <v>0</v>
      </c>
      <c r="F67" s="105">
        <v>0</v>
      </c>
      <c r="G67" s="105">
        <v>0</v>
      </c>
      <c r="H67" s="105">
        <v>0</v>
      </c>
      <c r="I67" s="105">
        <v>0</v>
      </c>
      <c r="J67" s="105">
        <v>0</v>
      </c>
      <c r="K67" s="105">
        <v>0</v>
      </c>
      <c r="L67" s="105">
        <v>0</v>
      </c>
      <c r="M67" s="105">
        <v>0</v>
      </c>
      <c r="N67" s="105">
        <v>0</v>
      </c>
    </row>
    <row r="68" spans="1:14" x14ac:dyDescent="0.2">
      <c r="B68" s="104" t="s">
        <v>332</v>
      </c>
      <c r="C68" s="105">
        <v>11152</v>
      </c>
      <c r="D68" s="105">
        <v>11152</v>
      </c>
      <c r="E68" s="105">
        <v>11152</v>
      </c>
      <c r="F68" s="105">
        <v>11152</v>
      </c>
      <c r="G68" s="105">
        <v>11152</v>
      </c>
      <c r="H68" s="105">
        <v>11152</v>
      </c>
      <c r="I68" s="105">
        <v>11152</v>
      </c>
      <c r="J68" s="105">
        <v>11152</v>
      </c>
      <c r="K68" s="105">
        <v>11152</v>
      </c>
      <c r="L68" s="105">
        <v>12240</v>
      </c>
      <c r="M68" s="105">
        <v>12240</v>
      </c>
      <c r="N68" s="105">
        <v>11152</v>
      </c>
    </row>
    <row r="70" spans="1:14" x14ac:dyDescent="0.2">
      <c r="B70" s="109" t="s">
        <v>333</v>
      </c>
    </row>
    <row r="71" spans="1:14" x14ac:dyDescent="0.2">
      <c r="A71" s="110" t="s">
        <v>121</v>
      </c>
      <c r="B71" s="110" t="s">
        <v>334</v>
      </c>
      <c r="C71" s="110" t="s">
        <v>34</v>
      </c>
      <c r="D71" s="110" t="s">
        <v>49</v>
      </c>
      <c r="E71" s="110" t="s">
        <v>57</v>
      </c>
      <c r="F71" s="110" t="s">
        <v>70</v>
      </c>
    </row>
    <row r="72" spans="1:14" x14ac:dyDescent="0.2">
      <c r="A72" s="110" t="s">
        <v>104</v>
      </c>
      <c r="B72" s="110" t="s">
        <v>92</v>
      </c>
      <c r="C72" s="105">
        <v>629585.00201337563</v>
      </c>
      <c r="D72" s="105">
        <v>1098971.8576839142</v>
      </c>
      <c r="E72" s="105">
        <v>751778.57689545932</v>
      </c>
      <c r="F72" s="105">
        <v>954639.46272439288</v>
      </c>
    </row>
    <row r="73" spans="1:14" x14ac:dyDescent="0.2">
      <c r="B73" s="110" t="s">
        <v>93</v>
      </c>
      <c r="C73" s="105">
        <v>629585.00201337563</v>
      </c>
      <c r="D73" s="105">
        <v>1098971.8576839142</v>
      </c>
      <c r="E73" s="105">
        <v>751778.57689545932</v>
      </c>
      <c r="F73" s="105">
        <v>954639.46272439288</v>
      </c>
    </row>
    <row r="74" spans="1:14" x14ac:dyDescent="0.2">
      <c r="B74" s="110" t="s">
        <v>94</v>
      </c>
      <c r="C74" s="105">
        <v>629585.00201337563</v>
      </c>
      <c r="D74" s="105">
        <v>1098971.8576839142</v>
      </c>
      <c r="E74" s="105">
        <v>751778.57689545932</v>
      </c>
      <c r="F74" s="105">
        <v>954639.46272439288</v>
      </c>
    </row>
    <row r="75" spans="1:14" x14ac:dyDescent="0.2">
      <c r="B75" s="110" t="s">
        <v>95</v>
      </c>
      <c r="C75" s="105">
        <v>629585.00201337563</v>
      </c>
      <c r="D75" s="105">
        <v>1098971.8576839142</v>
      </c>
      <c r="E75" s="105">
        <v>751778.57689545932</v>
      </c>
      <c r="F75" s="105">
        <v>954639.46272439288</v>
      </c>
    </row>
    <row r="76" spans="1:14" x14ac:dyDescent="0.2">
      <c r="B76" s="110" t="s">
        <v>96</v>
      </c>
      <c r="C76" s="105">
        <v>629585.00201337563</v>
      </c>
      <c r="D76" s="105">
        <v>1098971.8576839142</v>
      </c>
      <c r="E76" s="105">
        <v>751778.57689545932</v>
      </c>
      <c r="F76" s="105">
        <v>954639.46272439288</v>
      </c>
    </row>
    <row r="77" spans="1:14" x14ac:dyDescent="0.2">
      <c r="B77" s="110" t="s">
        <v>97</v>
      </c>
      <c r="C77" s="105">
        <v>629585.00201337563</v>
      </c>
      <c r="D77" s="105">
        <v>1098971.8576839142</v>
      </c>
      <c r="E77" s="105">
        <v>751778.57689545932</v>
      </c>
      <c r="F77" s="105">
        <v>954639.46272439288</v>
      </c>
    </row>
    <row r="78" spans="1:14" x14ac:dyDescent="0.2">
      <c r="B78" s="110" t="s">
        <v>98</v>
      </c>
      <c r="C78" s="105">
        <v>629585.00201337563</v>
      </c>
      <c r="D78" s="105">
        <v>1098971.8576839142</v>
      </c>
      <c r="E78" s="105">
        <v>751778.57689545932</v>
      </c>
      <c r="F78" s="105">
        <v>954639.46272439288</v>
      </c>
    </row>
    <row r="79" spans="1:14" x14ac:dyDescent="0.2">
      <c r="B79" s="110" t="s">
        <v>99</v>
      </c>
      <c r="C79" s="105">
        <v>629585.00201337563</v>
      </c>
      <c r="D79" s="105">
        <v>1098971.8576839142</v>
      </c>
      <c r="E79" s="105">
        <v>751778.57689545932</v>
      </c>
      <c r="F79" s="105">
        <v>954639.46272439288</v>
      </c>
    </row>
    <row r="80" spans="1:14" x14ac:dyDescent="0.2">
      <c r="B80" s="110" t="s">
        <v>100</v>
      </c>
      <c r="C80" s="105">
        <v>629585.00201337563</v>
      </c>
      <c r="D80" s="105">
        <v>1098971.8576839142</v>
      </c>
      <c r="E80" s="105">
        <v>751778.57689545932</v>
      </c>
      <c r="F80" s="105">
        <v>954639.46272439288</v>
      </c>
    </row>
    <row r="81" spans="2:50" x14ac:dyDescent="0.2">
      <c r="B81" s="110" t="s">
        <v>101</v>
      </c>
      <c r="C81" s="105">
        <v>691007.92903907085</v>
      </c>
      <c r="D81" s="105">
        <v>1206188.624287223</v>
      </c>
      <c r="E81" s="105">
        <v>825122.82829989435</v>
      </c>
      <c r="F81" s="105">
        <v>1047775.0200633579</v>
      </c>
    </row>
    <row r="82" spans="2:50" x14ac:dyDescent="0.2">
      <c r="B82" s="110" t="s">
        <v>102</v>
      </c>
      <c r="C82" s="105">
        <v>691007.92903907085</v>
      </c>
      <c r="D82" s="105">
        <v>1206188.624287223</v>
      </c>
      <c r="E82" s="105">
        <v>825122.82829989435</v>
      </c>
      <c r="F82" s="105">
        <v>1047775.0200633579</v>
      </c>
    </row>
    <row r="83" spans="2:50" x14ac:dyDescent="0.2">
      <c r="B83" s="110" t="s">
        <v>103</v>
      </c>
      <c r="C83" s="105">
        <v>629585.00201337563</v>
      </c>
      <c r="D83" s="105">
        <v>1098971.8576839142</v>
      </c>
      <c r="E83" s="105">
        <v>751778.57689545932</v>
      </c>
      <c r="F83" s="105">
        <v>954639.46272439288</v>
      </c>
    </row>
    <row r="85" spans="2:50" x14ac:dyDescent="0.2">
      <c r="B85" s="108" t="s">
        <v>335</v>
      </c>
    </row>
    <row r="86" spans="2:50" x14ac:dyDescent="0.2">
      <c r="B86" s="104" t="s">
        <v>276</v>
      </c>
      <c r="C86" s="104" t="s">
        <v>92</v>
      </c>
      <c r="D86" s="106"/>
      <c r="E86" s="106"/>
      <c r="F86" s="106"/>
      <c r="G86" s="104" t="s">
        <v>93</v>
      </c>
      <c r="H86" s="106"/>
      <c r="I86" s="106"/>
      <c r="J86" s="106"/>
      <c r="K86" s="104" t="s">
        <v>94</v>
      </c>
      <c r="L86" s="106"/>
      <c r="M86" s="106"/>
      <c r="N86" s="106"/>
      <c r="O86" s="104" t="s">
        <v>95</v>
      </c>
      <c r="P86" s="106"/>
      <c r="Q86" s="106"/>
      <c r="R86" s="106"/>
      <c r="S86" s="104" t="s">
        <v>96</v>
      </c>
      <c r="T86" s="106"/>
      <c r="U86" s="106"/>
      <c r="V86" s="106"/>
      <c r="W86" s="104" t="s">
        <v>97</v>
      </c>
      <c r="X86" s="106"/>
      <c r="Y86" s="106"/>
      <c r="Z86" s="106"/>
      <c r="AA86" s="104" t="s">
        <v>98</v>
      </c>
      <c r="AB86" s="106"/>
      <c r="AC86" s="106"/>
      <c r="AD86" s="106"/>
      <c r="AE86" s="104" t="s">
        <v>99</v>
      </c>
      <c r="AF86" s="106"/>
      <c r="AG86" s="106"/>
      <c r="AH86" s="106"/>
      <c r="AI86" s="104" t="s">
        <v>100</v>
      </c>
      <c r="AJ86" s="106"/>
      <c r="AK86" s="106"/>
      <c r="AL86" s="106"/>
      <c r="AM86" s="104" t="s">
        <v>101</v>
      </c>
      <c r="AN86" s="106"/>
      <c r="AO86" s="106"/>
      <c r="AP86" s="106"/>
      <c r="AQ86" s="104" t="s">
        <v>102</v>
      </c>
      <c r="AR86" s="106"/>
      <c r="AS86" s="106"/>
      <c r="AT86" s="106"/>
      <c r="AU86" s="104" t="s">
        <v>103</v>
      </c>
      <c r="AV86" s="106"/>
      <c r="AW86" s="106"/>
    </row>
    <row r="87" spans="2:50" x14ac:dyDescent="0.2">
      <c r="B87" s="104" t="s">
        <v>336</v>
      </c>
      <c r="C87" s="104">
        <v>1</v>
      </c>
      <c r="D87" s="104">
        <v>2</v>
      </c>
      <c r="E87" s="104">
        <v>3</v>
      </c>
      <c r="F87" s="104">
        <v>4</v>
      </c>
      <c r="G87" s="104">
        <v>1</v>
      </c>
      <c r="H87" s="104">
        <v>2</v>
      </c>
      <c r="I87" s="104">
        <v>3</v>
      </c>
      <c r="J87" s="104">
        <v>4</v>
      </c>
      <c r="K87" s="104">
        <v>1</v>
      </c>
      <c r="L87" s="104">
        <v>2</v>
      </c>
      <c r="M87" s="104">
        <v>3</v>
      </c>
      <c r="N87" s="104">
        <v>4</v>
      </c>
      <c r="O87" s="104">
        <v>1</v>
      </c>
      <c r="P87" s="104">
        <v>2</v>
      </c>
      <c r="Q87" s="104">
        <v>3</v>
      </c>
      <c r="R87" s="104">
        <v>4</v>
      </c>
      <c r="S87" s="104">
        <v>1</v>
      </c>
      <c r="T87" s="104">
        <v>2</v>
      </c>
      <c r="U87" s="104">
        <v>3</v>
      </c>
      <c r="V87" s="104">
        <v>4</v>
      </c>
      <c r="W87" s="104">
        <v>1</v>
      </c>
      <c r="X87" s="104">
        <v>2</v>
      </c>
      <c r="Y87" s="104">
        <v>3</v>
      </c>
      <c r="Z87" s="104">
        <v>4</v>
      </c>
      <c r="AA87" s="104">
        <v>1</v>
      </c>
      <c r="AB87" s="104">
        <v>2</v>
      </c>
      <c r="AC87" s="104">
        <v>3</v>
      </c>
      <c r="AD87" s="104">
        <v>4</v>
      </c>
      <c r="AE87" s="104">
        <v>1</v>
      </c>
      <c r="AF87" s="104">
        <v>2</v>
      </c>
      <c r="AG87" s="104">
        <v>3</v>
      </c>
      <c r="AH87" s="104">
        <v>4</v>
      </c>
      <c r="AI87" s="104">
        <v>1</v>
      </c>
      <c r="AJ87" s="104">
        <v>2</v>
      </c>
      <c r="AK87" s="104">
        <v>3</v>
      </c>
      <c r="AL87" s="104">
        <v>4</v>
      </c>
      <c r="AM87" s="104">
        <v>1</v>
      </c>
      <c r="AN87" s="104">
        <v>2</v>
      </c>
      <c r="AO87" s="104">
        <v>3</v>
      </c>
      <c r="AP87" s="104">
        <v>4</v>
      </c>
      <c r="AQ87" s="104">
        <v>1</v>
      </c>
      <c r="AR87" s="104">
        <v>2</v>
      </c>
      <c r="AS87" s="104">
        <v>3</v>
      </c>
      <c r="AT87" s="104">
        <v>4</v>
      </c>
      <c r="AU87" s="104">
        <v>1</v>
      </c>
      <c r="AV87" s="104">
        <v>2</v>
      </c>
      <c r="AW87" s="104">
        <v>3</v>
      </c>
      <c r="AX87" s="104">
        <v>4</v>
      </c>
    </row>
    <row r="88" spans="2:50" x14ac:dyDescent="0.2">
      <c r="B88" s="104" t="s">
        <v>104</v>
      </c>
      <c r="C88" s="105">
        <f>C48+$C$67/4</f>
        <v>1976</v>
      </c>
      <c r="D88" s="105">
        <f>D48+$C$67/4</f>
        <v>1976</v>
      </c>
      <c r="E88" s="105">
        <f>E48+$C$67/4</f>
        <v>1976</v>
      </c>
      <c r="F88" s="105">
        <f>F48+$C$67/4</f>
        <v>1976</v>
      </c>
      <c r="G88" s="105">
        <f>G48+$D$67/4</f>
        <v>2173.6000000000004</v>
      </c>
      <c r="H88" s="105">
        <f>H48+$D$67/4</f>
        <v>2173.6000000000004</v>
      </c>
      <c r="I88" s="105">
        <f>I48+$D$67/4</f>
        <v>2173.6000000000004</v>
      </c>
      <c r="J88" s="105">
        <f>J48+$D$67/4</f>
        <v>2173.6000000000004</v>
      </c>
      <c r="K88" s="105">
        <f>K48+$E$67/4</f>
        <v>2173.6000000000004</v>
      </c>
      <c r="L88" s="105">
        <f>L48+$E$67/4</f>
        <v>2173.6000000000004</v>
      </c>
      <c r="M88" s="105">
        <f>M48+$E$67/4</f>
        <v>2173.6000000000004</v>
      </c>
      <c r="N88" s="105">
        <f>N48+$E$67/4</f>
        <v>2173.6000000000004</v>
      </c>
      <c r="O88" s="105">
        <f>O48+$F$67/4</f>
        <v>1976</v>
      </c>
      <c r="P88" s="105">
        <f>P48+$F$67/4</f>
        <v>1976</v>
      </c>
      <c r="Q88" s="105">
        <f>Q48+$F$67/4</f>
        <v>1976</v>
      </c>
      <c r="R88" s="105">
        <f>R48+$F$67/4</f>
        <v>1976</v>
      </c>
      <c r="S88" s="105">
        <f>S48+$G$67/4</f>
        <v>1778.4</v>
      </c>
      <c r="T88" s="105">
        <f>T48+$G$67/4</f>
        <v>1778.4</v>
      </c>
      <c r="U88" s="105">
        <f>U48+$G$67/4</f>
        <v>1778.4</v>
      </c>
      <c r="V88" s="105">
        <f>V48+$G$67/4</f>
        <v>1778.4</v>
      </c>
      <c r="W88" s="105">
        <f>W48+$H$67/4</f>
        <v>1778.4</v>
      </c>
      <c r="X88" s="105">
        <f>X48+$H$67/4</f>
        <v>1778.4</v>
      </c>
      <c r="Y88" s="105">
        <f>Y48+$H$67/4</f>
        <v>1778.4</v>
      </c>
      <c r="Z88" s="105">
        <f>Z48+$H$67/4</f>
        <v>1778.4</v>
      </c>
      <c r="AA88" s="105">
        <f>AA48+$I$67/4</f>
        <v>1778.4</v>
      </c>
      <c r="AB88" s="105">
        <f>AB48+$I$67/4</f>
        <v>1778.4</v>
      </c>
      <c r="AC88" s="105">
        <f>AC48+$I$67/4</f>
        <v>1778.4</v>
      </c>
      <c r="AD88" s="105">
        <f>AD48+$I$67/4</f>
        <v>1778.4</v>
      </c>
      <c r="AE88" s="105">
        <f>AE48+$J$67/4</f>
        <v>2173.6000000000004</v>
      </c>
      <c r="AF88" s="105">
        <f>AF48+$J$67/4</f>
        <v>2173.6000000000004</v>
      </c>
      <c r="AG88" s="105">
        <f>AG48+$J$67/4</f>
        <v>2173.6000000000004</v>
      </c>
      <c r="AH88" s="105">
        <f>AH48+$J$67/4</f>
        <v>2173.6000000000004</v>
      </c>
      <c r="AI88" s="105">
        <f>AI48+$K$67/4</f>
        <v>2173.6000000000004</v>
      </c>
      <c r="AJ88" s="105">
        <f>AJ48+$K$67/4</f>
        <v>2173.6000000000004</v>
      </c>
      <c r="AK88" s="105">
        <f>AK48+$K$67/4</f>
        <v>2173.6000000000004</v>
      </c>
      <c r="AL88" s="105">
        <f>AL48+$K$67/4</f>
        <v>2173.6000000000004</v>
      </c>
      <c r="AM88" s="105">
        <f>AM48+$L$67/4</f>
        <v>2173.6000000000004</v>
      </c>
      <c r="AN88" s="105">
        <f>AN48+$L$67/4</f>
        <v>2173.6000000000004</v>
      </c>
      <c r="AO88" s="105">
        <f>AO48+$L$67/4</f>
        <v>2173.6000000000004</v>
      </c>
      <c r="AP88" s="105">
        <f>AP48+$L$67/4</f>
        <v>2173.6000000000004</v>
      </c>
      <c r="AQ88" s="105">
        <f>AQ48+$M$67/4</f>
        <v>1976</v>
      </c>
      <c r="AR88" s="105">
        <f>AR48+$M$67/4</f>
        <v>1976</v>
      </c>
      <c r="AS88" s="105">
        <f>AS48+$M$67/4</f>
        <v>1976</v>
      </c>
      <c r="AT88" s="105">
        <f>AT48+$M$67/4</f>
        <v>1976</v>
      </c>
      <c r="AU88" s="105">
        <f>AU48+$N$67/4</f>
        <v>1778.4</v>
      </c>
      <c r="AV88" s="105">
        <f>AV48+$N$67/4</f>
        <v>1778.4</v>
      </c>
      <c r="AW88" s="105">
        <f>AW48+$N$67/4</f>
        <v>1778.4</v>
      </c>
      <c r="AX88" s="105">
        <f>AX48+$N$67/4</f>
        <v>1778.4</v>
      </c>
    </row>
    <row r="89" spans="2:50" x14ac:dyDescent="0.2">
      <c r="B89" s="104" t="s">
        <v>105</v>
      </c>
      <c r="C89" s="105">
        <f>C49</f>
        <v>314</v>
      </c>
      <c r="D89" s="105">
        <f t="shared" ref="D89:AX93" si="3">D49</f>
        <v>314</v>
      </c>
      <c r="E89" s="105">
        <f t="shared" si="3"/>
        <v>314</v>
      </c>
      <c r="F89" s="105">
        <f t="shared" si="3"/>
        <v>314</v>
      </c>
      <c r="G89" s="105">
        <f t="shared" si="3"/>
        <v>314</v>
      </c>
      <c r="H89" s="105">
        <f t="shared" si="3"/>
        <v>314</v>
      </c>
      <c r="I89" s="105">
        <f t="shared" si="3"/>
        <v>314</v>
      </c>
      <c r="J89" s="105">
        <f t="shared" si="3"/>
        <v>314</v>
      </c>
      <c r="K89" s="105">
        <f t="shared" si="3"/>
        <v>282.60000000000002</v>
      </c>
      <c r="L89" s="105">
        <f t="shared" si="3"/>
        <v>282.60000000000002</v>
      </c>
      <c r="M89" s="105">
        <f t="shared" si="3"/>
        <v>282.60000000000002</v>
      </c>
      <c r="N89" s="105">
        <f t="shared" si="3"/>
        <v>282.60000000000002</v>
      </c>
      <c r="O89" s="105">
        <f t="shared" si="3"/>
        <v>314</v>
      </c>
      <c r="P89" s="105">
        <f t="shared" si="3"/>
        <v>314</v>
      </c>
      <c r="Q89" s="105">
        <f t="shared" si="3"/>
        <v>314</v>
      </c>
      <c r="R89" s="105">
        <f t="shared" si="3"/>
        <v>314</v>
      </c>
      <c r="S89" s="105">
        <f t="shared" si="3"/>
        <v>314</v>
      </c>
      <c r="T89" s="105">
        <f t="shared" si="3"/>
        <v>314</v>
      </c>
      <c r="U89" s="105">
        <f t="shared" si="3"/>
        <v>314</v>
      </c>
      <c r="V89" s="105">
        <f t="shared" si="3"/>
        <v>314</v>
      </c>
      <c r="W89" s="105">
        <f t="shared" si="3"/>
        <v>314</v>
      </c>
      <c r="X89" s="105">
        <f t="shared" si="3"/>
        <v>314</v>
      </c>
      <c r="Y89" s="105">
        <f t="shared" si="3"/>
        <v>314</v>
      </c>
      <c r="Z89" s="105">
        <f t="shared" si="3"/>
        <v>314</v>
      </c>
      <c r="AA89" s="105">
        <f t="shared" si="3"/>
        <v>314</v>
      </c>
      <c r="AB89" s="105">
        <f t="shared" si="3"/>
        <v>314</v>
      </c>
      <c r="AC89" s="105">
        <f t="shared" si="3"/>
        <v>314</v>
      </c>
      <c r="AD89" s="105">
        <f t="shared" si="3"/>
        <v>314</v>
      </c>
      <c r="AE89" s="105">
        <f t="shared" si="3"/>
        <v>314</v>
      </c>
      <c r="AF89" s="105">
        <f t="shared" si="3"/>
        <v>314</v>
      </c>
      <c r="AG89" s="105">
        <f t="shared" si="3"/>
        <v>314</v>
      </c>
      <c r="AH89" s="105">
        <f t="shared" si="3"/>
        <v>314</v>
      </c>
      <c r="AI89" s="105">
        <f t="shared" si="3"/>
        <v>345.40000000000003</v>
      </c>
      <c r="AJ89" s="105">
        <f t="shared" si="3"/>
        <v>345.40000000000003</v>
      </c>
      <c r="AK89" s="105">
        <f t="shared" si="3"/>
        <v>345.40000000000003</v>
      </c>
      <c r="AL89" s="105">
        <f t="shared" si="3"/>
        <v>345.40000000000003</v>
      </c>
      <c r="AM89" s="105">
        <f t="shared" si="3"/>
        <v>314</v>
      </c>
      <c r="AN89" s="105">
        <f t="shared" si="3"/>
        <v>314</v>
      </c>
      <c r="AO89" s="105">
        <f t="shared" si="3"/>
        <v>314</v>
      </c>
      <c r="AP89" s="105">
        <f t="shared" si="3"/>
        <v>314</v>
      </c>
      <c r="AQ89" s="105">
        <f t="shared" si="3"/>
        <v>345.40000000000003</v>
      </c>
      <c r="AR89" s="105">
        <f t="shared" si="3"/>
        <v>345.40000000000003</v>
      </c>
      <c r="AS89" s="105">
        <f t="shared" si="3"/>
        <v>345.40000000000003</v>
      </c>
      <c r="AT89" s="105">
        <f t="shared" si="3"/>
        <v>345.40000000000003</v>
      </c>
      <c r="AU89" s="105">
        <f t="shared" si="3"/>
        <v>314</v>
      </c>
      <c r="AV89" s="105">
        <f t="shared" si="3"/>
        <v>314</v>
      </c>
      <c r="AW89" s="105">
        <f t="shared" si="3"/>
        <v>314</v>
      </c>
      <c r="AX89" s="105">
        <f t="shared" si="3"/>
        <v>314</v>
      </c>
    </row>
    <row r="90" spans="2:50" x14ac:dyDescent="0.2">
      <c r="B90" s="104" t="s">
        <v>106</v>
      </c>
      <c r="C90" s="105">
        <f t="shared" ref="C90:R93" si="4">C50</f>
        <v>389</v>
      </c>
      <c r="D90" s="105">
        <f t="shared" si="4"/>
        <v>389</v>
      </c>
      <c r="E90" s="105">
        <f t="shared" si="4"/>
        <v>389</v>
      </c>
      <c r="F90" s="105">
        <f t="shared" si="4"/>
        <v>389</v>
      </c>
      <c r="G90" s="105">
        <f t="shared" si="4"/>
        <v>389</v>
      </c>
      <c r="H90" s="105">
        <f t="shared" si="4"/>
        <v>389</v>
      </c>
      <c r="I90" s="105">
        <f t="shared" si="4"/>
        <v>389</v>
      </c>
      <c r="J90" s="105">
        <f t="shared" si="4"/>
        <v>389</v>
      </c>
      <c r="K90" s="105">
        <f t="shared" si="4"/>
        <v>427.90000000000003</v>
      </c>
      <c r="L90" s="105">
        <f t="shared" si="4"/>
        <v>427.90000000000003</v>
      </c>
      <c r="M90" s="105">
        <f t="shared" si="4"/>
        <v>427.90000000000003</v>
      </c>
      <c r="N90" s="105">
        <f t="shared" si="4"/>
        <v>427.90000000000003</v>
      </c>
      <c r="O90" s="105">
        <f t="shared" si="4"/>
        <v>389</v>
      </c>
      <c r="P90" s="105">
        <f t="shared" si="4"/>
        <v>389</v>
      </c>
      <c r="Q90" s="105">
        <f t="shared" si="4"/>
        <v>389</v>
      </c>
      <c r="R90" s="105">
        <f t="shared" si="4"/>
        <v>389</v>
      </c>
      <c r="S90" s="105">
        <f t="shared" si="3"/>
        <v>427.90000000000003</v>
      </c>
      <c r="T90" s="105">
        <f t="shared" si="3"/>
        <v>427.90000000000003</v>
      </c>
      <c r="U90" s="105">
        <f t="shared" si="3"/>
        <v>427.90000000000003</v>
      </c>
      <c r="V90" s="105">
        <f t="shared" si="3"/>
        <v>427.90000000000003</v>
      </c>
      <c r="W90" s="105">
        <f t="shared" si="3"/>
        <v>389</v>
      </c>
      <c r="X90" s="105">
        <f t="shared" si="3"/>
        <v>389</v>
      </c>
      <c r="Y90" s="105">
        <f t="shared" si="3"/>
        <v>389</v>
      </c>
      <c r="Z90" s="105">
        <f t="shared" si="3"/>
        <v>389</v>
      </c>
      <c r="AA90" s="105">
        <f t="shared" si="3"/>
        <v>427.90000000000003</v>
      </c>
      <c r="AB90" s="105">
        <f t="shared" si="3"/>
        <v>427.90000000000003</v>
      </c>
      <c r="AC90" s="105">
        <f t="shared" si="3"/>
        <v>427.90000000000003</v>
      </c>
      <c r="AD90" s="105">
        <f t="shared" si="3"/>
        <v>427.90000000000003</v>
      </c>
      <c r="AE90" s="105">
        <f t="shared" si="3"/>
        <v>389</v>
      </c>
      <c r="AF90" s="105">
        <f t="shared" si="3"/>
        <v>389</v>
      </c>
      <c r="AG90" s="105">
        <f t="shared" si="3"/>
        <v>389</v>
      </c>
      <c r="AH90" s="105">
        <f t="shared" si="3"/>
        <v>389</v>
      </c>
      <c r="AI90" s="105">
        <f t="shared" si="3"/>
        <v>389</v>
      </c>
      <c r="AJ90" s="105">
        <f t="shared" si="3"/>
        <v>389</v>
      </c>
      <c r="AK90" s="105">
        <f t="shared" si="3"/>
        <v>389</v>
      </c>
      <c r="AL90" s="105">
        <f t="shared" si="3"/>
        <v>389</v>
      </c>
      <c r="AM90" s="105">
        <f t="shared" si="3"/>
        <v>389</v>
      </c>
      <c r="AN90" s="105">
        <f t="shared" si="3"/>
        <v>389</v>
      </c>
      <c r="AO90" s="105">
        <f t="shared" si="3"/>
        <v>389</v>
      </c>
      <c r="AP90" s="105">
        <f t="shared" si="3"/>
        <v>389</v>
      </c>
      <c r="AQ90" s="105">
        <f t="shared" si="3"/>
        <v>350.1</v>
      </c>
      <c r="AR90" s="105">
        <f t="shared" si="3"/>
        <v>350.1</v>
      </c>
      <c r="AS90" s="105">
        <f t="shared" si="3"/>
        <v>350.1</v>
      </c>
      <c r="AT90" s="105">
        <f t="shared" si="3"/>
        <v>350.1</v>
      </c>
      <c r="AU90" s="105">
        <f t="shared" si="3"/>
        <v>389</v>
      </c>
      <c r="AV90" s="105">
        <f t="shared" si="3"/>
        <v>389</v>
      </c>
      <c r="AW90" s="105">
        <f t="shared" si="3"/>
        <v>389</v>
      </c>
      <c r="AX90" s="105">
        <f t="shared" si="3"/>
        <v>389</v>
      </c>
    </row>
    <row r="91" spans="2:50" x14ac:dyDescent="0.2">
      <c r="B91" s="104" t="s">
        <v>107</v>
      </c>
      <c r="C91" s="105">
        <f t="shared" si="4"/>
        <v>0</v>
      </c>
      <c r="D91" s="105">
        <f t="shared" si="3"/>
        <v>0</v>
      </c>
      <c r="E91" s="105">
        <f t="shared" si="3"/>
        <v>0</v>
      </c>
      <c r="F91" s="105">
        <f t="shared" si="3"/>
        <v>0</v>
      </c>
      <c r="G91" s="105">
        <f t="shared" si="3"/>
        <v>0</v>
      </c>
      <c r="H91" s="105">
        <f t="shared" si="3"/>
        <v>0</v>
      </c>
      <c r="I91" s="105">
        <f t="shared" si="3"/>
        <v>0</v>
      </c>
      <c r="J91" s="105">
        <f t="shared" si="3"/>
        <v>0</v>
      </c>
      <c r="K91" s="105">
        <f t="shared" si="3"/>
        <v>0</v>
      </c>
      <c r="L91" s="105">
        <f t="shared" si="3"/>
        <v>0</v>
      </c>
      <c r="M91" s="105">
        <f t="shared" si="3"/>
        <v>0</v>
      </c>
      <c r="N91" s="105">
        <f t="shared" si="3"/>
        <v>0</v>
      </c>
      <c r="O91" s="105">
        <f t="shared" si="3"/>
        <v>0</v>
      </c>
      <c r="P91" s="105">
        <f t="shared" si="3"/>
        <v>0</v>
      </c>
      <c r="Q91" s="105">
        <f t="shared" si="3"/>
        <v>0</v>
      </c>
      <c r="R91" s="105">
        <f t="shared" si="3"/>
        <v>0</v>
      </c>
      <c r="S91" s="105">
        <f t="shared" si="3"/>
        <v>0</v>
      </c>
      <c r="T91" s="105">
        <f t="shared" si="3"/>
        <v>0</v>
      </c>
      <c r="U91" s="105">
        <f t="shared" si="3"/>
        <v>0</v>
      </c>
      <c r="V91" s="105">
        <f t="shared" si="3"/>
        <v>0</v>
      </c>
      <c r="W91" s="105">
        <f t="shared" si="3"/>
        <v>0</v>
      </c>
      <c r="X91" s="105">
        <f t="shared" si="3"/>
        <v>0</v>
      </c>
      <c r="Y91" s="105">
        <f t="shared" si="3"/>
        <v>0</v>
      </c>
      <c r="Z91" s="105">
        <f t="shared" si="3"/>
        <v>0</v>
      </c>
      <c r="AA91" s="105">
        <f t="shared" si="3"/>
        <v>0</v>
      </c>
      <c r="AB91" s="105">
        <f t="shared" si="3"/>
        <v>0</v>
      </c>
      <c r="AC91" s="105">
        <f t="shared" si="3"/>
        <v>0</v>
      </c>
      <c r="AD91" s="105">
        <f t="shared" si="3"/>
        <v>0</v>
      </c>
      <c r="AE91" s="105">
        <f t="shared" si="3"/>
        <v>0</v>
      </c>
      <c r="AF91" s="105">
        <f t="shared" si="3"/>
        <v>0</v>
      </c>
      <c r="AG91" s="105">
        <f t="shared" si="3"/>
        <v>0</v>
      </c>
      <c r="AH91" s="105">
        <f t="shared" si="3"/>
        <v>0</v>
      </c>
      <c r="AI91" s="105">
        <f t="shared" si="3"/>
        <v>0</v>
      </c>
      <c r="AJ91" s="105">
        <f t="shared" si="3"/>
        <v>0</v>
      </c>
      <c r="AK91" s="105">
        <f t="shared" si="3"/>
        <v>0</v>
      </c>
      <c r="AL91" s="105">
        <f t="shared" si="3"/>
        <v>0</v>
      </c>
      <c r="AM91" s="105">
        <f t="shared" si="3"/>
        <v>0</v>
      </c>
      <c r="AN91" s="105">
        <f t="shared" si="3"/>
        <v>0</v>
      </c>
      <c r="AO91" s="105">
        <f t="shared" si="3"/>
        <v>0</v>
      </c>
      <c r="AP91" s="105">
        <f t="shared" si="3"/>
        <v>0</v>
      </c>
      <c r="AQ91" s="105">
        <f t="shared" si="3"/>
        <v>0</v>
      </c>
      <c r="AR91" s="105">
        <f t="shared" si="3"/>
        <v>0</v>
      </c>
      <c r="AS91" s="105">
        <f t="shared" si="3"/>
        <v>0</v>
      </c>
      <c r="AT91" s="105">
        <f t="shared" si="3"/>
        <v>0</v>
      </c>
      <c r="AU91" s="105">
        <f t="shared" si="3"/>
        <v>0</v>
      </c>
      <c r="AV91" s="105">
        <f t="shared" si="3"/>
        <v>0</v>
      </c>
      <c r="AW91" s="105">
        <f t="shared" si="3"/>
        <v>0</v>
      </c>
      <c r="AX91" s="105">
        <f t="shared" si="3"/>
        <v>0</v>
      </c>
    </row>
    <row r="92" spans="2:50" x14ac:dyDescent="0.2">
      <c r="B92" s="104" t="s">
        <v>108</v>
      </c>
      <c r="C92" s="105">
        <f t="shared" si="4"/>
        <v>0</v>
      </c>
      <c r="D92" s="105">
        <f t="shared" si="4"/>
        <v>0</v>
      </c>
      <c r="E92" s="105">
        <f t="shared" si="4"/>
        <v>0</v>
      </c>
      <c r="F92" s="105">
        <f t="shared" si="4"/>
        <v>0</v>
      </c>
      <c r="G92" s="105">
        <f t="shared" si="4"/>
        <v>0</v>
      </c>
      <c r="H92" s="105">
        <f t="shared" si="4"/>
        <v>0</v>
      </c>
      <c r="I92" s="105">
        <f t="shared" si="4"/>
        <v>0</v>
      </c>
      <c r="J92" s="105">
        <f t="shared" si="4"/>
        <v>0</v>
      </c>
      <c r="K92" s="105">
        <f t="shared" si="4"/>
        <v>0</v>
      </c>
      <c r="L92" s="105">
        <f t="shared" si="4"/>
        <v>0</v>
      </c>
      <c r="M92" s="105">
        <f t="shared" si="4"/>
        <v>0</v>
      </c>
      <c r="N92" s="105">
        <f t="shared" si="4"/>
        <v>0</v>
      </c>
      <c r="O92" s="105">
        <f t="shared" si="4"/>
        <v>0</v>
      </c>
      <c r="P92" s="105">
        <f t="shared" si="4"/>
        <v>0</v>
      </c>
      <c r="Q92" s="105">
        <f t="shared" si="4"/>
        <v>0</v>
      </c>
      <c r="R92" s="105">
        <f t="shared" si="4"/>
        <v>0</v>
      </c>
      <c r="S92" s="105">
        <f t="shared" si="3"/>
        <v>0</v>
      </c>
      <c r="T92" s="105">
        <f t="shared" si="3"/>
        <v>0</v>
      </c>
      <c r="U92" s="105">
        <f t="shared" si="3"/>
        <v>0</v>
      </c>
      <c r="V92" s="105">
        <f t="shared" si="3"/>
        <v>0</v>
      </c>
      <c r="W92" s="105">
        <f t="shared" si="3"/>
        <v>0</v>
      </c>
      <c r="X92" s="105">
        <f t="shared" si="3"/>
        <v>0</v>
      </c>
      <c r="Y92" s="105">
        <f t="shared" si="3"/>
        <v>0</v>
      </c>
      <c r="Z92" s="105">
        <f t="shared" si="3"/>
        <v>0</v>
      </c>
      <c r="AA92" s="105">
        <f t="shared" si="3"/>
        <v>0</v>
      </c>
      <c r="AB92" s="105">
        <f t="shared" si="3"/>
        <v>0</v>
      </c>
      <c r="AC92" s="105">
        <f t="shared" si="3"/>
        <v>0</v>
      </c>
      <c r="AD92" s="105">
        <f t="shared" si="3"/>
        <v>0</v>
      </c>
      <c r="AE92" s="105">
        <f t="shared" si="3"/>
        <v>0</v>
      </c>
      <c r="AF92" s="105">
        <f t="shared" si="3"/>
        <v>0</v>
      </c>
      <c r="AG92" s="105">
        <f t="shared" si="3"/>
        <v>0</v>
      </c>
      <c r="AH92" s="105">
        <f t="shared" si="3"/>
        <v>0</v>
      </c>
      <c r="AI92" s="105">
        <f t="shared" si="3"/>
        <v>0</v>
      </c>
      <c r="AJ92" s="105">
        <f t="shared" si="3"/>
        <v>0</v>
      </c>
      <c r="AK92" s="105">
        <f t="shared" si="3"/>
        <v>0</v>
      </c>
      <c r="AL92" s="105">
        <f t="shared" si="3"/>
        <v>0</v>
      </c>
      <c r="AM92" s="105">
        <f t="shared" si="3"/>
        <v>0</v>
      </c>
      <c r="AN92" s="105">
        <f t="shared" si="3"/>
        <v>0</v>
      </c>
      <c r="AO92" s="105">
        <f t="shared" si="3"/>
        <v>0</v>
      </c>
      <c r="AP92" s="105">
        <f t="shared" si="3"/>
        <v>0</v>
      </c>
      <c r="AQ92" s="105">
        <f t="shared" si="3"/>
        <v>0</v>
      </c>
      <c r="AR92" s="105">
        <f t="shared" si="3"/>
        <v>0</v>
      </c>
      <c r="AS92" s="105">
        <f t="shared" si="3"/>
        <v>0</v>
      </c>
      <c r="AT92" s="105">
        <f t="shared" si="3"/>
        <v>0</v>
      </c>
      <c r="AU92" s="105">
        <f t="shared" si="3"/>
        <v>0</v>
      </c>
      <c r="AV92" s="105">
        <f t="shared" si="3"/>
        <v>0</v>
      </c>
      <c r="AW92" s="105">
        <f t="shared" si="3"/>
        <v>0</v>
      </c>
      <c r="AX92" s="105">
        <f t="shared" si="3"/>
        <v>0</v>
      </c>
    </row>
    <row r="93" spans="2:50" x14ac:dyDescent="0.2">
      <c r="B93" s="104" t="s">
        <v>109</v>
      </c>
      <c r="C93" s="105">
        <f t="shared" si="4"/>
        <v>0</v>
      </c>
      <c r="D93" s="105">
        <f t="shared" si="4"/>
        <v>0</v>
      </c>
      <c r="E93" s="105">
        <f t="shared" si="4"/>
        <v>0</v>
      </c>
      <c r="F93" s="105">
        <f t="shared" si="4"/>
        <v>0</v>
      </c>
      <c r="G93" s="105">
        <f t="shared" si="4"/>
        <v>0</v>
      </c>
      <c r="H93" s="105">
        <f t="shared" si="4"/>
        <v>0</v>
      </c>
      <c r="I93" s="105">
        <f t="shared" si="4"/>
        <v>0</v>
      </c>
      <c r="J93" s="105">
        <f t="shared" si="4"/>
        <v>0</v>
      </c>
      <c r="K93" s="105">
        <f t="shared" si="4"/>
        <v>0</v>
      </c>
      <c r="L93" s="105">
        <f t="shared" si="4"/>
        <v>0</v>
      </c>
      <c r="M93" s="105">
        <f t="shared" si="4"/>
        <v>0</v>
      </c>
      <c r="N93" s="105">
        <f t="shared" si="4"/>
        <v>0</v>
      </c>
      <c r="O93" s="105">
        <f t="shared" si="4"/>
        <v>0</v>
      </c>
      <c r="P93" s="105">
        <f t="shared" si="4"/>
        <v>0</v>
      </c>
      <c r="Q93" s="105">
        <f t="shared" si="4"/>
        <v>0</v>
      </c>
      <c r="R93" s="105">
        <f t="shared" si="4"/>
        <v>0</v>
      </c>
      <c r="S93" s="105">
        <f t="shared" si="3"/>
        <v>0</v>
      </c>
      <c r="T93" s="105">
        <f t="shared" si="3"/>
        <v>0</v>
      </c>
      <c r="U93" s="105">
        <f t="shared" si="3"/>
        <v>0</v>
      </c>
      <c r="V93" s="105">
        <f t="shared" si="3"/>
        <v>0</v>
      </c>
      <c r="W93" s="105">
        <f t="shared" si="3"/>
        <v>0</v>
      </c>
      <c r="X93" s="105">
        <f t="shared" si="3"/>
        <v>0</v>
      </c>
      <c r="Y93" s="105">
        <f t="shared" si="3"/>
        <v>0</v>
      </c>
      <c r="Z93" s="105">
        <f t="shared" si="3"/>
        <v>0</v>
      </c>
      <c r="AA93" s="105">
        <f t="shared" si="3"/>
        <v>0</v>
      </c>
      <c r="AB93" s="105">
        <f t="shared" si="3"/>
        <v>0</v>
      </c>
      <c r="AC93" s="105">
        <f t="shared" si="3"/>
        <v>0</v>
      </c>
      <c r="AD93" s="105">
        <f t="shared" si="3"/>
        <v>0</v>
      </c>
      <c r="AE93" s="105">
        <f t="shared" si="3"/>
        <v>0</v>
      </c>
      <c r="AF93" s="105">
        <f t="shared" si="3"/>
        <v>0</v>
      </c>
      <c r="AG93" s="105">
        <f t="shared" si="3"/>
        <v>0</v>
      </c>
      <c r="AH93" s="105">
        <f t="shared" si="3"/>
        <v>0</v>
      </c>
      <c r="AI93" s="105">
        <f t="shared" si="3"/>
        <v>0</v>
      </c>
      <c r="AJ93" s="105">
        <f t="shared" si="3"/>
        <v>0</v>
      </c>
      <c r="AK93" s="105">
        <f t="shared" si="3"/>
        <v>0</v>
      </c>
      <c r="AL93" s="105">
        <f t="shared" si="3"/>
        <v>0</v>
      </c>
      <c r="AM93" s="105">
        <f t="shared" si="3"/>
        <v>0</v>
      </c>
      <c r="AN93" s="105">
        <f t="shared" si="3"/>
        <v>0</v>
      </c>
      <c r="AO93" s="105">
        <f t="shared" si="3"/>
        <v>0</v>
      </c>
      <c r="AP93" s="105">
        <f t="shared" si="3"/>
        <v>0</v>
      </c>
      <c r="AQ93" s="105">
        <f t="shared" si="3"/>
        <v>0</v>
      </c>
      <c r="AR93" s="105">
        <f t="shared" si="3"/>
        <v>0</v>
      </c>
      <c r="AS93" s="105">
        <f t="shared" si="3"/>
        <v>0</v>
      </c>
      <c r="AT93" s="105">
        <f t="shared" si="3"/>
        <v>0</v>
      </c>
      <c r="AU93" s="105">
        <f t="shared" si="3"/>
        <v>0</v>
      </c>
      <c r="AV93" s="105">
        <f t="shared" si="3"/>
        <v>0</v>
      </c>
      <c r="AW93" s="105">
        <f t="shared" si="3"/>
        <v>0</v>
      </c>
      <c r="AX93" s="105">
        <f t="shared" si="3"/>
        <v>0</v>
      </c>
    </row>
    <row r="94" spans="2:50" x14ac:dyDescent="0.2">
      <c r="B94" s="106"/>
    </row>
    <row r="95" spans="2:50" x14ac:dyDescent="0.2">
      <c r="B95" s="179" t="s">
        <v>337</v>
      </c>
    </row>
    <row r="96" spans="2:50" x14ac:dyDescent="0.2">
      <c r="B96" s="180"/>
      <c r="C96" s="110" t="s">
        <v>92</v>
      </c>
      <c r="D96" s="106"/>
      <c r="E96" s="106"/>
      <c r="F96" s="106"/>
      <c r="G96" s="110" t="s">
        <v>93</v>
      </c>
      <c r="H96" s="106"/>
      <c r="I96" s="106"/>
      <c r="J96" s="106"/>
      <c r="K96" s="110" t="s">
        <v>94</v>
      </c>
      <c r="L96" s="106"/>
      <c r="M96" s="106"/>
      <c r="N96" s="106"/>
      <c r="O96" s="110" t="s">
        <v>95</v>
      </c>
      <c r="P96" s="106"/>
      <c r="Q96" s="106"/>
      <c r="R96" s="106"/>
      <c r="S96" s="110" t="s">
        <v>96</v>
      </c>
      <c r="T96" s="106"/>
      <c r="U96" s="106"/>
      <c r="V96" s="106"/>
      <c r="W96" s="110" t="s">
        <v>97</v>
      </c>
      <c r="X96" s="106"/>
      <c r="Y96" s="106"/>
      <c r="Z96" s="106"/>
      <c r="AA96" s="110" t="s">
        <v>98</v>
      </c>
      <c r="AB96" s="106"/>
      <c r="AC96" s="106"/>
      <c r="AD96" s="106"/>
      <c r="AE96" s="110" t="s">
        <v>99</v>
      </c>
      <c r="AF96" s="106"/>
      <c r="AG96" s="106"/>
      <c r="AH96" s="106"/>
      <c r="AI96" s="110" t="s">
        <v>100</v>
      </c>
      <c r="AJ96" s="106"/>
      <c r="AK96" s="106"/>
      <c r="AL96" s="106"/>
      <c r="AM96" s="110" t="s">
        <v>101</v>
      </c>
      <c r="AN96" s="106"/>
      <c r="AO96" s="106"/>
      <c r="AP96" s="106"/>
      <c r="AQ96" s="110" t="s">
        <v>102</v>
      </c>
      <c r="AR96" s="106"/>
      <c r="AS96" s="106"/>
      <c r="AT96" s="106"/>
      <c r="AU96" s="110" t="s">
        <v>103</v>
      </c>
      <c r="AV96" s="106"/>
      <c r="AW96" s="106"/>
    </row>
    <row r="97" spans="1:50" x14ac:dyDescent="0.2">
      <c r="A97" s="181" t="s">
        <v>121</v>
      </c>
      <c r="B97" s="181" t="s">
        <v>338</v>
      </c>
      <c r="C97" s="110">
        <v>1</v>
      </c>
      <c r="D97" s="110">
        <v>2</v>
      </c>
      <c r="E97" s="110">
        <v>3</v>
      </c>
      <c r="F97" s="110">
        <v>4</v>
      </c>
      <c r="G97" s="110">
        <v>1</v>
      </c>
      <c r="H97" s="110">
        <v>2</v>
      </c>
      <c r="I97" s="110">
        <v>3</v>
      </c>
      <c r="J97" s="110">
        <v>4</v>
      </c>
      <c r="K97" s="110">
        <v>1</v>
      </c>
      <c r="L97" s="110">
        <v>2</v>
      </c>
      <c r="M97" s="110">
        <v>3</v>
      </c>
      <c r="N97" s="110">
        <v>4</v>
      </c>
      <c r="O97" s="110">
        <v>1</v>
      </c>
      <c r="P97" s="110">
        <v>2</v>
      </c>
      <c r="Q97" s="110">
        <v>3</v>
      </c>
      <c r="R97" s="110">
        <v>4</v>
      </c>
      <c r="S97" s="110">
        <v>1</v>
      </c>
      <c r="T97" s="110">
        <v>2</v>
      </c>
      <c r="U97" s="110">
        <v>3</v>
      </c>
      <c r="V97" s="110">
        <v>4</v>
      </c>
      <c r="W97" s="110">
        <v>1</v>
      </c>
      <c r="X97" s="110">
        <v>2</v>
      </c>
      <c r="Y97" s="110">
        <v>3</v>
      </c>
      <c r="Z97" s="110">
        <v>4</v>
      </c>
      <c r="AA97" s="110">
        <v>1</v>
      </c>
      <c r="AB97" s="110">
        <v>2</v>
      </c>
      <c r="AC97" s="110">
        <v>3</v>
      </c>
      <c r="AD97" s="110">
        <v>4</v>
      </c>
      <c r="AE97" s="110">
        <v>1</v>
      </c>
      <c r="AF97" s="110">
        <v>2</v>
      </c>
      <c r="AG97" s="110">
        <v>3</v>
      </c>
      <c r="AH97" s="110">
        <v>4</v>
      </c>
      <c r="AI97" s="110">
        <v>1</v>
      </c>
      <c r="AJ97" s="110">
        <v>2</v>
      </c>
      <c r="AK97" s="110">
        <v>3</v>
      </c>
      <c r="AL97" s="110">
        <v>4</v>
      </c>
      <c r="AM97" s="110">
        <v>1</v>
      </c>
      <c r="AN97" s="110">
        <v>2</v>
      </c>
      <c r="AO97" s="110">
        <v>3</v>
      </c>
      <c r="AP97" s="110">
        <v>4</v>
      </c>
      <c r="AQ97" s="110">
        <v>1</v>
      </c>
      <c r="AR97" s="110">
        <v>2</v>
      </c>
      <c r="AS97" s="110">
        <v>3</v>
      </c>
      <c r="AT97" s="110">
        <v>4</v>
      </c>
      <c r="AU97" s="110">
        <v>1</v>
      </c>
      <c r="AV97" s="110">
        <v>2</v>
      </c>
      <c r="AW97" s="110">
        <v>3</v>
      </c>
      <c r="AX97" s="110">
        <v>4</v>
      </c>
    </row>
    <row r="98" spans="1:50" x14ac:dyDescent="0.2">
      <c r="A98" s="110" t="s">
        <v>104</v>
      </c>
      <c r="B98" s="110" t="s">
        <v>7</v>
      </c>
      <c r="C98" s="105">
        <v>0</v>
      </c>
      <c r="D98" s="105">
        <v>0</v>
      </c>
      <c r="E98" s="105">
        <v>0</v>
      </c>
      <c r="F98" s="105">
        <v>0</v>
      </c>
      <c r="G98" s="105">
        <v>0</v>
      </c>
      <c r="H98" s="105">
        <v>0</v>
      </c>
      <c r="I98" s="105">
        <v>0</v>
      </c>
      <c r="J98" s="105">
        <v>0</v>
      </c>
      <c r="K98" s="105">
        <v>0</v>
      </c>
      <c r="L98" s="105">
        <v>0</v>
      </c>
      <c r="M98" s="105">
        <v>0</v>
      </c>
      <c r="N98" s="105">
        <v>0</v>
      </c>
      <c r="O98" s="105">
        <v>0</v>
      </c>
      <c r="P98" s="105">
        <v>0</v>
      </c>
      <c r="Q98" s="105">
        <v>0</v>
      </c>
      <c r="R98" s="105">
        <v>0</v>
      </c>
      <c r="S98" s="105">
        <v>0</v>
      </c>
      <c r="T98" s="105">
        <v>0</v>
      </c>
      <c r="U98" s="105">
        <v>0</v>
      </c>
      <c r="V98" s="105">
        <v>0</v>
      </c>
      <c r="W98" s="105">
        <v>0</v>
      </c>
      <c r="X98" s="105">
        <v>0</v>
      </c>
      <c r="Y98" s="105">
        <v>0</v>
      </c>
      <c r="Z98" s="105">
        <v>0</v>
      </c>
      <c r="AA98" s="105">
        <v>0</v>
      </c>
      <c r="AB98" s="105">
        <v>0</v>
      </c>
      <c r="AC98" s="105">
        <v>0</v>
      </c>
      <c r="AD98" s="105">
        <v>0</v>
      </c>
      <c r="AE98" s="105">
        <v>0</v>
      </c>
      <c r="AF98" s="105">
        <v>0</v>
      </c>
      <c r="AG98" s="105">
        <v>0</v>
      </c>
      <c r="AH98" s="105">
        <v>0</v>
      </c>
      <c r="AI98" s="105">
        <v>0</v>
      </c>
      <c r="AJ98" s="105">
        <v>0</v>
      </c>
      <c r="AK98" s="105">
        <v>0</v>
      </c>
      <c r="AL98" s="105">
        <v>0</v>
      </c>
      <c r="AM98" s="105">
        <v>0</v>
      </c>
      <c r="AN98" s="105">
        <v>0</v>
      </c>
      <c r="AO98" s="105">
        <v>0</v>
      </c>
      <c r="AP98" s="105">
        <v>0</v>
      </c>
      <c r="AQ98" s="105">
        <v>0</v>
      </c>
      <c r="AR98" s="105">
        <v>0</v>
      </c>
      <c r="AS98" s="105">
        <v>0</v>
      </c>
      <c r="AT98" s="105">
        <v>0</v>
      </c>
      <c r="AU98" s="105">
        <v>0</v>
      </c>
      <c r="AV98" s="105">
        <v>0</v>
      </c>
      <c r="AW98" s="105">
        <v>0</v>
      </c>
      <c r="AX98" s="105">
        <v>0</v>
      </c>
    </row>
    <row r="99" spans="1:50" x14ac:dyDescent="0.2">
      <c r="B99" s="110" t="s">
        <v>8</v>
      </c>
      <c r="C99" s="105">
        <v>108503.60780192015</v>
      </c>
      <c r="D99" s="105">
        <v>108503.60780192015</v>
      </c>
      <c r="E99" s="105">
        <v>108503.60780192015</v>
      </c>
      <c r="F99" s="105">
        <v>108503.60780192015</v>
      </c>
      <c r="G99" s="105">
        <v>119353.9685821122</v>
      </c>
      <c r="H99" s="105">
        <v>119353.9685821122</v>
      </c>
      <c r="I99" s="105">
        <v>119353.9685821122</v>
      </c>
      <c r="J99" s="105">
        <v>119353.9685821122</v>
      </c>
      <c r="K99" s="105">
        <v>119353.9685821122</v>
      </c>
      <c r="L99" s="105">
        <v>119353.9685821122</v>
      </c>
      <c r="M99" s="105">
        <v>119353.9685821122</v>
      </c>
      <c r="N99" s="105">
        <v>119353.9685821122</v>
      </c>
      <c r="O99" s="105">
        <v>108503.60780192015</v>
      </c>
      <c r="P99" s="105">
        <v>108503.60780192015</v>
      </c>
      <c r="Q99" s="105">
        <v>108503.60780192015</v>
      </c>
      <c r="R99" s="105">
        <v>108503.60780192015</v>
      </c>
      <c r="S99" s="105">
        <v>97653.247021728152</v>
      </c>
      <c r="T99" s="105">
        <v>97653.247021728152</v>
      </c>
      <c r="U99" s="105">
        <v>97653.247021728152</v>
      </c>
      <c r="V99" s="105">
        <v>97653.247021728152</v>
      </c>
      <c r="W99" s="105">
        <v>97653.247021728152</v>
      </c>
      <c r="X99" s="105">
        <v>97653.247021728152</v>
      </c>
      <c r="Y99" s="105">
        <v>97653.247021728152</v>
      </c>
      <c r="Z99" s="105">
        <v>97653.247021728152</v>
      </c>
      <c r="AA99" s="105">
        <v>97653.247021728152</v>
      </c>
      <c r="AB99" s="105">
        <v>97653.247021728152</v>
      </c>
      <c r="AC99" s="105">
        <v>97653.247021728152</v>
      </c>
      <c r="AD99" s="105">
        <v>97653.247021728152</v>
      </c>
      <c r="AE99" s="105">
        <v>119353.9685821122</v>
      </c>
      <c r="AF99" s="105">
        <v>119353.9685821122</v>
      </c>
      <c r="AG99" s="105">
        <v>119353.9685821122</v>
      </c>
      <c r="AH99" s="105">
        <v>119353.9685821122</v>
      </c>
      <c r="AI99" s="105">
        <v>119353.9685821122</v>
      </c>
      <c r="AJ99" s="105">
        <v>119353.9685821122</v>
      </c>
      <c r="AK99" s="105">
        <v>119353.9685821122</v>
      </c>
      <c r="AL99" s="105">
        <v>119353.9685821122</v>
      </c>
      <c r="AM99" s="105">
        <v>119353.9685821122</v>
      </c>
      <c r="AN99" s="105">
        <v>119353.9685821122</v>
      </c>
      <c r="AO99" s="105">
        <v>119353.9685821122</v>
      </c>
      <c r="AP99" s="105">
        <v>119353.9685821122</v>
      </c>
      <c r="AQ99" s="105">
        <v>108503.60780192015</v>
      </c>
      <c r="AR99" s="105">
        <v>108503.60780192015</v>
      </c>
      <c r="AS99" s="105">
        <v>108503.60780192015</v>
      </c>
      <c r="AT99" s="105">
        <v>108503.60780192015</v>
      </c>
      <c r="AU99" s="105">
        <v>97653.247021728152</v>
      </c>
      <c r="AV99" s="105">
        <v>97653.247021728152</v>
      </c>
      <c r="AW99" s="105">
        <v>97653.247021728152</v>
      </c>
      <c r="AX99" s="105">
        <v>97653.247021728152</v>
      </c>
    </row>
    <row r="100" spans="1:50" x14ac:dyDescent="0.2">
      <c r="B100" s="110" t="s">
        <v>10</v>
      </c>
      <c r="C100" s="105">
        <v>0</v>
      </c>
      <c r="D100" s="105">
        <v>0</v>
      </c>
      <c r="E100" s="105">
        <v>0</v>
      </c>
      <c r="F100" s="105">
        <v>0</v>
      </c>
      <c r="G100" s="105">
        <v>0</v>
      </c>
      <c r="H100" s="105">
        <v>0</v>
      </c>
      <c r="I100" s="105">
        <v>0</v>
      </c>
      <c r="J100" s="105">
        <v>0</v>
      </c>
      <c r="K100" s="105">
        <v>0</v>
      </c>
      <c r="L100" s="105">
        <v>0</v>
      </c>
      <c r="M100" s="105">
        <v>0</v>
      </c>
      <c r="N100" s="105">
        <v>0</v>
      </c>
      <c r="O100" s="105">
        <v>0</v>
      </c>
      <c r="P100" s="105">
        <v>0</v>
      </c>
      <c r="Q100" s="105">
        <v>0</v>
      </c>
      <c r="R100" s="105">
        <v>0</v>
      </c>
      <c r="S100" s="105">
        <v>0</v>
      </c>
      <c r="T100" s="105">
        <v>0</v>
      </c>
      <c r="U100" s="105">
        <v>0</v>
      </c>
      <c r="V100" s="105">
        <v>0</v>
      </c>
      <c r="W100" s="105">
        <v>0</v>
      </c>
      <c r="X100" s="105">
        <v>0</v>
      </c>
      <c r="Y100" s="105">
        <v>0</v>
      </c>
      <c r="Z100" s="105">
        <v>0</v>
      </c>
      <c r="AA100" s="105">
        <v>0</v>
      </c>
      <c r="AB100" s="105">
        <v>0</v>
      </c>
      <c r="AC100" s="105">
        <v>0</v>
      </c>
      <c r="AD100" s="105">
        <v>0</v>
      </c>
      <c r="AE100" s="105">
        <v>0</v>
      </c>
      <c r="AF100" s="105">
        <v>0</v>
      </c>
      <c r="AG100" s="105">
        <v>0</v>
      </c>
      <c r="AH100" s="105">
        <v>0</v>
      </c>
      <c r="AI100" s="105">
        <v>0</v>
      </c>
      <c r="AJ100" s="105">
        <v>0</v>
      </c>
      <c r="AK100" s="105">
        <v>0</v>
      </c>
      <c r="AL100" s="105">
        <v>0</v>
      </c>
      <c r="AM100" s="105">
        <v>0</v>
      </c>
      <c r="AN100" s="105">
        <v>0</v>
      </c>
      <c r="AO100" s="105">
        <v>0</v>
      </c>
      <c r="AP100" s="105">
        <v>0</v>
      </c>
      <c r="AQ100" s="105">
        <v>0</v>
      </c>
      <c r="AR100" s="105">
        <v>0</v>
      </c>
      <c r="AS100" s="105">
        <v>0</v>
      </c>
      <c r="AT100" s="105">
        <v>0</v>
      </c>
      <c r="AU100" s="105">
        <v>0</v>
      </c>
      <c r="AV100" s="105">
        <v>0</v>
      </c>
      <c r="AW100" s="105">
        <v>0</v>
      </c>
      <c r="AX100" s="105">
        <v>0</v>
      </c>
    </row>
    <row r="101" spans="1:50" x14ac:dyDescent="0.2">
      <c r="B101" s="110" t="s">
        <v>14</v>
      </c>
      <c r="C101" s="105">
        <v>60752.72408287014</v>
      </c>
      <c r="D101" s="105">
        <v>60752.72408287014</v>
      </c>
      <c r="E101" s="105">
        <v>60752.72408287014</v>
      </c>
      <c r="F101" s="105">
        <v>60752.72408287014</v>
      </c>
      <c r="G101" s="105">
        <v>66827.996491157173</v>
      </c>
      <c r="H101" s="105">
        <v>66827.996491157173</v>
      </c>
      <c r="I101" s="105">
        <v>66827.996491157173</v>
      </c>
      <c r="J101" s="105">
        <v>66827.996491157173</v>
      </c>
      <c r="K101" s="105">
        <v>66827.996491157173</v>
      </c>
      <c r="L101" s="105">
        <v>66827.996491157173</v>
      </c>
      <c r="M101" s="105">
        <v>66827.996491157173</v>
      </c>
      <c r="N101" s="105">
        <v>66827.996491157173</v>
      </c>
      <c r="O101" s="105">
        <v>60752.72408287014</v>
      </c>
      <c r="P101" s="105">
        <v>60752.72408287014</v>
      </c>
      <c r="Q101" s="105">
        <v>60752.72408287014</v>
      </c>
      <c r="R101" s="105">
        <v>60752.72408287014</v>
      </c>
      <c r="S101" s="105">
        <v>54677.451674583128</v>
      </c>
      <c r="T101" s="105">
        <v>54677.451674583128</v>
      </c>
      <c r="U101" s="105">
        <v>54677.451674583128</v>
      </c>
      <c r="V101" s="105">
        <v>54677.451674583128</v>
      </c>
      <c r="W101" s="105">
        <v>54677.451674583128</v>
      </c>
      <c r="X101" s="105">
        <v>54677.451674583128</v>
      </c>
      <c r="Y101" s="105">
        <v>54677.451674583128</v>
      </c>
      <c r="Z101" s="105">
        <v>54677.451674583128</v>
      </c>
      <c r="AA101" s="105">
        <v>54677.451674583128</v>
      </c>
      <c r="AB101" s="105">
        <v>54677.451674583128</v>
      </c>
      <c r="AC101" s="105">
        <v>54677.451674583128</v>
      </c>
      <c r="AD101" s="105">
        <v>54677.451674583128</v>
      </c>
      <c r="AE101" s="105">
        <v>66827.996491157173</v>
      </c>
      <c r="AF101" s="105">
        <v>66827.996491157173</v>
      </c>
      <c r="AG101" s="105">
        <v>66827.996491157173</v>
      </c>
      <c r="AH101" s="105">
        <v>66827.996491157173</v>
      </c>
      <c r="AI101" s="105">
        <v>66827.996491157173</v>
      </c>
      <c r="AJ101" s="105">
        <v>66827.996491157173</v>
      </c>
      <c r="AK101" s="105">
        <v>66827.996491157173</v>
      </c>
      <c r="AL101" s="105">
        <v>66827.996491157173</v>
      </c>
      <c r="AM101" s="105">
        <v>66827.996491157173</v>
      </c>
      <c r="AN101" s="105">
        <v>66827.996491157173</v>
      </c>
      <c r="AO101" s="105">
        <v>66827.996491157173</v>
      </c>
      <c r="AP101" s="105">
        <v>66827.996491157173</v>
      </c>
      <c r="AQ101" s="105">
        <v>60752.72408287014</v>
      </c>
      <c r="AR101" s="105">
        <v>60752.72408287014</v>
      </c>
      <c r="AS101" s="105">
        <v>60752.72408287014</v>
      </c>
      <c r="AT101" s="105">
        <v>60752.72408287014</v>
      </c>
      <c r="AU101" s="105">
        <v>54677.451674583128</v>
      </c>
      <c r="AV101" s="105">
        <v>54677.451674583128</v>
      </c>
      <c r="AW101" s="105">
        <v>54677.451674583128</v>
      </c>
      <c r="AX101" s="105">
        <v>54677.451674583128</v>
      </c>
    </row>
    <row r="102" spans="1:50" x14ac:dyDescent="0.2">
      <c r="B102" s="110" t="s">
        <v>34</v>
      </c>
      <c r="C102" s="105">
        <v>0</v>
      </c>
      <c r="D102" s="105">
        <v>0</v>
      </c>
      <c r="E102" s="105">
        <v>0</v>
      </c>
      <c r="F102" s="105">
        <v>0</v>
      </c>
      <c r="G102" s="105">
        <v>0</v>
      </c>
      <c r="H102" s="105">
        <v>0</v>
      </c>
      <c r="I102" s="105">
        <v>0</v>
      </c>
      <c r="J102" s="105">
        <v>0</v>
      </c>
      <c r="K102" s="105">
        <v>0</v>
      </c>
      <c r="L102" s="105">
        <v>0</v>
      </c>
      <c r="M102" s="105">
        <v>0</v>
      </c>
      <c r="N102" s="105">
        <v>0</v>
      </c>
      <c r="O102" s="105">
        <v>0</v>
      </c>
      <c r="P102" s="105">
        <v>0</v>
      </c>
      <c r="Q102" s="105">
        <v>0</v>
      </c>
      <c r="R102" s="105">
        <v>0</v>
      </c>
      <c r="S102" s="105">
        <v>0</v>
      </c>
      <c r="T102" s="105">
        <v>0</v>
      </c>
      <c r="U102" s="105">
        <v>0</v>
      </c>
      <c r="V102" s="105">
        <v>0</v>
      </c>
      <c r="W102" s="105">
        <v>0</v>
      </c>
      <c r="X102" s="105">
        <v>0</v>
      </c>
      <c r="Y102" s="105">
        <v>0</v>
      </c>
      <c r="Z102" s="105">
        <v>0</v>
      </c>
      <c r="AA102" s="105">
        <v>0</v>
      </c>
      <c r="AB102" s="105">
        <v>0</v>
      </c>
      <c r="AC102" s="105">
        <v>0</v>
      </c>
      <c r="AD102" s="105">
        <v>0</v>
      </c>
      <c r="AE102" s="105">
        <v>0</v>
      </c>
      <c r="AF102" s="105">
        <v>0</v>
      </c>
      <c r="AG102" s="105">
        <v>0</v>
      </c>
      <c r="AH102" s="105">
        <v>0</v>
      </c>
      <c r="AI102" s="105">
        <v>0</v>
      </c>
      <c r="AJ102" s="105">
        <v>0</v>
      </c>
      <c r="AK102" s="105">
        <v>0</v>
      </c>
      <c r="AL102" s="105">
        <v>0</v>
      </c>
      <c r="AM102" s="105">
        <v>0</v>
      </c>
      <c r="AN102" s="105">
        <v>0</v>
      </c>
      <c r="AO102" s="105">
        <v>0</v>
      </c>
      <c r="AP102" s="105">
        <v>0</v>
      </c>
      <c r="AQ102" s="105">
        <v>0</v>
      </c>
      <c r="AR102" s="105">
        <v>0</v>
      </c>
      <c r="AS102" s="105">
        <v>0</v>
      </c>
      <c r="AT102" s="105">
        <v>0</v>
      </c>
      <c r="AU102" s="105">
        <v>0</v>
      </c>
      <c r="AV102" s="105">
        <v>0</v>
      </c>
      <c r="AW102" s="105">
        <v>0</v>
      </c>
      <c r="AX102" s="105">
        <v>0</v>
      </c>
    </row>
    <row r="103" spans="1:50" x14ac:dyDescent="0.2">
      <c r="B103" s="110" t="s">
        <v>49</v>
      </c>
      <c r="C103" s="105">
        <v>182254.21825164225</v>
      </c>
      <c r="D103" s="105">
        <v>182254.21825164225</v>
      </c>
      <c r="E103" s="105">
        <v>182254.21825164225</v>
      </c>
      <c r="F103" s="105">
        <v>182254.21825164225</v>
      </c>
      <c r="G103" s="105">
        <v>200479.64007680651</v>
      </c>
      <c r="H103" s="105">
        <v>200479.64007680651</v>
      </c>
      <c r="I103" s="105">
        <v>200479.64007680651</v>
      </c>
      <c r="J103" s="105">
        <v>200479.64007680651</v>
      </c>
      <c r="K103" s="105">
        <v>200479.64007680651</v>
      </c>
      <c r="L103" s="105">
        <v>200479.64007680651</v>
      </c>
      <c r="M103" s="105">
        <v>200479.64007680651</v>
      </c>
      <c r="N103" s="105">
        <v>200479.64007680651</v>
      </c>
      <c r="O103" s="105">
        <v>182254.21825164225</v>
      </c>
      <c r="P103" s="105">
        <v>182254.21825164225</v>
      </c>
      <c r="Q103" s="105">
        <v>182254.21825164225</v>
      </c>
      <c r="R103" s="105">
        <v>182254.21825164225</v>
      </c>
      <c r="S103" s="105">
        <v>164028.79642647802</v>
      </c>
      <c r="T103" s="105">
        <v>164028.79642647802</v>
      </c>
      <c r="U103" s="105">
        <v>164028.79642647802</v>
      </c>
      <c r="V103" s="105">
        <v>164028.79642647802</v>
      </c>
      <c r="W103" s="105">
        <v>164028.79642647802</v>
      </c>
      <c r="X103" s="105">
        <v>164028.79642647802</v>
      </c>
      <c r="Y103" s="105">
        <v>164028.79642647802</v>
      </c>
      <c r="Z103" s="105">
        <v>164028.79642647802</v>
      </c>
      <c r="AA103" s="105">
        <v>164028.79642647802</v>
      </c>
      <c r="AB103" s="105">
        <v>164028.79642647802</v>
      </c>
      <c r="AC103" s="105">
        <v>164028.79642647802</v>
      </c>
      <c r="AD103" s="105">
        <v>164028.79642647802</v>
      </c>
      <c r="AE103" s="105">
        <v>200479.64007680651</v>
      </c>
      <c r="AF103" s="105">
        <v>200479.64007680651</v>
      </c>
      <c r="AG103" s="105">
        <v>200479.64007680651</v>
      </c>
      <c r="AH103" s="105">
        <v>200479.64007680651</v>
      </c>
      <c r="AI103" s="105">
        <v>200479.64007680651</v>
      </c>
      <c r="AJ103" s="105">
        <v>200479.64007680651</v>
      </c>
      <c r="AK103" s="105">
        <v>200479.64007680651</v>
      </c>
      <c r="AL103" s="105">
        <v>200479.64007680651</v>
      </c>
      <c r="AM103" s="105">
        <v>200479.64007680651</v>
      </c>
      <c r="AN103" s="105">
        <v>200479.64007680651</v>
      </c>
      <c r="AO103" s="105">
        <v>200479.64007680651</v>
      </c>
      <c r="AP103" s="105">
        <v>200479.64007680651</v>
      </c>
      <c r="AQ103" s="105">
        <v>182254.21825164225</v>
      </c>
      <c r="AR103" s="105">
        <v>182254.21825164225</v>
      </c>
      <c r="AS103" s="105">
        <v>182254.21825164225</v>
      </c>
      <c r="AT103" s="105">
        <v>182254.21825164225</v>
      </c>
      <c r="AU103" s="105">
        <v>164028.79642647802</v>
      </c>
      <c r="AV103" s="105">
        <v>164028.79642647802</v>
      </c>
      <c r="AW103" s="105">
        <v>164028.79642647802</v>
      </c>
      <c r="AX103" s="105">
        <v>164028.79642647802</v>
      </c>
    </row>
    <row r="104" spans="1:50" x14ac:dyDescent="0.2">
      <c r="B104" s="110" t="s">
        <v>57</v>
      </c>
      <c r="C104" s="105">
        <v>0</v>
      </c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0</v>
      </c>
      <c r="K104" s="105">
        <v>0</v>
      </c>
      <c r="L104" s="105">
        <v>0</v>
      </c>
      <c r="M104" s="105">
        <v>0</v>
      </c>
      <c r="N104" s="105">
        <v>0</v>
      </c>
      <c r="O104" s="105">
        <v>0</v>
      </c>
      <c r="P104" s="105">
        <v>0</v>
      </c>
      <c r="Q104" s="105">
        <v>0</v>
      </c>
      <c r="R104" s="105">
        <v>0</v>
      </c>
      <c r="S104" s="105">
        <v>0</v>
      </c>
      <c r="T104" s="105">
        <v>0</v>
      </c>
      <c r="U104" s="105">
        <v>0</v>
      </c>
      <c r="V104" s="105">
        <v>0</v>
      </c>
      <c r="W104" s="105">
        <v>0</v>
      </c>
      <c r="X104" s="105">
        <v>0</v>
      </c>
      <c r="Y104" s="105">
        <v>0</v>
      </c>
      <c r="Z104" s="105">
        <v>0</v>
      </c>
      <c r="AA104" s="105">
        <v>0</v>
      </c>
      <c r="AB104" s="105">
        <v>0</v>
      </c>
      <c r="AC104" s="105">
        <v>0</v>
      </c>
      <c r="AD104" s="105">
        <v>0</v>
      </c>
      <c r="AE104" s="105">
        <v>0</v>
      </c>
      <c r="AF104" s="105">
        <v>0</v>
      </c>
      <c r="AG104" s="105">
        <v>0</v>
      </c>
      <c r="AH104" s="105">
        <v>0</v>
      </c>
      <c r="AI104" s="105">
        <v>0</v>
      </c>
      <c r="AJ104" s="105">
        <v>0</v>
      </c>
      <c r="AK104" s="105">
        <v>0</v>
      </c>
      <c r="AL104" s="105">
        <v>0</v>
      </c>
      <c r="AM104" s="105">
        <v>0</v>
      </c>
      <c r="AN104" s="105">
        <v>0</v>
      </c>
      <c r="AO104" s="105">
        <v>0</v>
      </c>
      <c r="AP104" s="105">
        <v>0</v>
      </c>
      <c r="AQ104" s="105">
        <v>0</v>
      </c>
      <c r="AR104" s="105">
        <v>0</v>
      </c>
      <c r="AS104" s="105">
        <v>0</v>
      </c>
      <c r="AT104" s="105">
        <v>0</v>
      </c>
      <c r="AU104" s="105">
        <v>0</v>
      </c>
      <c r="AV104" s="105">
        <v>0</v>
      </c>
      <c r="AW104" s="105">
        <v>0</v>
      </c>
      <c r="AX104" s="105">
        <v>0</v>
      </c>
    </row>
    <row r="105" spans="1:50" x14ac:dyDescent="0.2">
      <c r="B105" s="110" t="s">
        <v>70</v>
      </c>
      <c r="C105" s="105">
        <v>97195.835472460836</v>
      </c>
      <c r="D105" s="105">
        <v>97195.835472460836</v>
      </c>
      <c r="E105" s="105">
        <v>97195.835472460836</v>
      </c>
      <c r="F105" s="105">
        <v>97195.835472460836</v>
      </c>
      <c r="G105" s="105">
        <v>106915.41901970694</v>
      </c>
      <c r="H105" s="105">
        <v>106915.41901970694</v>
      </c>
      <c r="I105" s="105">
        <v>106915.41901970694</v>
      </c>
      <c r="J105" s="105">
        <v>106915.41901970694</v>
      </c>
      <c r="K105" s="105">
        <v>106915.41901970694</v>
      </c>
      <c r="L105" s="105">
        <v>106915.41901970694</v>
      </c>
      <c r="M105" s="105">
        <v>106915.41901970694</v>
      </c>
      <c r="N105" s="105">
        <v>106915.41901970694</v>
      </c>
      <c r="O105" s="105">
        <v>97195.835472460836</v>
      </c>
      <c r="P105" s="105">
        <v>97195.835472460836</v>
      </c>
      <c r="Q105" s="105">
        <v>97195.835472460836</v>
      </c>
      <c r="R105" s="105">
        <v>97195.835472460836</v>
      </c>
      <c r="S105" s="105">
        <v>87476.251925214761</v>
      </c>
      <c r="T105" s="105">
        <v>87476.251925214761</v>
      </c>
      <c r="U105" s="105">
        <v>87476.251925214761</v>
      </c>
      <c r="V105" s="105">
        <v>87476.251925214761</v>
      </c>
      <c r="W105" s="105">
        <v>87476.251925214761</v>
      </c>
      <c r="X105" s="105">
        <v>87476.251925214761</v>
      </c>
      <c r="Y105" s="105">
        <v>87476.251925214761</v>
      </c>
      <c r="Z105" s="105">
        <v>87476.251925214761</v>
      </c>
      <c r="AA105" s="105">
        <v>87476.251925214761</v>
      </c>
      <c r="AB105" s="105">
        <v>87476.251925214761</v>
      </c>
      <c r="AC105" s="105">
        <v>87476.251925214761</v>
      </c>
      <c r="AD105" s="105">
        <v>87476.251925214761</v>
      </c>
      <c r="AE105" s="105">
        <v>106915.41901970694</v>
      </c>
      <c r="AF105" s="105">
        <v>106915.41901970694</v>
      </c>
      <c r="AG105" s="105">
        <v>106915.41901970694</v>
      </c>
      <c r="AH105" s="105">
        <v>106915.41901970694</v>
      </c>
      <c r="AI105" s="105">
        <v>106915.41901970694</v>
      </c>
      <c r="AJ105" s="105">
        <v>106915.41901970694</v>
      </c>
      <c r="AK105" s="105">
        <v>106915.41901970694</v>
      </c>
      <c r="AL105" s="105">
        <v>106915.41901970694</v>
      </c>
      <c r="AM105" s="105">
        <v>106915.41901970694</v>
      </c>
      <c r="AN105" s="105">
        <v>106915.41901970694</v>
      </c>
      <c r="AO105" s="105">
        <v>106915.41901970694</v>
      </c>
      <c r="AP105" s="105">
        <v>106915.41901970694</v>
      </c>
      <c r="AQ105" s="105">
        <v>97195.835472460836</v>
      </c>
      <c r="AR105" s="105">
        <v>97195.835472460836</v>
      </c>
      <c r="AS105" s="105">
        <v>97195.835472460836</v>
      </c>
      <c r="AT105" s="105">
        <v>97195.835472460836</v>
      </c>
      <c r="AU105" s="105">
        <v>87476.251925214761</v>
      </c>
      <c r="AV105" s="105">
        <v>87476.251925214761</v>
      </c>
      <c r="AW105" s="105">
        <v>87476.251925214761</v>
      </c>
      <c r="AX105" s="105">
        <v>87476.251925214761</v>
      </c>
    </row>
    <row r="106" spans="1:50" x14ac:dyDescent="0.2">
      <c r="B106" s="106" t="s">
        <v>280</v>
      </c>
      <c r="C106" s="110">
        <f>SUM(C$98:C$105)</f>
        <v>448706.38560889335</v>
      </c>
      <c r="D106" s="110">
        <f t="shared" ref="D106:AX106" si="5">SUM(D$98:D$105)</f>
        <v>448706.38560889335</v>
      </c>
      <c r="E106" s="110">
        <f t="shared" si="5"/>
        <v>448706.38560889335</v>
      </c>
      <c r="F106" s="110">
        <f t="shared" si="5"/>
        <v>448706.38560889335</v>
      </c>
      <c r="G106" s="110">
        <f t="shared" si="5"/>
        <v>493577.02416978282</v>
      </c>
      <c r="H106" s="110">
        <f t="shared" si="5"/>
        <v>493577.02416978282</v>
      </c>
      <c r="I106" s="110">
        <f t="shared" si="5"/>
        <v>493577.02416978282</v>
      </c>
      <c r="J106" s="110">
        <f t="shared" si="5"/>
        <v>493577.02416978282</v>
      </c>
      <c r="K106" s="110">
        <f t="shared" si="5"/>
        <v>493577.02416978282</v>
      </c>
      <c r="L106" s="110">
        <f t="shared" si="5"/>
        <v>493577.02416978282</v>
      </c>
      <c r="M106" s="110">
        <f t="shared" si="5"/>
        <v>493577.02416978282</v>
      </c>
      <c r="N106" s="110">
        <f t="shared" si="5"/>
        <v>493577.02416978282</v>
      </c>
      <c r="O106" s="110">
        <f t="shared" si="5"/>
        <v>448706.38560889335</v>
      </c>
      <c r="P106" s="110">
        <f t="shared" si="5"/>
        <v>448706.38560889335</v>
      </c>
      <c r="Q106" s="110">
        <f t="shared" si="5"/>
        <v>448706.38560889335</v>
      </c>
      <c r="R106" s="110">
        <f t="shared" si="5"/>
        <v>448706.38560889335</v>
      </c>
      <c r="S106" s="110">
        <f t="shared" si="5"/>
        <v>403835.74704800406</v>
      </c>
      <c r="T106" s="110">
        <f t="shared" si="5"/>
        <v>403835.74704800406</v>
      </c>
      <c r="U106" s="110">
        <f t="shared" si="5"/>
        <v>403835.74704800406</v>
      </c>
      <c r="V106" s="110">
        <f t="shared" si="5"/>
        <v>403835.74704800406</v>
      </c>
      <c r="W106" s="110">
        <f t="shared" si="5"/>
        <v>403835.74704800406</v>
      </c>
      <c r="X106" s="110">
        <f t="shared" si="5"/>
        <v>403835.74704800406</v>
      </c>
      <c r="Y106" s="110">
        <f t="shared" si="5"/>
        <v>403835.74704800406</v>
      </c>
      <c r="Z106" s="110">
        <f t="shared" si="5"/>
        <v>403835.74704800406</v>
      </c>
      <c r="AA106" s="110">
        <f t="shared" si="5"/>
        <v>403835.74704800406</v>
      </c>
      <c r="AB106" s="110">
        <f t="shared" si="5"/>
        <v>403835.74704800406</v>
      </c>
      <c r="AC106" s="110">
        <f t="shared" si="5"/>
        <v>403835.74704800406</v>
      </c>
      <c r="AD106" s="110">
        <f t="shared" si="5"/>
        <v>403835.74704800406</v>
      </c>
      <c r="AE106" s="110">
        <f t="shared" si="5"/>
        <v>493577.02416978282</v>
      </c>
      <c r="AF106" s="110">
        <f t="shared" si="5"/>
        <v>493577.02416978282</v>
      </c>
      <c r="AG106" s="110">
        <f t="shared" si="5"/>
        <v>493577.02416978282</v>
      </c>
      <c r="AH106" s="110">
        <f t="shared" si="5"/>
        <v>493577.02416978282</v>
      </c>
      <c r="AI106" s="110">
        <f t="shared" si="5"/>
        <v>493577.02416978282</v>
      </c>
      <c r="AJ106" s="110">
        <f t="shared" si="5"/>
        <v>493577.02416978282</v>
      </c>
      <c r="AK106" s="110">
        <f t="shared" si="5"/>
        <v>493577.02416978282</v>
      </c>
      <c r="AL106" s="110">
        <f t="shared" si="5"/>
        <v>493577.02416978282</v>
      </c>
      <c r="AM106" s="110">
        <f t="shared" si="5"/>
        <v>493577.02416978282</v>
      </c>
      <c r="AN106" s="110">
        <f t="shared" si="5"/>
        <v>493577.02416978282</v>
      </c>
      <c r="AO106" s="110">
        <f t="shared" si="5"/>
        <v>493577.02416978282</v>
      </c>
      <c r="AP106" s="110">
        <f t="shared" si="5"/>
        <v>493577.02416978282</v>
      </c>
      <c r="AQ106" s="110">
        <f t="shared" si="5"/>
        <v>448706.38560889335</v>
      </c>
      <c r="AR106" s="110">
        <f t="shared" si="5"/>
        <v>448706.38560889335</v>
      </c>
      <c r="AS106" s="110">
        <f t="shared" si="5"/>
        <v>448706.38560889335</v>
      </c>
      <c r="AT106" s="110">
        <f t="shared" si="5"/>
        <v>448706.38560889335</v>
      </c>
      <c r="AU106" s="110">
        <f t="shared" si="5"/>
        <v>403835.74704800406</v>
      </c>
      <c r="AV106" s="110">
        <f t="shared" si="5"/>
        <v>403835.74704800406</v>
      </c>
      <c r="AW106" s="110">
        <f t="shared" si="5"/>
        <v>403835.74704800406</v>
      </c>
      <c r="AX106" s="110">
        <f t="shared" si="5"/>
        <v>403835.74704800406</v>
      </c>
    </row>
    <row r="107" spans="1:50" x14ac:dyDescent="0.2">
      <c r="A107" s="110" t="s">
        <v>105</v>
      </c>
      <c r="B107" s="110" t="s">
        <v>7</v>
      </c>
      <c r="C107" s="105">
        <v>0</v>
      </c>
      <c r="D107" s="105">
        <v>0</v>
      </c>
      <c r="E107" s="105">
        <v>0</v>
      </c>
      <c r="F107" s="105">
        <v>0</v>
      </c>
      <c r="G107" s="105">
        <v>0</v>
      </c>
      <c r="H107" s="105">
        <v>0</v>
      </c>
      <c r="I107" s="105">
        <v>0</v>
      </c>
      <c r="J107" s="105">
        <v>0</v>
      </c>
      <c r="K107" s="105">
        <v>0</v>
      </c>
      <c r="L107" s="105">
        <v>0</v>
      </c>
      <c r="M107" s="105">
        <v>0</v>
      </c>
      <c r="N107" s="105">
        <v>0</v>
      </c>
      <c r="O107" s="105">
        <v>0</v>
      </c>
      <c r="P107" s="105">
        <v>0</v>
      </c>
      <c r="Q107" s="105">
        <v>0</v>
      </c>
      <c r="R107" s="105">
        <v>0</v>
      </c>
      <c r="S107" s="105">
        <v>0</v>
      </c>
      <c r="T107" s="105">
        <v>0</v>
      </c>
      <c r="U107" s="105">
        <v>0</v>
      </c>
      <c r="V107" s="105">
        <v>0</v>
      </c>
      <c r="W107" s="105">
        <v>0</v>
      </c>
      <c r="X107" s="105">
        <v>0</v>
      </c>
      <c r="Y107" s="105">
        <v>0</v>
      </c>
      <c r="Z107" s="105">
        <v>0</v>
      </c>
      <c r="AA107" s="105">
        <v>0</v>
      </c>
      <c r="AB107" s="105">
        <v>0</v>
      </c>
      <c r="AC107" s="105">
        <v>0</v>
      </c>
      <c r="AD107" s="105">
        <v>0</v>
      </c>
      <c r="AE107" s="105">
        <v>0</v>
      </c>
      <c r="AF107" s="105">
        <v>0</v>
      </c>
      <c r="AG107" s="105">
        <v>0</v>
      </c>
      <c r="AH107" s="105">
        <v>0</v>
      </c>
      <c r="AI107" s="105">
        <v>0</v>
      </c>
      <c r="AJ107" s="105">
        <v>0</v>
      </c>
      <c r="AK107" s="105">
        <v>0</v>
      </c>
      <c r="AL107" s="105">
        <v>0</v>
      </c>
      <c r="AM107" s="105">
        <v>0</v>
      </c>
      <c r="AN107" s="105">
        <v>0</v>
      </c>
      <c r="AO107" s="105">
        <v>0</v>
      </c>
      <c r="AP107" s="105">
        <v>0</v>
      </c>
      <c r="AQ107" s="105">
        <v>0</v>
      </c>
      <c r="AR107" s="105">
        <v>0</v>
      </c>
      <c r="AS107" s="105">
        <v>0</v>
      </c>
      <c r="AT107" s="105">
        <v>0</v>
      </c>
      <c r="AU107" s="105">
        <v>0</v>
      </c>
      <c r="AV107" s="105">
        <v>0</v>
      </c>
      <c r="AW107" s="105">
        <v>0</v>
      </c>
      <c r="AX107" s="105">
        <v>0</v>
      </c>
    </row>
    <row r="108" spans="1:50" x14ac:dyDescent="0.2">
      <c r="B108" s="110" t="s">
        <v>8</v>
      </c>
      <c r="C108" s="105">
        <v>0</v>
      </c>
      <c r="D108" s="105">
        <v>0</v>
      </c>
      <c r="E108" s="105">
        <v>0</v>
      </c>
      <c r="F108" s="105">
        <v>0</v>
      </c>
      <c r="G108" s="105">
        <v>0</v>
      </c>
      <c r="H108" s="105">
        <v>0</v>
      </c>
      <c r="I108" s="105">
        <v>0</v>
      </c>
      <c r="J108" s="105">
        <v>0</v>
      </c>
      <c r="K108" s="105">
        <v>0</v>
      </c>
      <c r="L108" s="105">
        <v>0</v>
      </c>
      <c r="M108" s="105">
        <v>0</v>
      </c>
      <c r="N108" s="105">
        <v>0</v>
      </c>
      <c r="O108" s="105">
        <v>0</v>
      </c>
      <c r="P108" s="105">
        <v>0</v>
      </c>
      <c r="Q108" s="105">
        <v>0</v>
      </c>
      <c r="R108" s="105">
        <v>0</v>
      </c>
      <c r="S108" s="105">
        <v>0</v>
      </c>
      <c r="T108" s="105">
        <v>0</v>
      </c>
      <c r="U108" s="105">
        <v>0</v>
      </c>
      <c r="V108" s="105">
        <v>0</v>
      </c>
      <c r="W108" s="105">
        <v>0</v>
      </c>
      <c r="X108" s="105">
        <v>0</v>
      </c>
      <c r="Y108" s="105">
        <v>0</v>
      </c>
      <c r="Z108" s="105">
        <v>0</v>
      </c>
      <c r="AA108" s="105">
        <v>0</v>
      </c>
      <c r="AB108" s="105">
        <v>0</v>
      </c>
      <c r="AC108" s="105">
        <v>0</v>
      </c>
      <c r="AD108" s="105">
        <v>0</v>
      </c>
      <c r="AE108" s="105">
        <v>0</v>
      </c>
      <c r="AF108" s="105">
        <v>0</v>
      </c>
      <c r="AG108" s="105">
        <v>0</v>
      </c>
      <c r="AH108" s="105">
        <v>0</v>
      </c>
      <c r="AI108" s="105">
        <v>0</v>
      </c>
      <c r="AJ108" s="105">
        <v>0</v>
      </c>
      <c r="AK108" s="105">
        <v>0</v>
      </c>
      <c r="AL108" s="105">
        <v>0</v>
      </c>
      <c r="AM108" s="105">
        <v>0</v>
      </c>
      <c r="AN108" s="105">
        <v>0</v>
      </c>
      <c r="AO108" s="105">
        <v>0</v>
      </c>
      <c r="AP108" s="105">
        <v>0</v>
      </c>
      <c r="AQ108" s="105">
        <v>0</v>
      </c>
      <c r="AR108" s="105">
        <v>0</v>
      </c>
      <c r="AS108" s="105">
        <v>0</v>
      </c>
      <c r="AT108" s="105">
        <v>0</v>
      </c>
      <c r="AU108" s="105">
        <v>0</v>
      </c>
      <c r="AV108" s="105">
        <v>0</v>
      </c>
      <c r="AW108" s="105">
        <v>0</v>
      </c>
      <c r="AX108" s="105">
        <v>0</v>
      </c>
    </row>
    <row r="109" spans="1:50" x14ac:dyDescent="0.2">
      <c r="B109" s="110" t="s">
        <v>10</v>
      </c>
      <c r="C109" s="105">
        <v>14041.82164556962</v>
      </c>
      <c r="D109" s="105">
        <v>14041.82164556962</v>
      </c>
      <c r="E109" s="105">
        <v>14041.82164556962</v>
      </c>
      <c r="F109" s="105">
        <v>14041.82164556962</v>
      </c>
      <c r="G109" s="105">
        <v>14041.82164556962</v>
      </c>
      <c r="H109" s="105">
        <v>14041.82164556962</v>
      </c>
      <c r="I109" s="105">
        <v>14041.82164556962</v>
      </c>
      <c r="J109" s="105">
        <v>14041.82164556962</v>
      </c>
      <c r="K109" s="105">
        <v>12637.63948101266</v>
      </c>
      <c r="L109" s="105">
        <v>12637.63948101266</v>
      </c>
      <c r="M109" s="105">
        <v>12637.63948101266</v>
      </c>
      <c r="N109" s="105">
        <v>12637.63948101266</v>
      </c>
      <c r="O109" s="105">
        <v>14041.82164556962</v>
      </c>
      <c r="P109" s="105">
        <v>14041.82164556962</v>
      </c>
      <c r="Q109" s="105">
        <v>14041.82164556962</v>
      </c>
      <c r="R109" s="105">
        <v>14041.82164556962</v>
      </c>
      <c r="S109" s="105">
        <v>14041.82164556962</v>
      </c>
      <c r="T109" s="105">
        <v>14041.82164556962</v>
      </c>
      <c r="U109" s="105">
        <v>14041.82164556962</v>
      </c>
      <c r="V109" s="105">
        <v>14041.82164556962</v>
      </c>
      <c r="W109" s="105">
        <v>14041.82164556962</v>
      </c>
      <c r="X109" s="105">
        <v>14041.82164556962</v>
      </c>
      <c r="Y109" s="105">
        <v>14041.82164556962</v>
      </c>
      <c r="Z109" s="105">
        <v>14041.82164556962</v>
      </c>
      <c r="AA109" s="105">
        <v>14041.82164556962</v>
      </c>
      <c r="AB109" s="105">
        <v>14041.82164556962</v>
      </c>
      <c r="AC109" s="105">
        <v>14041.82164556962</v>
      </c>
      <c r="AD109" s="105">
        <v>14041.82164556962</v>
      </c>
      <c r="AE109" s="105">
        <v>14041.82164556962</v>
      </c>
      <c r="AF109" s="105">
        <v>14041.82164556962</v>
      </c>
      <c r="AG109" s="105">
        <v>14041.82164556962</v>
      </c>
      <c r="AH109" s="105">
        <v>14041.82164556962</v>
      </c>
      <c r="AI109" s="105">
        <v>15446.003810126584</v>
      </c>
      <c r="AJ109" s="105">
        <v>15446.003810126584</v>
      </c>
      <c r="AK109" s="105">
        <v>15446.003810126584</v>
      </c>
      <c r="AL109" s="105">
        <v>15446.003810126584</v>
      </c>
      <c r="AM109" s="105">
        <v>14041.82164556962</v>
      </c>
      <c r="AN109" s="105">
        <v>14041.82164556962</v>
      </c>
      <c r="AO109" s="105">
        <v>14041.82164556962</v>
      </c>
      <c r="AP109" s="105">
        <v>14041.82164556962</v>
      </c>
      <c r="AQ109" s="105">
        <v>15446.003810126584</v>
      </c>
      <c r="AR109" s="105">
        <v>15446.003810126584</v>
      </c>
      <c r="AS109" s="105">
        <v>15446.003810126584</v>
      </c>
      <c r="AT109" s="105">
        <v>15446.003810126584</v>
      </c>
      <c r="AU109" s="105">
        <v>14041.82164556962</v>
      </c>
      <c r="AV109" s="105">
        <v>14041.82164556962</v>
      </c>
      <c r="AW109" s="105">
        <v>14041.82164556962</v>
      </c>
      <c r="AX109" s="105">
        <v>14041.82164556962</v>
      </c>
    </row>
    <row r="110" spans="1:50" x14ac:dyDescent="0.2">
      <c r="B110" s="110" t="s">
        <v>14</v>
      </c>
      <c r="C110" s="105">
        <v>0</v>
      </c>
      <c r="D110" s="105">
        <v>0</v>
      </c>
      <c r="E110" s="105">
        <v>0</v>
      </c>
      <c r="F110" s="105">
        <v>0</v>
      </c>
      <c r="G110" s="105">
        <v>0</v>
      </c>
      <c r="H110" s="105">
        <v>0</v>
      </c>
      <c r="I110" s="105">
        <v>0</v>
      </c>
      <c r="J110" s="105">
        <v>0</v>
      </c>
      <c r="K110" s="105">
        <v>0</v>
      </c>
      <c r="L110" s="105">
        <v>0</v>
      </c>
      <c r="M110" s="105">
        <v>0</v>
      </c>
      <c r="N110" s="105">
        <v>0</v>
      </c>
      <c r="O110" s="105">
        <v>0</v>
      </c>
      <c r="P110" s="105">
        <v>0</v>
      </c>
      <c r="Q110" s="105">
        <v>0</v>
      </c>
      <c r="R110" s="105">
        <v>0</v>
      </c>
      <c r="S110" s="105">
        <v>0</v>
      </c>
      <c r="T110" s="105">
        <v>0</v>
      </c>
      <c r="U110" s="105">
        <v>0</v>
      </c>
      <c r="V110" s="105">
        <v>0</v>
      </c>
      <c r="W110" s="105">
        <v>0</v>
      </c>
      <c r="X110" s="105">
        <v>0</v>
      </c>
      <c r="Y110" s="105">
        <v>0</v>
      </c>
      <c r="Z110" s="105">
        <v>0</v>
      </c>
      <c r="AA110" s="105">
        <v>0</v>
      </c>
      <c r="AB110" s="105">
        <v>0</v>
      </c>
      <c r="AC110" s="105">
        <v>0</v>
      </c>
      <c r="AD110" s="105">
        <v>0</v>
      </c>
      <c r="AE110" s="105">
        <v>0</v>
      </c>
      <c r="AF110" s="105">
        <v>0</v>
      </c>
      <c r="AG110" s="105">
        <v>0</v>
      </c>
      <c r="AH110" s="105">
        <v>0</v>
      </c>
      <c r="AI110" s="105">
        <v>0</v>
      </c>
      <c r="AJ110" s="105">
        <v>0</v>
      </c>
      <c r="AK110" s="105">
        <v>0</v>
      </c>
      <c r="AL110" s="105">
        <v>0</v>
      </c>
      <c r="AM110" s="105">
        <v>0</v>
      </c>
      <c r="AN110" s="105">
        <v>0</v>
      </c>
      <c r="AO110" s="105">
        <v>0</v>
      </c>
      <c r="AP110" s="105">
        <v>0</v>
      </c>
      <c r="AQ110" s="105">
        <v>0</v>
      </c>
      <c r="AR110" s="105">
        <v>0</v>
      </c>
      <c r="AS110" s="105">
        <v>0</v>
      </c>
      <c r="AT110" s="105">
        <v>0</v>
      </c>
      <c r="AU110" s="105">
        <v>0</v>
      </c>
      <c r="AV110" s="105">
        <v>0</v>
      </c>
      <c r="AW110" s="105">
        <v>0</v>
      </c>
      <c r="AX110" s="105">
        <v>0</v>
      </c>
    </row>
    <row r="111" spans="1:50" x14ac:dyDescent="0.2">
      <c r="B111" s="110" t="s">
        <v>34</v>
      </c>
      <c r="C111" s="105">
        <v>0</v>
      </c>
      <c r="D111" s="105">
        <v>0</v>
      </c>
      <c r="E111" s="105">
        <v>0</v>
      </c>
      <c r="F111" s="105">
        <v>0</v>
      </c>
      <c r="G111" s="105">
        <v>0</v>
      </c>
      <c r="H111" s="105">
        <v>0</v>
      </c>
      <c r="I111" s="105">
        <v>0</v>
      </c>
      <c r="J111" s="105">
        <v>0</v>
      </c>
      <c r="K111" s="105">
        <v>0</v>
      </c>
      <c r="L111" s="105">
        <v>0</v>
      </c>
      <c r="M111" s="105">
        <v>0</v>
      </c>
      <c r="N111" s="105">
        <v>0</v>
      </c>
      <c r="O111" s="105">
        <v>0</v>
      </c>
      <c r="P111" s="105">
        <v>0</v>
      </c>
      <c r="Q111" s="105">
        <v>0</v>
      </c>
      <c r="R111" s="105">
        <v>0</v>
      </c>
      <c r="S111" s="105">
        <v>0</v>
      </c>
      <c r="T111" s="105">
        <v>0</v>
      </c>
      <c r="U111" s="105">
        <v>0</v>
      </c>
      <c r="V111" s="105">
        <v>0</v>
      </c>
      <c r="W111" s="105">
        <v>0</v>
      </c>
      <c r="X111" s="105">
        <v>0</v>
      </c>
      <c r="Y111" s="105">
        <v>0</v>
      </c>
      <c r="Z111" s="105">
        <v>0</v>
      </c>
      <c r="AA111" s="105">
        <v>0</v>
      </c>
      <c r="AB111" s="105">
        <v>0</v>
      </c>
      <c r="AC111" s="105">
        <v>0</v>
      </c>
      <c r="AD111" s="105">
        <v>0</v>
      </c>
      <c r="AE111" s="105">
        <v>0</v>
      </c>
      <c r="AF111" s="105">
        <v>0</v>
      </c>
      <c r="AG111" s="105">
        <v>0</v>
      </c>
      <c r="AH111" s="105">
        <v>0</v>
      </c>
      <c r="AI111" s="105">
        <v>0</v>
      </c>
      <c r="AJ111" s="105">
        <v>0</v>
      </c>
      <c r="AK111" s="105">
        <v>0</v>
      </c>
      <c r="AL111" s="105">
        <v>0</v>
      </c>
      <c r="AM111" s="105">
        <v>0</v>
      </c>
      <c r="AN111" s="105">
        <v>0</v>
      </c>
      <c r="AO111" s="105">
        <v>0</v>
      </c>
      <c r="AP111" s="105">
        <v>0</v>
      </c>
      <c r="AQ111" s="105">
        <v>0</v>
      </c>
      <c r="AR111" s="105">
        <v>0</v>
      </c>
      <c r="AS111" s="105">
        <v>0</v>
      </c>
      <c r="AT111" s="105">
        <v>0</v>
      </c>
      <c r="AU111" s="105">
        <v>0</v>
      </c>
      <c r="AV111" s="105">
        <v>0</v>
      </c>
      <c r="AW111" s="105">
        <v>0</v>
      </c>
      <c r="AX111" s="105">
        <v>0</v>
      </c>
    </row>
    <row r="112" spans="1:50" x14ac:dyDescent="0.2">
      <c r="B112" s="110" t="s">
        <v>49</v>
      </c>
      <c r="C112" s="105">
        <v>0</v>
      </c>
      <c r="D112" s="105">
        <v>0</v>
      </c>
      <c r="E112" s="105">
        <v>0</v>
      </c>
      <c r="F112" s="105">
        <v>0</v>
      </c>
      <c r="G112" s="105">
        <v>0</v>
      </c>
      <c r="H112" s="105">
        <v>0</v>
      </c>
      <c r="I112" s="105">
        <v>0</v>
      </c>
      <c r="J112" s="105">
        <v>0</v>
      </c>
      <c r="K112" s="105">
        <v>0</v>
      </c>
      <c r="L112" s="105">
        <v>0</v>
      </c>
      <c r="M112" s="105">
        <v>0</v>
      </c>
      <c r="N112" s="105">
        <v>0</v>
      </c>
      <c r="O112" s="105">
        <v>0</v>
      </c>
      <c r="P112" s="105">
        <v>0</v>
      </c>
      <c r="Q112" s="105">
        <v>0</v>
      </c>
      <c r="R112" s="105">
        <v>0</v>
      </c>
      <c r="S112" s="105">
        <v>0</v>
      </c>
      <c r="T112" s="105">
        <v>0</v>
      </c>
      <c r="U112" s="105">
        <v>0</v>
      </c>
      <c r="V112" s="105">
        <v>0</v>
      </c>
      <c r="W112" s="105">
        <v>0</v>
      </c>
      <c r="X112" s="105">
        <v>0</v>
      </c>
      <c r="Y112" s="105">
        <v>0</v>
      </c>
      <c r="Z112" s="105">
        <v>0</v>
      </c>
      <c r="AA112" s="105">
        <v>0</v>
      </c>
      <c r="AB112" s="105">
        <v>0</v>
      </c>
      <c r="AC112" s="105">
        <v>0</v>
      </c>
      <c r="AD112" s="105">
        <v>0</v>
      </c>
      <c r="AE112" s="105">
        <v>0</v>
      </c>
      <c r="AF112" s="105">
        <v>0</v>
      </c>
      <c r="AG112" s="105">
        <v>0</v>
      </c>
      <c r="AH112" s="105">
        <v>0</v>
      </c>
      <c r="AI112" s="105">
        <v>0</v>
      </c>
      <c r="AJ112" s="105">
        <v>0</v>
      </c>
      <c r="AK112" s="105">
        <v>0</v>
      </c>
      <c r="AL112" s="105">
        <v>0</v>
      </c>
      <c r="AM112" s="105">
        <v>0</v>
      </c>
      <c r="AN112" s="105">
        <v>0</v>
      </c>
      <c r="AO112" s="105">
        <v>0</v>
      </c>
      <c r="AP112" s="105">
        <v>0</v>
      </c>
      <c r="AQ112" s="105">
        <v>0</v>
      </c>
      <c r="AR112" s="105">
        <v>0</v>
      </c>
      <c r="AS112" s="105">
        <v>0</v>
      </c>
      <c r="AT112" s="105">
        <v>0</v>
      </c>
      <c r="AU112" s="105">
        <v>0</v>
      </c>
      <c r="AV112" s="105">
        <v>0</v>
      </c>
      <c r="AW112" s="105">
        <v>0</v>
      </c>
      <c r="AX112" s="105">
        <v>0</v>
      </c>
    </row>
    <row r="113" spans="1:50" x14ac:dyDescent="0.2">
      <c r="B113" s="110" t="s">
        <v>57</v>
      </c>
      <c r="C113" s="105">
        <v>5117.1665822784807</v>
      </c>
      <c r="D113" s="105">
        <v>5117.1665822784807</v>
      </c>
      <c r="E113" s="105">
        <v>5117.1665822784807</v>
      </c>
      <c r="F113" s="105">
        <v>5117.1665822784807</v>
      </c>
      <c r="G113" s="105">
        <v>5117.1665822784807</v>
      </c>
      <c r="H113" s="105">
        <v>5117.1665822784807</v>
      </c>
      <c r="I113" s="105">
        <v>5117.1665822784807</v>
      </c>
      <c r="J113" s="105">
        <v>5117.1665822784807</v>
      </c>
      <c r="K113" s="105">
        <v>4605.4499240506339</v>
      </c>
      <c r="L113" s="105">
        <v>4605.4499240506339</v>
      </c>
      <c r="M113" s="105">
        <v>4605.4499240506339</v>
      </c>
      <c r="N113" s="105">
        <v>4605.4499240506339</v>
      </c>
      <c r="O113" s="105">
        <v>5117.1665822784807</v>
      </c>
      <c r="P113" s="105">
        <v>5117.1665822784807</v>
      </c>
      <c r="Q113" s="105">
        <v>5117.1665822784807</v>
      </c>
      <c r="R113" s="105">
        <v>5117.1665822784807</v>
      </c>
      <c r="S113" s="105">
        <v>5117.1665822784807</v>
      </c>
      <c r="T113" s="105">
        <v>5117.1665822784807</v>
      </c>
      <c r="U113" s="105">
        <v>5117.1665822784807</v>
      </c>
      <c r="V113" s="105">
        <v>5117.1665822784807</v>
      </c>
      <c r="W113" s="105">
        <v>5117.1665822784807</v>
      </c>
      <c r="X113" s="105">
        <v>5117.1665822784807</v>
      </c>
      <c r="Y113" s="105">
        <v>5117.1665822784807</v>
      </c>
      <c r="Z113" s="105">
        <v>5117.1665822784807</v>
      </c>
      <c r="AA113" s="105">
        <v>5117.1665822784807</v>
      </c>
      <c r="AB113" s="105">
        <v>5117.1665822784807</v>
      </c>
      <c r="AC113" s="105">
        <v>5117.1665822784807</v>
      </c>
      <c r="AD113" s="105">
        <v>5117.1665822784807</v>
      </c>
      <c r="AE113" s="105">
        <v>5117.1665822784807</v>
      </c>
      <c r="AF113" s="105">
        <v>5117.1665822784807</v>
      </c>
      <c r="AG113" s="105">
        <v>5117.1665822784807</v>
      </c>
      <c r="AH113" s="105">
        <v>5117.1665822784807</v>
      </c>
      <c r="AI113" s="105">
        <v>5628.8832405063295</v>
      </c>
      <c r="AJ113" s="105">
        <v>5628.8832405063295</v>
      </c>
      <c r="AK113" s="105">
        <v>5628.8832405063295</v>
      </c>
      <c r="AL113" s="105">
        <v>5628.8832405063295</v>
      </c>
      <c r="AM113" s="105">
        <v>5117.1665822784807</v>
      </c>
      <c r="AN113" s="105">
        <v>5117.1665822784807</v>
      </c>
      <c r="AO113" s="105">
        <v>5117.1665822784807</v>
      </c>
      <c r="AP113" s="105">
        <v>5117.1665822784807</v>
      </c>
      <c r="AQ113" s="105">
        <v>5628.8832405063295</v>
      </c>
      <c r="AR113" s="105">
        <v>5628.8832405063295</v>
      </c>
      <c r="AS113" s="105">
        <v>5628.8832405063295</v>
      </c>
      <c r="AT113" s="105">
        <v>5628.8832405063295</v>
      </c>
      <c r="AU113" s="105">
        <v>5117.1665822784807</v>
      </c>
      <c r="AV113" s="105">
        <v>5117.1665822784807</v>
      </c>
      <c r="AW113" s="105">
        <v>5117.1665822784807</v>
      </c>
      <c r="AX113" s="105">
        <v>5117.1665822784807</v>
      </c>
    </row>
    <row r="114" spans="1:50" x14ac:dyDescent="0.2">
      <c r="B114" s="110" t="s">
        <v>70</v>
      </c>
      <c r="C114" s="105">
        <v>0</v>
      </c>
      <c r="D114" s="105">
        <v>0</v>
      </c>
      <c r="E114" s="105">
        <v>0</v>
      </c>
      <c r="F114" s="105">
        <v>0</v>
      </c>
      <c r="G114" s="105">
        <v>0</v>
      </c>
      <c r="H114" s="105">
        <v>0</v>
      </c>
      <c r="I114" s="105">
        <v>0</v>
      </c>
      <c r="J114" s="105">
        <v>0</v>
      </c>
      <c r="K114" s="105">
        <v>0</v>
      </c>
      <c r="L114" s="105">
        <v>0</v>
      </c>
      <c r="M114" s="105">
        <v>0</v>
      </c>
      <c r="N114" s="105">
        <v>0</v>
      </c>
      <c r="O114" s="105">
        <v>0</v>
      </c>
      <c r="P114" s="105">
        <v>0</v>
      </c>
      <c r="Q114" s="105">
        <v>0</v>
      </c>
      <c r="R114" s="105">
        <v>0</v>
      </c>
      <c r="S114" s="105">
        <v>0</v>
      </c>
      <c r="T114" s="105">
        <v>0</v>
      </c>
      <c r="U114" s="105">
        <v>0</v>
      </c>
      <c r="V114" s="105">
        <v>0</v>
      </c>
      <c r="W114" s="105">
        <v>0</v>
      </c>
      <c r="X114" s="105">
        <v>0</v>
      </c>
      <c r="Y114" s="105">
        <v>0</v>
      </c>
      <c r="Z114" s="105">
        <v>0</v>
      </c>
      <c r="AA114" s="105">
        <v>0</v>
      </c>
      <c r="AB114" s="105">
        <v>0</v>
      </c>
      <c r="AC114" s="105">
        <v>0</v>
      </c>
      <c r="AD114" s="105">
        <v>0</v>
      </c>
      <c r="AE114" s="105">
        <v>0</v>
      </c>
      <c r="AF114" s="105">
        <v>0</v>
      </c>
      <c r="AG114" s="105">
        <v>0</v>
      </c>
      <c r="AH114" s="105">
        <v>0</v>
      </c>
      <c r="AI114" s="105">
        <v>0</v>
      </c>
      <c r="AJ114" s="105">
        <v>0</v>
      </c>
      <c r="AK114" s="105">
        <v>0</v>
      </c>
      <c r="AL114" s="105">
        <v>0</v>
      </c>
      <c r="AM114" s="105">
        <v>0</v>
      </c>
      <c r="AN114" s="105">
        <v>0</v>
      </c>
      <c r="AO114" s="105">
        <v>0</v>
      </c>
      <c r="AP114" s="105">
        <v>0</v>
      </c>
      <c r="AQ114" s="105">
        <v>0</v>
      </c>
      <c r="AR114" s="105">
        <v>0</v>
      </c>
      <c r="AS114" s="105">
        <v>0</v>
      </c>
      <c r="AT114" s="105">
        <v>0</v>
      </c>
      <c r="AU114" s="105">
        <v>0</v>
      </c>
      <c r="AV114" s="105">
        <v>0</v>
      </c>
      <c r="AW114" s="105">
        <v>0</v>
      </c>
      <c r="AX114" s="105">
        <v>0</v>
      </c>
    </row>
    <row r="115" spans="1:50" x14ac:dyDescent="0.2">
      <c r="B115" s="105" t="s">
        <v>280</v>
      </c>
      <c r="C115" s="110">
        <f>SUM(C$107:C$114)</f>
        <v>19158.988227848102</v>
      </c>
      <c r="D115" s="110">
        <f t="shared" ref="D115:AX115" si="6">SUM(D$107:D$114)</f>
        <v>19158.988227848102</v>
      </c>
      <c r="E115" s="110">
        <f t="shared" si="6"/>
        <v>19158.988227848102</v>
      </c>
      <c r="F115" s="110">
        <f t="shared" si="6"/>
        <v>19158.988227848102</v>
      </c>
      <c r="G115" s="110">
        <f t="shared" si="6"/>
        <v>19158.988227848102</v>
      </c>
      <c r="H115" s="110">
        <f t="shared" si="6"/>
        <v>19158.988227848102</v>
      </c>
      <c r="I115" s="110">
        <f t="shared" si="6"/>
        <v>19158.988227848102</v>
      </c>
      <c r="J115" s="110">
        <f t="shared" si="6"/>
        <v>19158.988227848102</v>
      </c>
      <c r="K115" s="110">
        <f t="shared" si="6"/>
        <v>17243.089405063292</v>
      </c>
      <c r="L115" s="110">
        <f t="shared" si="6"/>
        <v>17243.089405063292</v>
      </c>
      <c r="M115" s="110">
        <f t="shared" si="6"/>
        <v>17243.089405063292</v>
      </c>
      <c r="N115" s="110">
        <f t="shared" si="6"/>
        <v>17243.089405063292</v>
      </c>
      <c r="O115" s="110">
        <f t="shared" si="6"/>
        <v>19158.988227848102</v>
      </c>
      <c r="P115" s="110">
        <f t="shared" si="6"/>
        <v>19158.988227848102</v>
      </c>
      <c r="Q115" s="110">
        <f t="shared" si="6"/>
        <v>19158.988227848102</v>
      </c>
      <c r="R115" s="110">
        <f t="shared" si="6"/>
        <v>19158.988227848102</v>
      </c>
      <c r="S115" s="110">
        <f t="shared" si="6"/>
        <v>19158.988227848102</v>
      </c>
      <c r="T115" s="110">
        <f t="shared" si="6"/>
        <v>19158.988227848102</v>
      </c>
      <c r="U115" s="110">
        <f t="shared" si="6"/>
        <v>19158.988227848102</v>
      </c>
      <c r="V115" s="110">
        <f t="shared" si="6"/>
        <v>19158.988227848102</v>
      </c>
      <c r="W115" s="110">
        <f t="shared" si="6"/>
        <v>19158.988227848102</v>
      </c>
      <c r="X115" s="110">
        <f t="shared" si="6"/>
        <v>19158.988227848102</v>
      </c>
      <c r="Y115" s="110">
        <f t="shared" si="6"/>
        <v>19158.988227848102</v>
      </c>
      <c r="Z115" s="110">
        <f t="shared" si="6"/>
        <v>19158.988227848102</v>
      </c>
      <c r="AA115" s="110">
        <f t="shared" si="6"/>
        <v>19158.988227848102</v>
      </c>
      <c r="AB115" s="110">
        <f t="shared" si="6"/>
        <v>19158.988227848102</v>
      </c>
      <c r="AC115" s="110">
        <f t="shared" si="6"/>
        <v>19158.988227848102</v>
      </c>
      <c r="AD115" s="110">
        <f t="shared" si="6"/>
        <v>19158.988227848102</v>
      </c>
      <c r="AE115" s="110">
        <f t="shared" si="6"/>
        <v>19158.988227848102</v>
      </c>
      <c r="AF115" s="110">
        <f t="shared" si="6"/>
        <v>19158.988227848102</v>
      </c>
      <c r="AG115" s="110">
        <f t="shared" si="6"/>
        <v>19158.988227848102</v>
      </c>
      <c r="AH115" s="110">
        <f t="shared" si="6"/>
        <v>19158.988227848102</v>
      </c>
      <c r="AI115" s="110">
        <f t="shared" si="6"/>
        <v>21074.887050632911</v>
      </c>
      <c r="AJ115" s="110">
        <f t="shared" si="6"/>
        <v>21074.887050632911</v>
      </c>
      <c r="AK115" s="110">
        <f t="shared" si="6"/>
        <v>21074.887050632911</v>
      </c>
      <c r="AL115" s="110">
        <f t="shared" si="6"/>
        <v>21074.887050632911</v>
      </c>
      <c r="AM115" s="110">
        <f t="shared" si="6"/>
        <v>19158.988227848102</v>
      </c>
      <c r="AN115" s="110">
        <f t="shared" si="6"/>
        <v>19158.988227848102</v>
      </c>
      <c r="AO115" s="110">
        <f t="shared" si="6"/>
        <v>19158.988227848102</v>
      </c>
      <c r="AP115" s="110">
        <f t="shared" si="6"/>
        <v>19158.988227848102</v>
      </c>
      <c r="AQ115" s="110">
        <f t="shared" si="6"/>
        <v>21074.887050632911</v>
      </c>
      <c r="AR115" s="110">
        <f t="shared" si="6"/>
        <v>21074.887050632911</v>
      </c>
      <c r="AS115" s="110">
        <f t="shared" si="6"/>
        <v>21074.887050632911</v>
      </c>
      <c r="AT115" s="110">
        <f t="shared" si="6"/>
        <v>21074.887050632911</v>
      </c>
      <c r="AU115" s="110">
        <f t="shared" si="6"/>
        <v>19158.988227848102</v>
      </c>
      <c r="AV115" s="110">
        <f t="shared" si="6"/>
        <v>19158.988227848102</v>
      </c>
      <c r="AW115" s="110">
        <f t="shared" si="6"/>
        <v>19158.988227848102</v>
      </c>
      <c r="AX115" s="110">
        <f t="shared" si="6"/>
        <v>19158.988227848102</v>
      </c>
    </row>
    <row r="116" spans="1:50" x14ac:dyDescent="0.2">
      <c r="A116" s="110" t="s">
        <v>106</v>
      </c>
      <c r="B116" s="110" t="s">
        <v>7</v>
      </c>
      <c r="C116" s="105">
        <v>16177.26</v>
      </c>
      <c r="D116" s="105">
        <v>16177.26</v>
      </c>
      <c r="E116" s="105">
        <v>16177.26</v>
      </c>
      <c r="F116" s="105">
        <v>16177.26</v>
      </c>
      <c r="G116" s="105">
        <v>16177.26</v>
      </c>
      <c r="H116" s="105">
        <v>16177.26</v>
      </c>
      <c r="I116" s="105">
        <v>16177.26</v>
      </c>
      <c r="J116" s="105">
        <v>16177.26</v>
      </c>
      <c r="K116" s="105">
        <v>17794.986000000001</v>
      </c>
      <c r="L116" s="105">
        <v>17794.986000000001</v>
      </c>
      <c r="M116" s="105">
        <v>17794.986000000001</v>
      </c>
      <c r="N116" s="105">
        <v>17794.986000000001</v>
      </c>
      <c r="O116" s="105">
        <v>16177.26</v>
      </c>
      <c r="P116" s="105">
        <v>16177.26</v>
      </c>
      <c r="Q116" s="105">
        <v>16177.26</v>
      </c>
      <c r="R116" s="105">
        <v>16177.26</v>
      </c>
      <c r="S116" s="105">
        <v>17794.986000000001</v>
      </c>
      <c r="T116" s="105">
        <v>17794.986000000001</v>
      </c>
      <c r="U116" s="105">
        <v>17794.986000000001</v>
      </c>
      <c r="V116" s="105">
        <v>17794.986000000001</v>
      </c>
      <c r="W116" s="105">
        <v>16177.26</v>
      </c>
      <c r="X116" s="105">
        <v>16177.26</v>
      </c>
      <c r="Y116" s="105">
        <v>16177.26</v>
      </c>
      <c r="Z116" s="105">
        <v>16177.26</v>
      </c>
      <c r="AA116" s="105">
        <v>17794.986000000001</v>
      </c>
      <c r="AB116" s="105">
        <v>17794.986000000001</v>
      </c>
      <c r="AC116" s="105">
        <v>17794.986000000001</v>
      </c>
      <c r="AD116" s="105">
        <v>17794.986000000001</v>
      </c>
      <c r="AE116" s="105">
        <v>16177.26</v>
      </c>
      <c r="AF116" s="105">
        <v>16177.26</v>
      </c>
      <c r="AG116" s="105">
        <v>16177.26</v>
      </c>
      <c r="AH116" s="105">
        <v>16177.26</v>
      </c>
      <c r="AI116" s="105">
        <v>16177.26</v>
      </c>
      <c r="AJ116" s="105">
        <v>16177.26</v>
      </c>
      <c r="AK116" s="105">
        <v>16177.26</v>
      </c>
      <c r="AL116" s="105">
        <v>16177.26</v>
      </c>
      <c r="AM116" s="105">
        <v>16177.26</v>
      </c>
      <c r="AN116" s="105">
        <v>16177.26</v>
      </c>
      <c r="AO116" s="105">
        <v>16177.26</v>
      </c>
      <c r="AP116" s="105">
        <v>16177.26</v>
      </c>
      <c r="AQ116" s="105">
        <v>14559.534000000003</v>
      </c>
      <c r="AR116" s="105">
        <v>14559.534000000003</v>
      </c>
      <c r="AS116" s="105">
        <v>14559.534000000003</v>
      </c>
      <c r="AT116" s="105">
        <v>14559.534000000003</v>
      </c>
      <c r="AU116" s="105">
        <v>16177.26</v>
      </c>
      <c r="AV116" s="105">
        <v>16177.26</v>
      </c>
      <c r="AW116" s="105">
        <v>16177.26</v>
      </c>
      <c r="AX116" s="105">
        <v>16177.26</v>
      </c>
    </row>
    <row r="117" spans="1:50" x14ac:dyDescent="0.2">
      <c r="B117" s="110" t="s">
        <v>8</v>
      </c>
      <c r="C117" s="105">
        <v>0</v>
      </c>
      <c r="D117" s="105">
        <v>0</v>
      </c>
      <c r="E117" s="105">
        <v>0</v>
      </c>
      <c r="F117" s="105">
        <v>0</v>
      </c>
      <c r="G117" s="105">
        <v>0</v>
      </c>
      <c r="H117" s="105">
        <v>0</v>
      </c>
      <c r="I117" s="105">
        <v>0</v>
      </c>
      <c r="J117" s="105">
        <v>0</v>
      </c>
      <c r="K117" s="105">
        <v>0</v>
      </c>
      <c r="L117" s="105">
        <v>0</v>
      </c>
      <c r="M117" s="105">
        <v>0</v>
      </c>
      <c r="N117" s="105">
        <v>0</v>
      </c>
      <c r="O117" s="105">
        <v>0</v>
      </c>
      <c r="P117" s="105">
        <v>0</v>
      </c>
      <c r="Q117" s="105">
        <v>0</v>
      </c>
      <c r="R117" s="105">
        <v>0</v>
      </c>
      <c r="S117" s="105">
        <v>0</v>
      </c>
      <c r="T117" s="105">
        <v>0</v>
      </c>
      <c r="U117" s="105">
        <v>0</v>
      </c>
      <c r="V117" s="105">
        <v>0</v>
      </c>
      <c r="W117" s="105">
        <v>0</v>
      </c>
      <c r="X117" s="105">
        <v>0</v>
      </c>
      <c r="Y117" s="105">
        <v>0</v>
      </c>
      <c r="Z117" s="105">
        <v>0</v>
      </c>
      <c r="AA117" s="105">
        <v>0</v>
      </c>
      <c r="AB117" s="105">
        <v>0</v>
      </c>
      <c r="AC117" s="105">
        <v>0</v>
      </c>
      <c r="AD117" s="105">
        <v>0</v>
      </c>
      <c r="AE117" s="105">
        <v>0</v>
      </c>
      <c r="AF117" s="105">
        <v>0</v>
      </c>
      <c r="AG117" s="105">
        <v>0</v>
      </c>
      <c r="AH117" s="105">
        <v>0</v>
      </c>
      <c r="AI117" s="105">
        <v>0</v>
      </c>
      <c r="AJ117" s="105">
        <v>0</v>
      </c>
      <c r="AK117" s="105">
        <v>0</v>
      </c>
      <c r="AL117" s="105">
        <v>0</v>
      </c>
      <c r="AM117" s="105">
        <v>0</v>
      </c>
      <c r="AN117" s="105">
        <v>0</v>
      </c>
      <c r="AO117" s="105">
        <v>0</v>
      </c>
      <c r="AP117" s="105">
        <v>0</v>
      </c>
      <c r="AQ117" s="105">
        <v>0</v>
      </c>
      <c r="AR117" s="105">
        <v>0</v>
      </c>
      <c r="AS117" s="105">
        <v>0</v>
      </c>
      <c r="AT117" s="105">
        <v>0</v>
      </c>
      <c r="AU117" s="105">
        <v>0</v>
      </c>
      <c r="AV117" s="105">
        <v>0</v>
      </c>
      <c r="AW117" s="105">
        <v>0</v>
      </c>
      <c r="AX117" s="105">
        <v>0</v>
      </c>
    </row>
    <row r="118" spans="1:50" x14ac:dyDescent="0.2">
      <c r="B118" s="110" t="s">
        <v>10</v>
      </c>
      <c r="C118" s="105">
        <v>0</v>
      </c>
      <c r="D118" s="105">
        <v>0</v>
      </c>
      <c r="E118" s="105">
        <v>0</v>
      </c>
      <c r="F118" s="105">
        <v>0</v>
      </c>
      <c r="G118" s="105">
        <v>0</v>
      </c>
      <c r="H118" s="105">
        <v>0</v>
      </c>
      <c r="I118" s="105">
        <v>0</v>
      </c>
      <c r="J118" s="105">
        <v>0</v>
      </c>
      <c r="K118" s="105">
        <v>0</v>
      </c>
      <c r="L118" s="105">
        <v>0</v>
      </c>
      <c r="M118" s="105">
        <v>0</v>
      </c>
      <c r="N118" s="105">
        <v>0</v>
      </c>
      <c r="O118" s="105">
        <v>0</v>
      </c>
      <c r="P118" s="105">
        <v>0</v>
      </c>
      <c r="Q118" s="105">
        <v>0</v>
      </c>
      <c r="R118" s="105">
        <v>0</v>
      </c>
      <c r="S118" s="105">
        <v>0</v>
      </c>
      <c r="T118" s="105">
        <v>0</v>
      </c>
      <c r="U118" s="105">
        <v>0</v>
      </c>
      <c r="V118" s="105">
        <v>0</v>
      </c>
      <c r="W118" s="105">
        <v>0</v>
      </c>
      <c r="X118" s="105">
        <v>0</v>
      </c>
      <c r="Y118" s="105">
        <v>0</v>
      </c>
      <c r="Z118" s="105">
        <v>0</v>
      </c>
      <c r="AA118" s="105">
        <v>0</v>
      </c>
      <c r="AB118" s="105">
        <v>0</v>
      </c>
      <c r="AC118" s="105">
        <v>0</v>
      </c>
      <c r="AD118" s="105">
        <v>0</v>
      </c>
      <c r="AE118" s="105">
        <v>0</v>
      </c>
      <c r="AF118" s="105">
        <v>0</v>
      </c>
      <c r="AG118" s="105">
        <v>0</v>
      </c>
      <c r="AH118" s="105">
        <v>0</v>
      </c>
      <c r="AI118" s="105">
        <v>0</v>
      </c>
      <c r="AJ118" s="105">
        <v>0</v>
      </c>
      <c r="AK118" s="105">
        <v>0</v>
      </c>
      <c r="AL118" s="105">
        <v>0</v>
      </c>
      <c r="AM118" s="105">
        <v>0</v>
      </c>
      <c r="AN118" s="105">
        <v>0</v>
      </c>
      <c r="AO118" s="105">
        <v>0</v>
      </c>
      <c r="AP118" s="105">
        <v>0</v>
      </c>
      <c r="AQ118" s="105">
        <v>0</v>
      </c>
      <c r="AR118" s="105">
        <v>0</v>
      </c>
      <c r="AS118" s="105">
        <v>0</v>
      </c>
      <c r="AT118" s="105">
        <v>0</v>
      </c>
      <c r="AU118" s="105">
        <v>0</v>
      </c>
      <c r="AV118" s="105">
        <v>0</v>
      </c>
      <c r="AW118" s="105">
        <v>0</v>
      </c>
      <c r="AX118" s="105">
        <v>0</v>
      </c>
    </row>
    <row r="119" spans="1:50" x14ac:dyDescent="0.2">
      <c r="B119" s="110" t="s">
        <v>14</v>
      </c>
      <c r="C119" s="105">
        <v>0</v>
      </c>
      <c r="D119" s="105">
        <v>0</v>
      </c>
      <c r="E119" s="105">
        <v>0</v>
      </c>
      <c r="F119" s="105">
        <v>0</v>
      </c>
      <c r="G119" s="105">
        <v>0</v>
      </c>
      <c r="H119" s="105">
        <v>0</v>
      </c>
      <c r="I119" s="105">
        <v>0</v>
      </c>
      <c r="J119" s="105">
        <v>0</v>
      </c>
      <c r="K119" s="105">
        <v>0</v>
      </c>
      <c r="L119" s="105">
        <v>0</v>
      </c>
      <c r="M119" s="105">
        <v>0</v>
      </c>
      <c r="N119" s="105">
        <v>0</v>
      </c>
      <c r="O119" s="105">
        <v>0</v>
      </c>
      <c r="P119" s="105">
        <v>0</v>
      </c>
      <c r="Q119" s="105">
        <v>0</v>
      </c>
      <c r="R119" s="105">
        <v>0</v>
      </c>
      <c r="S119" s="105">
        <v>0</v>
      </c>
      <c r="T119" s="105">
        <v>0</v>
      </c>
      <c r="U119" s="105">
        <v>0</v>
      </c>
      <c r="V119" s="105">
        <v>0</v>
      </c>
      <c r="W119" s="105">
        <v>0</v>
      </c>
      <c r="X119" s="105">
        <v>0</v>
      </c>
      <c r="Y119" s="105">
        <v>0</v>
      </c>
      <c r="Z119" s="105">
        <v>0</v>
      </c>
      <c r="AA119" s="105">
        <v>0</v>
      </c>
      <c r="AB119" s="105">
        <v>0</v>
      </c>
      <c r="AC119" s="105">
        <v>0</v>
      </c>
      <c r="AD119" s="105">
        <v>0</v>
      </c>
      <c r="AE119" s="105">
        <v>0</v>
      </c>
      <c r="AF119" s="105">
        <v>0</v>
      </c>
      <c r="AG119" s="105">
        <v>0</v>
      </c>
      <c r="AH119" s="105">
        <v>0</v>
      </c>
      <c r="AI119" s="105">
        <v>0</v>
      </c>
      <c r="AJ119" s="105">
        <v>0</v>
      </c>
      <c r="AK119" s="105">
        <v>0</v>
      </c>
      <c r="AL119" s="105">
        <v>0</v>
      </c>
      <c r="AM119" s="105">
        <v>0</v>
      </c>
      <c r="AN119" s="105">
        <v>0</v>
      </c>
      <c r="AO119" s="105">
        <v>0</v>
      </c>
      <c r="AP119" s="105">
        <v>0</v>
      </c>
      <c r="AQ119" s="105">
        <v>0</v>
      </c>
      <c r="AR119" s="105">
        <v>0</v>
      </c>
      <c r="AS119" s="105">
        <v>0</v>
      </c>
      <c r="AT119" s="105">
        <v>0</v>
      </c>
      <c r="AU119" s="105">
        <v>0</v>
      </c>
      <c r="AV119" s="105">
        <v>0</v>
      </c>
      <c r="AW119" s="105">
        <v>0</v>
      </c>
      <c r="AX119" s="105">
        <v>0</v>
      </c>
    </row>
    <row r="120" spans="1:50" x14ac:dyDescent="0.2">
      <c r="B120" s="110" t="s">
        <v>34</v>
      </c>
      <c r="C120" s="105">
        <v>11469.92</v>
      </c>
      <c r="D120" s="105">
        <v>11469.92</v>
      </c>
      <c r="E120" s="105">
        <v>11469.92</v>
      </c>
      <c r="F120" s="105">
        <v>11469.92</v>
      </c>
      <c r="G120" s="105">
        <v>11469.92</v>
      </c>
      <c r="H120" s="105">
        <v>11469.92</v>
      </c>
      <c r="I120" s="105">
        <v>11469.92</v>
      </c>
      <c r="J120" s="105">
        <v>11469.92</v>
      </c>
      <c r="K120" s="105">
        <v>12616.912000000002</v>
      </c>
      <c r="L120" s="105">
        <v>12616.912000000002</v>
      </c>
      <c r="M120" s="105">
        <v>12616.912000000002</v>
      </c>
      <c r="N120" s="105">
        <v>12616.912000000002</v>
      </c>
      <c r="O120" s="105">
        <v>11469.92</v>
      </c>
      <c r="P120" s="105">
        <v>11469.92</v>
      </c>
      <c r="Q120" s="105">
        <v>11469.92</v>
      </c>
      <c r="R120" s="105">
        <v>11469.92</v>
      </c>
      <c r="S120" s="105">
        <v>12616.912000000002</v>
      </c>
      <c r="T120" s="105">
        <v>12616.912000000002</v>
      </c>
      <c r="U120" s="105">
        <v>12616.912000000002</v>
      </c>
      <c r="V120" s="105">
        <v>12616.912000000002</v>
      </c>
      <c r="W120" s="105">
        <v>11469.92</v>
      </c>
      <c r="X120" s="105">
        <v>11469.92</v>
      </c>
      <c r="Y120" s="105">
        <v>11469.92</v>
      </c>
      <c r="Z120" s="105">
        <v>11469.92</v>
      </c>
      <c r="AA120" s="105">
        <v>12616.912000000002</v>
      </c>
      <c r="AB120" s="105">
        <v>12616.912000000002</v>
      </c>
      <c r="AC120" s="105">
        <v>12616.912000000002</v>
      </c>
      <c r="AD120" s="105">
        <v>12616.912000000002</v>
      </c>
      <c r="AE120" s="105">
        <v>11469.92</v>
      </c>
      <c r="AF120" s="105">
        <v>11469.92</v>
      </c>
      <c r="AG120" s="105">
        <v>11469.92</v>
      </c>
      <c r="AH120" s="105">
        <v>11469.92</v>
      </c>
      <c r="AI120" s="105">
        <v>11469.92</v>
      </c>
      <c r="AJ120" s="105">
        <v>11469.92</v>
      </c>
      <c r="AK120" s="105">
        <v>11469.92</v>
      </c>
      <c r="AL120" s="105">
        <v>11469.92</v>
      </c>
      <c r="AM120" s="105">
        <v>11469.92</v>
      </c>
      <c r="AN120" s="105">
        <v>11469.92</v>
      </c>
      <c r="AO120" s="105">
        <v>11469.92</v>
      </c>
      <c r="AP120" s="105">
        <v>11469.92</v>
      </c>
      <c r="AQ120" s="105">
        <v>10322.928</v>
      </c>
      <c r="AR120" s="105">
        <v>10322.928</v>
      </c>
      <c r="AS120" s="105">
        <v>10322.928</v>
      </c>
      <c r="AT120" s="105">
        <v>10322.928</v>
      </c>
      <c r="AU120" s="105">
        <v>11469.92</v>
      </c>
      <c r="AV120" s="105">
        <v>11469.92</v>
      </c>
      <c r="AW120" s="105">
        <v>11469.92</v>
      </c>
      <c r="AX120" s="105">
        <v>11469.92</v>
      </c>
    </row>
    <row r="121" spans="1:50" x14ac:dyDescent="0.2">
      <c r="B121" s="110" t="s">
        <v>49</v>
      </c>
      <c r="C121" s="105">
        <v>0</v>
      </c>
      <c r="D121" s="105">
        <v>0</v>
      </c>
      <c r="E121" s="105">
        <v>0</v>
      </c>
      <c r="F121" s="105">
        <v>0</v>
      </c>
      <c r="G121" s="105">
        <v>0</v>
      </c>
      <c r="H121" s="105">
        <v>0</v>
      </c>
      <c r="I121" s="105">
        <v>0</v>
      </c>
      <c r="J121" s="105">
        <v>0</v>
      </c>
      <c r="K121" s="105">
        <v>0</v>
      </c>
      <c r="L121" s="105">
        <v>0</v>
      </c>
      <c r="M121" s="105">
        <v>0</v>
      </c>
      <c r="N121" s="105">
        <v>0</v>
      </c>
      <c r="O121" s="105">
        <v>0</v>
      </c>
      <c r="P121" s="105">
        <v>0</v>
      </c>
      <c r="Q121" s="105">
        <v>0</v>
      </c>
      <c r="R121" s="105">
        <v>0</v>
      </c>
      <c r="S121" s="105">
        <v>0</v>
      </c>
      <c r="T121" s="105">
        <v>0</v>
      </c>
      <c r="U121" s="105">
        <v>0</v>
      </c>
      <c r="V121" s="105">
        <v>0</v>
      </c>
      <c r="W121" s="105">
        <v>0</v>
      </c>
      <c r="X121" s="105">
        <v>0</v>
      </c>
      <c r="Y121" s="105">
        <v>0</v>
      </c>
      <c r="Z121" s="105">
        <v>0</v>
      </c>
      <c r="AA121" s="105">
        <v>0</v>
      </c>
      <c r="AB121" s="105">
        <v>0</v>
      </c>
      <c r="AC121" s="105">
        <v>0</v>
      </c>
      <c r="AD121" s="105">
        <v>0</v>
      </c>
      <c r="AE121" s="105">
        <v>0</v>
      </c>
      <c r="AF121" s="105">
        <v>0</v>
      </c>
      <c r="AG121" s="105">
        <v>0</v>
      </c>
      <c r="AH121" s="105">
        <v>0</v>
      </c>
      <c r="AI121" s="105">
        <v>0</v>
      </c>
      <c r="AJ121" s="105">
        <v>0</v>
      </c>
      <c r="AK121" s="105">
        <v>0</v>
      </c>
      <c r="AL121" s="105">
        <v>0</v>
      </c>
      <c r="AM121" s="105">
        <v>0</v>
      </c>
      <c r="AN121" s="105">
        <v>0</v>
      </c>
      <c r="AO121" s="105">
        <v>0</v>
      </c>
      <c r="AP121" s="105">
        <v>0</v>
      </c>
      <c r="AQ121" s="105">
        <v>0</v>
      </c>
      <c r="AR121" s="105">
        <v>0</v>
      </c>
      <c r="AS121" s="105">
        <v>0</v>
      </c>
      <c r="AT121" s="105">
        <v>0</v>
      </c>
      <c r="AU121" s="105">
        <v>0</v>
      </c>
      <c r="AV121" s="105">
        <v>0</v>
      </c>
      <c r="AW121" s="105">
        <v>0</v>
      </c>
      <c r="AX121" s="105">
        <v>0</v>
      </c>
    </row>
    <row r="122" spans="1:50" x14ac:dyDescent="0.2">
      <c r="B122" s="110" t="s">
        <v>57</v>
      </c>
      <c r="C122" s="105">
        <v>0</v>
      </c>
      <c r="D122" s="105">
        <v>0</v>
      </c>
      <c r="E122" s="105">
        <v>0</v>
      </c>
      <c r="F122" s="105">
        <v>0</v>
      </c>
      <c r="G122" s="105">
        <v>0</v>
      </c>
      <c r="H122" s="105">
        <v>0</v>
      </c>
      <c r="I122" s="105">
        <v>0</v>
      </c>
      <c r="J122" s="105">
        <v>0</v>
      </c>
      <c r="K122" s="105">
        <v>0</v>
      </c>
      <c r="L122" s="105">
        <v>0</v>
      </c>
      <c r="M122" s="105">
        <v>0</v>
      </c>
      <c r="N122" s="105">
        <v>0</v>
      </c>
      <c r="O122" s="105">
        <v>0</v>
      </c>
      <c r="P122" s="105">
        <v>0</v>
      </c>
      <c r="Q122" s="105">
        <v>0</v>
      </c>
      <c r="R122" s="105">
        <v>0</v>
      </c>
      <c r="S122" s="105">
        <v>0</v>
      </c>
      <c r="T122" s="105">
        <v>0</v>
      </c>
      <c r="U122" s="105">
        <v>0</v>
      </c>
      <c r="V122" s="105">
        <v>0</v>
      </c>
      <c r="W122" s="105">
        <v>0</v>
      </c>
      <c r="X122" s="105">
        <v>0</v>
      </c>
      <c r="Y122" s="105">
        <v>0</v>
      </c>
      <c r="Z122" s="105">
        <v>0</v>
      </c>
      <c r="AA122" s="105">
        <v>0</v>
      </c>
      <c r="AB122" s="105">
        <v>0</v>
      </c>
      <c r="AC122" s="105">
        <v>0</v>
      </c>
      <c r="AD122" s="105">
        <v>0</v>
      </c>
      <c r="AE122" s="105">
        <v>0</v>
      </c>
      <c r="AF122" s="105">
        <v>0</v>
      </c>
      <c r="AG122" s="105">
        <v>0</v>
      </c>
      <c r="AH122" s="105">
        <v>0</v>
      </c>
      <c r="AI122" s="105">
        <v>0</v>
      </c>
      <c r="AJ122" s="105">
        <v>0</v>
      </c>
      <c r="AK122" s="105">
        <v>0</v>
      </c>
      <c r="AL122" s="105">
        <v>0</v>
      </c>
      <c r="AM122" s="105">
        <v>0</v>
      </c>
      <c r="AN122" s="105">
        <v>0</v>
      </c>
      <c r="AO122" s="105">
        <v>0</v>
      </c>
      <c r="AP122" s="105">
        <v>0</v>
      </c>
      <c r="AQ122" s="105">
        <v>0</v>
      </c>
      <c r="AR122" s="105">
        <v>0</v>
      </c>
      <c r="AS122" s="105">
        <v>0</v>
      </c>
      <c r="AT122" s="105">
        <v>0</v>
      </c>
      <c r="AU122" s="105">
        <v>0</v>
      </c>
      <c r="AV122" s="105">
        <v>0</v>
      </c>
      <c r="AW122" s="105">
        <v>0</v>
      </c>
      <c r="AX122" s="105">
        <v>0</v>
      </c>
    </row>
    <row r="123" spans="1:50" x14ac:dyDescent="0.2">
      <c r="B123" s="110" t="s">
        <v>70</v>
      </c>
      <c r="C123" s="105">
        <v>0</v>
      </c>
      <c r="D123" s="105">
        <v>0</v>
      </c>
      <c r="E123" s="105">
        <v>0</v>
      </c>
      <c r="F123" s="105">
        <v>0</v>
      </c>
      <c r="G123" s="105">
        <v>0</v>
      </c>
      <c r="H123" s="105">
        <v>0</v>
      </c>
      <c r="I123" s="105">
        <v>0</v>
      </c>
      <c r="J123" s="105">
        <v>0</v>
      </c>
      <c r="K123" s="105">
        <v>0</v>
      </c>
      <c r="L123" s="105">
        <v>0</v>
      </c>
      <c r="M123" s="105">
        <v>0</v>
      </c>
      <c r="N123" s="105">
        <v>0</v>
      </c>
      <c r="O123" s="105">
        <v>0</v>
      </c>
      <c r="P123" s="105">
        <v>0</v>
      </c>
      <c r="Q123" s="105">
        <v>0</v>
      </c>
      <c r="R123" s="105">
        <v>0</v>
      </c>
      <c r="S123" s="105">
        <v>0</v>
      </c>
      <c r="T123" s="105">
        <v>0</v>
      </c>
      <c r="U123" s="105">
        <v>0</v>
      </c>
      <c r="V123" s="105">
        <v>0</v>
      </c>
      <c r="W123" s="105">
        <v>0</v>
      </c>
      <c r="X123" s="105">
        <v>0</v>
      </c>
      <c r="Y123" s="105">
        <v>0</v>
      </c>
      <c r="Z123" s="105">
        <v>0</v>
      </c>
      <c r="AA123" s="105">
        <v>0</v>
      </c>
      <c r="AB123" s="105">
        <v>0</v>
      </c>
      <c r="AC123" s="105">
        <v>0</v>
      </c>
      <c r="AD123" s="105">
        <v>0</v>
      </c>
      <c r="AE123" s="105">
        <v>0</v>
      </c>
      <c r="AF123" s="105">
        <v>0</v>
      </c>
      <c r="AG123" s="105">
        <v>0</v>
      </c>
      <c r="AH123" s="105">
        <v>0</v>
      </c>
      <c r="AI123" s="105">
        <v>0</v>
      </c>
      <c r="AJ123" s="105">
        <v>0</v>
      </c>
      <c r="AK123" s="105">
        <v>0</v>
      </c>
      <c r="AL123" s="105">
        <v>0</v>
      </c>
      <c r="AM123" s="105">
        <v>0</v>
      </c>
      <c r="AN123" s="105">
        <v>0</v>
      </c>
      <c r="AO123" s="105">
        <v>0</v>
      </c>
      <c r="AP123" s="105">
        <v>0</v>
      </c>
      <c r="AQ123" s="105">
        <v>0</v>
      </c>
      <c r="AR123" s="105">
        <v>0</v>
      </c>
      <c r="AS123" s="105">
        <v>0</v>
      </c>
      <c r="AT123" s="105">
        <v>0</v>
      </c>
      <c r="AU123" s="105">
        <v>0</v>
      </c>
      <c r="AV123" s="105">
        <v>0</v>
      </c>
      <c r="AW123" s="105">
        <v>0</v>
      </c>
      <c r="AX123" s="105">
        <v>0</v>
      </c>
    </row>
    <row r="124" spans="1:50" x14ac:dyDescent="0.2">
      <c r="B124" s="105" t="s">
        <v>280</v>
      </c>
      <c r="C124" s="110">
        <f>SUM(C$116:C$123)</f>
        <v>27647.18</v>
      </c>
      <c r="D124" s="110">
        <f t="shared" ref="D124:AX124" si="7">SUM(D$116:D$123)</f>
        <v>27647.18</v>
      </c>
      <c r="E124" s="110">
        <f t="shared" si="7"/>
        <v>27647.18</v>
      </c>
      <c r="F124" s="110">
        <f t="shared" si="7"/>
        <v>27647.18</v>
      </c>
      <c r="G124" s="110">
        <f t="shared" si="7"/>
        <v>27647.18</v>
      </c>
      <c r="H124" s="110">
        <f t="shared" si="7"/>
        <v>27647.18</v>
      </c>
      <c r="I124" s="110">
        <f t="shared" si="7"/>
        <v>27647.18</v>
      </c>
      <c r="J124" s="110">
        <f t="shared" si="7"/>
        <v>27647.18</v>
      </c>
      <c r="K124" s="110">
        <f t="shared" si="7"/>
        <v>30411.898000000001</v>
      </c>
      <c r="L124" s="110">
        <f t="shared" si="7"/>
        <v>30411.898000000001</v>
      </c>
      <c r="M124" s="110">
        <f t="shared" si="7"/>
        <v>30411.898000000001</v>
      </c>
      <c r="N124" s="110">
        <f t="shared" si="7"/>
        <v>30411.898000000001</v>
      </c>
      <c r="O124" s="110">
        <f t="shared" si="7"/>
        <v>27647.18</v>
      </c>
      <c r="P124" s="110">
        <f t="shared" si="7"/>
        <v>27647.18</v>
      </c>
      <c r="Q124" s="110">
        <f t="shared" si="7"/>
        <v>27647.18</v>
      </c>
      <c r="R124" s="110">
        <f t="shared" si="7"/>
        <v>27647.18</v>
      </c>
      <c r="S124" s="110">
        <f t="shared" si="7"/>
        <v>30411.898000000001</v>
      </c>
      <c r="T124" s="110">
        <f t="shared" si="7"/>
        <v>30411.898000000001</v>
      </c>
      <c r="U124" s="110">
        <f t="shared" si="7"/>
        <v>30411.898000000001</v>
      </c>
      <c r="V124" s="110">
        <f t="shared" si="7"/>
        <v>30411.898000000001</v>
      </c>
      <c r="W124" s="110">
        <f t="shared" si="7"/>
        <v>27647.18</v>
      </c>
      <c r="X124" s="110">
        <f t="shared" si="7"/>
        <v>27647.18</v>
      </c>
      <c r="Y124" s="110">
        <f t="shared" si="7"/>
        <v>27647.18</v>
      </c>
      <c r="Z124" s="110">
        <f t="shared" si="7"/>
        <v>27647.18</v>
      </c>
      <c r="AA124" s="110">
        <f t="shared" si="7"/>
        <v>30411.898000000001</v>
      </c>
      <c r="AB124" s="110">
        <f t="shared" si="7"/>
        <v>30411.898000000001</v>
      </c>
      <c r="AC124" s="110">
        <f t="shared" si="7"/>
        <v>30411.898000000001</v>
      </c>
      <c r="AD124" s="110">
        <f t="shared" si="7"/>
        <v>30411.898000000001</v>
      </c>
      <c r="AE124" s="110">
        <f t="shared" si="7"/>
        <v>27647.18</v>
      </c>
      <c r="AF124" s="110">
        <f t="shared" si="7"/>
        <v>27647.18</v>
      </c>
      <c r="AG124" s="110">
        <f t="shared" si="7"/>
        <v>27647.18</v>
      </c>
      <c r="AH124" s="110">
        <f t="shared" si="7"/>
        <v>27647.18</v>
      </c>
      <c r="AI124" s="110">
        <f t="shared" si="7"/>
        <v>27647.18</v>
      </c>
      <c r="AJ124" s="110">
        <f t="shared" si="7"/>
        <v>27647.18</v>
      </c>
      <c r="AK124" s="110">
        <f t="shared" si="7"/>
        <v>27647.18</v>
      </c>
      <c r="AL124" s="110">
        <f t="shared" si="7"/>
        <v>27647.18</v>
      </c>
      <c r="AM124" s="110">
        <f t="shared" si="7"/>
        <v>27647.18</v>
      </c>
      <c r="AN124" s="110">
        <f t="shared" si="7"/>
        <v>27647.18</v>
      </c>
      <c r="AO124" s="110">
        <f t="shared" si="7"/>
        <v>27647.18</v>
      </c>
      <c r="AP124" s="110">
        <f t="shared" si="7"/>
        <v>27647.18</v>
      </c>
      <c r="AQ124" s="110">
        <f t="shared" si="7"/>
        <v>24882.462000000003</v>
      </c>
      <c r="AR124" s="110">
        <f t="shared" si="7"/>
        <v>24882.462000000003</v>
      </c>
      <c r="AS124" s="110">
        <f t="shared" si="7"/>
        <v>24882.462000000003</v>
      </c>
      <c r="AT124" s="110">
        <f t="shared" si="7"/>
        <v>24882.462000000003</v>
      </c>
      <c r="AU124" s="110">
        <f t="shared" si="7"/>
        <v>27647.18</v>
      </c>
      <c r="AV124" s="110">
        <f t="shared" si="7"/>
        <v>27647.18</v>
      </c>
      <c r="AW124" s="110">
        <f t="shared" si="7"/>
        <v>27647.18</v>
      </c>
      <c r="AX124" s="110">
        <f t="shared" si="7"/>
        <v>27647.18</v>
      </c>
    </row>
    <row r="125" spans="1:50" x14ac:dyDescent="0.2">
      <c r="A125" s="110" t="s">
        <v>107</v>
      </c>
      <c r="B125" s="110" t="s">
        <v>7</v>
      </c>
      <c r="C125" s="105">
        <v>0</v>
      </c>
      <c r="D125" s="105">
        <v>0</v>
      </c>
      <c r="E125" s="105">
        <v>0</v>
      </c>
      <c r="F125" s="105">
        <v>0</v>
      </c>
      <c r="G125" s="105">
        <v>0</v>
      </c>
      <c r="H125" s="105">
        <v>0</v>
      </c>
      <c r="I125" s="105">
        <v>0</v>
      </c>
      <c r="J125" s="105">
        <v>0</v>
      </c>
      <c r="K125" s="105">
        <v>0</v>
      </c>
      <c r="L125" s="105">
        <v>0</v>
      </c>
      <c r="M125" s="105">
        <v>0</v>
      </c>
      <c r="N125" s="105">
        <v>0</v>
      </c>
      <c r="O125" s="105">
        <v>0</v>
      </c>
      <c r="P125" s="105">
        <v>0</v>
      </c>
      <c r="Q125" s="105">
        <v>0</v>
      </c>
      <c r="R125" s="105">
        <v>0</v>
      </c>
      <c r="S125" s="105">
        <v>0</v>
      </c>
      <c r="T125" s="105">
        <v>0</v>
      </c>
      <c r="U125" s="105">
        <v>0</v>
      </c>
      <c r="V125" s="105">
        <v>0</v>
      </c>
      <c r="W125" s="105">
        <v>0</v>
      </c>
      <c r="X125" s="105">
        <v>0</v>
      </c>
      <c r="Y125" s="105">
        <v>0</v>
      </c>
      <c r="Z125" s="105">
        <v>0</v>
      </c>
      <c r="AA125" s="105">
        <v>0</v>
      </c>
      <c r="AB125" s="105">
        <v>0</v>
      </c>
      <c r="AC125" s="105">
        <v>0</v>
      </c>
      <c r="AD125" s="105">
        <v>0</v>
      </c>
      <c r="AE125" s="105">
        <v>0</v>
      </c>
      <c r="AF125" s="105">
        <v>0</v>
      </c>
      <c r="AG125" s="105">
        <v>0</v>
      </c>
      <c r="AH125" s="105">
        <v>0</v>
      </c>
      <c r="AI125" s="105">
        <v>0</v>
      </c>
      <c r="AJ125" s="105">
        <v>0</v>
      </c>
      <c r="AK125" s="105">
        <v>0</v>
      </c>
      <c r="AL125" s="105">
        <v>0</v>
      </c>
      <c r="AM125" s="105">
        <v>0</v>
      </c>
      <c r="AN125" s="105">
        <v>0</v>
      </c>
      <c r="AO125" s="105">
        <v>0</v>
      </c>
      <c r="AP125" s="105">
        <v>0</v>
      </c>
      <c r="AQ125" s="105">
        <v>0</v>
      </c>
      <c r="AR125" s="105">
        <v>0</v>
      </c>
      <c r="AS125" s="105">
        <v>0</v>
      </c>
      <c r="AT125" s="105">
        <v>0</v>
      </c>
      <c r="AU125" s="105">
        <v>0</v>
      </c>
      <c r="AV125" s="105">
        <v>0</v>
      </c>
      <c r="AW125" s="105">
        <v>0</v>
      </c>
      <c r="AX125" s="105">
        <v>0</v>
      </c>
    </row>
    <row r="126" spans="1:50" x14ac:dyDescent="0.2">
      <c r="B126" s="110" t="s">
        <v>8</v>
      </c>
      <c r="C126" s="105">
        <v>0</v>
      </c>
      <c r="D126" s="105">
        <v>0</v>
      </c>
      <c r="E126" s="105">
        <v>0</v>
      </c>
      <c r="F126" s="105">
        <v>0</v>
      </c>
      <c r="G126" s="105">
        <v>0</v>
      </c>
      <c r="H126" s="105">
        <v>0</v>
      </c>
      <c r="I126" s="105">
        <v>0</v>
      </c>
      <c r="J126" s="105">
        <v>0</v>
      </c>
      <c r="K126" s="105">
        <v>0</v>
      </c>
      <c r="L126" s="105">
        <v>0</v>
      </c>
      <c r="M126" s="105">
        <v>0</v>
      </c>
      <c r="N126" s="105">
        <v>0</v>
      </c>
      <c r="O126" s="105">
        <v>0</v>
      </c>
      <c r="P126" s="105">
        <v>0</v>
      </c>
      <c r="Q126" s="105">
        <v>0</v>
      </c>
      <c r="R126" s="105">
        <v>0</v>
      </c>
      <c r="S126" s="105">
        <v>0</v>
      </c>
      <c r="T126" s="105">
        <v>0</v>
      </c>
      <c r="U126" s="105">
        <v>0</v>
      </c>
      <c r="V126" s="105">
        <v>0</v>
      </c>
      <c r="W126" s="105">
        <v>0</v>
      </c>
      <c r="X126" s="105">
        <v>0</v>
      </c>
      <c r="Y126" s="105">
        <v>0</v>
      </c>
      <c r="Z126" s="105">
        <v>0</v>
      </c>
      <c r="AA126" s="105">
        <v>0</v>
      </c>
      <c r="AB126" s="105">
        <v>0</v>
      </c>
      <c r="AC126" s="105">
        <v>0</v>
      </c>
      <c r="AD126" s="105">
        <v>0</v>
      </c>
      <c r="AE126" s="105">
        <v>0</v>
      </c>
      <c r="AF126" s="105">
        <v>0</v>
      </c>
      <c r="AG126" s="105">
        <v>0</v>
      </c>
      <c r="AH126" s="105">
        <v>0</v>
      </c>
      <c r="AI126" s="105">
        <v>0</v>
      </c>
      <c r="AJ126" s="105">
        <v>0</v>
      </c>
      <c r="AK126" s="105">
        <v>0</v>
      </c>
      <c r="AL126" s="105">
        <v>0</v>
      </c>
      <c r="AM126" s="105">
        <v>0</v>
      </c>
      <c r="AN126" s="105">
        <v>0</v>
      </c>
      <c r="AO126" s="105">
        <v>0</v>
      </c>
      <c r="AP126" s="105">
        <v>0</v>
      </c>
      <c r="AQ126" s="105">
        <v>0</v>
      </c>
      <c r="AR126" s="105">
        <v>0</v>
      </c>
      <c r="AS126" s="105">
        <v>0</v>
      </c>
      <c r="AT126" s="105">
        <v>0</v>
      </c>
      <c r="AU126" s="105">
        <v>0</v>
      </c>
      <c r="AV126" s="105">
        <v>0</v>
      </c>
      <c r="AW126" s="105">
        <v>0</v>
      </c>
      <c r="AX126" s="105">
        <v>0</v>
      </c>
    </row>
    <row r="127" spans="1:50" x14ac:dyDescent="0.2">
      <c r="B127" s="110" t="s">
        <v>10</v>
      </c>
      <c r="C127" s="105">
        <v>0</v>
      </c>
      <c r="D127" s="105">
        <v>0</v>
      </c>
      <c r="E127" s="105">
        <v>0</v>
      </c>
      <c r="F127" s="105">
        <v>0</v>
      </c>
      <c r="G127" s="105">
        <v>0</v>
      </c>
      <c r="H127" s="105">
        <v>0</v>
      </c>
      <c r="I127" s="105">
        <v>0</v>
      </c>
      <c r="J127" s="105">
        <v>0</v>
      </c>
      <c r="K127" s="105">
        <v>0</v>
      </c>
      <c r="L127" s="105">
        <v>0</v>
      </c>
      <c r="M127" s="105">
        <v>0</v>
      </c>
      <c r="N127" s="105">
        <v>0</v>
      </c>
      <c r="O127" s="105">
        <v>0</v>
      </c>
      <c r="P127" s="105">
        <v>0</v>
      </c>
      <c r="Q127" s="105">
        <v>0</v>
      </c>
      <c r="R127" s="105">
        <v>0</v>
      </c>
      <c r="S127" s="105">
        <v>0</v>
      </c>
      <c r="T127" s="105">
        <v>0</v>
      </c>
      <c r="U127" s="105">
        <v>0</v>
      </c>
      <c r="V127" s="105">
        <v>0</v>
      </c>
      <c r="W127" s="105">
        <v>0</v>
      </c>
      <c r="X127" s="105">
        <v>0</v>
      </c>
      <c r="Y127" s="105">
        <v>0</v>
      </c>
      <c r="Z127" s="105">
        <v>0</v>
      </c>
      <c r="AA127" s="105">
        <v>0</v>
      </c>
      <c r="AB127" s="105">
        <v>0</v>
      </c>
      <c r="AC127" s="105">
        <v>0</v>
      </c>
      <c r="AD127" s="105">
        <v>0</v>
      </c>
      <c r="AE127" s="105">
        <v>0</v>
      </c>
      <c r="AF127" s="105">
        <v>0</v>
      </c>
      <c r="AG127" s="105">
        <v>0</v>
      </c>
      <c r="AH127" s="105">
        <v>0</v>
      </c>
      <c r="AI127" s="105">
        <v>0</v>
      </c>
      <c r="AJ127" s="105">
        <v>0</v>
      </c>
      <c r="AK127" s="105">
        <v>0</v>
      </c>
      <c r="AL127" s="105">
        <v>0</v>
      </c>
      <c r="AM127" s="105">
        <v>0</v>
      </c>
      <c r="AN127" s="105">
        <v>0</v>
      </c>
      <c r="AO127" s="105">
        <v>0</v>
      </c>
      <c r="AP127" s="105">
        <v>0</v>
      </c>
      <c r="AQ127" s="105">
        <v>0</v>
      </c>
      <c r="AR127" s="105">
        <v>0</v>
      </c>
      <c r="AS127" s="105">
        <v>0</v>
      </c>
      <c r="AT127" s="105">
        <v>0</v>
      </c>
      <c r="AU127" s="105">
        <v>0</v>
      </c>
      <c r="AV127" s="105">
        <v>0</v>
      </c>
      <c r="AW127" s="105">
        <v>0</v>
      </c>
      <c r="AX127" s="105">
        <v>0</v>
      </c>
    </row>
    <row r="128" spans="1:50" x14ac:dyDescent="0.2">
      <c r="B128" s="110" t="s">
        <v>14</v>
      </c>
      <c r="C128" s="105">
        <v>0</v>
      </c>
      <c r="D128" s="105">
        <v>0</v>
      </c>
      <c r="E128" s="105">
        <v>0</v>
      </c>
      <c r="F128" s="105">
        <v>0</v>
      </c>
      <c r="G128" s="105">
        <v>0</v>
      </c>
      <c r="H128" s="105">
        <v>0</v>
      </c>
      <c r="I128" s="105">
        <v>0</v>
      </c>
      <c r="J128" s="105">
        <v>0</v>
      </c>
      <c r="K128" s="105">
        <v>0</v>
      </c>
      <c r="L128" s="105">
        <v>0</v>
      </c>
      <c r="M128" s="105">
        <v>0</v>
      </c>
      <c r="N128" s="105">
        <v>0</v>
      </c>
      <c r="O128" s="105">
        <v>0</v>
      </c>
      <c r="P128" s="105">
        <v>0</v>
      </c>
      <c r="Q128" s="105">
        <v>0</v>
      </c>
      <c r="R128" s="105">
        <v>0</v>
      </c>
      <c r="S128" s="105">
        <v>0</v>
      </c>
      <c r="T128" s="105">
        <v>0</v>
      </c>
      <c r="U128" s="105">
        <v>0</v>
      </c>
      <c r="V128" s="105">
        <v>0</v>
      </c>
      <c r="W128" s="105">
        <v>0</v>
      </c>
      <c r="X128" s="105">
        <v>0</v>
      </c>
      <c r="Y128" s="105">
        <v>0</v>
      </c>
      <c r="Z128" s="105">
        <v>0</v>
      </c>
      <c r="AA128" s="105">
        <v>0</v>
      </c>
      <c r="AB128" s="105">
        <v>0</v>
      </c>
      <c r="AC128" s="105">
        <v>0</v>
      </c>
      <c r="AD128" s="105">
        <v>0</v>
      </c>
      <c r="AE128" s="105">
        <v>0</v>
      </c>
      <c r="AF128" s="105">
        <v>0</v>
      </c>
      <c r="AG128" s="105">
        <v>0</v>
      </c>
      <c r="AH128" s="105">
        <v>0</v>
      </c>
      <c r="AI128" s="105">
        <v>0</v>
      </c>
      <c r="AJ128" s="105">
        <v>0</v>
      </c>
      <c r="AK128" s="105">
        <v>0</v>
      </c>
      <c r="AL128" s="105">
        <v>0</v>
      </c>
      <c r="AM128" s="105">
        <v>0</v>
      </c>
      <c r="AN128" s="105">
        <v>0</v>
      </c>
      <c r="AO128" s="105">
        <v>0</v>
      </c>
      <c r="AP128" s="105">
        <v>0</v>
      </c>
      <c r="AQ128" s="105">
        <v>0</v>
      </c>
      <c r="AR128" s="105">
        <v>0</v>
      </c>
      <c r="AS128" s="105">
        <v>0</v>
      </c>
      <c r="AT128" s="105">
        <v>0</v>
      </c>
      <c r="AU128" s="105">
        <v>0</v>
      </c>
      <c r="AV128" s="105">
        <v>0</v>
      </c>
      <c r="AW128" s="105">
        <v>0</v>
      </c>
      <c r="AX128" s="105">
        <v>0</v>
      </c>
    </row>
    <row r="129" spans="1:50" x14ac:dyDescent="0.2">
      <c r="B129" s="110" t="s">
        <v>34</v>
      </c>
      <c r="C129" s="105">
        <v>0</v>
      </c>
      <c r="D129" s="105">
        <v>0</v>
      </c>
      <c r="E129" s="105">
        <v>0</v>
      </c>
      <c r="F129" s="105">
        <v>0</v>
      </c>
      <c r="G129" s="105">
        <v>0</v>
      </c>
      <c r="H129" s="105">
        <v>0</v>
      </c>
      <c r="I129" s="105">
        <v>0</v>
      </c>
      <c r="J129" s="105">
        <v>0</v>
      </c>
      <c r="K129" s="105">
        <v>0</v>
      </c>
      <c r="L129" s="105">
        <v>0</v>
      </c>
      <c r="M129" s="105">
        <v>0</v>
      </c>
      <c r="N129" s="105">
        <v>0</v>
      </c>
      <c r="O129" s="105">
        <v>0</v>
      </c>
      <c r="P129" s="105">
        <v>0</v>
      </c>
      <c r="Q129" s="105">
        <v>0</v>
      </c>
      <c r="R129" s="105">
        <v>0</v>
      </c>
      <c r="S129" s="105">
        <v>0</v>
      </c>
      <c r="T129" s="105">
        <v>0</v>
      </c>
      <c r="U129" s="105">
        <v>0</v>
      </c>
      <c r="V129" s="105">
        <v>0</v>
      </c>
      <c r="W129" s="105">
        <v>0</v>
      </c>
      <c r="X129" s="105">
        <v>0</v>
      </c>
      <c r="Y129" s="105">
        <v>0</v>
      </c>
      <c r="Z129" s="105">
        <v>0</v>
      </c>
      <c r="AA129" s="105">
        <v>0</v>
      </c>
      <c r="AB129" s="105">
        <v>0</v>
      </c>
      <c r="AC129" s="105">
        <v>0</v>
      </c>
      <c r="AD129" s="105">
        <v>0</v>
      </c>
      <c r="AE129" s="105">
        <v>0</v>
      </c>
      <c r="AF129" s="105">
        <v>0</v>
      </c>
      <c r="AG129" s="105">
        <v>0</v>
      </c>
      <c r="AH129" s="105">
        <v>0</v>
      </c>
      <c r="AI129" s="105">
        <v>0</v>
      </c>
      <c r="AJ129" s="105">
        <v>0</v>
      </c>
      <c r="AK129" s="105">
        <v>0</v>
      </c>
      <c r="AL129" s="105">
        <v>0</v>
      </c>
      <c r="AM129" s="105">
        <v>0</v>
      </c>
      <c r="AN129" s="105">
        <v>0</v>
      </c>
      <c r="AO129" s="105">
        <v>0</v>
      </c>
      <c r="AP129" s="105">
        <v>0</v>
      </c>
      <c r="AQ129" s="105">
        <v>0</v>
      </c>
      <c r="AR129" s="105">
        <v>0</v>
      </c>
      <c r="AS129" s="105">
        <v>0</v>
      </c>
      <c r="AT129" s="105">
        <v>0</v>
      </c>
      <c r="AU129" s="105">
        <v>0</v>
      </c>
      <c r="AV129" s="105">
        <v>0</v>
      </c>
      <c r="AW129" s="105">
        <v>0</v>
      </c>
      <c r="AX129" s="105">
        <v>0</v>
      </c>
    </row>
    <row r="130" spans="1:50" x14ac:dyDescent="0.2">
      <c r="B130" s="110" t="s">
        <v>49</v>
      </c>
      <c r="C130" s="105">
        <v>0</v>
      </c>
      <c r="D130" s="105">
        <v>0</v>
      </c>
      <c r="E130" s="105">
        <v>0</v>
      </c>
      <c r="F130" s="105">
        <v>0</v>
      </c>
      <c r="G130" s="105">
        <v>0</v>
      </c>
      <c r="H130" s="105">
        <v>0</v>
      </c>
      <c r="I130" s="105">
        <v>0</v>
      </c>
      <c r="J130" s="105">
        <v>0</v>
      </c>
      <c r="K130" s="105">
        <v>0</v>
      </c>
      <c r="L130" s="105">
        <v>0</v>
      </c>
      <c r="M130" s="105">
        <v>0</v>
      </c>
      <c r="N130" s="105">
        <v>0</v>
      </c>
      <c r="O130" s="105">
        <v>0</v>
      </c>
      <c r="P130" s="105">
        <v>0</v>
      </c>
      <c r="Q130" s="105">
        <v>0</v>
      </c>
      <c r="R130" s="105">
        <v>0</v>
      </c>
      <c r="S130" s="105">
        <v>0</v>
      </c>
      <c r="T130" s="105">
        <v>0</v>
      </c>
      <c r="U130" s="105">
        <v>0</v>
      </c>
      <c r="V130" s="105">
        <v>0</v>
      </c>
      <c r="W130" s="105">
        <v>0</v>
      </c>
      <c r="X130" s="105">
        <v>0</v>
      </c>
      <c r="Y130" s="105">
        <v>0</v>
      </c>
      <c r="Z130" s="105">
        <v>0</v>
      </c>
      <c r="AA130" s="105">
        <v>0</v>
      </c>
      <c r="AB130" s="105">
        <v>0</v>
      </c>
      <c r="AC130" s="105">
        <v>0</v>
      </c>
      <c r="AD130" s="105">
        <v>0</v>
      </c>
      <c r="AE130" s="105">
        <v>0</v>
      </c>
      <c r="AF130" s="105">
        <v>0</v>
      </c>
      <c r="AG130" s="105">
        <v>0</v>
      </c>
      <c r="AH130" s="105">
        <v>0</v>
      </c>
      <c r="AI130" s="105">
        <v>0</v>
      </c>
      <c r="AJ130" s="105">
        <v>0</v>
      </c>
      <c r="AK130" s="105">
        <v>0</v>
      </c>
      <c r="AL130" s="105">
        <v>0</v>
      </c>
      <c r="AM130" s="105">
        <v>0</v>
      </c>
      <c r="AN130" s="105">
        <v>0</v>
      </c>
      <c r="AO130" s="105">
        <v>0</v>
      </c>
      <c r="AP130" s="105">
        <v>0</v>
      </c>
      <c r="AQ130" s="105">
        <v>0</v>
      </c>
      <c r="AR130" s="105">
        <v>0</v>
      </c>
      <c r="AS130" s="105">
        <v>0</v>
      </c>
      <c r="AT130" s="105">
        <v>0</v>
      </c>
      <c r="AU130" s="105">
        <v>0</v>
      </c>
      <c r="AV130" s="105">
        <v>0</v>
      </c>
      <c r="AW130" s="105">
        <v>0</v>
      </c>
      <c r="AX130" s="105">
        <v>0</v>
      </c>
    </row>
    <row r="131" spans="1:50" x14ac:dyDescent="0.2">
      <c r="B131" s="110" t="s">
        <v>57</v>
      </c>
      <c r="C131" s="105">
        <v>0</v>
      </c>
      <c r="D131" s="105">
        <v>0</v>
      </c>
      <c r="E131" s="105">
        <v>0</v>
      </c>
      <c r="F131" s="105">
        <v>0</v>
      </c>
      <c r="G131" s="105">
        <v>0</v>
      </c>
      <c r="H131" s="105">
        <v>0</v>
      </c>
      <c r="I131" s="105">
        <v>0</v>
      </c>
      <c r="J131" s="105">
        <v>0</v>
      </c>
      <c r="K131" s="105">
        <v>0</v>
      </c>
      <c r="L131" s="105">
        <v>0</v>
      </c>
      <c r="M131" s="105">
        <v>0</v>
      </c>
      <c r="N131" s="105">
        <v>0</v>
      </c>
      <c r="O131" s="105">
        <v>0</v>
      </c>
      <c r="P131" s="105">
        <v>0</v>
      </c>
      <c r="Q131" s="105">
        <v>0</v>
      </c>
      <c r="R131" s="105">
        <v>0</v>
      </c>
      <c r="S131" s="105">
        <v>0</v>
      </c>
      <c r="T131" s="105">
        <v>0</v>
      </c>
      <c r="U131" s="105">
        <v>0</v>
      </c>
      <c r="V131" s="105">
        <v>0</v>
      </c>
      <c r="W131" s="105">
        <v>0</v>
      </c>
      <c r="X131" s="105">
        <v>0</v>
      </c>
      <c r="Y131" s="105">
        <v>0</v>
      </c>
      <c r="Z131" s="105">
        <v>0</v>
      </c>
      <c r="AA131" s="105">
        <v>0</v>
      </c>
      <c r="AB131" s="105">
        <v>0</v>
      </c>
      <c r="AC131" s="105">
        <v>0</v>
      </c>
      <c r="AD131" s="105">
        <v>0</v>
      </c>
      <c r="AE131" s="105">
        <v>0</v>
      </c>
      <c r="AF131" s="105">
        <v>0</v>
      </c>
      <c r="AG131" s="105">
        <v>0</v>
      </c>
      <c r="AH131" s="105">
        <v>0</v>
      </c>
      <c r="AI131" s="105">
        <v>0</v>
      </c>
      <c r="AJ131" s="105">
        <v>0</v>
      </c>
      <c r="AK131" s="105">
        <v>0</v>
      </c>
      <c r="AL131" s="105">
        <v>0</v>
      </c>
      <c r="AM131" s="105">
        <v>0</v>
      </c>
      <c r="AN131" s="105">
        <v>0</v>
      </c>
      <c r="AO131" s="105">
        <v>0</v>
      </c>
      <c r="AP131" s="105">
        <v>0</v>
      </c>
      <c r="AQ131" s="105">
        <v>0</v>
      </c>
      <c r="AR131" s="105">
        <v>0</v>
      </c>
      <c r="AS131" s="105">
        <v>0</v>
      </c>
      <c r="AT131" s="105">
        <v>0</v>
      </c>
      <c r="AU131" s="105">
        <v>0</v>
      </c>
      <c r="AV131" s="105">
        <v>0</v>
      </c>
      <c r="AW131" s="105">
        <v>0</v>
      </c>
      <c r="AX131" s="105">
        <v>0</v>
      </c>
    </row>
    <row r="132" spans="1:50" x14ac:dyDescent="0.2">
      <c r="B132" s="110" t="s">
        <v>70</v>
      </c>
      <c r="C132" s="105">
        <v>0</v>
      </c>
      <c r="D132" s="105">
        <v>0</v>
      </c>
      <c r="E132" s="105">
        <v>0</v>
      </c>
      <c r="F132" s="105">
        <v>0</v>
      </c>
      <c r="G132" s="105">
        <v>0</v>
      </c>
      <c r="H132" s="105">
        <v>0</v>
      </c>
      <c r="I132" s="105">
        <v>0</v>
      </c>
      <c r="J132" s="105">
        <v>0</v>
      </c>
      <c r="K132" s="105">
        <v>0</v>
      </c>
      <c r="L132" s="105">
        <v>0</v>
      </c>
      <c r="M132" s="105">
        <v>0</v>
      </c>
      <c r="N132" s="105">
        <v>0</v>
      </c>
      <c r="O132" s="105">
        <v>0</v>
      </c>
      <c r="P132" s="105">
        <v>0</v>
      </c>
      <c r="Q132" s="105">
        <v>0</v>
      </c>
      <c r="R132" s="105">
        <v>0</v>
      </c>
      <c r="S132" s="105">
        <v>0</v>
      </c>
      <c r="T132" s="105">
        <v>0</v>
      </c>
      <c r="U132" s="105">
        <v>0</v>
      </c>
      <c r="V132" s="105">
        <v>0</v>
      </c>
      <c r="W132" s="105">
        <v>0</v>
      </c>
      <c r="X132" s="105">
        <v>0</v>
      </c>
      <c r="Y132" s="105">
        <v>0</v>
      </c>
      <c r="Z132" s="105">
        <v>0</v>
      </c>
      <c r="AA132" s="105">
        <v>0</v>
      </c>
      <c r="AB132" s="105">
        <v>0</v>
      </c>
      <c r="AC132" s="105">
        <v>0</v>
      </c>
      <c r="AD132" s="105">
        <v>0</v>
      </c>
      <c r="AE132" s="105">
        <v>0</v>
      </c>
      <c r="AF132" s="105">
        <v>0</v>
      </c>
      <c r="AG132" s="105">
        <v>0</v>
      </c>
      <c r="AH132" s="105">
        <v>0</v>
      </c>
      <c r="AI132" s="105">
        <v>0</v>
      </c>
      <c r="AJ132" s="105">
        <v>0</v>
      </c>
      <c r="AK132" s="105">
        <v>0</v>
      </c>
      <c r="AL132" s="105">
        <v>0</v>
      </c>
      <c r="AM132" s="105">
        <v>0</v>
      </c>
      <c r="AN132" s="105">
        <v>0</v>
      </c>
      <c r="AO132" s="105">
        <v>0</v>
      </c>
      <c r="AP132" s="105">
        <v>0</v>
      </c>
      <c r="AQ132" s="105">
        <v>0</v>
      </c>
      <c r="AR132" s="105">
        <v>0</v>
      </c>
      <c r="AS132" s="105">
        <v>0</v>
      </c>
      <c r="AT132" s="105">
        <v>0</v>
      </c>
      <c r="AU132" s="105">
        <v>0</v>
      </c>
      <c r="AV132" s="105">
        <v>0</v>
      </c>
      <c r="AW132" s="105">
        <v>0</v>
      </c>
      <c r="AX132" s="105">
        <v>0</v>
      </c>
    </row>
    <row r="133" spans="1:50" x14ac:dyDescent="0.2">
      <c r="B133" s="105" t="s">
        <v>280</v>
      </c>
      <c r="C133" s="110">
        <f>SUM(C$125:C$132)</f>
        <v>0</v>
      </c>
      <c r="D133" s="110">
        <f t="shared" ref="D133:AX133" si="8">SUM(D$125:D$132)</f>
        <v>0</v>
      </c>
      <c r="E133" s="110">
        <f t="shared" si="8"/>
        <v>0</v>
      </c>
      <c r="F133" s="110">
        <f t="shared" si="8"/>
        <v>0</v>
      </c>
      <c r="G133" s="110">
        <f t="shared" si="8"/>
        <v>0</v>
      </c>
      <c r="H133" s="110">
        <f t="shared" si="8"/>
        <v>0</v>
      </c>
      <c r="I133" s="110">
        <f t="shared" si="8"/>
        <v>0</v>
      </c>
      <c r="J133" s="110">
        <f t="shared" si="8"/>
        <v>0</v>
      </c>
      <c r="K133" s="110">
        <f t="shared" si="8"/>
        <v>0</v>
      </c>
      <c r="L133" s="110">
        <f t="shared" si="8"/>
        <v>0</v>
      </c>
      <c r="M133" s="110">
        <f t="shared" si="8"/>
        <v>0</v>
      </c>
      <c r="N133" s="110">
        <f t="shared" si="8"/>
        <v>0</v>
      </c>
      <c r="O133" s="110">
        <f t="shared" si="8"/>
        <v>0</v>
      </c>
      <c r="P133" s="110">
        <f t="shared" si="8"/>
        <v>0</v>
      </c>
      <c r="Q133" s="110">
        <f t="shared" si="8"/>
        <v>0</v>
      </c>
      <c r="R133" s="110">
        <f t="shared" si="8"/>
        <v>0</v>
      </c>
      <c r="S133" s="110">
        <f t="shared" si="8"/>
        <v>0</v>
      </c>
      <c r="T133" s="110">
        <f t="shared" si="8"/>
        <v>0</v>
      </c>
      <c r="U133" s="110">
        <f t="shared" si="8"/>
        <v>0</v>
      </c>
      <c r="V133" s="110">
        <f t="shared" si="8"/>
        <v>0</v>
      </c>
      <c r="W133" s="110">
        <f t="shared" si="8"/>
        <v>0</v>
      </c>
      <c r="X133" s="110">
        <f t="shared" si="8"/>
        <v>0</v>
      </c>
      <c r="Y133" s="110">
        <f t="shared" si="8"/>
        <v>0</v>
      </c>
      <c r="Z133" s="110">
        <f t="shared" si="8"/>
        <v>0</v>
      </c>
      <c r="AA133" s="110">
        <f t="shared" si="8"/>
        <v>0</v>
      </c>
      <c r="AB133" s="110">
        <f t="shared" si="8"/>
        <v>0</v>
      </c>
      <c r="AC133" s="110">
        <f t="shared" si="8"/>
        <v>0</v>
      </c>
      <c r="AD133" s="110">
        <f t="shared" si="8"/>
        <v>0</v>
      </c>
      <c r="AE133" s="110">
        <f t="shared" si="8"/>
        <v>0</v>
      </c>
      <c r="AF133" s="110">
        <f t="shared" si="8"/>
        <v>0</v>
      </c>
      <c r="AG133" s="110">
        <f t="shared" si="8"/>
        <v>0</v>
      </c>
      <c r="AH133" s="110">
        <f t="shared" si="8"/>
        <v>0</v>
      </c>
      <c r="AI133" s="110">
        <f t="shared" si="8"/>
        <v>0</v>
      </c>
      <c r="AJ133" s="110">
        <f t="shared" si="8"/>
        <v>0</v>
      </c>
      <c r="AK133" s="110">
        <f t="shared" si="8"/>
        <v>0</v>
      </c>
      <c r="AL133" s="110">
        <f t="shared" si="8"/>
        <v>0</v>
      </c>
      <c r="AM133" s="110">
        <f t="shared" si="8"/>
        <v>0</v>
      </c>
      <c r="AN133" s="110">
        <f t="shared" si="8"/>
        <v>0</v>
      </c>
      <c r="AO133" s="110">
        <f t="shared" si="8"/>
        <v>0</v>
      </c>
      <c r="AP133" s="110">
        <f t="shared" si="8"/>
        <v>0</v>
      </c>
      <c r="AQ133" s="110">
        <f t="shared" si="8"/>
        <v>0</v>
      </c>
      <c r="AR133" s="110">
        <f t="shared" si="8"/>
        <v>0</v>
      </c>
      <c r="AS133" s="110">
        <f t="shared" si="8"/>
        <v>0</v>
      </c>
      <c r="AT133" s="110">
        <f t="shared" si="8"/>
        <v>0</v>
      </c>
      <c r="AU133" s="110">
        <f t="shared" si="8"/>
        <v>0</v>
      </c>
      <c r="AV133" s="110">
        <f t="shared" si="8"/>
        <v>0</v>
      </c>
      <c r="AW133" s="110">
        <f t="shared" si="8"/>
        <v>0</v>
      </c>
      <c r="AX133" s="110">
        <f t="shared" si="8"/>
        <v>0</v>
      </c>
    </row>
    <row r="134" spans="1:50" x14ac:dyDescent="0.2">
      <c r="A134" s="110" t="s">
        <v>108</v>
      </c>
      <c r="B134" s="110" t="s">
        <v>7</v>
      </c>
      <c r="C134" s="105">
        <v>0</v>
      </c>
      <c r="D134" s="105">
        <v>0</v>
      </c>
      <c r="E134" s="105">
        <v>0</v>
      </c>
      <c r="F134" s="105">
        <v>0</v>
      </c>
      <c r="G134" s="105">
        <v>0</v>
      </c>
      <c r="H134" s="105">
        <v>0</v>
      </c>
      <c r="I134" s="105">
        <v>0</v>
      </c>
      <c r="J134" s="105">
        <v>0</v>
      </c>
      <c r="K134" s="105">
        <v>0</v>
      </c>
      <c r="L134" s="105">
        <v>0</v>
      </c>
      <c r="M134" s="105">
        <v>0</v>
      </c>
      <c r="N134" s="105">
        <v>0</v>
      </c>
      <c r="O134" s="105">
        <v>0</v>
      </c>
      <c r="P134" s="105">
        <v>0</v>
      </c>
      <c r="Q134" s="105">
        <v>0</v>
      </c>
      <c r="R134" s="105">
        <v>0</v>
      </c>
      <c r="S134" s="105">
        <v>0</v>
      </c>
      <c r="T134" s="105">
        <v>0</v>
      </c>
      <c r="U134" s="105">
        <v>0</v>
      </c>
      <c r="V134" s="105">
        <v>0</v>
      </c>
      <c r="W134" s="105">
        <v>0</v>
      </c>
      <c r="X134" s="105">
        <v>0</v>
      </c>
      <c r="Y134" s="105">
        <v>0</v>
      </c>
      <c r="Z134" s="105">
        <v>0</v>
      </c>
      <c r="AA134" s="105">
        <v>0</v>
      </c>
      <c r="AB134" s="105">
        <v>0</v>
      </c>
      <c r="AC134" s="105">
        <v>0</v>
      </c>
      <c r="AD134" s="105">
        <v>0</v>
      </c>
      <c r="AE134" s="105">
        <v>0</v>
      </c>
      <c r="AF134" s="105">
        <v>0</v>
      </c>
      <c r="AG134" s="105">
        <v>0</v>
      </c>
      <c r="AH134" s="105">
        <v>0</v>
      </c>
      <c r="AI134" s="105">
        <v>0</v>
      </c>
      <c r="AJ134" s="105">
        <v>0</v>
      </c>
      <c r="AK134" s="105">
        <v>0</v>
      </c>
      <c r="AL134" s="105">
        <v>0</v>
      </c>
      <c r="AM134" s="105">
        <v>0</v>
      </c>
      <c r="AN134" s="105">
        <v>0</v>
      </c>
      <c r="AO134" s="105">
        <v>0</v>
      </c>
      <c r="AP134" s="105">
        <v>0</v>
      </c>
      <c r="AQ134" s="105">
        <v>0</v>
      </c>
      <c r="AR134" s="105">
        <v>0</v>
      </c>
      <c r="AS134" s="105">
        <v>0</v>
      </c>
      <c r="AT134" s="105">
        <v>0</v>
      </c>
      <c r="AU134" s="105">
        <v>0</v>
      </c>
      <c r="AV134" s="105">
        <v>0</v>
      </c>
      <c r="AW134" s="105">
        <v>0</v>
      </c>
      <c r="AX134" s="105">
        <v>0</v>
      </c>
    </row>
    <row r="135" spans="1:50" x14ac:dyDescent="0.2">
      <c r="B135" s="110" t="s">
        <v>8</v>
      </c>
      <c r="C135" s="105">
        <v>0</v>
      </c>
      <c r="D135" s="105">
        <v>0</v>
      </c>
      <c r="E135" s="105">
        <v>0</v>
      </c>
      <c r="F135" s="105">
        <v>0</v>
      </c>
      <c r="G135" s="105">
        <v>0</v>
      </c>
      <c r="H135" s="105">
        <v>0</v>
      </c>
      <c r="I135" s="105">
        <v>0</v>
      </c>
      <c r="J135" s="105">
        <v>0</v>
      </c>
      <c r="K135" s="105">
        <v>0</v>
      </c>
      <c r="L135" s="105">
        <v>0</v>
      </c>
      <c r="M135" s="105">
        <v>0</v>
      </c>
      <c r="N135" s="105">
        <v>0</v>
      </c>
      <c r="O135" s="105">
        <v>0</v>
      </c>
      <c r="P135" s="105">
        <v>0</v>
      </c>
      <c r="Q135" s="105">
        <v>0</v>
      </c>
      <c r="R135" s="105">
        <v>0</v>
      </c>
      <c r="S135" s="105">
        <v>0</v>
      </c>
      <c r="T135" s="105">
        <v>0</v>
      </c>
      <c r="U135" s="105">
        <v>0</v>
      </c>
      <c r="V135" s="105">
        <v>0</v>
      </c>
      <c r="W135" s="105">
        <v>0</v>
      </c>
      <c r="X135" s="105">
        <v>0</v>
      </c>
      <c r="Y135" s="105">
        <v>0</v>
      </c>
      <c r="Z135" s="105">
        <v>0</v>
      </c>
      <c r="AA135" s="105">
        <v>0</v>
      </c>
      <c r="AB135" s="105">
        <v>0</v>
      </c>
      <c r="AC135" s="105">
        <v>0</v>
      </c>
      <c r="AD135" s="105">
        <v>0</v>
      </c>
      <c r="AE135" s="105">
        <v>0</v>
      </c>
      <c r="AF135" s="105">
        <v>0</v>
      </c>
      <c r="AG135" s="105">
        <v>0</v>
      </c>
      <c r="AH135" s="105">
        <v>0</v>
      </c>
      <c r="AI135" s="105">
        <v>0</v>
      </c>
      <c r="AJ135" s="105">
        <v>0</v>
      </c>
      <c r="AK135" s="105">
        <v>0</v>
      </c>
      <c r="AL135" s="105">
        <v>0</v>
      </c>
      <c r="AM135" s="105">
        <v>0</v>
      </c>
      <c r="AN135" s="105">
        <v>0</v>
      </c>
      <c r="AO135" s="105">
        <v>0</v>
      </c>
      <c r="AP135" s="105">
        <v>0</v>
      </c>
      <c r="AQ135" s="105">
        <v>0</v>
      </c>
      <c r="AR135" s="105">
        <v>0</v>
      </c>
      <c r="AS135" s="105">
        <v>0</v>
      </c>
      <c r="AT135" s="105">
        <v>0</v>
      </c>
      <c r="AU135" s="105">
        <v>0</v>
      </c>
      <c r="AV135" s="105">
        <v>0</v>
      </c>
      <c r="AW135" s="105">
        <v>0</v>
      </c>
      <c r="AX135" s="105">
        <v>0</v>
      </c>
    </row>
    <row r="136" spans="1:50" x14ac:dyDescent="0.2">
      <c r="B136" s="110" t="s">
        <v>10</v>
      </c>
      <c r="C136" s="105">
        <v>0</v>
      </c>
      <c r="D136" s="105">
        <v>0</v>
      </c>
      <c r="E136" s="105">
        <v>0</v>
      </c>
      <c r="F136" s="105">
        <v>0</v>
      </c>
      <c r="G136" s="105">
        <v>0</v>
      </c>
      <c r="H136" s="105">
        <v>0</v>
      </c>
      <c r="I136" s="105">
        <v>0</v>
      </c>
      <c r="J136" s="105">
        <v>0</v>
      </c>
      <c r="K136" s="105">
        <v>0</v>
      </c>
      <c r="L136" s="105">
        <v>0</v>
      </c>
      <c r="M136" s="105">
        <v>0</v>
      </c>
      <c r="N136" s="105">
        <v>0</v>
      </c>
      <c r="O136" s="105">
        <v>0</v>
      </c>
      <c r="P136" s="105">
        <v>0</v>
      </c>
      <c r="Q136" s="105">
        <v>0</v>
      </c>
      <c r="R136" s="105">
        <v>0</v>
      </c>
      <c r="S136" s="105">
        <v>0</v>
      </c>
      <c r="T136" s="105">
        <v>0</v>
      </c>
      <c r="U136" s="105">
        <v>0</v>
      </c>
      <c r="V136" s="105">
        <v>0</v>
      </c>
      <c r="W136" s="105">
        <v>0</v>
      </c>
      <c r="X136" s="105">
        <v>0</v>
      </c>
      <c r="Y136" s="105">
        <v>0</v>
      </c>
      <c r="Z136" s="105">
        <v>0</v>
      </c>
      <c r="AA136" s="105">
        <v>0</v>
      </c>
      <c r="AB136" s="105">
        <v>0</v>
      </c>
      <c r="AC136" s="105">
        <v>0</v>
      </c>
      <c r="AD136" s="105">
        <v>0</v>
      </c>
      <c r="AE136" s="105">
        <v>0</v>
      </c>
      <c r="AF136" s="105">
        <v>0</v>
      </c>
      <c r="AG136" s="105">
        <v>0</v>
      </c>
      <c r="AH136" s="105">
        <v>0</v>
      </c>
      <c r="AI136" s="105">
        <v>0</v>
      </c>
      <c r="AJ136" s="105">
        <v>0</v>
      </c>
      <c r="AK136" s="105">
        <v>0</v>
      </c>
      <c r="AL136" s="105">
        <v>0</v>
      </c>
      <c r="AM136" s="105">
        <v>0</v>
      </c>
      <c r="AN136" s="105">
        <v>0</v>
      </c>
      <c r="AO136" s="105">
        <v>0</v>
      </c>
      <c r="AP136" s="105">
        <v>0</v>
      </c>
      <c r="AQ136" s="105">
        <v>0</v>
      </c>
      <c r="AR136" s="105">
        <v>0</v>
      </c>
      <c r="AS136" s="105">
        <v>0</v>
      </c>
      <c r="AT136" s="105">
        <v>0</v>
      </c>
      <c r="AU136" s="105">
        <v>0</v>
      </c>
      <c r="AV136" s="105">
        <v>0</v>
      </c>
      <c r="AW136" s="105">
        <v>0</v>
      </c>
      <c r="AX136" s="105">
        <v>0</v>
      </c>
    </row>
    <row r="137" spans="1:50" x14ac:dyDescent="0.2">
      <c r="B137" s="110" t="s">
        <v>14</v>
      </c>
      <c r="C137" s="105">
        <v>0</v>
      </c>
      <c r="D137" s="105">
        <v>0</v>
      </c>
      <c r="E137" s="105">
        <v>0</v>
      </c>
      <c r="F137" s="105">
        <v>0</v>
      </c>
      <c r="G137" s="105">
        <v>0</v>
      </c>
      <c r="H137" s="105">
        <v>0</v>
      </c>
      <c r="I137" s="105">
        <v>0</v>
      </c>
      <c r="J137" s="105">
        <v>0</v>
      </c>
      <c r="K137" s="105">
        <v>0</v>
      </c>
      <c r="L137" s="105">
        <v>0</v>
      </c>
      <c r="M137" s="105">
        <v>0</v>
      </c>
      <c r="N137" s="105">
        <v>0</v>
      </c>
      <c r="O137" s="105">
        <v>0</v>
      </c>
      <c r="P137" s="105">
        <v>0</v>
      </c>
      <c r="Q137" s="105">
        <v>0</v>
      </c>
      <c r="R137" s="105">
        <v>0</v>
      </c>
      <c r="S137" s="105">
        <v>0</v>
      </c>
      <c r="T137" s="105">
        <v>0</v>
      </c>
      <c r="U137" s="105">
        <v>0</v>
      </c>
      <c r="V137" s="105">
        <v>0</v>
      </c>
      <c r="W137" s="105">
        <v>0</v>
      </c>
      <c r="X137" s="105">
        <v>0</v>
      </c>
      <c r="Y137" s="105">
        <v>0</v>
      </c>
      <c r="Z137" s="105">
        <v>0</v>
      </c>
      <c r="AA137" s="105">
        <v>0</v>
      </c>
      <c r="AB137" s="105">
        <v>0</v>
      </c>
      <c r="AC137" s="105">
        <v>0</v>
      </c>
      <c r="AD137" s="105">
        <v>0</v>
      </c>
      <c r="AE137" s="105">
        <v>0</v>
      </c>
      <c r="AF137" s="105">
        <v>0</v>
      </c>
      <c r="AG137" s="105">
        <v>0</v>
      </c>
      <c r="AH137" s="105">
        <v>0</v>
      </c>
      <c r="AI137" s="105">
        <v>0</v>
      </c>
      <c r="AJ137" s="105">
        <v>0</v>
      </c>
      <c r="AK137" s="105">
        <v>0</v>
      </c>
      <c r="AL137" s="105">
        <v>0</v>
      </c>
      <c r="AM137" s="105">
        <v>0</v>
      </c>
      <c r="AN137" s="105">
        <v>0</v>
      </c>
      <c r="AO137" s="105">
        <v>0</v>
      </c>
      <c r="AP137" s="105">
        <v>0</v>
      </c>
      <c r="AQ137" s="105">
        <v>0</v>
      </c>
      <c r="AR137" s="105">
        <v>0</v>
      </c>
      <c r="AS137" s="105">
        <v>0</v>
      </c>
      <c r="AT137" s="105">
        <v>0</v>
      </c>
      <c r="AU137" s="105">
        <v>0</v>
      </c>
      <c r="AV137" s="105">
        <v>0</v>
      </c>
      <c r="AW137" s="105">
        <v>0</v>
      </c>
      <c r="AX137" s="105">
        <v>0</v>
      </c>
    </row>
    <row r="138" spans="1:50" x14ac:dyDescent="0.2">
      <c r="B138" s="110" t="s">
        <v>34</v>
      </c>
      <c r="C138" s="105">
        <v>0</v>
      </c>
      <c r="D138" s="105">
        <v>0</v>
      </c>
      <c r="E138" s="105">
        <v>0</v>
      </c>
      <c r="F138" s="105">
        <v>0</v>
      </c>
      <c r="G138" s="105">
        <v>0</v>
      </c>
      <c r="H138" s="105">
        <v>0</v>
      </c>
      <c r="I138" s="105">
        <v>0</v>
      </c>
      <c r="J138" s="105">
        <v>0</v>
      </c>
      <c r="K138" s="105">
        <v>0</v>
      </c>
      <c r="L138" s="105">
        <v>0</v>
      </c>
      <c r="M138" s="105">
        <v>0</v>
      </c>
      <c r="N138" s="105">
        <v>0</v>
      </c>
      <c r="O138" s="105">
        <v>0</v>
      </c>
      <c r="P138" s="105">
        <v>0</v>
      </c>
      <c r="Q138" s="105">
        <v>0</v>
      </c>
      <c r="R138" s="105">
        <v>0</v>
      </c>
      <c r="S138" s="105">
        <v>0</v>
      </c>
      <c r="T138" s="105">
        <v>0</v>
      </c>
      <c r="U138" s="105">
        <v>0</v>
      </c>
      <c r="V138" s="105">
        <v>0</v>
      </c>
      <c r="W138" s="105">
        <v>0</v>
      </c>
      <c r="X138" s="105">
        <v>0</v>
      </c>
      <c r="Y138" s="105">
        <v>0</v>
      </c>
      <c r="Z138" s="105">
        <v>0</v>
      </c>
      <c r="AA138" s="105">
        <v>0</v>
      </c>
      <c r="AB138" s="105">
        <v>0</v>
      </c>
      <c r="AC138" s="105">
        <v>0</v>
      </c>
      <c r="AD138" s="105">
        <v>0</v>
      </c>
      <c r="AE138" s="105">
        <v>0</v>
      </c>
      <c r="AF138" s="105">
        <v>0</v>
      </c>
      <c r="AG138" s="105">
        <v>0</v>
      </c>
      <c r="AH138" s="105">
        <v>0</v>
      </c>
      <c r="AI138" s="105">
        <v>0</v>
      </c>
      <c r="AJ138" s="105">
        <v>0</v>
      </c>
      <c r="AK138" s="105">
        <v>0</v>
      </c>
      <c r="AL138" s="105">
        <v>0</v>
      </c>
      <c r="AM138" s="105">
        <v>0</v>
      </c>
      <c r="AN138" s="105">
        <v>0</v>
      </c>
      <c r="AO138" s="105">
        <v>0</v>
      </c>
      <c r="AP138" s="105">
        <v>0</v>
      </c>
      <c r="AQ138" s="105">
        <v>0</v>
      </c>
      <c r="AR138" s="105">
        <v>0</v>
      </c>
      <c r="AS138" s="105">
        <v>0</v>
      </c>
      <c r="AT138" s="105">
        <v>0</v>
      </c>
      <c r="AU138" s="105">
        <v>0</v>
      </c>
      <c r="AV138" s="105">
        <v>0</v>
      </c>
      <c r="AW138" s="105">
        <v>0</v>
      </c>
      <c r="AX138" s="105">
        <v>0</v>
      </c>
    </row>
    <row r="139" spans="1:50" x14ac:dyDescent="0.2">
      <c r="B139" s="110" t="s">
        <v>49</v>
      </c>
      <c r="C139" s="105">
        <v>0</v>
      </c>
      <c r="D139" s="105">
        <v>0</v>
      </c>
      <c r="E139" s="105">
        <v>0</v>
      </c>
      <c r="F139" s="105">
        <v>0</v>
      </c>
      <c r="G139" s="105">
        <v>0</v>
      </c>
      <c r="H139" s="105">
        <v>0</v>
      </c>
      <c r="I139" s="105">
        <v>0</v>
      </c>
      <c r="J139" s="105">
        <v>0</v>
      </c>
      <c r="K139" s="105">
        <v>0</v>
      </c>
      <c r="L139" s="105">
        <v>0</v>
      </c>
      <c r="M139" s="105">
        <v>0</v>
      </c>
      <c r="N139" s="105">
        <v>0</v>
      </c>
      <c r="O139" s="105">
        <v>0</v>
      </c>
      <c r="P139" s="105">
        <v>0</v>
      </c>
      <c r="Q139" s="105">
        <v>0</v>
      </c>
      <c r="R139" s="105">
        <v>0</v>
      </c>
      <c r="S139" s="105">
        <v>0</v>
      </c>
      <c r="T139" s="105">
        <v>0</v>
      </c>
      <c r="U139" s="105">
        <v>0</v>
      </c>
      <c r="V139" s="105">
        <v>0</v>
      </c>
      <c r="W139" s="105">
        <v>0</v>
      </c>
      <c r="X139" s="105">
        <v>0</v>
      </c>
      <c r="Y139" s="105">
        <v>0</v>
      </c>
      <c r="Z139" s="105">
        <v>0</v>
      </c>
      <c r="AA139" s="105">
        <v>0</v>
      </c>
      <c r="AB139" s="105">
        <v>0</v>
      </c>
      <c r="AC139" s="105">
        <v>0</v>
      </c>
      <c r="AD139" s="105">
        <v>0</v>
      </c>
      <c r="AE139" s="105">
        <v>0</v>
      </c>
      <c r="AF139" s="105">
        <v>0</v>
      </c>
      <c r="AG139" s="105">
        <v>0</v>
      </c>
      <c r="AH139" s="105">
        <v>0</v>
      </c>
      <c r="AI139" s="105">
        <v>0</v>
      </c>
      <c r="AJ139" s="105">
        <v>0</v>
      </c>
      <c r="AK139" s="105">
        <v>0</v>
      </c>
      <c r="AL139" s="105">
        <v>0</v>
      </c>
      <c r="AM139" s="105">
        <v>0</v>
      </c>
      <c r="AN139" s="105">
        <v>0</v>
      </c>
      <c r="AO139" s="105">
        <v>0</v>
      </c>
      <c r="AP139" s="105">
        <v>0</v>
      </c>
      <c r="AQ139" s="105">
        <v>0</v>
      </c>
      <c r="AR139" s="105">
        <v>0</v>
      </c>
      <c r="AS139" s="105">
        <v>0</v>
      </c>
      <c r="AT139" s="105">
        <v>0</v>
      </c>
      <c r="AU139" s="105">
        <v>0</v>
      </c>
      <c r="AV139" s="105">
        <v>0</v>
      </c>
      <c r="AW139" s="105">
        <v>0</v>
      </c>
      <c r="AX139" s="105">
        <v>0</v>
      </c>
    </row>
    <row r="140" spans="1:50" x14ac:dyDescent="0.2">
      <c r="B140" s="110" t="s">
        <v>57</v>
      </c>
      <c r="C140" s="105">
        <v>0</v>
      </c>
      <c r="D140" s="105">
        <v>0</v>
      </c>
      <c r="E140" s="105">
        <v>0</v>
      </c>
      <c r="F140" s="105">
        <v>0</v>
      </c>
      <c r="G140" s="105">
        <v>0</v>
      </c>
      <c r="H140" s="105">
        <v>0</v>
      </c>
      <c r="I140" s="105">
        <v>0</v>
      </c>
      <c r="J140" s="105">
        <v>0</v>
      </c>
      <c r="K140" s="105">
        <v>0</v>
      </c>
      <c r="L140" s="105">
        <v>0</v>
      </c>
      <c r="M140" s="105">
        <v>0</v>
      </c>
      <c r="N140" s="105">
        <v>0</v>
      </c>
      <c r="O140" s="105">
        <v>0</v>
      </c>
      <c r="P140" s="105">
        <v>0</v>
      </c>
      <c r="Q140" s="105">
        <v>0</v>
      </c>
      <c r="R140" s="105">
        <v>0</v>
      </c>
      <c r="S140" s="105">
        <v>0</v>
      </c>
      <c r="T140" s="105">
        <v>0</v>
      </c>
      <c r="U140" s="105">
        <v>0</v>
      </c>
      <c r="V140" s="105">
        <v>0</v>
      </c>
      <c r="W140" s="105">
        <v>0</v>
      </c>
      <c r="X140" s="105">
        <v>0</v>
      </c>
      <c r="Y140" s="105">
        <v>0</v>
      </c>
      <c r="Z140" s="105">
        <v>0</v>
      </c>
      <c r="AA140" s="105">
        <v>0</v>
      </c>
      <c r="AB140" s="105">
        <v>0</v>
      </c>
      <c r="AC140" s="105">
        <v>0</v>
      </c>
      <c r="AD140" s="105">
        <v>0</v>
      </c>
      <c r="AE140" s="105">
        <v>0</v>
      </c>
      <c r="AF140" s="105">
        <v>0</v>
      </c>
      <c r="AG140" s="105">
        <v>0</v>
      </c>
      <c r="AH140" s="105">
        <v>0</v>
      </c>
      <c r="AI140" s="105">
        <v>0</v>
      </c>
      <c r="AJ140" s="105">
        <v>0</v>
      </c>
      <c r="AK140" s="105">
        <v>0</v>
      </c>
      <c r="AL140" s="105">
        <v>0</v>
      </c>
      <c r="AM140" s="105">
        <v>0</v>
      </c>
      <c r="AN140" s="105">
        <v>0</v>
      </c>
      <c r="AO140" s="105">
        <v>0</v>
      </c>
      <c r="AP140" s="105">
        <v>0</v>
      </c>
      <c r="AQ140" s="105">
        <v>0</v>
      </c>
      <c r="AR140" s="105">
        <v>0</v>
      </c>
      <c r="AS140" s="105">
        <v>0</v>
      </c>
      <c r="AT140" s="105">
        <v>0</v>
      </c>
      <c r="AU140" s="105">
        <v>0</v>
      </c>
      <c r="AV140" s="105">
        <v>0</v>
      </c>
      <c r="AW140" s="105">
        <v>0</v>
      </c>
      <c r="AX140" s="105">
        <v>0</v>
      </c>
    </row>
    <row r="141" spans="1:50" x14ac:dyDescent="0.2">
      <c r="B141" s="110" t="s">
        <v>70</v>
      </c>
      <c r="C141" s="105">
        <v>0</v>
      </c>
      <c r="D141" s="105">
        <v>0</v>
      </c>
      <c r="E141" s="105">
        <v>0</v>
      </c>
      <c r="F141" s="105">
        <v>0</v>
      </c>
      <c r="G141" s="105">
        <v>0</v>
      </c>
      <c r="H141" s="105">
        <v>0</v>
      </c>
      <c r="I141" s="105">
        <v>0</v>
      </c>
      <c r="J141" s="105">
        <v>0</v>
      </c>
      <c r="K141" s="105">
        <v>0</v>
      </c>
      <c r="L141" s="105">
        <v>0</v>
      </c>
      <c r="M141" s="105">
        <v>0</v>
      </c>
      <c r="N141" s="105">
        <v>0</v>
      </c>
      <c r="O141" s="105">
        <v>0</v>
      </c>
      <c r="P141" s="105">
        <v>0</v>
      </c>
      <c r="Q141" s="105">
        <v>0</v>
      </c>
      <c r="R141" s="105">
        <v>0</v>
      </c>
      <c r="S141" s="105">
        <v>0</v>
      </c>
      <c r="T141" s="105">
        <v>0</v>
      </c>
      <c r="U141" s="105">
        <v>0</v>
      </c>
      <c r="V141" s="105">
        <v>0</v>
      </c>
      <c r="W141" s="105">
        <v>0</v>
      </c>
      <c r="X141" s="105">
        <v>0</v>
      </c>
      <c r="Y141" s="105">
        <v>0</v>
      </c>
      <c r="Z141" s="105">
        <v>0</v>
      </c>
      <c r="AA141" s="105">
        <v>0</v>
      </c>
      <c r="AB141" s="105">
        <v>0</v>
      </c>
      <c r="AC141" s="105">
        <v>0</v>
      </c>
      <c r="AD141" s="105">
        <v>0</v>
      </c>
      <c r="AE141" s="105">
        <v>0</v>
      </c>
      <c r="AF141" s="105">
        <v>0</v>
      </c>
      <c r="AG141" s="105">
        <v>0</v>
      </c>
      <c r="AH141" s="105">
        <v>0</v>
      </c>
      <c r="AI141" s="105">
        <v>0</v>
      </c>
      <c r="AJ141" s="105">
        <v>0</v>
      </c>
      <c r="AK141" s="105">
        <v>0</v>
      </c>
      <c r="AL141" s="105">
        <v>0</v>
      </c>
      <c r="AM141" s="105">
        <v>0</v>
      </c>
      <c r="AN141" s="105">
        <v>0</v>
      </c>
      <c r="AO141" s="105">
        <v>0</v>
      </c>
      <c r="AP141" s="105">
        <v>0</v>
      </c>
      <c r="AQ141" s="105">
        <v>0</v>
      </c>
      <c r="AR141" s="105">
        <v>0</v>
      </c>
      <c r="AS141" s="105">
        <v>0</v>
      </c>
      <c r="AT141" s="105">
        <v>0</v>
      </c>
      <c r="AU141" s="105">
        <v>0</v>
      </c>
      <c r="AV141" s="105">
        <v>0</v>
      </c>
      <c r="AW141" s="105">
        <v>0</v>
      </c>
      <c r="AX141" s="105">
        <v>0</v>
      </c>
    </row>
    <row r="142" spans="1:50" x14ac:dyDescent="0.2">
      <c r="B142" s="105" t="s">
        <v>280</v>
      </c>
      <c r="C142" s="110">
        <f>SUM(C$134:C$141)</f>
        <v>0</v>
      </c>
      <c r="D142" s="110">
        <f t="shared" ref="D142:AX142" si="9">SUM(D$134:D$141)</f>
        <v>0</v>
      </c>
      <c r="E142" s="110">
        <f t="shared" si="9"/>
        <v>0</v>
      </c>
      <c r="F142" s="110">
        <f t="shared" si="9"/>
        <v>0</v>
      </c>
      <c r="G142" s="110">
        <f t="shared" si="9"/>
        <v>0</v>
      </c>
      <c r="H142" s="110">
        <f t="shared" si="9"/>
        <v>0</v>
      </c>
      <c r="I142" s="110">
        <f t="shared" si="9"/>
        <v>0</v>
      </c>
      <c r="J142" s="110">
        <f t="shared" si="9"/>
        <v>0</v>
      </c>
      <c r="K142" s="110">
        <f t="shared" si="9"/>
        <v>0</v>
      </c>
      <c r="L142" s="110">
        <f t="shared" si="9"/>
        <v>0</v>
      </c>
      <c r="M142" s="110">
        <f t="shared" si="9"/>
        <v>0</v>
      </c>
      <c r="N142" s="110">
        <f t="shared" si="9"/>
        <v>0</v>
      </c>
      <c r="O142" s="110">
        <f t="shared" si="9"/>
        <v>0</v>
      </c>
      <c r="P142" s="110">
        <f t="shared" si="9"/>
        <v>0</v>
      </c>
      <c r="Q142" s="110">
        <f t="shared" si="9"/>
        <v>0</v>
      </c>
      <c r="R142" s="110">
        <f t="shared" si="9"/>
        <v>0</v>
      </c>
      <c r="S142" s="110">
        <f t="shared" si="9"/>
        <v>0</v>
      </c>
      <c r="T142" s="110">
        <f t="shared" si="9"/>
        <v>0</v>
      </c>
      <c r="U142" s="110">
        <f t="shared" si="9"/>
        <v>0</v>
      </c>
      <c r="V142" s="110">
        <f t="shared" si="9"/>
        <v>0</v>
      </c>
      <c r="W142" s="110">
        <f t="shared" si="9"/>
        <v>0</v>
      </c>
      <c r="X142" s="110">
        <f t="shared" si="9"/>
        <v>0</v>
      </c>
      <c r="Y142" s="110">
        <f t="shared" si="9"/>
        <v>0</v>
      </c>
      <c r="Z142" s="110">
        <f t="shared" si="9"/>
        <v>0</v>
      </c>
      <c r="AA142" s="110">
        <f t="shared" si="9"/>
        <v>0</v>
      </c>
      <c r="AB142" s="110">
        <f t="shared" si="9"/>
        <v>0</v>
      </c>
      <c r="AC142" s="110">
        <f t="shared" si="9"/>
        <v>0</v>
      </c>
      <c r="AD142" s="110">
        <f t="shared" si="9"/>
        <v>0</v>
      </c>
      <c r="AE142" s="110">
        <f t="shared" si="9"/>
        <v>0</v>
      </c>
      <c r="AF142" s="110">
        <f t="shared" si="9"/>
        <v>0</v>
      </c>
      <c r="AG142" s="110">
        <f t="shared" si="9"/>
        <v>0</v>
      </c>
      <c r="AH142" s="110">
        <f t="shared" si="9"/>
        <v>0</v>
      </c>
      <c r="AI142" s="110">
        <f t="shared" si="9"/>
        <v>0</v>
      </c>
      <c r="AJ142" s="110">
        <f t="shared" si="9"/>
        <v>0</v>
      </c>
      <c r="AK142" s="110">
        <f t="shared" si="9"/>
        <v>0</v>
      </c>
      <c r="AL142" s="110">
        <f t="shared" si="9"/>
        <v>0</v>
      </c>
      <c r="AM142" s="110">
        <f t="shared" si="9"/>
        <v>0</v>
      </c>
      <c r="AN142" s="110">
        <f t="shared" si="9"/>
        <v>0</v>
      </c>
      <c r="AO142" s="110">
        <f t="shared" si="9"/>
        <v>0</v>
      </c>
      <c r="AP142" s="110">
        <f t="shared" si="9"/>
        <v>0</v>
      </c>
      <c r="AQ142" s="110">
        <f t="shared" si="9"/>
        <v>0</v>
      </c>
      <c r="AR142" s="110">
        <f t="shared" si="9"/>
        <v>0</v>
      </c>
      <c r="AS142" s="110">
        <f t="shared" si="9"/>
        <v>0</v>
      </c>
      <c r="AT142" s="110">
        <f t="shared" si="9"/>
        <v>0</v>
      </c>
      <c r="AU142" s="110">
        <f t="shared" si="9"/>
        <v>0</v>
      </c>
      <c r="AV142" s="110">
        <f t="shared" si="9"/>
        <v>0</v>
      </c>
      <c r="AW142" s="110">
        <f t="shared" si="9"/>
        <v>0</v>
      </c>
      <c r="AX142" s="110">
        <f t="shared" si="9"/>
        <v>0</v>
      </c>
    </row>
    <row r="143" spans="1:50" x14ac:dyDescent="0.2">
      <c r="A143" s="110" t="s">
        <v>109</v>
      </c>
      <c r="B143" s="110" t="s">
        <v>7</v>
      </c>
      <c r="C143" s="105">
        <v>0</v>
      </c>
      <c r="D143" s="105">
        <v>0</v>
      </c>
      <c r="E143" s="105">
        <v>0</v>
      </c>
      <c r="F143" s="105">
        <v>0</v>
      </c>
      <c r="G143" s="105">
        <v>0</v>
      </c>
      <c r="H143" s="105">
        <v>0</v>
      </c>
      <c r="I143" s="105">
        <v>0</v>
      </c>
      <c r="J143" s="105">
        <v>0</v>
      </c>
      <c r="K143" s="105">
        <v>0</v>
      </c>
      <c r="L143" s="105">
        <v>0</v>
      </c>
      <c r="M143" s="105">
        <v>0</v>
      </c>
      <c r="N143" s="105">
        <v>0</v>
      </c>
      <c r="O143" s="105">
        <v>0</v>
      </c>
      <c r="P143" s="105">
        <v>0</v>
      </c>
      <c r="Q143" s="105">
        <v>0</v>
      </c>
      <c r="R143" s="105">
        <v>0</v>
      </c>
      <c r="S143" s="105">
        <v>0</v>
      </c>
      <c r="T143" s="105">
        <v>0</v>
      </c>
      <c r="U143" s="105">
        <v>0</v>
      </c>
      <c r="V143" s="105">
        <v>0</v>
      </c>
      <c r="W143" s="105">
        <v>0</v>
      </c>
      <c r="X143" s="105">
        <v>0</v>
      </c>
      <c r="Y143" s="105">
        <v>0</v>
      </c>
      <c r="Z143" s="105">
        <v>0</v>
      </c>
      <c r="AA143" s="105">
        <v>0</v>
      </c>
      <c r="AB143" s="105">
        <v>0</v>
      </c>
      <c r="AC143" s="105">
        <v>0</v>
      </c>
      <c r="AD143" s="105">
        <v>0</v>
      </c>
      <c r="AE143" s="105">
        <v>0</v>
      </c>
      <c r="AF143" s="105">
        <v>0</v>
      </c>
      <c r="AG143" s="105">
        <v>0</v>
      </c>
      <c r="AH143" s="105">
        <v>0</v>
      </c>
      <c r="AI143" s="105">
        <v>0</v>
      </c>
      <c r="AJ143" s="105">
        <v>0</v>
      </c>
      <c r="AK143" s="105">
        <v>0</v>
      </c>
      <c r="AL143" s="105">
        <v>0</v>
      </c>
      <c r="AM143" s="105">
        <v>0</v>
      </c>
      <c r="AN143" s="105">
        <v>0</v>
      </c>
      <c r="AO143" s="105">
        <v>0</v>
      </c>
      <c r="AP143" s="105">
        <v>0</v>
      </c>
      <c r="AQ143" s="105">
        <v>0</v>
      </c>
      <c r="AR143" s="105">
        <v>0</v>
      </c>
      <c r="AS143" s="105">
        <v>0</v>
      </c>
      <c r="AT143" s="105">
        <v>0</v>
      </c>
      <c r="AU143" s="105">
        <v>0</v>
      </c>
      <c r="AV143" s="105">
        <v>0</v>
      </c>
      <c r="AW143" s="105">
        <v>0</v>
      </c>
      <c r="AX143" s="105">
        <v>0</v>
      </c>
    </row>
    <row r="144" spans="1:50" x14ac:dyDescent="0.2">
      <c r="B144" s="110" t="s">
        <v>8</v>
      </c>
      <c r="C144" s="105">
        <v>0</v>
      </c>
      <c r="D144" s="105">
        <v>0</v>
      </c>
      <c r="E144" s="105">
        <v>0</v>
      </c>
      <c r="F144" s="105">
        <v>0</v>
      </c>
      <c r="G144" s="105">
        <v>0</v>
      </c>
      <c r="H144" s="105">
        <v>0</v>
      </c>
      <c r="I144" s="105">
        <v>0</v>
      </c>
      <c r="J144" s="105">
        <v>0</v>
      </c>
      <c r="K144" s="105">
        <v>0</v>
      </c>
      <c r="L144" s="105">
        <v>0</v>
      </c>
      <c r="M144" s="105">
        <v>0</v>
      </c>
      <c r="N144" s="105">
        <v>0</v>
      </c>
      <c r="O144" s="105">
        <v>0</v>
      </c>
      <c r="P144" s="105">
        <v>0</v>
      </c>
      <c r="Q144" s="105">
        <v>0</v>
      </c>
      <c r="R144" s="105">
        <v>0</v>
      </c>
      <c r="S144" s="105">
        <v>0</v>
      </c>
      <c r="T144" s="105">
        <v>0</v>
      </c>
      <c r="U144" s="105">
        <v>0</v>
      </c>
      <c r="V144" s="105">
        <v>0</v>
      </c>
      <c r="W144" s="105">
        <v>0</v>
      </c>
      <c r="X144" s="105">
        <v>0</v>
      </c>
      <c r="Y144" s="105">
        <v>0</v>
      </c>
      <c r="Z144" s="105">
        <v>0</v>
      </c>
      <c r="AA144" s="105">
        <v>0</v>
      </c>
      <c r="AB144" s="105">
        <v>0</v>
      </c>
      <c r="AC144" s="105">
        <v>0</v>
      </c>
      <c r="AD144" s="105">
        <v>0</v>
      </c>
      <c r="AE144" s="105">
        <v>0</v>
      </c>
      <c r="AF144" s="105">
        <v>0</v>
      </c>
      <c r="AG144" s="105">
        <v>0</v>
      </c>
      <c r="AH144" s="105">
        <v>0</v>
      </c>
      <c r="AI144" s="105">
        <v>0</v>
      </c>
      <c r="AJ144" s="105">
        <v>0</v>
      </c>
      <c r="AK144" s="105">
        <v>0</v>
      </c>
      <c r="AL144" s="105">
        <v>0</v>
      </c>
      <c r="AM144" s="105">
        <v>0</v>
      </c>
      <c r="AN144" s="105">
        <v>0</v>
      </c>
      <c r="AO144" s="105">
        <v>0</v>
      </c>
      <c r="AP144" s="105">
        <v>0</v>
      </c>
      <c r="AQ144" s="105">
        <v>0</v>
      </c>
      <c r="AR144" s="105">
        <v>0</v>
      </c>
      <c r="AS144" s="105">
        <v>0</v>
      </c>
      <c r="AT144" s="105">
        <v>0</v>
      </c>
      <c r="AU144" s="105">
        <v>0</v>
      </c>
      <c r="AV144" s="105">
        <v>0</v>
      </c>
      <c r="AW144" s="105">
        <v>0</v>
      </c>
      <c r="AX144" s="105">
        <v>0</v>
      </c>
    </row>
    <row r="145" spans="2:50" x14ac:dyDescent="0.2">
      <c r="B145" s="110" t="s">
        <v>10</v>
      </c>
      <c r="C145" s="105">
        <v>0</v>
      </c>
      <c r="D145" s="105">
        <v>0</v>
      </c>
      <c r="E145" s="105">
        <v>0</v>
      </c>
      <c r="F145" s="105">
        <v>0</v>
      </c>
      <c r="G145" s="105">
        <v>0</v>
      </c>
      <c r="H145" s="105">
        <v>0</v>
      </c>
      <c r="I145" s="105">
        <v>0</v>
      </c>
      <c r="J145" s="105">
        <v>0</v>
      </c>
      <c r="K145" s="105">
        <v>0</v>
      </c>
      <c r="L145" s="105">
        <v>0</v>
      </c>
      <c r="M145" s="105">
        <v>0</v>
      </c>
      <c r="N145" s="105">
        <v>0</v>
      </c>
      <c r="O145" s="105">
        <v>0</v>
      </c>
      <c r="P145" s="105">
        <v>0</v>
      </c>
      <c r="Q145" s="105">
        <v>0</v>
      </c>
      <c r="R145" s="105">
        <v>0</v>
      </c>
      <c r="S145" s="105">
        <v>0</v>
      </c>
      <c r="T145" s="105">
        <v>0</v>
      </c>
      <c r="U145" s="105">
        <v>0</v>
      </c>
      <c r="V145" s="105">
        <v>0</v>
      </c>
      <c r="W145" s="105">
        <v>0</v>
      </c>
      <c r="X145" s="105">
        <v>0</v>
      </c>
      <c r="Y145" s="105">
        <v>0</v>
      </c>
      <c r="Z145" s="105">
        <v>0</v>
      </c>
      <c r="AA145" s="105">
        <v>0</v>
      </c>
      <c r="AB145" s="105">
        <v>0</v>
      </c>
      <c r="AC145" s="105">
        <v>0</v>
      </c>
      <c r="AD145" s="105">
        <v>0</v>
      </c>
      <c r="AE145" s="105">
        <v>0</v>
      </c>
      <c r="AF145" s="105">
        <v>0</v>
      </c>
      <c r="AG145" s="105">
        <v>0</v>
      </c>
      <c r="AH145" s="105">
        <v>0</v>
      </c>
      <c r="AI145" s="105">
        <v>0</v>
      </c>
      <c r="AJ145" s="105">
        <v>0</v>
      </c>
      <c r="AK145" s="105">
        <v>0</v>
      </c>
      <c r="AL145" s="105">
        <v>0</v>
      </c>
      <c r="AM145" s="105">
        <v>0</v>
      </c>
      <c r="AN145" s="105">
        <v>0</v>
      </c>
      <c r="AO145" s="105">
        <v>0</v>
      </c>
      <c r="AP145" s="105">
        <v>0</v>
      </c>
      <c r="AQ145" s="105">
        <v>0</v>
      </c>
      <c r="AR145" s="105">
        <v>0</v>
      </c>
      <c r="AS145" s="105">
        <v>0</v>
      </c>
      <c r="AT145" s="105">
        <v>0</v>
      </c>
      <c r="AU145" s="105">
        <v>0</v>
      </c>
      <c r="AV145" s="105">
        <v>0</v>
      </c>
      <c r="AW145" s="105">
        <v>0</v>
      </c>
      <c r="AX145" s="105">
        <v>0</v>
      </c>
    </row>
    <row r="146" spans="2:50" x14ac:dyDescent="0.2">
      <c r="B146" s="110" t="s">
        <v>14</v>
      </c>
      <c r="C146" s="105">
        <v>0</v>
      </c>
      <c r="D146" s="105">
        <v>0</v>
      </c>
      <c r="E146" s="105">
        <v>0</v>
      </c>
      <c r="F146" s="105">
        <v>0</v>
      </c>
      <c r="G146" s="105">
        <v>0</v>
      </c>
      <c r="H146" s="105">
        <v>0</v>
      </c>
      <c r="I146" s="105">
        <v>0</v>
      </c>
      <c r="J146" s="105">
        <v>0</v>
      </c>
      <c r="K146" s="105">
        <v>0</v>
      </c>
      <c r="L146" s="105">
        <v>0</v>
      </c>
      <c r="M146" s="105">
        <v>0</v>
      </c>
      <c r="N146" s="105">
        <v>0</v>
      </c>
      <c r="O146" s="105">
        <v>0</v>
      </c>
      <c r="P146" s="105">
        <v>0</v>
      </c>
      <c r="Q146" s="105">
        <v>0</v>
      </c>
      <c r="R146" s="105">
        <v>0</v>
      </c>
      <c r="S146" s="105">
        <v>0</v>
      </c>
      <c r="T146" s="105">
        <v>0</v>
      </c>
      <c r="U146" s="105">
        <v>0</v>
      </c>
      <c r="V146" s="105">
        <v>0</v>
      </c>
      <c r="W146" s="105">
        <v>0</v>
      </c>
      <c r="X146" s="105">
        <v>0</v>
      </c>
      <c r="Y146" s="105">
        <v>0</v>
      </c>
      <c r="Z146" s="105">
        <v>0</v>
      </c>
      <c r="AA146" s="105">
        <v>0</v>
      </c>
      <c r="AB146" s="105">
        <v>0</v>
      </c>
      <c r="AC146" s="105">
        <v>0</v>
      </c>
      <c r="AD146" s="105">
        <v>0</v>
      </c>
      <c r="AE146" s="105">
        <v>0</v>
      </c>
      <c r="AF146" s="105">
        <v>0</v>
      </c>
      <c r="AG146" s="105">
        <v>0</v>
      </c>
      <c r="AH146" s="105">
        <v>0</v>
      </c>
      <c r="AI146" s="105">
        <v>0</v>
      </c>
      <c r="AJ146" s="105">
        <v>0</v>
      </c>
      <c r="AK146" s="105">
        <v>0</v>
      </c>
      <c r="AL146" s="105">
        <v>0</v>
      </c>
      <c r="AM146" s="105">
        <v>0</v>
      </c>
      <c r="AN146" s="105">
        <v>0</v>
      </c>
      <c r="AO146" s="105">
        <v>0</v>
      </c>
      <c r="AP146" s="105">
        <v>0</v>
      </c>
      <c r="AQ146" s="105">
        <v>0</v>
      </c>
      <c r="AR146" s="105">
        <v>0</v>
      </c>
      <c r="AS146" s="105">
        <v>0</v>
      </c>
      <c r="AT146" s="105">
        <v>0</v>
      </c>
      <c r="AU146" s="105">
        <v>0</v>
      </c>
      <c r="AV146" s="105">
        <v>0</v>
      </c>
      <c r="AW146" s="105">
        <v>0</v>
      </c>
      <c r="AX146" s="105">
        <v>0</v>
      </c>
    </row>
    <row r="147" spans="2:50" x14ac:dyDescent="0.2">
      <c r="B147" s="110" t="s">
        <v>34</v>
      </c>
      <c r="C147" s="105">
        <v>0</v>
      </c>
      <c r="D147" s="105">
        <v>0</v>
      </c>
      <c r="E147" s="105">
        <v>0</v>
      </c>
      <c r="F147" s="105">
        <v>0</v>
      </c>
      <c r="G147" s="105">
        <v>0</v>
      </c>
      <c r="H147" s="105">
        <v>0</v>
      </c>
      <c r="I147" s="105">
        <v>0</v>
      </c>
      <c r="J147" s="105">
        <v>0</v>
      </c>
      <c r="K147" s="105">
        <v>0</v>
      </c>
      <c r="L147" s="105">
        <v>0</v>
      </c>
      <c r="M147" s="105">
        <v>0</v>
      </c>
      <c r="N147" s="105">
        <v>0</v>
      </c>
      <c r="O147" s="105">
        <v>0</v>
      </c>
      <c r="P147" s="105">
        <v>0</v>
      </c>
      <c r="Q147" s="105">
        <v>0</v>
      </c>
      <c r="R147" s="105">
        <v>0</v>
      </c>
      <c r="S147" s="105">
        <v>0</v>
      </c>
      <c r="T147" s="105">
        <v>0</v>
      </c>
      <c r="U147" s="105">
        <v>0</v>
      </c>
      <c r="V147" s="105">
        <v>0</v>
      </c>
      <c r="W147" s="105">
        <v>0</v>
      </c>
      <c r="X147" s="105">
        <v>0</v>
      </c>
      <c r="Y147" s="105">
        <v>0</v>
      </c>
      <c r="Z147" s="105">
        <v>0</v>
      </c>
      <c r="AA147" s="105">
        <v>0</v>
      </c>
      <c r="AB147" s="105">
        <v>0</v>
      </c>
      <c r="AC147" s="105">
        <v>0</v>
      </c>
      <c r="AD147" s="105">
        <v>0</v>
      </c>
      <c r="AE147" s="105">
        <v>0</v>
      </c>
      <c r="AF147" s="105">
        <v>0</v>
      </c>
      <c r="AG147" s="105">
        <v>0</v>
      </c>
      <c r="AH147" s="105">
        <v>0</v>
      </c>
      <c r="AI147" s="105">
        <v>0</v>
      </c>
      <c r="AJ147" s="105">
        <v>0</v>
      </c>
      <c r="AK147" s="105">
        <v>0</v>
      </c>
      <c r="AL147" s="105">
        <v>0</v>
      </c>
      <c r="AM147" s="105">
        <v>0</v>
      </c>
      <c r="AN147" s="105">
        <v>0</v>
      </c>
      <c r="AO147" s="105">
        <v>0</v>
      </c>
      <c r="AP147" s="105">
        <v>0</v>
      </c>
      <c r="AQ147" s="105">
        <v>0</v>
      </c>
      <c r="AR147" s="105">
        <v>0</v>
      </c>
      <c r="AS147" s="105">
        <v>0</v>
      </c>
      <c r="AT147" s="105">
        <v>0</v>
      </c>
      <c r="AU147" s="105">
        <v>0</v>
      </c>
      <c r="AV147" s="105">
        <v>0</v>
      </c>
      <c r="AW147" s="105">
        <v>0</v>
      </c>
      <c r="AX147" s="105">
        <v>0</v>
      </c>
    </row>
    <row r="148" spans="2:50" x14ac:dyDescent="0.2">
      <c r="B148" s="110" t="s">
        <v>49</v>
      </c>
      <c r="C148" s="105">
        <v>0</v>
      </c>
      <c r="D148" s="105">
        <v>0</v>
      </c>
      <c r="E148" s="105">
        <v>0</v>
      </c>
      <c r="F148" s="105">
        <v>0</v>
      </c>
      <c r="G148" s="105">
        <v>0</v>
      </c>
      <c r="H148" s="105">
        <v>0</v>
      </c>
      <c r="I148" s="105">
        <v>0</v>
      </c>
      <c r="J148" s="105">
        <v>0</v>
      </c>
      <c r="K148" s="105">
        <v>0</v>
      </c>
      <c r="L148" s="105">
        <v>0</v>
      </c>
      <c r="M148" s="105">
        <v>0</v>
      </c>
      <c r="N148" s="105">
        <v>0</v>
      </c>
      <c r="O148" s="105">
        <v>0</v>
      </c>
      <c r="P148" s="105">
        <v>0</v>
      </c>
      <c r="Q148" s="105">
        <v>0</v>
      </c>
      <c r="R148" s="105">
        <v>0</v>
      </c>
      <c r="S148" s="105">
        <v>0</v>
      </c>
      <c r="T148" s="105">
        <v>0</v>
      </c>
      <c r="U148" s="105">
        <v>0</v>
      </c>
      <c r="V148" s="105">
        <v>0</v>
      </c>
      <c r="W148" s="105">
        <v>0</v>
      </c>
      <c r="X148" s="105">
        <v>0</v>
      </c>
      <c r="Y148" s="105">
        <v>0</v>
      </c>
      <c r="Z148" s="105">
        <v>0</v>
      </c>
      <c r="AA148" s="105">
        <v>0</v>
      </c>
      <c r="AB148" s="105">
        <v>0</v>
      </c>
      <c r="AC148" s="105">
        <v>0</v>
      </c>
      <c r="AD148" s="105">
        <v>0</v>
      </c>
      <c r="AE148" s="105">
        <v>0</v>
      </c>
      <c r="AF148" s="105">
        <v>0</v>
      </c>
      <c r="AG148" s="105">
        <v>0</v>
      </c>
      <c r="AH148" s="105">
        <v>0</v>
      </c>
      <c r="AI148" s="105">
        <v>0</v>
      </c>
      <c r="AJ148" s="105">
        <v>0</v>
      </c>
      <c r="AK148" s="105">
        <v>0</v>
      </c>
      <c r="AL148" s="105">
        <v>0</v>
      </c>
      <c r="AM148" s="105">
        <v>0</v>
      </c>
      <c r="AN148" s="105">
        <v>0</v>
      </c>
      <c r="AO148" s="105">
        <v>0</v>
      </c>
      <c r="AP148" s="105">
        <v>0</v>
      </c>
      <c r="AQ148" s="105">
        <v>0</v>
      </c>
      <c r="AR148" s="105">
        <v>0</v>
      </c>
      <c r="AS148" s="105">
        <v>0</v>
      </c>
      <c r="AT148" s="105">
        <v>0</v>
      </c>
      <c r="AU148" s="105">
        <v>0</v>
      </c>
      <c r="AV148" s="105">
        <v>0</v>
      </c>
      <c r="AW148" s="105">
        <v>0</v>
      </c>
      <c r="AX148" s="105">
        <v>0</v>
      </c>
    </row>
    <row r="149" spans="2:50" x14ac:dyDescent="0.2">
      <c r="B149" s="110" t="s">
        <v>57</v>
      </c>
      <c r="C149" s="105">
        <v>0</v>
      </c>
      <c r="D149" s="105">
        <v>0</v>
      </c>
      <c r="E149" s="105">
        <v>0</v>
      </c>
      <c r="F149" s="105">
        <v>0</v>
      </c>
      <c r="G149" s="105">
        <v>0</v>
      </c>
      <c r="H149" s="105">
        <v>0</v>
      </c>
      <c r="I149" s="105">
        <v>0</v>
      </c>
      <c r="J149" s="105">
        <v>0</v>
      </c>
      <c r="K149" s="105">
        <v>0</v>
      </c>
      <c r="L149" s="105">
        <v>0</v>
      </c>
      <c r="M149" s="105">
        <v>0</v>
      </c>
      <c r="N149" s="105">
        <v>0</v>
      </c>
      <c r="O149" s="105">
        <v>0</v>
      </c>
      <c r="P149" s="105">
        <v>0</v>
      </c>
      <c r="Q149" s="105">
        <v>0</v>
      </c>
      <c r="R149" s="105">
        <v>0</v>
      </c>
      <c r="S149" s="105">
        <v>0</v>
      </c>
      <c r="T149" s="105">
        <v>0</v>
      </c>
      <c r="U149" s="105">
        <v>0</v>
      </c>
      <c r="V149" s="105">
        <v>0</v>
      </c>
      <c r="W149" s="105">
        <v>0</v>
      </c>
      <c r="X149" s="105">
        <v>0</v>
      </c>
      <c r="Y149" s="105">
        <v>0</v>
      </c>
      <c r="Z149" s="105">
        <v>0</v>
      </c>
      <c r="AA149" s="105">
        <v>0</v>
      </c>
      <c r="AB149" s="105">
        <v>0</v>
      </c>
      <c r="AC149" s="105">
        <v>0</v>
      </c>
      <c r="AD149" s="105">
        <v>0</v>
      </c>
      <c r="AE149" s="105">
        <v>0</v>
      </c>
      <c r="AF149" s="105">
        <v>0</v>
      </c>
      <c r="AG149" s="105">
        <v>0</v>
      </c>
      <c r="AH149" s="105">
        <v>0</v>
      </c>
      <c r="AI149" s="105">
        <v>0</v>
      </c>
      <c r="AJ149" s="105">
        <v>0</v>
      </c>
      <c r="AK149" s="105">
        <v>0</v>
      </c>
      <c r="AL149" s="105">
        <v>0</v>
      </c>
      <c r="AM149" s="105">
        <v>0</v>
      </c>
      <c r="AN149" s="105">
        <v>0</v>
      </c>
      <c r="AO149" s="105">
        <v>0</v>
      </c>
      <c r="AP149" s="105">
        <v>0</v>
      </c>
      <c r="AQ149" s="105">
        <v>0</v>
      </c>
      <c r="AR149" s="105">
        <v>0</v>
      </c>
      <c r="AS149" s="105">
        <v>0</v>
      </c>
      <c r="AT149" s="105">
        <v>0</v>
      </c>
      <c r="AU149" s="105">
        <v>0</v>
      </c>
      <c r="AV149" s="105">
        <v>0</v>
      </c>
      <c r="AW149" s="105">
        <v>0</v>
      </c>
      <c r="AX149" s="105">
        <v>0</v>
      </c>
    </row>
    <row r="150" spans="2:50" x14ac:dyDescent="0.2">
      <c r="B150" s="110" t="s">
        <v>70</v>
      </c>
      <c r="C150" s="105">
        <v>0</v>
      </c>
      <c r="D150" s="105">
        <v>0</v>
      </c>
      <c r="E150" s="105">
        <v>0</v>
      </c>
      <c r="F150" s="105">
        <v>0</v>
      </c>
      <c r="G150" s="105">
        <v>0</v>
      </c>
      <c r="H150" s="105">
        <v>0</v>
      </c>
      <c r="I150" s="105">
        <v>0</v>
      </c>
      <c r="J150" s="105">
        <v>0</v>
      </c>
      <c r="K150" s="105">
        <v>0</v>
      </c>
      <c r="L150" s="105">
        <v>0</v>
      </c>
      <c r="M150" s="105">
        <v>0</v>
      </c>
      <c r="N150" s="105">
        <v>0</v>
      </c>
      <c r="O150" s="105">
        <v>0</v>
      </c>
      <c r="P150" s="105">
        <v>0</v>
      </c>
      <c r="Q150" s="105">
        <v>0</v>
      </c>
      <c r="R150" s="105">
        <v>0</v>
      </c>
      <c r="S150" s="105">
        <v>0</v>
      </c>
      <c r="T150" s="105">
        <v>0</v>
      </c>
      <c r="U150" s="105">
        <v>0</v>
      </c>
      <c r="V150" s="105">
        <v>0</v>
      </c>
      <c r="W150" s="105">
        <v>0</v>
      </c>
      <c r="X150" s="105">
        <v>0</v>
      </c>
      <c r="Y150" s="105">
        <v>0</v>
      </c>
      <c r="Z150" s="105">
        <v>0</v>
      </c>
      <c r="AA150" s="105">
        <v>0</v>
      </c>
      <c r="AB150" s="105">
        <v>0</v>
      </c>
      <c r="AC150" s="105">
        <v>0</v>
      </c>
      <c r="AD150" s="105">
        <v>0</v>
      </c>
      <c r="AE150" s="105">
        <v>0</v>
      </c>
      <c r="AF150" s="105">
        <v>0</v>
      </c>
      <c r="AG150" s="105">
        <v>0</v>
      </c>
      <c r="AH150" s="105">
        <v>0</v>
      </c>
      <c r="AI150" s="105">
        <v>0</v>
      </c>
      <c r="AJ150" s="105">
        <v>0</v>
      </c>
      <c r="AK150" s="105">
        <v>0</v>
      </c>
      <c r="AL150" s="105">
        <v>0</v>
      </c>
      <c r="AM150" s="105">
        <v>0</v>
      </c>
      <c r="AN150" s="105">
        <v>0</v>
      </c>
      <c r="AO150" s="105">
        <v>0</v>
      </c>
      <c r="AP150" s="105">
        <v>0</v>
      </c>
      <c r="AQ150" s="105">
        <v>0</v>
      </c>
      <c r="AR150" s="105">
        <v>0</v>
      </c>
      <c r="AS150" s="105">
        <v>0</v>
      </c>
      <c r="AT150" s="105">
        <v>0</v>
      </c>
      <c r="AU150" s="105">
        <v>0</v>
      </c>
      <c r="AV150" s="105">
        <v>0</v>
      </c>
      <c r="AW150" s="105">
        <v>0</v>
      </c>
      <c r="AX150" s="105">
        <v>0</v>
      </c>
    </row>
    <row r="151" spans="2:50" x14ac:dyDescent="0.2">
      <c r="B151" s="105" t="s">
        <v>280</v>
      </c>
      <c r="C151" s="110">
        <f>SUM(C$143:C$150)</f>
        <v>0</v>
      </c>
      <c r="D151" s="110">
        <f t="shared" ref="D151:AX151" si="10">SUM(D$143:D$150)</f>
        <v>0</v>
      </c>
      <c r="E151" s="110">
        <f t="shared" si="10"/>
        <v>0</v>
      </c>
      <c r="F151" s="110">
        <f t="shared" si="10"/>
        <v>0</v>
      </c>
      <c r="G151" s="110">
        <f t="shared" si="10"/>
        <v>0</v>
      </c>
      <c r="H151" s="110">
        <f t="shared" si="10"/>
        <v>0</v>
      </c>
      <c r="I151" s="110">
        <f t="shared" si="10"/>
        <v>0</v>
      </c>
      <c r="J151" s="110">
        <f t="shared" si="10"/>
        <v>0</v>
      </c>
      <c r="K151" s="110">
        <f t="shared" si="10"/>
        <v>0</v>
      </c>
      <c r="L151" s="110">
        <f t="shared" si="10"/>
        <v>0</v>
      </c>
      <c r="M151" s="110">
        <f t="shared" si="10"/>
        <v>0</v>
      </c>
      <c r="N151" s="110">
        <f t="shared" si="10"/>
        <v>0</v>
      </c>
      <c r="O151" s="110">
        <f t="shared" si="10"/>
        <v>0</v>
      </c>
      <c r="P151" s="110">
        <f t="shared" si="10"/>
        <v>0</v>
      </c>
      <c r="Q151" s="110">
        <f t="shared" si="10"/>
        <v>0</v>
      </c>
      <c r="R151" s="110">
        <f t="shared" si="10"/>
        <v>0</v>
      </c>
      <c r="S151" s="110">
        <f t="shared" si="10"/>
        <v>0</v>
      </c>
      <c r="T151" s="110">
        <f t="shared" si="10"/>
        <v>0</v>
      </c>
      <c r="U151" s="110">
        <f t="shared" si="10"/>
        <v>0</v>
      </c>
      <c r="V151" s="110">
        <f t="shared" si="10"/>
        <v>0</v>
      </c>
      <c r="W151" s="110">
        <f t="shared" si="10"/>
        <v>0</v>
      </c>
      <c r="X151" s="110">
        <f t="shared" si="10"/>
        <v>0</v>
      </c>
      <c r="Y151" s="110">
        <f t="shared" si="10"/>
        <v>0</v>
      </c>
      <c r="Z151" s="110">
        <f t="shared" si="10"/>
        <v>0</v>
      </c>
      <c r="AA151" s="110">
        <f t="shared" si="10"/>
        <v>0</v>
      </c>
      <c r="AB151" s="110">
        <f t="shared" si="10"/>
        <v>0</v>
      </c>
      <c r="AC151" s="110">
        <f t="shared" si="10"/>
        <v>0</v>
      </c>
      <c r="AD151" s="110">
        <f t="shared" si="10"/>
        <v>0</v>
      </c>
      <c r="AE151" s="110">
        <f t="shared" si="10"/>
        <v>0</v>
      </c>
      <c r="AF151" s="110">
        <f t="shared" si="10"/>
        <v>0</v>
      </c>
      <c r="AG151" s="110">
        <f t="shared" si="10"/>
        <v>0</v>
      </c>
      <c r="AH151" s="110">
        <f t="shared" si="10"/>
        <v>0</v>
      </c>
      <c r="AI151" s="110">
        <f t="shared" si="10"/>
        <v>0</v>
      </c>
      <c r="AJ151" s="110">
        <f t="shared" si="10"/>
        <v>0</v>
      </c>
      <c r="AK151" s="110">
        <f t="shared" si="10"/>
        <v>0</v>
      </c>
      <c r="AL151" s="110">
        <f t="shared" si="10"/>
        <v>0</v>
      </c>
      <c r="AM151" s="110">
        <f t="shared" si="10"/>
        <v>0</v>
      </c>
      <c r="AN151" s="110">
        <f t="shared" si="10"/>
        <v>0</v>
      </c>
      <c r="AO151" s="110">
        <f t="shared" si="10"/>
        <v>0</v>
      </c>
      <c r="AP151" s="110">
        <f t="shared" si="10"/>
        <v>0</v>
      </c>
      <c r="AQ151" s="110">
        <f t="shared" si="10"/>
        <v>0</v>
      </c>
      <c r="AR151" s="110">
        <f t="shared" si="10"/>
        <v>0</v>
      </c>
      <c r="AS151" s="110">
        <f t="shared" si="10"/>
        <v>0</v>
      </c>
      <c r="AT151" s="110">
        <f t="shared" si="10"/>
        <v>0</v>
      </c>
      <c r="AU151" s="110">
        <f t="shared" si="10"/>
        <v>0</v>
      </c>
      <c r="AV151" s="110">
        <f t="shared" si="10"/>
        <v>0</v>
      </c>
      <c r="AW151" s="110">
        <f t="shared" si="10"/>
        <v>0</v>
      </c>
      <c r="AX151" s="110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76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2.75" x14ac:dyDescent="0.2"/>
  <cols>
    <col min="1" max="1" width="14.7109375" style="105" customWidth="1"/>
    <col min="2" max="2" width="17.7109375" style="105" customWidth="1"/>
    <col min="3" max="51" width="9.140625" style="105"/>
    <col min="52" max="52" width="10.7109375" style="105" customWidth="1"/>
    <col min="53" max="16384" width="9.140625" style="105"/>
  </cols>
  <sheetData>
    <row r="1" spans="1:52" x14ac:dyDescent="0.2">
      <c r="A1" s="107" t="s">
        <v>118</v>
      </c>
    </row>
    <row r="2" spans="1:52" x14ac:dyDescent="0.2">
      <c r="A2" s="105" t="s">
        <v>305</v>
      </c>
      <c r="B2" s="112" t="s">
        <v>7</v>
      </c>
      <c r="E2" s="115"/>
    </row>
    <row r="3" spans="1:52" x14ac:dyDescent="0.2">
      <c r="A3" s="105" t="s">
        <v>288</v>
      </c>
      <c r="B3" s="112">
        <v>1700</v>
      </c>
      <c r="E3" s="115"/>
    </row>
    <row r="4" spans="1:52" x14ac:dyDescent="0.2">
      <c r="A4" s="107"/>
      <c r="C4" s="116" t="s">
        <v>289</v>
      </c>
    </row>
    <row r="5" spans="1:52" x14ac:dyDescent="0.2">
      <c r="B5" s="111"/>
      <c r="C5" s="117">
        <v>0</v>
      </c>
      <c r="D5" s="117">
        <v>1</v>
      </c>
      <c r="E5" s="117">
        <v>2</v>
      </c>
      <c r="F5" s="117">
        <v>3</v>
      </c>
      <c r="G5" s="117">
        <v>4</v>
      </c>
      <c r="H5" s="117">
        <v>5</v>
      </c>
      <c r="I5" s="117">
        <v>6</v>
      </c>
      <c r="J5" s="117">
        <v>7</v>
      </c>
      <c r="K5" s="117">
        <v>8</v>
      </c>
      <c r="L5" s="117">
        <v>9</v>
      </c>
      <c r="M5" s="117">
        <v>10</v>
      </c>
      <c r="N5" s="117">
        <v>11</v>
      </c>
      <c r="O5" s="117">
        <v>12</v>
      </c>
      <c r="P5" s="117">
        <v>13</v>
      </c>
      <c r="Q5" s="117">
        <v>14</v>
      </c>
      <c r="R5" s="117">
        <v>15</v>
      </c>
      <c r="S5" s="117">
        <v>16</v>
      </c>
      <c r="T5" s="117">
        <v>17</v>
      </c>
      <c r="U5" s="117">
        <v>18</v>
      </c>
      <c r="V5" s="117">
        <v>19</v>
      </c>
      <c r="W5" s="117">
        <v>20</v>
      </c>
      <c r="X5" s="117">
        <v>21</v>
      </c>
      <c r="Y5" s="117">
        <v>22</v>
      </c>
      <c r="Z5" s="117">
        <v>23</v>
      </c>
      <c r="AA5" s="117">
        <v>24</v>
      </c>
      <c r="AB5" s="117">
        <v>25</v>
      </c>
      <c r="AC5" s="117">
        <v>26</v>
      </c>
      <c r="AD5" s="117">
        <v>27</v>
      </c>
      <c r="AE5" s="117">
        <v>28</v>
      </c>
      <c r="AF5" s="117">
        <v>29</v>
      </c>
      <c r="AG5" s="117">
        <v>30</v>
      </c>
      <c r="AH5" s="117">
        <v>31</v>
      </c>
      <c r="AI5" s="117">
        <v>32</v>
      </c>
      <c r="AJ5" s="117">
        <v>33</v>
      </c>
      <c r="AK5" s="117">
        <v>34</v>
      </c>
      <c r="AL5" s="117">
        <v>35</v>
      </c>
      <c r="AM5" s="117">
        <v>36</v>
      </c>
      <c r="AN5" s="117">
        <v>37</v>
      </c>
      <c r="AO5" s="117">
        <v>38</v>
      </c>
      <c r="AP5" s="117">
        <v>39</v>
      </c>
      <c r="AQ5" s="117">
        <v>40</v>
      </c>
      <c r="AR5" s="117">
        <v>41</v>
      </c>
      <c r="AS5" s="117">
        <v>42</v>
      </c>
      <c r="AT5" s="117">
        <v>43</v>
      </c>
      <c r="AU5" s="117">
        <v>44</v>
      </c>
      <c r="AV5" s="117">
        <v>45</v>
      </c>
      <c r="AW5" s="117">
        <v>46</v>
      </c>
      <c r="AX5" s="117">
        <v>47</v>
      </c>
      <c r="AY5" s="117">
        <v>48</v>
      </c>
    </row>
    <row r="6" spans="1:52" x14ac:dyDescent="0.2">
      <c r="A6" s="107" t="s">
        <v>306</v>
      </c>
      <c r="B6" s="119"/>
      <c r="C6" s="118" t="s">
        <v>290</v>
      </c>
      <c r="D6" s="117" t="s">
        <v>291</v>
      </c>
      <c r="E6" s="117" t="s">
        <v>291</v>
      </c>
      <c r="F6" s="117" t="s">
        <v>291</v>
      </c>
      <c r="G6" s="117" t="s">
        <v>291</v>
      </c>
      <c r="H6" s="117" t="s">
        <v>291</v>
      </c>
      <c r="I6" s="117" t="s">
        <v>291</v>
      </c>
      <c r="J6" s="117" t="s">
        <v>291</v>
      </c>
      <c r="K6" s="117" t="s">
        <v>291</v>
      </c>
      <c r="L6" s="117" t="s">
        <v>291</v>
      </c>
      <c r="M6" s="117" t="s">
        <v>291</v>
      </c>
      <c r="N6" s="117" t="s">
        <v>291</v>
      </c>
      <c r="O6" s="117" t="s">
        <v>291</v>
      </c>
      <c r="P6" s="117" t="s">
        <v>291</v>
      </c>
      <c r="Q6" s="117" t="s">
        <v>291</v>
      </c>
      <c r="R6" s="117" t="s">
        <v>291</v>
      </c>
      <c r="S6" s="117" t="s">
        <v>291</v>
      </c>
      <c r="T6" s="117" t="s">
        <v>291</v>
      </c>
      <c r="U6" s="117" t="s">
        <v>291</v>
      </c>
      <c r="V6" s="117" t="s">
        <v>291</v>
      </c>
      <c r="W6" s="117" t="s">
        <v>291</v>
      </c>
      <c r="X6" s="117" t="s">
        <v>291</v>
      </c>
      <c r="Y6" s="117" t="s">
        <v>291</v>
      </c>
      <c r="Z6" s="117" t="s">
        <v>291</v>
      </c>
      <c r="AA6" s="117" t="s">
        <v>291</v>
      </c>
      <c r="AB6" s="117" t="s">
        <v>291</v>
      </c>
      <c r="AC6" s="117" t="s">
        <v>291</v>
      </c>
      <c r="AD6" s="117" t="s">
        <v>291</v>
      </c>
      <c r="AE6" s="117" t="s">
        <v>291</v>
      </c>
      <c r="AF6" s="117" t="s">
        <v>291</v>
      </c>
      <c r="AG6" s="117" t="s">
        <v>291</v>
      </c>
      <c r="AH6" s="117" t="s">
        <v>291</v>
      </c>
      <c r="AI6" s="117" t="s">
        <v>291</v>
      </c>
      <c r="AJ6" s="117" t="s">
        <v>291</v>
      </c>
      <c r="AK6" s="117" t="s">
        <v>291</v>
      </c>
      <c r="AL6" s="117" t="s">
        <v>291</v>
      </c>
      <c r="AM6" s="117" t="s">
        <v>291</v>
      </c>
      <c r="AN6" s="117" t="s">
        <v>291</v>
      </c>
      <c r="AO6" s="117" t="s">
        <v>291</v>
      </c>
      <c r="AP6" s="117" t="s">
        <v>291</v>
      </c>
      <c r="AQ6" s="117" t="s">
        <v>291</v>
      </c>
      <c r="AR6" s="117" t="s">
        <v>291</v>
      </c>
      <c r="AS6" s="117" t="s">
        <v>291</v>
      </c>
      <c r="AT6" s="117" t="s">
        <v>291</v>
      </c>
      <c r="AU6" s="117" t="s">
        <v>291</v>
      </c>
      <c r="AV6" s="117" t="s">
        <v>291</v>
      </c>
      <c r="AW6" s="117" t="s">
        <v>291</v>
      </c>
      <c r="AX6" s="117" t="s">
        <v>291</v>
      </c>
      <c r="AY6" s="116" t="s">
        <v>292</v>
      </c>
      <c r="AZ6" s="147" t="s">
        <v>150</v>
      </c>
    </row>
    <row r="7" spans="1:52" x14ac:dyDescent="0.2">
      <c r="A7" s="120" t="s">
        <v>125</v>
      </c>
      <c r="B7" s="148">
        <v>1</v>
      </c>
      <c r="C7" s="149" t="s">
        <v>295</v>
      </c>
      <c r="D7" s="149">
        <v>193</v>
      </c>
      <c r="E7" s="149">
        <v>193</v>
      </c>
      <c r="F7" s="149">
        <v>193</v>
      </c>
      <c r="G7" s="149">
        <v>193</v>
      </c>
      <c r="H7" s="149">
        <v>193</v>
      </c>
      <c r="I7" s="149">
        <v>193</v>
      </c>
      <c r="J7" s="149">
        <v>193</v>
      </c>
      <c r="K7" s="149">
        <v>193</v>
      </c>
      <c r="L7" s="149">
        <v>212.3</v>
      </c>
      <c r="M7" s="149">
        <v>212.3</v>
      </c>
      <c r="N7" s="149">
        <v>212.3</v>
      </c>
      <c r="O7" s="149">
        <v>212.3</v>
      </c>
      <c r="P7" s="149">
        <v>193</v>
      </c>
      <c r="Q7" s="149">
        <v>193</v>
      </c>
      <c r="R7" s="149">
        <v>193</v>
      </c>
      <c r="S7" s="149">
        <v>193</v>
      </c>
      <c r="T7" s="149">
        <v>212.3</v>
      </c>
      <c r="U7" s="149">
        <v>212.3</v>
      </c>
      <c r="V7" s="149">
        <v>212.3</v>
      </c>
      <c r="W7" s="149">
        <v>212.3</v>
      </c>
      <c r="X7" s="149">
        <v>193</v>
      </c>
      <c r="Y7" s="149">
        <v>193</v>
      </c>
      <c r="Z7" s="149">
        <v>193</v>
      </c>
      <c r="AA7" s="149">
        <v>193</v>
      </c>
      <c r="AB7" s="149">
        <v>212.3</v>
      </c>
      <c r="AC7" s="149">
        <v>212.3</v>
      </c>
      <c r="AD7" s="149">
        <v>212.3</v>
      </c>
      <c r="AE7" s="149">
        <v>212.3</v>
      </c>
      <c r="AF7" s="149">
        <v>193</v>
      </c>
      <c r="AG7" s="149">
        <v>193</v>
      </c>
      <c r="AH7" s="149">
        <v>193</v>
      </c>
      <c r="AI7" s="149">
        <v>193</v>
      </c>
      <c r="AJ7" s="149">
        <v>193</v>
      </c>
      <c r="AK7" s="149">
        <v>193</v>
      </c>
      <c r="AL7" s="149">
        <v>193</v>
      </c>
      <c r="AM7" s="149">
        <v>193</v>
      </c>
      <c r="AN7" s="149">
        <v>193</v>
      </c>
      <c r="AO7" s="149">
        <v>193</v>
      </c>
      <c r="AP7" s="149">
        <v>193</v>
      </c>
      <c r="AQ7" s="149">
        <v>193</v>
      </c>
      <c r="AR7" s="149">
        <v>173.70000000000002</v>
      </c>
      <c r="AS7" s="149">
        <v>173.70000000000002</v>
      </c>
      <c r="AT7" s="149">
        <v>173.70000000000002</v>
      </c>
      <c r="AU7" s="149">
        <v>173.70000000000002</v>
      </c>
      <c r="AV7" s="149">
        <v>193</v>
      </c>
      <c r="AW7" s="149">
        <v>193</v>
      </c>
      <c r="AX7" s="149">
        <v>193</v>
      </c>
      <c r="AY7" s="149">
        <v>193</v>
      </c>
      <c r="AZ7" s="111"/>
    </row>
    <row r="8" spans="1:52" x14ac:dyDescent="0.2">
      <c r="A8" s="150"/>
      <c r="B8" s="151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2"/>
    </row>
    <row r="9" spans="1:52" x14ac:dyDescent="0.2">
      <c r="A9" s="107" t="s">
        <v>296</v>
      </c>
      <c r="B9" s="153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  <c r="AU9" s="111"/>
      <c r="AV9" s="111"/>
      <c r="AW9" s="111"/>
      <c r="AX9" s="111"/>
      <c r="AY9" s="111"/>
      <c r="AZ9" s="111"/>
    </row>
    <row r="10" spans="1:52" x14ac:dyDescent="0.2">
      <c r="A10" s="154" t="s">
        <v>125</v>
      </c>
      <c r="B10" s="155">
        <v>1</v>
      </c>
      <c r="C10" s="149" t="s">
        <v>295</v>
      </c>
      <c r="D10" s="149">
        <f t="shared" ref="D10:AY10" si="0">MAX(SUM(D$14:D$16)+D$7-$B$3,0)</f>
        <v>0</v>
      </c>
      <c r="E10" s="149">
        <f t="shared" si="0"/>
        <v>0</v>
      </c>
      <c r="F10" s="149">
        <f t="shared" si="0"/>
        <v>0</v>
      </c>
      <c r="G10" s="149">
        <f t="shared" si="0"/>
        <v>0</v>
      </c>
      <c r="H10" s="149">
        <f t="shared" si="0"/>
        <v>0</v>
      </c>
      <c r="I10" s="149">
        <f t="shared" si="0"/>
        <v>0</v>
      </c>
      <c r="J10" s="149">
        <f t="shared" si="0"/>
        <v>0</v>
      </c>
      <c r="K10" s="149">
        <f t="shared" si="0"/>
        <v>0</v>
      </c>
      <c r="L10" s="149">
        <f t="shared" si="0"/>
        <v>0</v>
      </c>
      <c r="M10" s="149">
        <f t="shared" si="0"/>
        <v>0</v>
      </c>
      <c r="N10" s="149">
        <f t="shared" si="0"/>
        <v>0</v>
      </c>
      <c r="O10" s="149">
        <f t="shared" si="0"/>
        <v>0</v>
      </c>
      <c r="P10" s="149">
        <f t="shared" si="0"/>
        <v>0</v>
      </c>
      <c r="Q10" s="149">
        <f t="shared" si="0"/>
        <v>0</v>
      </c>
      <c r="R10" s="149">
        <f t="shared" si="0"/>
        <v>0</v>
      </c>
      <c r="S10" s="149">
        <f t="shared" si="0"/>
        <v>0</v>
      </c>
      <c r="T10" s="149">
        <f t="shared" si="0"/>
        <v>0</v>
      </c>
      <c r="U10" s="149">
        <f t="shared" si="0"/>
        <v>0</v>
      </c>
      <c r="V10" s="149">
        <f t="shared" si="0"/>
        <v>0</v>
      </c>
      <c r="W10" s="149">
        <f t="shared" si="0"/>
        <v>0</v>
      </c>
      <c r="X10" s="149">
        <f t="shared" si="0"/>
        <v>0</v>
      </c>
      <c r="Y10" s="149">
        <f t="shared" si="0"/>
        <v>0</v>
      </c>
      <c r="Z10" s="149">
        <f t="shared" si="0"/>
        <v>0</v>
      </c>
      <c r="AA10" s="149">
        <f t="shared" si="0"/>
        <v>0</v>
      </c>
      <c r="AB10" s="149">
        <f t="shared" si="0"/>
        <v>0</v>
      </c>
      <c r="AC10" s="149">
        <f t="shared" si="0"/>
        <v>0</v>
      </c>
      <c r="AD10" s="149">
        <f t="shared" si="0"/>
        <v>0</v>
      </c>
      <c r="AE10" s="149">
        <f t="shared" si="0"/>
        <v>0</v>
      </c>
      <c r="AF10" s="149">
        <f t="shared" si="0"/>
        <v>0</v>
      </c>
      <c r="AG10" s="149">
        <f t="shared" si="0"/>
        <v>0</v>
      </c>
      <c r="AH10" s="149">
        <f t="shared" si="0"/>
        <v>0</v>
      </c>
      <c r="AI10" s="149">
        <f t="shared" si="0"/>
        <v>0</v>
      </c>
      <c r="AJ10" s="149">
        <f t="shared" si="0"/>
        <v>0</v>
      </c>
      <c r="AK10" s="149">
        <f t="shared" si="0"/>
        <v>0</v>
      </c>
      <c r="AL10" s="149">
        <f t="shared" si="0"/>
        <v>0</v>
      </c>
      <c r="AM10" s="149">
        <f t="shared" si="0"/>
        <v>0</v>
      </c>
      <c r="AN10" s="149">
        <f t="shared" si="0"/>
        <v>0</v>
      </c>
      <c r="AO10" s="149">
        <f t="shared" si="0"/>
        <v>0</v>
      </c>
      <c r="AP10" s="149">
        <f t="shared" si="0"/>
        <v>0</v>
      </c>
      <c r="AQ10" s="149">
        <f t="shared" si="0"/>
        <v>0</v>
      </c>
      <c r="AR10" s="149">
        <f t="shared" si="0"/>
        <v>0</v>
      </c>
      <c r="AS10" s="149">
        <f t="shared" si="0"/>
        <v>0</v>
      </c>
      <c r="AT10" s="149">
        <f t="shared" si="0"/>
        <v>0</v>
      </c>
      <c r="AU10" s="149">
        <f t="shared" si="0"/>
        <v>0</v>
      </c>
      <c r="AV10" s="149">
        <f t="shared" si="0"/>
        <v>0</v>
      </c>
      <c r="AW10" s="149">
        <f t="shared" si="0"/>
        <v>0</v>
      </c>
      <c r="AX10" s="149">
        <f t="shared" si="0"/>
        <v>0</v>
      </c>
      <c r="AY10" s="149">
        <f t="shared" si="0"/>
        <v>0</v>
      </c>
      <c r="AZ10" s="156">
        <f>SUM($D10:$AY10)</f>
        <v>0</v>
      </c>
    </row>
    <row r="11" spans="1:52" x14ac:dyDescent="0.2">
      <c r="C11" s="115"/>
    </row>
    <row r="12" spans="1:52" x14ac:dyDescent="0.2">
      <c r="A12" s="157" t="s">
        <v>297</v>
      </c>
      <c r="B12" s="151"/>
      <c r="C12" s="115"/>
    </row>
    <row r="13" spans="1:52" x14ac:dyDescent="0.2">
      <c r="A13" s="127" t="s">
        <v>125</v>
      </c>
      <c r="B13" s="128">
        <v>1</v>
      </c>
      <c r="C13" s="129"/>
      <c r="D13" s="143">
        <f t="shared" ref="D13:AY13" si="1">D$7-D$10</f>
        <v>193</v>
      </c>
      <c r="E13" s="143">
        <f t="shared" si="1"/>
        <v>193</v>
      </c>
      <c r="F13" s="143">
        <f t="shared" si="1"/>
        <v>193</v>
      </c>
      <c r="G13" s="143">
        <f t="shared" si="1"/>
        <v>193</v>
      </c>
      <c r="H13" s="143">
        <f t="shared" si="1"/>
        <v>193</v>
      </c>
      <c r="I13" s="143">
        <f t="shared" si="1"/>
        <v>193</v>
      </c>
      <c r="J13" s="143">
        <f t="shared" si="1"/>
        <v>193</v>
      </c>
      <c r="K13" s="143">
        <f t="shared" si="1"/>
        <v>193</v>
      </c>
      <c r="L13" s="143">
        <f t="shared" si="1"/>
        <v>212.3</v>
      </c>
      <c r="M13" s="143">
        <f t="shared" si="1"/>
        <v>212.3</v>
      </c>
      <c r="N13" s="143">
        <f t="shared" si="1"/>
        <v>212.3</v>
      </c>
      <c r="O13" s="143">
        <f t="shared" si="1"/>
        <v>212.3</v>
      </c>
      <c r="P13" s="143">
        <f t="shared" si="1"/>
        <v>193</v>
      </c>
      <c r="Q13" s="143">
        <f t="shared" si="1"/>
        <v>193</v>
      </c>
      <c r="R13" s="143">
        <f t="shared" si="1"/>
        <v>193</v>
      </c>
      <c r="S13" s="143">
        <f t="shared" si="1"/>
        <v>193</v>
      </c>
      <c r="T13" s="143">
        <f t="shared" si="1"/>
        <v>212.3</v>
      </c>
      <c r="U13" s="143">
        <f t="shared" si="1"/>
        <v>212.3</v>
      </c>
      <c r="V13" s="143">
        <f t="shared" si="1"/>
        <v>212.3</v>
      </c>
      <c r="W13" s="143">
        <f t="shared" si="1"/>
        <v>212.3</v>
      </c>
      <c r="X13" s="143">
        <f t="shared" si="1"/>
        <v>193</v>
      </c>
      <c r="Y13" s="143">
        <f t="shared" si="1"/>
        <v>193</v>
      </c>
      <c r="Z13" s="143">
        <f t="shared" si="1"/>
        <v>193</v>
      </c>
      <c r="AA13" s="143">
        <f t="shared" si="1"/>
        <v>193</v>
      </c>
      <c r="AB13" s="143">
        <f t="shared" si="1"/>
        <v>212.3</v>
      </c>
      <c r="AC13" s="143">
        <f t="shared" si="1"/>
        <v>212.3</v>
      </c>
      <c r="AD13" s="143">
        <f t="shared" si="1"/>
        <v>212.3</v>
      </c>
      <c r="AE13" s="143">
        <f t="shared" si="1"/>
        <v>212.3</v>
      </c>
      <c r="AF13" s="143">
        <f t="shared" si="1"/>
        <v>193</v>
      </c>
      <c r="AG13" s="143">
        <f t="shared" si="1"/>
        <v>193</v>
      </c>
      <c r="AH13" s="143">
        <f t="shared" si="1"/>
        <v>193</v>
      </c>
      <c r="AI13" s="143">
        <f t="shared" si="1"/>
        <v>193</v>
      </c>
      <c r="AJ13" s="143">
        <f t="shared" si="1"/>
        <v>193</v>
      </c>
      <c r="AK13" s="143">
        <f t="shared" si="1"/>
        <v>193</v>
      </c>
      <c r="AL13" s="143">
        <f t="shared" si="1"/>
        <v>193</v>
      </c>
      <c r="AM13" s="143">
        <f t="shared" si="1"/>
        <v>193</v>
      </c>
      <c r="AN13" s="143">
        <f t="shared" si="1"/>
        <v>193</v>
      </c>
      <c r="AO13" s="143">
        <f t="shared" si="1"/>
        <v>193</v>
      </c>
      <c r="AP13" s="143">
        <f t="shared" si="1"/>
        <v>193</v>
      </c>
      <c r="AQ13" s="143">
        <f t="shared" si="1"/>
        <v>193</v>
      </c>
      <c r="AR13" s="143">
        <f t="shared" si="1"/>
        <v>173.70000000000002</v>
      </c>
      <c r="AS13" s="143">
        <f t="shared" si="1"/>
        <v>173.70000000000002</v>
      </c>
      <c r="AT13" s="143">
        <f t="shared" si="1"/>
        <v>173.70000000000002</v>
      </c>
      <c r="AU13" s="143">
        <f t="shared" si="1"/>
        <v>173.70000000000002</v>
      </c>
      <c r="AV13" s="143">
        <f t="shared" si="1"/>
        <v>193</v>
      </c>
      <c r="AW13" s="143">
        <f t="shared" si="1"/>
        <v>193</v>
      </c>
      <c r="AX13" s="143">
        <f t="shared" si="1"/>
        <v>193</v>
      </c>
      <c r="AY13" s="143">
        <f t="shared" si="1"/>
        <v>193</v>
      </c>
      <c r="AZ13" s="114"/>
    </row>
    <row r="14" spans="1:52" x14ac:dyDescent="0.2">
      <c r="A14" s="115"/>
      <c r="B14" s="125">
        <v>2</v>
      </c>
      <c r="C14" s="115"/>
      <c r="D14" s="111">
        <f>IF(C$20="Yes",C13,0)</f>
        <v>0</v>
      </c>
      <c r="E14" s="111">
        <f t="shared" ref="E14:AY17" si="2">IF(D$20="Yes",D13,0)</f>
        <v>0</v>
      </c>
      <c r="F14" s="111">
        <f t="shared" si="2"/>
        <v>0</v>
      </c>
      <c r="G14" s="111">
        <f t="shared" si="2"/>
        <v>0</v>
      </c>
      <c r="H14" s="111">
        <f t="shared" si="2"/>
        <v>0</v>
      </c>
      <c r="I14" s="111">
        <f t="shared" si="2"/>
        <v>0</v>
      </c>
      <c r="J14" s="111">
        <f t="shared" si="2"/>
        <v>0</v>
      </c>
      <c r="K14" s="111">
        <f t="shared" si="2"/>
        <v>0</v>
      </c>
      <c r="L14" s="111">
        <f t="shared" si="2"/>
        <v>0</v>
      </c>
      <c r="M14" s="111">
        <f t="shared" si="2"/>
        <v>0</v>
      </c>
      <c r="N14" s="111">
        <f t="shared" si="2"/>
        <v>0</v>
      </c>
      <c r="O14" s="111">
        <f t="shared" si="2"/>
        <v>0</v>
      </c>
      <c r="P14" s="111">
        <f t="shared" si="2"/>
        <v>0</v>
      </c>
      <c r="Q14" s="111">
        <f t="shared" si="2"/>
        <v>0</v>
      </c>
      <c r="R14" s="111">
        <f t="shared" si="2"/>
        <v>0</v>
      </c>
      <c r="S14" s="111">
        <f t="shared" si="2"/>
        <v>0</v>
      </c>
      <c r="T14" s="111">
        <f t="shared" si="2"/>
        <v>0</v>
      </c>
      <c r="U14" s="111">
        <f t="shared" si="2"/>
        <v>0</v>
      </c>
      <c r="V14" s="111">
        <f t="shared" si="2"/>
        <v>0</v>
      </c>
      <c r="W14" s="111">
        <f t="shared" si="2"/>
        <v>0</v>
      </c>
      <c r="X14" s="111">
        <f t="shared" si="2"/>
        <v>0</v>
      </c>
      <c r="Y14" s="111">
        <f t="shared" si="2"/>
        <v>0</v>
      </c>
      <c r="Z14" s="111">
        <f t="shared" si="2"/>
        <v>0</v>
      </c>
      <c r="AA14" s="111">
        <f t="shared" si="2"/>
        <v>0</v>
      </c>
      <c r="AB14" s="111">
        <f t="shared" si="2"/>
        <v>0</v>
      </c>
      <c r="AC14" s="111">
        <f t="shared" si="2"/>
        <v>0</v>
      </c>
      <c r="AD14" s="111">
        <f t="shared" si="2"/>
        <v>0</v>
      </c>
      <c r="AE14" s="111">
        <f t="shared" si="2"/>
        <v>0</v>
      </c>
      <c r="AF14" s="111">
        <f t="shared" si="2"/>
        <v>0</v>
      </c>
      <c r="AG14" s="111">
        <f t="shared" si="2"/>
        <v>0</v>
      </c>
      <c r="AH14" s="111">
        <f t="shared" si="2"/>
        <v>0</v>
      </c>
      <c r="AI14" s="111">
        <f t="shared" si="2"/>
        <v>0</v>
      </c>
      <c r="AJ14" s="111">
        <f t="shared" si="2"/>
        <v>0</v>
      </c>
      <c r="AK14" s="111">
        <f t="shared" si="2"/>
        <v>0</v>
      </c>
      <c r="AL14" s="111">
        <f t="shared" si="2"/>
        <v>0</v>
      </c>
      <c r="AM14" s="111">
        <f t="shared" si="2"/>
        <v>0</v>
      </c>
      <c r="AN14" s="111">
        <f t="shared" si="2"/>
        <v>0</v>
      </c>
      <c r="AO14" s="111">
        <f t="shared" si="2"/>
        <v>0</v>
      </c>
      <c r="AP14" s="111">
        <f t="shared" si="2"/>
        <v>0</v>
      </c>
      <c r="AQ14" s="111">
        <f t="shared" si="2"/>
        <v>0</v>
      </c>
      <c r="AR14" s="111">
        <f t="shared" si="2"/>
        <v>0</v>
      </c>
      <c r="AS14" s="111">
        <f t="shared" si="2"/>
        <v>0</v>
      </c>
      <c r="AT14" s="111">
        <f t="shared" si="2"/>
        <v>0</v>
      </c>
      <c r="AU14" s="111">
        <f t="shared" si="2"/>
        <v>0</v>
      </c>
      <c r="AV14" s="111">
        <f t="shared" si="2"/>
        <v>0</v>
      </c>
      <c r="AW14" s="111">
        <f t="shared" si="2"/>
        <v>0</v>
      </c>
      <c r="AX14" s="111">
        <f t="shared" si="2"/>
        <v>0</v>
      </c>
      <c r="AY14" s="111">
        <f t="shared" si="2"/>
        <v>0</v>
      </c>
      <c r="AZ14" s="114"/>
    </row>
    <row r="15" spans="1:52" x14ac:dyDescent="0.2">
      <c r="A15" s="115"/>
      <c r="B15" s="132">
        <v>3</v>
      </c>
      <c r="C15" s="115"/>
      <c r="D15" s="111">
        <f>IF(C$20="Yes",C14,0)</f>
        <v>0</v>
      </c>
      <c r="E15" s="111">
        <f t="shared" si="2"/>
        <v>0</v>
      </c>
      <c r="F15" s="111">
        <f t="shared" si="2"/>
        <v>0</v>
      </c>
      <c r="G15" s="111">
        <f t="shared" si="2"/>
        <v>0</v>
      </c>
      <c r="H15" s="111">
        <f t="shared" si="2"/>
        <v>0</v>
      </c>
      <c r="I15" s="111">
        <f t="shared" si="2"/>
        <v>0</v>
      </c>
      <c r="J15" s="111">
        <f t="shared" si="2"/>
        <v>0</v>
      </c>
      <c r="K15" s="111">
        <f t="shared" si="2"/>
        <v>0</v>
      </c>
      <c r="L15" s="111">
        <f t="shared" si="2"/>
        <v>0</v>
      </c>
      <c r="M15" s="111">
        <f t="shared" si="2"/>
        <v>0</v>
      </c>
      <c r="N15" s="111">
        <f t="shared" si="2"/>
        <v>0</v>
      </c>
      <c r="O15" s="111">
        <f t="shared" si="2"/>
        <v>0</v>
      </c>
      <c r="P15" s="111">
        <f t="shared" si="2"/>
        <v>0</v>
      </c>
      <c r="Q15" s="111">
        <f t="shared" si="2"/>
        <v>0</v>
      </c>
      <c r="R15" s="111">
        <f t="shared" si="2"/>
        <v>0</v>
      </c>
      <c r="S15" s="111">
        <f t="shared" si="2"/>
        <v>0</v>
      </c>
      <c r="T15" s="111">
        <f t="shared" si="2"/>
        <v>0</v>
      </c>
      <c r="U15" s="111">
        <f t="shared" si="2"/>
        <v>0</v>
      </c>
      <c r="V15" s="111">
        <f t="shared" si="2"/>
        <v>0</v>
      </c>
      <c r="W15" s="111">
        <f t="shared" si="2"/>
        <v>0</v>
      </c>
      <c r="X15" s="111">
        <f t="shared" si="2"/>
        <v>0</v>
      </c>
      <c r="Y15" s="111">
        <f t="shared" si="2"/>
        <v>0</v>
      </c>
      <c r="Z15" s="111">
        <f t="shared" si="2"/>
        <v>0</v>
      </c>
      <c r="AA15" s="111">
        <f t="shared" si="2"/>
        <v>0</v>
      </c>
      <c r="AB15" s="111">
        <f t="shared" si="2"/>
        <v>0</v>
      </c>
      <c r="AC15" s="111">
        <f t="shared" si="2"/>
        <v>0</v>
      </c>
      <c r="AD15" s="111">
        <f t="shared" si="2"/>
        <v>0</v>
      </c>
      <c r="AE15" s="111">
        <f t="shared" si="2"/>
        <v>0</v>
      </c>
      <c r="AF15" s="111">
        <f t="shared" si="2"/>
        <v>0</v>
      </c>
      <c r="AG15" s="111">
        <f t="shared" si="2"/>
        <v>0</v>
      </c>
      <c r="AH15" s="111">
        <f t="shared" si="2"/>
        <v>0</v>
      </c>
      <c r="AI15" s="111">
        <f t="shared" si="2"/>
        <v>0</v>
      </c>
      <c r="AJ15" s="111">
        <f t="shared" si="2"/>
        <v>0</v>
      </c>
      <c r="AK15" s="111">
        <f t="shared" si="2"/>
        <v>0</v>
      </c>
      <c r="AL15" s="111">
        <f t="shared" si="2"/>
        <v>0</v>
      </c>
      <c r="AM15" s="111">
        <f t="shared" si="2"/>
        <v>0</v>
      </c>
      <c r="AN15" s="111">
        <f t="shared" si="2"/>
        <v>0</v>
      </c>
      <c r="AO15" s="111">
        <f t="shared" si="2"/>
        <v>0</v>
      </c>
      <c r="AP15" s="111">
        <f t="shared" si="2"/>
        <v>0</v>
      </c>
      <c r="AQ15" s="111">
        <f t="shared" si="2"/>
        <v>0</v>
      </c>
      <c r="AR15" s="111">
        <f t="shared" si="2"/>
        <v>0</v>
      </c>
      <c r="AS15" s="111">
        <f t="shared" si="2"/>
        <v>0</v>
      </c>
      <c r="AT15" s="111">
        <f t="shared" si="2"/>
        <v>0</v>
      </c>
      <c r="AU15" s="111">
        <f t="shared" si="2"/>
        <v>0</v>
      </c>
      <c r="AV15" s="111">
        <f t="shared" si="2"/>
        <v>0</v>
      </c>
      <c r="AW15" s="111">
        <f t="shared" si="2"/>
        <v>0</v>
      </c>
      <c r="AX15" s="111">
        <f t="shared" si="2"/>
        <v>0</v>
      </c>
      <c r="AY15" s="111">
        <f t="shared" si="2"/>
        <v>0</v>
      </c>
      <c r="AZ15" s="114"/>
    </row>
    <row r="16" spans="1:52" x14ac:dyDescent="0.2">
      <c r="A16" s="115"/>
      <c r="B16" s="135">
        <v>4</v>
      </c>
      <c r="C16" s="115"/>
      <c r="D16" s="111">
        <f>IF(C$20="Yes",C15,0)</f>
        <v>0</v>
      </c>
      <c r="E16" s="111">
        <f t="shared" si="2"/>
        <v>0</v>
      </c>
      <c r="F16" s="111">
        <f t="shared" si="2"/>
        <v>0</v>
      </c>
      <c r="G16" s="111">
        <f t="shared" si="2"/>
        <v>0</v>
      </c>
      <c r="H16" s="111">
        <f t="shared" si="2"/>
        <v>0</v>
      </c>
      <c r="I16" s="111">
        <f t="shared" si="2"/>
        <v>0</v>
      </c>
      <c r="J16" s="111">
        <f t="shared" si="2"/>
        <v>0</v>
      </c>
      <c r="K16" s="111">
        <f t="shared" si="2"/>
        <v>0</v>
      </c>
      <c r="L16" s="111">
        <f t="shared" si="2"/>
        <v>0</v>
      </c>
      <c r="M16" s="111">
        <f t="shared" si="2"/>
        <v>0</v>
      </c>
      <c r="N16" s="111">
        <f t="shared" si="2"/>
        <v>0</v>
      </c>
      <c r="O16" s="111">
        <f t="shared" si="2"/>
        <v>0</v>
      </c>
      <c r="P16" s="111">
        <f t="shared" si="2"/>
        <v>0</v>
      </c>
      <c r="Q16" s="111">
        <f t="shared" si="2"/>
        <v>0</v>
      </c>
      <c r="R16" s="111">
        <f t="shared" si="2"/>
        <v>0</v>
      </c>
      <c r="S16" s="111">
        <f t="shared" si="2"/>
        <v>0</v>
      </c>
      <c r="T16" s="111">
        <f t="shared" si="2"/>
        <v>0</v>
      </c>
      <c r="U16" s="111">
        <f t="shared" si="2"/>
        <v>0</v>
      </c>
      <c r="V16" s="111">
        <f t="shared" si="2"/>
        <v>0</v>
      </c>
      <c r="W16" s="111">
        <f t="shared" si="2"/>
        <v>0</v>
      </c>
      <c r="X16" s="111">
        <f t="shared" si="2"/>
        <v>0</v>
      </c>
      <c r="Y16" s="111">
        <f t="shared" si="2"/>
        <v>0</v>
      </c>
      <c r="Z16" s="111">
        <f t="shared" si="2"/>
        <v>0</v>
      </c>
      <c r="AA16" s="111">
        <f t="shared" si="2"/>
        <v>0</v>
      </c>
      <c r="AB16" s="111">
        <f t="shared" si="2"/>
        <v>0</v>
      </c>
      <c r="AC16" s="111">
        <f t="shared" si="2"/>
        <v>0</v>
      </c>
      <c r="AD16" s="111">
        <f t="shared" si="2"/>
        <v>0</v>
      </c>
      <c r="AE16" s="111">
        <f t="shared" si="2"/>
        <v>0</v>
      </c>
      <c r="AF16" s="111">
        <f t="shared" si="2"/>
        <v>0</v>
      </c>
      <c r="AG16" s="111">
        <f t="shared" si="2"/>
        <v>0</v>
      </c>
      <c r="AH16" s="111">
        <f t="shared" si="2"/>
        <v>0</v>
      </c>
      <c r="AI16" s="111">
        <f t="shared" si="2"/>
        <v>0</v>
      </c>
      <c r="AJ16" s="111">
        <f t="shared" si="2"/>
        <v>0</v>
      </c>
      <c r="AK16" s="111">
        <f t="shared" si="2"/>
        <v>0</v>
      </c>
      <c r="AL16" s="111">
        <f t="shared" si="2"/>
        <v>0</v>
      </c>
      <c r="AM16" s="111">
        <f t="shared" si="2"/>
        <v>0</v>
      </c>
      <c r="AN16" s="111">
        <f t="shared" si="2"/>
        <v>0</v>
      </c>
      <c r="AO16" s="111">
        <f t="shared" si="2"/>
        <v>0</v>
      </c>
      <c r="AP16" s="111">
        <f t="shared" si="2"/>
        <v>0</v>
      </c>
      <c r="AQ16" s="111">
        <f t="shared" si="2"/>
        <v>0</v>
      </c>
      <c r="AR16" s="111">
        <f t="shared" si="2"/>
        <v>0</v>
      </c>
      <c r="AS16" s="111">
        <f t="shared" si="2"/>
        <v>0</v>
      </c>
      <c r="AT16" s="111">
        <f t="shared" si="2"/>
        <v>0</v>
      </c>
      <c r="AU16" s="111">
        <f t="shared" si="2"/>
        <v>0</v>
      </c>
      <c r="AV16" s="111">
        <f t="shared" si="2"/>
        <v>0</v>
      </c>
      <c r="AW16" s="111">
        <f t="shared" si="2"/>
        <v>0</v>
      </c>
      <c r="AX16" s="111">
        <f t="shared" si="2"/>
        <v>0</v>
      </c>
      <c r="AY16" s="111">
        <f t="shared" si="2"/>
        <v>0</v>
      </c>
      <c r="AZ16" s="133"/>
    </row>
    <row r="17" spans="1:52" x14ac:dyDescent="0.2">
      <c r="A17" s="130"/>
      <c r="B17" s="137" t="s">
        <v>298</v>
      </c>
      <c r="C17" s="130"/>
      <c r="D17" s="119">
        <f>IF(C$20="Yes",C16,0)</f>
        <v>0</v>
      </c>
      <c r="E17" s="119">
        <f t="shared" si="2"/>
        <v>0</v>
      </c>
      <c r="F17" s="119">
        <f t="shared" si="2"/>
        <v>0</v>
      </c>
      <c r="G17" s="119">
        <f t="shared" si="2"/>
        <v>0</v>
      </c>
      <c r="H17" s="119">
        <f t="shared" si="2"/>
        <v>0</v>
      </c>
      <c r="I17" s="119">
        <f t="shared" si="2"/>
        <v>0</v>
      </c>
      <c r="J17" s="119">
        <f t="shared" si="2"/>
        <v>0</v>
      </c>
      <c r="K17" s="119">
        <f t="shared" si="2"/>
        <v>0</v>
      </c>
      <c r="L17" s="119">
        <f t="shared" si="2"/>
        <v>0</v>
      </c>
      <c r="M17" s="119">
        <f t="shared" si="2"/>
        <v>0</v>
      </c>
      <c r="N17" s="119">
        <f t="shared" si="2"/>
        <v>0</v>
      </c>
      <c r="O17" s="119">
        <f t="shared" si="2"/>
        <v>0</v>
      </c>
      <c r="P17" s="119">
        <f t="shared" si="2"/>
        <v>0</v>
      </c>
      <c r="Q17" s="119">
        <f t="shared" si="2"/>
        <v>0</v>
      </c>
      <c r="R17" s="119">
        <f t="shared" si="2"/>
        <v>0</v>
      </c>
      <c r="S17" s="119">
        <f t="shared" si="2"/>
        <v>0</v>
      </c>
      <c r="T17" s="119">
        <f t="shared" si="2"/>
        <v>0</v>
      </c>
      <c r="U17" s="119">
        <f t="shared" si="2"/>
        <v>0</v>
      </c>
      <c r="V17" s="119">
        <f t="shared" si="2"/>
        <v>0</v>
      </c>
      <c r="W17" s="119">
        <f t="shared" si="2"/>
        <v>0</v>
      </c>
      <c r="X17" s="119">
        <f t="shared" si="2"/>
        <v>0</v>
      </c>
      <c r="Y17" s="119">
        <f t="shared" si="2"/>
        <v>0</v>
      </c>
      <c r="Z17" s="119">
        <f t="shared" si="2"/>
        <v>0</v>
      </c>
      <c r="AA17" s="119">
        <f t="shared" si="2"/>
        <v>0</v>
      </c>
      <c r="AB17" s="119">
        <f t="shared" si="2"/>
        <v>0</v>
      </c>
      <c r="AC17" s="119">
        <f t="shared" si="2"/>
        <v>0</v>
      </c>
      <c r="AD17" s="119">
        <f t="shared" si="2"/>
        <v>0</v>
      </c>
      <c r="AE17" s="119">
        <f t="shared" si="2"/>
        <v>0</v>
      </c>
      <c r="AF17" s="119">
        <f t="shared" si="2"/>
        <v>0</v>
      </c>
      <c r="AG17" s="119">
        <f t="shared" si="2"/>
        <v>0</v>
      </c>
      <c r="AH17" s="119">
        <f t="shared" si="2"/>
        <v>0</v>
      </c>
      <c r="AI17" s="119">
        <f t="shared" si="2"/>
        <v>0</v>
      </c>
      <c r="AJ17" s="119">
        <f t="shared" si="2"/>
        <v>0</v>
      </c>
      <c r="AK17" s="119">
        <f t="shared" si="2"/>
        <v>0</v>
      </c>
      <c r="AL17" s="119">
        <f t="shared" si="2"/>
        <v>0</v>
      </c>
      <c r="AM17" s="119">
        <f t="shared" si="2"/>
        <v>0</v>
      </c>
      <c r="AN17" s="119">
        <f t="shared" si="2"/>
        <v>0</v>
      </c>
      <c r="AO17" s="119">
        <f t="shared" si="2"/>
        <v>0</v>
      </c>
      <c r="AP17" s="119">
        <f t="shared" si="2"/>
        <v>0</v>
      </c>
      <c r="AQ17" s="119">
        <f t="shared" si="2"/>
        <v>0</v>
      </c>
      <c r="AR17" s="119">
        <f t="shared" si="2"/>
        <v>0</v>
      </c>
      <c r="AS17" s="119">
        <f t="shared" si="2"/>
        <v>0</v>
      </c>
      <c r="AT17" s="119">
        <f t="shared" si="2"/>
        <v>0</v>
      </c>
      <c r="AU17" s="119">
        <f t="shared" si="2"/>
        <v>0</v>
      </c>
      <c r="AV17" s="119">
        <f t="shared" si="2"/>
        <v>0</v>
      </c>
      <c r="AW17" s="119">
        <f t="shared" si="2"/>
        <v>0</v>
      </c>
      <c r="AX17" s="119">
        <f t="shared" si="2"/>
        <v>0</v>
      </c>
      <c r="AY17" s="119">
        <f t="shared" si="2"/>
        <v>0</v>
      </c>
      <c r="AZ17" s="156">
        <f>SUM($D$17:$AY$17)</f>
        <v>0</v>
      </c>
    </row>
    <row r="18" spans="1:52" x14ac:dyDescent="0.2">
      <c r="A18" s="111"/>
      <c r="B18" s="158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11"/>
    </row>
    <row r="19" spans="1:52" x14ac:dyDescent="0.2">
      <c r="A19" s="107" t="s">
        <v>116</v>
      </c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</row>
    <row r="20" spans="1:52" s="115" customFormat="1" x14ac:dyDescent="0.2">
      <c r="A20" s="120" t="s">
        <v>307</v>
      </c>
      <c r="B20" s="159" t="s">
        <v>308</v>
      </c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22"/>
      <c r="AL20" s="122"/>
      <c r="AM20" s="122"/>
      <c r="AN20" s="122"/>
      <c r="AO20" s="122"/>
      <c r="AP20" s="122"/>
      <c r="AQ20" s="122"/>
      <c r="AR20" s="122"/>
      <c r="AS20" s="122"/>
      <c r="AT20" s="122"/>
      <c r="AU20" s="122"/>
      <c r="AV20" s="122"/>
      <c r="AW20" s="122"/>
      <c r="AX20" s="122"/>
      <c r="AY20" s="122"/>
      <c r="AZ20" s="112"/>
    </row>
    <row r="21" spans="1:52" s="115" customFormat="1" x14ac:dyDescent="0.2">
      <c r="A21" s="160" t="s">
        <v>133</v>
      </c>
      <c r="B21" s="161">
        <f>shipping_manufacturing!$C$19/100</f>
        <v>0.75647668393782386</v>
      </c>
      <c r="C21" s="161" t="s">
        <v>295</v>
      </c>
      <c r="D21" s="111">
        <f>IF(C$20="Yes",0,SUM(C$13:C$16)*$B$21)</f>
        <v>0</v>
      </c>
      <c r="E21" s="111">
        <f t="shared" ref="E21:AY21" si="3">IF(D$20="Yes",0,SUM(D$13:D$16)*$B$21)</f>
        <v>146</v>
      </c>
      <c r="F21" s="111">
        <f t="shared" si="3"/>
        <v>146</v>
      </c>
      <c r="G21" s="111">
        <f t="shared" si="3"/>
        <v>146</v>
      </c>
      <c r="H21" s="111">
        <f t="shared" si="3"/>
        <v>146</v>
      </c>
      <c r="I21" s="111">
        <f t="shared" si="3"/>
        <v>146</v>
      </c>
      <c r="J21" s="111">
        <f t="shared" si="3"/>
        <v>146</v>
      </c>
      <c r="K21" s="111">
        <f t="shared" si="3"/>
        <v>146</v>
      </c>
      <c r="L21" s="111">
        <f t="shared" si="3"/>
        <v>146</v>
      </c>
      <c r="M21" s="111">
        <f t="shared" si="3"/>
        <v>160.60000000000002</v>
      </c>
      <c r="N21" s="111">
        <f t="shared" si="3"/>
        <v>160.60000000000002</v>
      </c>
      <c r="O21" s="111">
        <f t="shared" si="3"/>
        <v>160.60000000000002</v>
      </c>
      <c r="P21" s="111">
        <f t="shared" si="3"/>
        <v>160.60000000000002</v>
      </c>
      <c r="Q21" s="111">
        <f t="shared" si="3"/>
        <v>146</v>
      </c>
      <c r="R21" s="111">
        <f t="shared" si="3"/>
        <v>146</v>
      </c>
      <c r="S21" s="111">
        <f t="shared" si="3"/>
        <v>146</v>
      </c>
      <c r="T21" s="111">
        <f t="shared" si="3"/>
        <v>146</v>
      </c>
      <c r="U21" s="111">
        <f t="shared" si="3"/>
        <v>160.60000000000002</v>
      </c>
      <c r="V21" s="111">
        <f t="shared" si="3"/>
        <v>160.60000000000002</v>
      </c>
      <c r="W21" s="111">
        <f t="shared" si="3"/>
        <v>160.60000000000002</v>
      </c>
      <c r="X21" s="111">
        <f t="shared" si="3"/>
        <v>160.60000000000002</v>
      </c>
      <c r="Y21" s="111">
        <f t="shared" si="3"/>
        <v>146</v>
      </c>
      <c r="Z21" s="111">
        <f t="shared" si="3"/>
        <v>146</v>
      </c>
      <c r="AA21" s="111">
        <f t="shared" si="3"/>
        <v>146</v>
      </c>
      <c r="AB21" s="111">
        <f t="shared" si="3"/>
        <v>146</v>
      </c>
      <c r="AC21" s="111">
        <f t="shared" si="3"/>
        <v>160.60000000000002</v>
      </c>
      <c r="AD21" s="111">
        <f t="shared" si="3"/>
        <v>160.60000000000002</v>
      </c>
      <c r="AE21" s="111">
        <f t="shared" si="3"/>
        <v>160.60000000000002</v>
      </c>
      <c r="AF21" s="111">
        <f t="shared" si="3"/>
        <v>160.60000000000002</v>
      </c>
      <c r="AG21" s="111">
        <f t="shared" si="3"/>
        <v>146</v>
      </c>
      <c r="AH21" s="111">
        <f t="shared" si="3"/>
        <v>146</v>
      </c>
      <c r="AI21" s="111">
        <f t="shared" si="3"/>
        <v>146</v>
      </c>
      <c r="AJ21" s="111">
        <f t="shared" si="3"/>
        <v>146</v>
      </c>
      <c r="AK21" s="111">
        <f t="shared" si="3"/>
        <v>146</v>
      </c>
      <c r="AL21" s="111">
        <f t="shared" si="3"/>
        <v>146</v>
      </c>
      <c r="AM21" s="111">
        <f t="shared" si="3"/>
        <v>146</v>
      </c>
      <c r="AN21" s="111">
        <f t="shared" si="3"/>
        <v>146</v>
      </c>
      <c r="AO21" s="111">
        <f t="shared" si="3"/>
        <v>146</v>
      </c>
      <c r="AP21" s="111">
        <f t="shared" si="3"/>
        <v>146</v>
      </c>
      <c r="AQ21" s="111">
        <f t="shared" si="3"/>
        <v>146</v>
      </c>
      <c r="AR21" s="111">
        <f t="shared" si="3"/>
        <v>146</v>
      </c>
      <c r="AS21" s="111">
        <f t="shared" si="3"/>
        <v>131.4</v>
      </c>
      <c r="AT21" s="111">
        <f t="shared" si="3"/>
        <v>131.4</v>
      </c>
      <c r="AU21" s="111">
        <f t="shared" si="3"/>
        <v>131.4</v>
      </c>
      <c r="AV21" s="111">
        <f t="shared" si="3"/>
        <v>131.4</v>
      </c>
      <c r="AW21" s="111">
        <f t="shared" si="3"/>
        <v>146</v>
      </c>
      <c r="AX21" s="111">
        <f t="shared" si="3"/>
        <v>146</v>
      </c>
      <c r="AY21" s="111">
        <f t="shared" si="3"/>
        <v>146</v>
      </c>
      <c r="AZ21" s="162">
        <f>SUM($D21:$AY21)</f>
        <v>6978.7999999999984</v>
      </c>
    </row>
    <row r="22" spans="1:52" s="115" customFormat="1" x14ac:dyDescent="0.2">
      <c r="A22" s="163" t="s">
        <v>123</v>
      </c>
      <c r="B22" s="164">
        <f>1-$B$21</f>
        <v>0.24352331606217614</v>
      </c>
      <c r="C22" s="164" t="s">
        <v>295</v>
      </c>
      <c r="D22" s="119">
        <f>IF(C$20="Yes",0,SUM(C$13:C$16)*$B$22)</f>
        <v>0</v>
      </c>
      <c r="E22" s="119">
        <f t="shared" ref="E22:AY22" si="4">IF(D$20="Yes",0,SUM(D$13:D$16)*$B$22)</f>
        <v>46.999999999999993</v>
      </c>
      <c r="F22" s="119">
        <f t="shared" si="4"/>
        <v>46.999999999999993</v>
      </c>
      <c r="G22" s="119">
        <f t="shared" si="4"/>
        <v>46.999999999999993</v>
      </c>
      <c r="H22" s="119">
        <f t="shared" si="4"/>
        <v>46.999999999999993</v>
      </c>
      <c r="I22" s="119">
        <f t="shared" si="4"/>
        <v>46.999999999999993</v>
      </c>
      <c r="J22" s="119">
        <f t="shared" si="4"/>
        <v>46.999999999999993</v>
      </c>
      <c r="K22" s="119">
        <f t="shared" si="4"/>
        <v>46.999999999999993</v>
      </c>
      <c r="L22" s="119">
        <f t="shared" si="4"/>
        <v>46.999999999999993</v>
      </c>
      <c r="M22" s="119">
        <f t="shared" si="4"/>
        <v>51.699999999999996</v>
      </c>
      <c r="N22" s="119">
        <f t="shared" si="4"/>
        <v>51.699999999999996</v>
      </c>
      <c r="O22" s="119">
        <f t="shared" si="4"/>
        <v>51.699999999999996</v>
      </c>
      <c r="P22" s="119">
        <f t="shared" si="4"/>
        <v>51.699999999999996</v>
      </c>
      <c r="Q22" s="119">
        <f t="shared" si="4"/>
        <v>46.999999999999993</v>
      </c>
      <c r="R22" s="119">
        <f t="shared" si="4"/>
        <v>46.999999999999993</v>
      </c>
      <c r="S22" s="119">
        <f t="shared" si="4"/>
        <v>46.999999999999993</v>
      </c>
      <c r="T22" s="119">
        <f t="shared" si="4"/>
        <v>46.999999999999993</v>
      </c>
      <c r="U22" s="119">
        <f t="shared" si="4"/>
        <v>51.699999999999996</v>
      </c>
      <c r="V22" s="119">
        <f t="shared" si="4"/>
        <v>51.699999999999996</v>
      </c>
      <c r="W22" s="119">
        <f t="shared" si="4"/>
        <v>51.699999999999996</v>
      </c>
      <c r="X22" s="119">
        <f t="shared" si="4"/>
        <v>51.699999999999996</v>
      </c>
      <c r="Y22" s="119">
        <f t="shared" si="4"/>
        <v>46.999999999999993</v>
      </c>
      <c r="Z22" s="119">
        <f t="shared" si="4"/>
        <v>46.999999999999993</v>
      </c>
      <c r="AA22" s="119">
        <f t="shared" si="4"/>
        <v>46.999999999999993</v>
      </c>
      <c r="AB22" s="119">
        <f t="shared" si="4"/>
        <v>46.999999999999993</v>
      </c>
      <c r="AC22" s="119">
        <f t="shared" si="4"/>
        <v>51.699999999999996</v>
      </c>
      <c r="AD22" s="119">
        <f t="shared" si="4"/>
        <v>51.699999999999996</v>
      </c>
      <c r="AE22" s="119">
        <f t="shared" si="4"/>
        <v>51.699999999999996</v>
      </c>
      <c r="AF22" s="119">
        <f t="shared" si="4"/>
        <v>51.699999999999996</v>
      </c>
      <c r="AG22" s="119">
        <f t="shared" si="4"/>
        <v>46.999999999999993</v>
      </c>
      <c r="AH22" s="119">
        <f t="shared" si="4"/>
        <v>46.999999999999993</v>
      </c>
      <c r="AI22" s="119">
        <f t="shared" si="4"/>
        <v>46.999999999999993</v>
      </c>
      <c r="AJ22" s="119">
        <f t="shared" si="4"/>
        <v>46.999999999999993</v>
      </c>
      <c r="AK22" s="119">
        <f t="shared" si="4"/>
        <v>46.999999999999993</v>
      </c>
      <c r="AL22" s="119">
        <f t="shared" si="4"/>
        <v>46.999999999999993</v>
      </c>
      <c r="AM22" s="119">
        <f t="shared" si="4"/>
        <v>46.999999999999993</v>
      </c>
      <c r="AN22" s="119">
        <f t="shared" si="4"/>
        <v>46.999999999999993</v>
      </c>
      <c r="AO22" s="119">
        <f t="shared" si="4"/>
        <v>46.999999999999993</v>
      </c>
      <c r="AP22" s="119">
        <f t="shared" si="4"/>
        <v>46.999999999999993</v>
      </c>
      <c r="AQ22" s="119">
        <f t="shared" si="4"/>
        <v>46.999999999999993</v>
      </c>
      <c r="AR22" s="119">
        <f t="shared" si="4"/>
        <v>46.999999999999993</v>
      </c>
      <c r="AS22" s="119">
        <f t="shared" si="4"/>
        <v>42.3</v>
      </c>
      <c r="AT22" s="119">
        <f t="shared" si="4"/>
        <v>42.3</v>
      </c>
      <c r="AU22" s="119">
        <f t="shared" si="4"/>
        <v>42.3</v>
      </c>
      <c r="AV22" s="119">
        <f t="shared" si="4"/>
        <v>42.3</v>
      </c>
      <c r="AW22" s="119">
        <f t="shared" si="4"/>
        <v>46.999999999999993</v>
      </c>
      <c r="AX22" s="119">
        <f t="shared" si="4"/>
        <v>46.999999999999993</v>
      </c>
      <c r="AY22" s="119">
        <f t="shared" si="4"/>
        <v>46.999999999999993</v>
      </c>
      <c r="AZ22" s="146">
        <f t="shared" ref="AZ22:AZ30" si="5">SUM($D22:$AY22)</f>
        <v>2246.6000000000004</v>
      </c>
    </row>
    <row r="23" spans="1:52" x14ac:dyDescent="0.2">
      <c r="A23" s="165" t="s">
        <v>309</v>
      </c>
      <c r="B23" s="129">
        <v>2000</v>
      </c>
      <c r="C23" s="105" t="s">
        <v>295</v>
      </c>
      <c r="D23" s="105">
        <f>D$21*$B$23</f>
        <v>0</v>
      </c>
      <c r="E23" s="105">
        <f t="shared" ref="E23:AY23" si="6">E$21*$B$23</f>
        <v>292000</v>
      </c>
      <c r="F23" s="105">
        <f t="shared" si="6"/>
        <v>292000</v>
      </c>
      <c r="G23" s="105">
        <f t="shared" si="6"/>
        <v>292000</v>
      </c>
      <c r="H23" s="105">
        <f t="shared" si="6"/>
        <v>292000</v>
      </c>
      <c r="I23" s="105">
        <f t="shared" si="6"/>
        <v>292000</v>
      </c>
      <c r="J23" s="105">
        <f t="shared" si="6"/>
        <v>292000</v>
      </c>
      <c r="K23" s="105">
        <f t="shared" si="6"/>
        <v>292000</v>
      </c>
      <c r="L23" s="105">
        <f t="shared" si="6"/>
        <v>292000</v>
      </c>
      <c r="M23" s="105">
        <f t="shared" si="6"/>
        <v>321200.00000000006</v>
      </c>
      <c r="N23" s="105">
        <f t="shared" si="6"/>
        <v>321200.00000000006</v>
      </c>
      <c r="O23" s="105">
        <f t="shared" si="6"/>
        <v>321200.00000000006</v>
      </c>
      <c r="P23" s="105">
        <f t="shared" si="6"/>
        <v>321200.00000000006</v>
      </c>
      <c r="Q23" s="105">
        <f t="shared" si="6"/>
        <v>292000</v>
      </c>
      <c r="R23" s="105">
        <f t="shared" si="6"/>
        <v>292000</v>
      </c>
      <c r="S23" s="105">
        <f t="shared" si="6"/>
        <v>292000</v>
      </c>
      <c r="T23" s="105">
        <f t="shared" si="6"/>
        <v>292000</v>
      </c>
      <c r="U23" s="105">
        <f t="shared" si="6"/>
        <v>321200.00000000006</v>
      </c>
      <c r="V23" s="105">
        <f t="shared" si="6"/>
        <v>321200.00000000006</v>
      </c>
      <c r="W23" s="105">
        <f t="shared" si="6"/>
        <v>321200.00000000006</v>
      </c>
      <c r="X23" s="105">
        <f t="shared" si="6"/>
        <v>321200.00000000006</v>
      </c>
      <c r="Y23" s="105">
        <f t="shared" si="6"/>
        <v>292000</v>
      </c>
      <c r="Z23" s="105">
        <f t="shared" si="6"/>
        <v>292000</v>
      </c>
      <c r="AA23" s="105">
        <f t="shared" si="6"/>
        <v>292000</v>
      </c>
      <c r="AB23" s="105">
        <f t="shared" si="6"/>
        <v>292000</v>
      </c>
      <c r="AC23" s="105">
        <f t="shared" si="6"/>
        <v>321200.00000000006</v>
      </c>
      <c r="AD23" s="105">
        <f t="shared" si="6"/>
        <v>321200.00000000006</v>
      </c>
      <c r="AE23" s="105">
        <f t="shared" si="6"/>
        <v>321200.00000000006</v>
      </c>
      <c r="AF23" s="105">
        <f t="shared" si="6"/>
        <v>321200.00000000006</v>
      </c>
      <c r="AG23" s="105">
        <f t="shared" si="6"/>
        <v>292000</v>
      </c>
      <c r="AH23" s="105">
        <f t="shared" si="6"/>
        <v>292000</v>
      </c>
      <c r="AI23" s="105">
        <f t="shared" si="6"/>
        <v>292000</v>
      </c>
      <c r="AJ23" s="105">
        <f t="shared" si="6"/>
        <v>292000</v>
      </c>
      <c r="AK23" s="105">
        <f t="shared" si="6"/>
        <v>292000</v>
      </c>
      <c r="AL23" s="105">
        <f t="shared" si="6"/>
        <v>292000</v>
      </c>
      <c r="AM23" s="105">
        <f t="shared" si="6"/>
        <v>292000</v>
      </c>
      <c r="AN23" s="105">
        <f t="shared" si="6"/>
        <v>292000</v>
      </c>
      <c r="AO23" s="105">
        <f t="shared" si="6"/>
        <v>292000</v>
      </c>
      <c r="AP23" s="105">
        <f t="shared" si="6"/>
        <v>292000</v>
      </c>
      <c r="AQ23" s="105">
        <f t="shared" si="6"/>
        <v>292000</v>
      </c>
      <c r="AR23" s="105">
        <f t="shared" si="6"/>
        <v>292000</v>
      </c>
      <c r="AS23" s="105">
        <f t="shared" si="6"/>
        <v>262800</v>
      </c>
      <c r="AT23" s="105">
        <f t="shared" si="6"/>
        <v>262800</v>
      </c>
      <c r="AU23" s="105">
        <f t="shared" si="6"/>
        <v>262800</v>
      </c>
      <c r="AV23" s="105">
        <f t="shared" si="6"/>
        <v>262800</v>
      </c>
      <c r="AW23" s="105">
        <f t="shared" si="6"/>
        <v>292000</v>
      </c>
      <c r="AX23" s="105">
        <f t="shared" si="6"/>
        <v>292000</v>
      </c>
      <c r="AY23" s="105">
        <f t="shared" si="6"/>
        <v>292000</v>
      </c>
      <c r="AZ23" s="144">
        <f t="shared" si="5"/>
        <v>13957600</v>
      </c>
    </row>
    <row r="24" spans="1:52" s="115" customFormat="1" x14ac:dyDescent="0.2">
      <c r="A24" s="166" t="s">
        <v>310</v>
      </c>
      <c r="B24" s="167">
        <v>1000</v>
      </c>
      <c r="C24" s="161" t="s">
        <v>295</v>
      </c>
      <c r="D24" s="111">
        <f>D$22*$B$24</f>
        <v>0</v>
      </c>
      <c r="E24" s="111">
        <f t="shared" ref="E24:AY24" si="7">E$22*$B$24</f>
        <v>46999.999999999993</v>
      </c>
      <c r="F24" s="111">
        <f t="shared" si="7"/>
        <v>46999.999999999993</v>
      </c>
      <c r="G24" s="111">
        <f t="shared" si="7"/>
        <v>46999.999999999993</v>
      </c>
      <c r="H24" s="111">
        <f t="shared" si="7"/>
        <v>46999.999999999993</v>
      </c>
      <c r="I24" s="111">
        <f t="shared" si="7"/>
        <v>46999.999999999993</v>
      </c>
      <c r="J24" s="111">
        <f t="shared" si="7"/>
        <v>46999.999999999993</v>
      </c>
      <c r="K24" s="111">
        <f t="shared" si="7"/>
        <v>46999.999999999993</v>
      </c>
      <c r="L24" s="111">
        <f t="shared" si="7"/>
        <v>46999.999999999993</v>
      </c>
      <c r="M24" s="111">
        <f t="shared" si="7"/>
        <v>51699.999999999993</v>
      </c>
      <c r="N24" s="111">
        <f t="shared" si="7"/>
        <v>51699.999999999993</v>
      </c>
      <c r="O24" s="111">
        <f t="shared" si="7"/>
        <v>51699.999999999993</v>
      </c>
      <c r="P24" s="111">
        <f t="shared" si="7"/>
        <v>51699.999999999993</v>
      </c>
      <c r="Q24" s="111">
        <f t="shared" si="7"/>
        <v>46999.999999999993</v>
      </c>
      <c r="R24" s="111">
        <f t="shared" si="7"/>
        <v>46999.999999999993</v>
      </c>
      <c r="S24" s="111">
        <f t="shared" si="7"/>
        <v>46999.999999999993</v>
      </c>
      <c r="T24" s="111">
        <f t="shared" si="7"/>
        <v>46999.999999999993</v>
      </c>
      <c r="U24" s="111">
        <f t="shared" si="7"/>
        <v>51699.999999999993</v>
      </c>
      <c r="V24" s="111">
        <f t="shared" si="7"/>
        <v>51699.999999999993</v>
      </c>
      <c r="W24" s="111">
        <f t="shared" si="7"/>
        <v>51699.999999999993</v>
      </c>
      <c r="X24" s="111">
        <f t="shared" si="7"/>
        <v>51699.999999999993</v>
      </c>
      <c r="Y24" s="111">
        <f t="shared" si="7"/>
        <v>46999.999999999993</v>
      </c>
      <c r="Z24" s="111">
        <f t="shared" si="7"/>
        <v>46999.999999999993</v>
      </c>
      <c r="AA24" s="111">
        <f t="shared" si="7"/>
        <v>46999.999999999993</v>
      </c>
      <c r="AB24" s="111">
        <f t="shared" si="7"/>
        <v>46999.999999999993</v>
      </c>
      <c r="AC24" s="111">
        <f t="shared" si="7"/>
        <v>51699.999999999993</v>
      </c>
      <c r="AD24" s="111">
        <f t="shared" si="7"/>
        <v>51699.999999999993</v>
      </c>
      <c r="AE24" s="111">
        <f t="shared" si="7"/>
        <v>51699.999999999993</v>
      </c>
      <c r="AF24" s="111">
        <f t="shared" si="7"/>
        <v>51699.999999999993</v>
      </c>
      <c r="AG24" s="111">
        <f t="shared" si="7"/>
        <v>46999.999999999993</v>
      </c>
      <c r="AH24" s="111">
        <f t="shared" si="7"/>
        <v>46999.999999999993</v>
      </c>
      <c r="AI24" s="111">
        <f t="shared" si="7"/>
        <v>46999.999999999993</v>
      </c>
      <c r="AJ24" s="111">
        <f t="shared" si="7"/>
        <v>46999.999999999993</v>
      </c>
      <c r="AK24" s="111">
        <f t="shared" si="7"/>
        <v>46999.999999999993</v>
      </c>
      <c r="AL24" s="111">
        <f t="shared" si="7"/>
        <v>46999.999999999993</v>
      </c>
      <c r="AM24" s="111">
        <f t="shared" si="7"/>
        <v>46999.999999999993</v>
      </c>
      <c r="AN24" s="111">
        <f t="shared" si="7"/>
        <v>46999.999999999993</v>
      </c>
      <c r="AO24" s="111">
        <f t="shared" si="7"/>
        <v>46999.999999999993</v>
      </c>
      <c r="AP24" s="111">
        <f t="shared" si="7"/>
        <v>46999.999999999993</v>
      </c>
      <c r="AQ24" s="111">
        <f t="shared" si="7"/>
        <v>46999.999999999993</v>
      </c>
      <c r="AR24" s="111">
        <f t="shared" si="7"/>
        <v>46999.999999999993</v>
      </c>
      <c r="AS24" s="111">
        <f t="shared" si="7"/>
        <v>42300</v>
      </c>
      <c r="AT24" s="111">
        <f t="shared" si="7"/>
        <v>42300</v>
      </c>
      <c r="AU24" s="111">
        <f t="shared" si="7"/>
        <v>42300</v>
      </c>
      <c r="AV24" s="111">
        <f t="shared" si="7"/>
        <v>42300</v>
      </c>
      <c r="AW24" s="111">
        <f t="shared" si="7"/>
        <v>46999.999999999993</v>
      </c>
      <c r="AX24" s="111">
        <f t="shared" si="7"/>
        <v>46999.999999999993</v>
      </c>
      <c r="AY24" s="111">
        <f t="shared" si="7"/>
        <v>46999.999999999993</v>
      </c>
      <c r="AZ24" s="146">
        <f t="shared" si="5"/>
        <v>2246600</v>
      </c>
    </row>
    <row r="25" spans="1:52" x14ac:dyDescent="0.2"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11"/>
    </row>
    <row r="26" spans="1:52" x14ac:dyDescent="0.2">
      <c r="A26" s="168" t="s">
        <v>18</v>
      </c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11"/>
      <c r="AT26" s="111"/>
      <c r="AU26" s="111"/>
      <c r="AV26" s="111"/>
      <c r="AW26" s="111"/>
      <c r="AX26" s="111"/>
      <c r="AY26" s="111"/>
      <c r="AZ26" s="111"/>
    </row>
    <row r="27" spans="1:52" x14ac:dyDescent="0.2">
      <c r="B27" s="140" t="s">
        <v>311</v>
      </c>
      <c r="C27" s="129">
        <v>57</v>
      </c>
      <c r="D27" s="129">
        <f>C$27-C$28+C$29</f>
        <v>57</v>
      </c>
      <c r="E27" s="129">
        <f t="shared" ref="E27:AY27" si="8">D27-D28+D29</f>
        <v>57</v>
      </c>
      <c r="F27" s="129">
        <f t="shared" si="8"/>
        <v>50</v>
      </c>
      <c r="G27" s="129">
        <f t="shared" si="8"/>
        <v>50</v>
      </c>
      <c r="H27" s="129">
        <f t="shared" si="8"/>
        <v>50</v>
      </c>
      <c r="I27" s="129">
        <f t="shared" si="8"/>
        <v>50</v>
      </c>
      <c r="J27" s="129">
        <f t="shared" si="8"/>
        <v>50</v>
      </c>
      <c r="K27" s="129">
        <f t="shared" si="8"/>
        <v>50</v>
      </c>
      <c r="L27" s="129">
        <f t="shared" si="8"/>
        <v>50</v>
      </c>
      <c r="M27" s="129">
        <f t="shared" si="8"/>
        <v>50</v>
      </c>
      <c r="N27" s="129">
        <f t="shared" si="8"/>
        <v>49</v>
      </c>
      <c r="O27" s="129">
        <f t="shared" si="8"/>
        <v>49</v>
      </c>
      <c r="P27" s="129">
        <f t="shared" si="8"/>
        <v>49</v>
      </c>
      <c r="Q27" s="129">
        <f t="shared" si="8"/>
        <v>49</v>
      </c>
      <c r="R27" s="129">
        <f t="shared" si="8"/>
        <v>50</v>
      </c>
      <c r="S27" s="129">
        <f t="shared" si="8"/>
        <v>50</v>
      </c>
      <c r="T27" s="129">
        <f t="shared" si="8"/>
        <v>50</v>
      </c>
      <c r="U27" s="129">
        <f t="shared" si="8"/>
        <v>50</v>
      </c>
      <c r="V27" s="129">
        <f t="shared" si="8"/>
        <v>49</v>
      </c>
      <c r="W27" s="129">
        <f t="shared" si="8"/>
        <v>49</v>
      </c>
      <c r="X27" s="129">
        <f t="shared" si="8"/>
        <v>49</v>
      </c>
      <c r="Y27" s="129">
        <f t="shared" si="8"/>
        <v>49</v>
      </c>
      <c r="Z27" s="129">
        <f t="shared" si="8"/>
        <v>50</v>
      </c>
      <c r="AA27" s="129">
        <f t="shared" si="8"/>
        <v>50</v>
      </c>
      <c r="AB27" s="129">
        <f t="shared" si="8"/>
        <v>50</v>
      </c>
      <c r="AC27" s="129">
        <f t="shared" si="8"/>
        <v>50</v>
      </c>
      <c r="AD27" s="129">
        <f t="shared" si="8"/>
        <v>49</v>
      </c>
      <c r="AE27" s="129">
        <f t="shared" si="8"/>
        <v>49</v>
      </c>
      <c r="AF27" s="129">
        <f t="shared" si="8"/>
        <v>49</v>
      </c>
      <c r="AG27" s="129">
        <f t="shared" si="8"/>
        <v>49</v>
      </c>
      <c r="AH27" s="129">
        <f t="shared" si="8"/>
        <v>50</v>
      </c>
      <c r="AI27" s="129">
        <f t="shared" si="8"/>
        <v>50</v>
      </c>
      <c r="AJ27" s="129">
        <f t="shared" si="8"/>
        <v>50</v>
      </c>
      <c r="AK27" s="129">
        <f t="shared" si="8"/>
        <v>50</v>
      </c>
      <c r="AL27" s="129">
        <f t="shared" si="8"/>
        <v>50</v>
      </c>
      <c r="AM27" s="129">
        <f t="shared" si="8"/>
        <v>50</v>
      </c>
      <c r="AN27" s="129">
        <f t="shared" si="8"/>
        <v>50</v>
      </c>
      <c r="AO27" s="129">
        <f t="shared" si="8"/>
        <v>50</v>
      </c>
      <c r="AP27" s="129">
        <f t="shared" si="8"/>
        <v>50</v>
      </c>
      <c r="AQ27" s="129">
        <f t="shared" si="8"/>
        <v>50</v>
      </c>
      <c r="AR27" s="129">
        <f t="shared" si="8"/>
        <v>50</v>
      </c>
      <c r="AS27" s="129">
        <f t="shared" si="8"/>
        <v>50</v>
      </c>
      <c r="AT27" s="129">
        <f t="shared" si="8"/>
        <v>51</v>
      </c>
      <c r="AU27" s="129">
        <f t="shared" si="8"/>
        <v>51</v>
      </c>
      <c r="AV27" s="129">
        <f t="shared" si="8"/>
        <v>51</v>
      </c>
      <c r="AW27" s="129">
        <f t="shared" si="8"/>
        <v>51</v>
      </c>
      <c r="AX27" s="129">
        <f t="shared" si="8"/>
        <v>50</v>
      </c>
      <c r="AY27" s="169">
        <f t="shared" si="8"/>
        <v>50</v>
      </c>
      <c r="AZ27" s="111"/>
    </row>
    <row r="28" spans="1:52" x14ac:dyDescent="0.2">
      <c r="B28" s="170" t="s">
        <v>312</v>
      </c>
      <c r="C28" s="115"/>
      <c r="D28" s="115">
        <v>0</v>
      </c>
      <c r="E28" s="115">
        <v>7</v>
      </c>
      <c r="F28" s="115">
        <v>7</v>
      </c>
      <c r="G28" s="115">
        <v>7</v>
      </c>
      <c r="H28" s="115">
        <v>7</v>
      </c>
      <c r="I28" s="115">
        <v>7</v>
      </c>
      <c r="J28" s="115">
        <v>7</v>
      </c>
      <c r="K28" s="115">
        <v>7</v>
      </c>
      <c r="L28" s="115">
        <v>7</v>
      </c>
      <c r="M28" s="115">
        <v>8</v>
      </c>
      <c r="N28" s="115">
        <v>8</v>
      </c>
      <c r="O28" s="115">
        <v>8</v>
      </c>
      <c r="P28" s="115">
        <v>8</v>
      </c>
      <c r="Q28" s="115">
        <v>7</v>
      </c>
      <c r="R28" s="115">
        <v>7</v>
      </c>
      <c r="S28" s="115">
        <v>7</v>
      </c>
      <c r="T28" s="115">
        <v>7</v>
      </c>
      <c r="U28" s="115">
        <v>8</v>
      </c>
      <c r="V28" s="115">
        <v>8</v>
      </c>
      <c r="W28" s="115">
        <v>8</v>
      </c>
      <c r="X28" s="115">
        <v>8</v>
      </c>
      <c r="Y28" s="115">
        <v>7</v>
      </c>
      <c r="Z28" s="115">
        <v>7</v>
      </c>
      <c r="AA28" s="115">
        <v>7</v>
      </c>
      <c r="AB28" s="115">
        <v>7</v>
      </c>
      <c r="AC28" s="115">
        <v>8</v>
      </c>
      <c r="AD28" s="115">
        <v>8</v>
      </c>
      <c r="AE28" s="115">
        <v>8</v>
      </c>
      <c r="AF28" s="115">
        <v>8</v>
      </c>
      <c r="AG28" s="115">
        <v>7</v>
      </c>
      <c r="AH28" s="115">
        <v>7</v>
      </c>
      <c r="AI28" s="115">
        <v>7</v>
      </c>
      <c r="AJ28" s="115">
        <v>7</v>
      </c>
      <c r="AK28" s="115">
        <v>7</v>
      </c>
      <c r="AL28" s="115">
        <v>7</v>
      </c>
      <c r="AM28" s="115">
        <v>7</v>
      </c>
      <c r="AN28" s="115">
        <v>7</v>
      </c>
      <c r="AO28" s="115">
        <v>7</v>
      </c>
      <c r="AP28" s="115">
        <v>7</v>
      </c>
      <c r="AQ28" s="115">
        <v>7</v>
      </c>
      <c r="AR28" s="115">
        <v>7</v>
      </c>
      <c r="AS28" s="115">
        <v>6</v>
      </c>
      <c r="AT28" s="115">
        <v>6</v>
      </c>
      <c r="AU28" s="115">
        <v>6</v>
      </c>
      <c r="AV28" s="115">
        <v>6</v>
      </c>
      <c r="AW28" s="115">
        <v>7</v>
      </c>
      <c r="AX28" s="115">
        <v>7</v>
      </c>
      <c r="AY28" s="171">
        <v>7</v>
      </c>
      <c r="AZ28" s="111"/>
    </row>
    <row r="29" spans="1:52" x14ac:dyDescent="0.2">
      <c r="B29" s="141" t="s">
        <v>313</v>
      </c>
      <c r="C29" s="130"/>
      <c r="D29" s="130">
        <f>C$28</f>
        <v>0</v>
      </c>
      <c r="E29" s="130">
        <f t="shared" ref="E29:AY29" si="9">D$28</f>
        <v>0</v>
      </c>
      <c r="F29" s="130">
        <f t="shared" si="9"/>
        <v>7</v>
      </c>
      <c r="G29" s="130">
        <f t="shared" si="9"/>
        <v>7</v>
      </c>
      <c r="H29" s="130">
        <f t="shared" si="9"/>
        <v>7</v>
      </c>
      <c r="I29" s="130">
        <f t="shared" si="9"/>
        <v>7</v>
      </c>
      <c r="J29" s="130">
        <f t="shared" si="9"/>
        <v>7</v>
      </c>
      <c r="K29" s="130">
        <f t="shared" si="9"/>
        <v>7</v>
      </c>
      <c r="L29" s="130">
        <f t="shared" si="9"/>
        <v>7</v>
      </c>
      <c r="M29" s="130">
        <f t="shared" si="9"/>
        <v>7</v>
      </c>
      <c r="N29" s="130">
        <f t="shared" si="9"/>
        <v>8</v>
      </c>
      <c r="O29" s="130">
        <f t="shared" si="9"/>
        <v>8</v>
      </c>
      <c r="P29" s="130">
        <f t="shared" si="9"/>
        <v>8</v>
      </c>
      <c r="Q29" s="130">
        <f t="shared" si="9"/>
        <v>8</v>
      </c>
      <c r="R29" s="130">
        <f t="shared" si="9"/>
        <v>7</v>
      </c>
      <c r="S29" s="130">
        <f t="shared" si="9"/>
        <v>7</v>
      </c>
      <c r="T29" s="130">
        <f t="shared" si="9"/>
        <v>7</v>
      </c>
      <c r="U29" s="130">
        <f t="shared" si="9"/>
        <v>7</v>
      </c>
      <c r="V29" s="130">
        <f t="shared" si="9"/>
        <v>8</v>
      </c>
      <c r="W29" s="130">
        <f t="shared" si="9"/>
        <v>8</v>
      </c>
      <c r="X29" s="130">
        <f t="shared" si="9"/>
        <v>8</v>
      </c>
      <c r="Y29" s="130">
        <f t="shared" si="9"/>
        <v>8</v>
      </c>
      <c r="Z29" s="130">
        <f t="shared" si="9"/>
        <v>7</v>
      </c>
      <c r="AA29" s="130">
        <f t="shared" si="9"/>
        <v>7</v>
      </c>
      <c r="AB29" s="130">
        <f t="shared" si="9"/>
        <v>7</v>
      </c>
      <c r="AC29" s="130">
        <f t="shared" si="9"/>
        <v>7</v>
      </c>
      <c r="AD29" s="130">
        <f t="shared" si="9"/>
        <v>8</v>
      </c>
      <c r="AE29" s="130">
        <f t="shared" si="9"/>
        <v>8</v>
      </c>
      <c r="AF29" s="130">
        <f t="shared" si="9"/>
        <v>8</v>
      </c>
      <c r="AG29" s="130">
        <f t="shared" si="9"/>
        <v>8</v>
      </c>
      <c r="AH29" s="130">
        <f t="shared" si="9"/>
        <v>7</v>
      </c>
      <c r="AI29" s="130">
        <f t="shared" si="9"/>
        <v>7</v>
      </c>
      <c r="AJ29" s="130">
        <f t="shared" si="9"/>
        <v>7</v>
      </c>
      <c r="AK29" s="130">
        <f t="shared" si="9"/>
        <v>7</v>
      </c>
      <c r="AL29" s="130">
        <f t="shared" si="9"/>
        <v>7</v>
      </c>
      <c r="AM29" s="130">
        <f t="shared" si="9"/>
        <v>7</v>
      </c>
      <c r="AN29" s="130">
        <f t="shared" si="9"/>
        <v>7</v>
      </c>
      <c r="AO29" s="130">
        <f t="shared" si="9"/>
        <v>7</v>
      </c>
      <c r="AP29" s="130">
        <f t="shared" si="9"/>
        <v>7</v>
      </c>
      <c r="AQ29" s="130">
        <f t="shared" si="9"/>
        <v>7</v>
      </c>
      <c r="AR29" s="130">
        <f t="shared" si="9"/>
        <v>7</v>
      </c>
      <c r="AS29" s="130">
        <f t="shared" si="9"/>
        <v>7</v>
      </c>
      <c r="AT29" s="130">
        <f t="shared" si="9"/>
        <v>6</v>
      </c>
      <c r="AU29" s="130">
        <f t="shared" si="9"/>
        <v>6</v>
      </c>
      <c r="AV29" s="130">
        <f t="shared" si="9"/>
        <v>6</v>
      </c>
      <c r="AW29" s="130">
        <f t="shared" si="9"/>
        <v>6</v>
      </c>
      <c r="AX29" s="130">
        <f t="shared" si="9"/>
        <v>7</v>
      </c>
      <c r="AY29" s="172">
        <f t="shared" si="9"/>
        <v>7</v>
      </c>
      <c r="AZ29" s="173"/>
    </row>
    <row r="30" spans="1:52" x14ac:dyDescent="0.2">
      <c r="A30" s="174" t="s">
        <v>314</v>
      </c>
      <c r="B30" s="149">
        <v>10</v>
      </c>
      <c r="C30" s="122" t="s">
        <v>295</v>
      </c>
      <c r="D30" s="122">
        <f>D$27*$B$30</f>
        <v>570</v>
      </c>
      <c r="E30" s="122">
        <f t="shared" ref="E30:AY30" si="10">E$27*$B$30</f>
        <v>570</v>
      </c>
      <c r="F30" s="122">
        <f t="shared" si="10"/>
        <v>500</v>
      </c>
      <c r="G30" s="122">
        <f t="shared" si="10"/>
        <v>500</v>
      </c>
      <c r="H30" s="122">
        <f t="shared" si="10"/>
        <v>500</v>
      </c>
      <c r="I30" s="122">
        <f t="shared" si="10"/>
        <v>500</v>
      </c>
      <c r="J30" s="122">
        <f t="shared" si="10"/>
        <v>500</v>
      </c>
      <c r="K30" s="122">
        <f t="shared" si="10"/>
        <v>500</v>
      </c>
      <c r="L30" s="122">
        <f t="shared" si="10"/>
        <v>500</v>
      </c>
      <c r="M30" s="122">
        <f t="shared" si="10"/>
        <v>500</v>
      </c>
      <c r="N30" s="122">
        <f t="shared" si="10"/>
        <v>490</v>
      </c>
      <c r="O30" s="122">
        <f t="shared" si="10"/>
        <v>490</v>
      </c>
      <c r="P30" s="122">
        <f t="shared" si="10"/>
        <v>490</v>
      </c>
      <c r="Q30" s="122">
        <f t="shared" si="10"/>
        <v>490</v>
      </c>
      <c r="R30" s="122">
        <f>R$27*$B$30</f>
        <v>500</v>
      </c>
      <c r="S30" s="122">
        <f t="shared" si="10"/>
        <v>500</v>
      </c>
      <c r="T30" s="122">
        <f t="shared" si="10"/>
        <v>500</v>
      </c>
      <c r="U30" s="122">
        <f t="shared" si="10"/>
        <v>500</v>
      </c>
      <c r="V30" s="122">
        <f t="shared" si="10"/>
        <v>490</v>
      </c>
      <c r="W30" s="122">
        <f t="shared" si="10"/>
        <v>490</v>
      </c>
      <c r="X30" s="122">
        <f t="shared" si="10"/>
        <v>490</v>
      </c>
      <c r="Y30" s="122">
        <f t="shared" si="10"/>
        <v>490</v>
      </c>
      <c r="Z30" s="122">
        <f t="shared" si="10"/>
        <v>500</v>
      </c>
      <c r="AA30" s="122">
        <f t="shared" si="10"/>
        <v>500</v>
      </c>
      <c r="AB30" s="122">
        <f t="shared" si="10"/>
        <v>500</v>
      </c>
      <c r="AC30" s="122">
        <f t="shared" si="10"/>
        <v>500</v>
      </c>
      <c r="AD30" s="122">
        <f t="shared" si="10"/>
        <v>490</v>
      </c>
      <c r="AE30" s="122">
        <f>AE$27*$B$30</f>
        <v>490</v>
      </c>
      <c r="AF30" s="122">
        <f t="shared" si="10"/>
        <v>490</v>
      </c>
      <c r="AG30" s="122">
        <f t="shared" si="10"/>
        <v>490</v>
      </c>
      <c r="AH30" s="122">
        <f t="shared" si="10"/>
        <v>500</v>
      </c>
      <c r="AI30" s="122">
        <f t="shared" si="10"/>
        <v>500</v>
      </c>
      <c r="AJ30" s="122">
        <f t="shared" si="10"/>
        <v>500</v>
      </c>
      <c r="AK30" s="122">
        <f t="shared" si="10"/>
        <v>500</v>
      </c>
      <c r="AL30" s="122">
        <f t="shared" si="10"/>
        <v>500</v>
      </c>
      <c r="AM30" s="122">
        <f t="shared" si="10"/>
        <v>500</v>
      </c>
      <c r="AN30" s="122">
        <f t="shared" si="10"/>
        <v>500</v>
      </c>
      <c r="AO30" s="122">
        <f t="shared" si="10"/>
        <v>500</v>
      </c>
      <c r="AP30" s="122">
        <f t="shared" si="10"/>
        <v>500</v>
      </c>
      <c r="AQ30" s="122">
        <f t="shared" si="10"/>
        <v>500</v>
      </c>
      <c r="AR30" s="122">
        <f t="shared" si="10"/>
        <v>500</v>
      </c>
      <c r="AS30" s="122">
        <f t="shared" si="10"/>
        <v>500</v>
      </c>
      <c r="AT30" s="122">
        <f t="shared" si="10"/>
        <v>510</v>
      </c>
      <c r="AU30" s="122">
        <f t="shared" si="10"/>
        <v>510</v>
      </c>
      <c r="AV30" s="122">
        <f t="shared" si="10"/>
        <v>510</v>
      </c>
      <c r="AW30" s="122">
        <f t="shared" si="10"/>
        <v>510</v>
      </c>
      <c r="AX30" s="122">
        <f t="shared" si="10"/>
        <v>500</v>
      </c>
      <c r="AY30" s="122">
        <f t="shared" si="10"/>
        <v>500</v>
      </c>
      <c r="AZ30" s="146">
        <f t="shared" si="5"/>
        <v>24060</v>
      </c>
    </row>
    <row r="32" spans="1:52" x14ac:dyDescent="0.2">
      <c r="A32" s="107" t="s">
        <v>302</v>
      </c>
    </row>
    <row r="33" spans="1:52" x14ac:dyDescent="0.2">
      <c r="A33" s="140" t="s">
        <v>34</v>
      </c>
      <c r="B33" s="140" t="s">
        <v>343</v>
      </c>
      <c r="C33" s="129"/>
      <c r="D33" s="129">
        <f>D$21*shipping_manufacturing!$D$27/100</f>
        <v>0</v>
      </c>
      <c r="E33" s="129">
        <f>E$21*shipping_manufacturing!$D$27/100</f>
        <v>146</v>
      </c>
      <c r="F33" s="129">
        <f>F$21*shipping_manufacturing!$D$27/100</f>
        <v>146</v>
      </c>
      <c r="G33" s="129">
        <f>G$21*shipping_manufacturing!$D$27/100</f>
        <v>146</v>
      </c>
      <c r="H33" s="129">
        <f>H$21*shipping_manufacturing!$D$27/100</f>
        <v>146</v>
      </c>
      <c r="I33" s="129">
        <f>I$21*shipping_manufacturing!$D$27/100</f>
        <v>146</v>
      </c>
      <c r="J33" s="129">
        <f>J$21*shipping_manufacturing!$D$27/100</f>
        <v>146</v>
      </c>
      <c r="K33" s="129">
        <f>K$21*shipping_manufacturing!$D$27/100</f>
        <v>146</v>
      </c>
      <c r="L33" s="129">
        <f>L$21*shipping_manufacturing!$D$27/100</f>
        <v>146</v>
      </c>
      <c r="M33" s="129">
        <f>M$21*shipping_manufacturing!$D$27/100</f>
        <v>160.60000000000002</v>
      </c>
      <c r="N33" s="129">
        <f>N$21*shipping_manufacturing!$D$27/100</f>
        <v>160.60000000000002</v>
      </c>
      <c r="O33" s="129">
        <f>O$21*shipping_manufacturing!$D$27/100</f>
        <v>160.60000000000002</v>
      </c>
      <c r="P33" s="129">
        <f>P$21*shipping_manufacturing!$D$27/100</f>
        <v>160.60000000000002</v>
      </c>
      <c r="Q33" s="129">
        <f>Q$21*shipping_manufacturing!$D$27/100</f>
        <v>146</v>
      </c>
      <c r="R33" s="129">
        <f>R$21*shipping_manufacturing!$D$27/100</f>
        <v>146</v>
      </c>
      <c r="S33" s="129">
        <f>S$21*shipping_manufacturing!$D$27/100</f>
        <v>146</v>
      </c>
      <c r="T33" s="129">
        <f>T$21*shipping_manufacturing!$D$27/100</f>
        <v>146</v>
      </c>
      <c r="U33" s="129">
        <f>U$21*shipping_manufacturing!$D$27/100</f>
        <v>160.60000000000002</v>
      </c>
      <c r="V33" s="129">
        <f>V$21*shipping_manufacturing!$D$27/100</f>
        <v>160.60000000000002</v>
      </c>
      <c r="W33" s="129">
        <f>W$21*shipping_manufacturing!$D$27/100</f>
        <v>160.60000000000002</v>
      </c>
      <c r="X33" s="129">
        <f>X$21*shipping_manufacturing!$D$27/100</f>
        <v>160.60000000000002</v>
      </c>
      <c r="Y33" s="129">
        <f>Y$21*shipping_manufacturing!$D$27/100</f>
        <v>146</v>
      </c>
      <c r="Z33" s="129">
        <f>Z$21*shipping_manufacturing!$D$27/100</f>
        <v>146</v>
      </c>
      <c r="AA33" s="129">
        <f>AA$21*shipping_manufacturing!$D$27/100</f>
        <v>146</v>
      </c>
      <c r="AB33" s="129">
        <f>AB$21*shipping_manufacturing!$D$27/100</f>
        <v>146</v>
      </c>
      <c r="AC33" s="129">
        <f>AC$21*shipping_manufacturing!$D$27/100</f>
        <v>160.60000000000002</v>
      </c>
      <c r="AD33" s="129">
        <f>AD$21*shipping_manufacturing!$D$27/100</f>
        <v>160.60000000000002</v>
      </c>
      <c r="AE33" s="129">
        <f>AE$21*shipping_manufacturing!$D$27/100</f>
        <v>160.60000000000002</v>
      </c>
      <c r="AF33" s="129">
        <f>AF$21*shipping_manufacturing!$D$27/100</f>
        <v>160.60000000000002</v>
      </c>
      <c r="AG33" s="129">
        <f>AG$21*shipping_manufacturing!$D$27/100</f>
        <v>146</v>
      </c>
      <c r="AH33" s="129">
        <f>AH$21*shipping_manufacturing!$D$27/100</f>
        <v>146</v>
      </c>
      <c r="AI33" s="129">
        <f>AI$21*shipping_manufacturing!$D$27/100</f>
        <v>146</v>
      </c>
      <c r="AJ33" s="129">
        <f>AJ$21*shipping_manufacturing!$D$27/100</f>
        <v>146</v>
      </c>
      <c r="AK33" s="129">
        <f>AK$21*shipping_manufacturing!$D$27/100</f>
        <v>146</v>
      </c>
      <c r="AL33" s="129">
        <f>AL$21*shipping_manufacturing!$D$27/100</f>
        <v>146</v>
      </c>
      <c r="AM33" s="129">
        <f>AM$21*shipping_manufacturing!$D$27/100</f>
        <v>146</v>
      </c>
      <c r="AN33" s="129">
        <f>AN$21*shipping_manufacturing!$D$27/100</f>
        <v>146</v>
      </c>
      <c r="AO33" s="129">
        <f>AO$21*shipping_manufacturing!$D$27/100</f>
        <v>146</v>
      </c>
      <c r="AP33" s="129">
        <f>AP$21*shipping_manufacturing!$D$27/100</f>
        <v>146</v>
      </c>
      <c r="AQ33" s="129">
        <f>AQ$21*shipping_manufacturing!$D$27/100</f>
        <v>146</v>
      </c>
      <c r="AR33" s="129">
        <f>AR$21*shipping_manufacturing!$D$27/100</f>
        <v>146</v>
      </c>
      <c r="AS33" s="129">
        <f>AS$21*shipping_manufacturing!$D$27/100</f>
        <v>131.4</v>
      </c>
      <c r="AT33" s="129">
        <f>AT$21*shipping_manufacturing!$D$27/100</f>
        <v>131.4</v>
      </c>
      <c r="AU33" s="129">
        <f>AU$21*shipping_manufacturing!$D$27/100</f>
        <v>131.4</v>
      </c>
      <c r="AV33" s="129">
        <f>AV$21*shipping_manufacturing!$D$27/100</f>
        <v>131.4</v>
      </c>
      <c r="AW33" s="129">
        <f>AW$21*shipping_manufacturing!$D$27/100</f>
        <v>146</v>
      </c>
      <c r="AX33" s="129">
        <f>AX$21*shipping_manufacturing!$D$27/100</f>
        <v>146</v>
      </c>
      <c r="AY33" s="129">
        <f>AY$21*shipping_manufacturing!$D$27/100</f>
        <v>146</v>
      </c>
    </row>
    <row r="34" spans="1:52" x14ac:dyDescent="0.2">
      <c r="A34" s="118" t="s">
        <v>342</v>
      </c>
      <c r="B34" s="170" t="s">
        <v>344</v>
      </c>
      <c r="C34" s="115"/>
      <c r="D34" s="115">
        <f>D$22*shipping_manufacturing!$E$27/100</f>
        <v>0</v>
      </c>
      <c r="E34" s="115">
        <f>E$22*shipping_manufacturing!$E$27/100</f>
        <v>46.999999999999993</v>
      </c>
      <c r="F34" s="115">
        <f>F$22*shipping_manufacturing!$E$27/100</f>
        <v>46.999999999999993</v>
      </c>
      <c r="G34" s="115">
        <f>G$22*shipping_manufacturing!$E$27/100</f>
        <v>46.999999999999993</v>
      </c>
      <c r="H34" s="115">
        <f>H$22*shipping_manufacturing!$E$27/100</f>
        <v>46.999999999999993</v>
      </c>
      <c r="I34" s="115">
        <f>I$22*shipping_manufacturing!$E$27/100</f>
        <v>46.999999999999993</v>
      </c>
      <c r="J34" s="115">
        <f>J$22*shipping_manufacturing!$E$27/100</f>
        <v>46.999999999999993</v>
      </c>
      <c r="K34" s="115">
        <f>K$22*shipping_manufacturing!$E$27/100</f>
        <v>46.999999999999993</v>
      </c>
      <c r="L34" s="115">
        <f>L$22*shipping_manufacturing!$E$27/100</f>
        <v>46.999999999999993</v>
      </c>
      <c r="M34" s="115">
        <f>M$22*shipping_manufacturing!$E$27/100</f>
        <v>51.7</v>
      </c>
      <c r="N34" s="115">
        <f>N$22*shipping_manufacturing!$E$27/100</f>
        <v>51.7</v>
      </c>
      <c r="O34" s="115">
        <f>O$22*shipping_manufacturing!$E$27/100</f>
        <v>51.7</v>
      </c>
      <c r="P34" s="115">
        <f>P$22*shipping_manufacturing!$E$27/100</f>
        <v>51.7</v>
      </c>
      <c r="Q34" s="115">
        <f>Q$22*shipping_manufacturing!$E$27/100</f>
        <v>46.999999999999993</v>
      </c>
      <c r="R34" s="115">
        <f>R$22*shipping_manufacturing!$E$27/100</f>
        <v>46.999999999999993</v>
      </c>
      <c r="S34" s="115">
        <f>S$22*shipping_manufacturing!$E$27/100</f>
        <v>46.999999999999993</v>
      </c>
      <c r="T34" s="115">
        <f>T$22*shipping_manufacturing!$E$27/100</f>
        <v>46.999999999999993</v>
      </c>
      <c r="U34" s="115">
        <f>U$22*shipping_manufacturing!$E$27/100</f>
        <v>51.7</v>
      </c>
      <c r="V34" s="115">
        <f>V$22*shipping_manufacturing!$E$27/100</f>
        <v>51.7</v>
      </c>
      <c r="W34" s="115">
        <f>W$22*shipping_manufacturing!$E$27/100</f>
        <v>51.7</v>
      </c>
      <c r="X34" s="115">
        <f>X$22*shipping_manufacturing!$E$27/100</f>
        <v>51.7</v>
      </c>
      <c r="Y34" s="115">
        <f>Y$22*shipping_manufacturing!$E$27/100</f>
        <v>46.999999999999993</v>
      </c>
      <c r="Z34" s="115">
        <f>Z$22*shipping_manufacturing!$E$27/100</f>
        <v>46.999999999999993</v>
      </c>
      <c r="AA34" s="115">
        <f>AA$22*shipping_manufacturing!$E$27/100</f>
        <v>46.999999999999993</v>
      </c>
      <c r="AB34" s="115">
        <f>AB$22*shipping_manufacturing!$E$27/100</f>
        <v>46.999999999999993</v>
      </c>
      <c r="AC34" s="115">
        <f>AC$22*shipping_manufacturing!$E$27/100</f>
        <v>51.7</v>
      </c>
      <c r="AD34" s="115">
        <f>AD$22*shipping_manufacturing!$E$27/100</f>
        <v>51.7</v>
      </c>
      <c r="AE34" s="115">
        <f>AE$22*shipping_manufacturing!$E$27/100</f>
        <v>51.7</v>
      </c>
      <c r="AF34" s="115">
        <f>AF$22*shipping_manufacturing!$E$27/100</f>
        <v>51.7</v>
      </c>
      <c r="AG34" s="115">
        <f>AG$22*shipping_manufacturing!$E$27/100</f>
        <v>46.999999999999993</v>
      </c>
      <c r="AH34" s="115">
        <f>AH$22*shipping_manufacturing!$E$27/100</f>
        <v>46.999999999999993</v>
      </c>
      <c r="AI34" s="115">
        <f>AI$22*shipping_manufacturing!$E$27/100</f>
        <v>46.999999999999993</v>
      </c>
      <c r="AJ34" s="115">
        <f>AJ$22*shipping_manufacturing!$E$27/100</f>
        <v>46.999999999999993</v>
      </c>
      <c r="AK34" s="115">
        <f>AK$22*shipping_manufacturing!$E$27/100</f>
        <v>46.999999999999993</v>
      </c>
      <c r="AL34" s="115">
        <f>AL$22*shipping_manufacturing!$E$27/100</f>
        <v>46.999999999999993</v>
      </c>
      <c r="AM34" s="115">
        <f>AM$22*shipping_manufacturing!$E$27/100</f>
        <v>46.999999999999993</v>
      </c>
      <c r="AN34" s="115">
        <f>AN$22*shipping_manufacturing!$E$27/100</f>
        <v>46.999999999999993</v>
      </c>
      <c r="AO34" s="115">
        <f>AO$22*shipping_manufacturing!$E$27/100</f>
        <v>46.999999999999993</v>
      </c>
      <c r="AP34" s="115">
        <f>AP$22*shipping_manufacturing!$E$27/100</f>
        <v>46.999999999999993</v>
      </c>
      <c r="AQ34" s="115">
        <f>AQ$22*shipping_manufacturing!$E$27/100</f>
        <v>46.999999999999993</v>
      </c>
      <c r="AR34" s="115">
        <f>AR$22*shipping_manufacturing!$E$27/100</f>
        <v>46.999999999999993</v>
      </c>
      <c r="AS34" s="115">
        <f>AS$22*shipping_manufacturing!$E$27/100</f>
        <v>42.3</v>
      </c>
      <c r="AT34" s="115">
        <f>AT$22*shipping_manufacturing!$E$27/100</f>
        <v>42.3</v>
      </c>
      <c r="AU34" s="115">
        <f>AU$22*shipping_manufacturing!$E$27/100</f>
        <v>42.3</v>
      </c>
      <c r="AV34" s="115">
        <f>AV$22*shipping_manufacturing!$E$27/100</f>
        <v>42.3</v>
      </c>
      <c r="AW34" s="115">
        <f>AW$22*shipping_manufacturing!$E$27/100</f>
        <v>46.999999999999993</v>
      </c>
      <c r="AX34" s="115">
        <f>AX$22*shipping_manufacturing!$E$27/100</f>
        <v>46.999999999999993</v>
      </c>
      <c r="AY34" s="115">
        <f>AY$22*shipping_manufacturing!$E$27/100</f>
        <v>46.999999999999993</v>
      </c>
    </row>
    <row r="35" spans="1:52" x14ac:dyDescent="0.2">
      <c r="A35" s="115">
        <v>140</v>
      </c>
      <c r="B35" s="170" t="s">
        <v>345</v>
      </c>
      <c r="C35" s="115"/>
      <c r="D35" s="115">
        <f>SUM(D33:D34)</f>
        <v>0</v>
      </c>
      <c r="E35" s="115">
        <f t="shared" ref="E35:AY35" si="11">SUM(E33:E34)</f>
        <v>193</v>
      </c>
      <c r="F35" s="115">
        <f t="shared" si="11"/>
        <v>193</v>
      </c>
      <c r="G35" s="115">
        <f t="shared" si="11"/>
        <v>193</v>
      </c>
      <c r="H35" s="115">
        <f t="shared" si="11"/>
        <v>193</v>
      </c>
      <c r="I35" s="115">
        <f t="shared" si="11"/>
        <v>193</v>
      </c>
      <c r="J35" s="115">
        <f t="shared" si="11"/>
        <v>193</v>
      </c>
      <c r="K35" s="115">
        <f t="shared" si="11"/>
        <v>193</v>
      </c>
      <c r="L35" s="115">
        <f t="shared" si="11"/>
        <v>193</v>
      </c>
      <c r="M35" s="115">
        <f t="shared" si="11"/>
        <v>212.3</v>
      </c>
      <c r="N35" s="115">
        <f t="shared" si="11"/>
        <v>212.3</v>
      </c>
      <c r="O35" s="115">
        <f t="shared" si="11"/>
        <v>212.3</v>
      </c>
      <c r="P35" s="115">
        <f t="shared" si="11"/>
        <v>212.3</v>
      </c>
      <c r="Q35" s="115">
        <f t="shared" si="11"/>
        <v>193</v>
      </c>
      <c r="R35" s="115">
        <f t="shared" si="11"/>
        <v>193</v>
      </c>
      <c r="S35" s="115">
        <f t="shared" si="11"/>
        <v>193</v>
      </c>
      <c r="T35" s="115">
        <f t="shared" si="11"/>
        <v>193</v>
      </c>
      <c r="U35" s="115">
        <f t="shared" si="11"/>
        <v>212.3</v>
      </c>
      <c r="V35" s="115">
        <f t="shared" si="11"/>
        <v>212.3</v>
      </c>
      <c r="W35" s="115">
        <f t="shared" si="11"/>
        <v>212.3</v>
      </c>
      <c r="X35" s="115">
        <f t="shared" si="11"/>
        <v>212.3</v>
      </c>
      <c r="Y35" s="115">
        <f t="shared" si="11"/>
        <v>193</v>
      </c>
      <c r="Z35" s="115">
        <f t="shared" si="11"/>
        <v>193</v>
      </c>
      <c r="AA35" s="115">
        <f t="shared" si="11"/>
        <v>193</v>
      </c>
      <c r="AB35" s="115">
        <f t="shared" si="11"/>
        <v>193</v>
      </c>
      <c r="AC35" s="115">
        <f t="shared" si="11"/>
        <v>212.3</v>
      </c>
      <c r="AD35" s="115">
        <f t="shared" si="11"/>
        <v>212.3</v>
      </c>
      <c r="AE35" s="115">
        <f t="shared" si="11"/>
        <v>212.3</v>
      </c>
      <c r="AF35" s="115">
        <f t="shared" si="11"/>
        <v>212.3</v>
      </c>
      <c r="AG35" s="115">
        <f t="shared" si="11"/>
        <v>193</v>
      </c>
      <c r="AH35" s="115">
        <f t="shared" si="11"/>
        <v>193</v>
      </c>
      <c r="AI35" s="115">
        <f t="shared" si="11"/>
        <v>193</v>
      </c>
      <c r="AJ35" s="115">
        <f t="shared" si="11"/>
        <v>193</v>
      </c>
      <c r="AK35" s="115">
        <f t="shared" si="11"/>
        <v>193</v>
      </c>
      <c r="AL35" s="115">
        <f t="shared" si="11"/>
        <v>193</v>
      </c>
      <c r="AM35" s="115">
        <f t="shared" si="11"/>
        <v>193</v>
      </c>
      <c r="AN35" s="115">
        <f t="shared" si="11"/>
        <v>193</v>
      </c>
      <c r="AO35" s="115">
        <f t="shared" si="11"/>
        <v>193</v>
      </c>
      <c r="AP35" s="115">
        <f t="shared" si="11"/>
        <v>193</v>
      </c>
      <c r="AQ35" s="115">
        <f t="shared" si="11"/>
        <v>193</v>
      </c>
      <c r="AR35" s="115">
        <f t="shared" si="11"/>
        <v>193</v>
      </c>
      <c r="AS35" s="115">
        <f t="shared" si="11"/>
        <v>173.7</v>
      </c>
      <c r="AT35" s="115">
        <f t="shared" si="11"/>
        <v>173.7</v>
      </c>
      <c r="AU35" s="115">
        <f t="shared" si="11"/>
        <v>173.7</v>
      </c>
      <c r="AV35" s="115">
        <f t="shared" si="11"/>
        <v>173.7</v>
      </c>
      <c r="AW35" s="115">
        <f t="shared" si="11"/>
        <v>193</v>
      </c>
      <c r="AX35" s="115">
        <f t="shared" si="11"/>
        <v>193</v>
      </c>
      <c r="AY35" s="115">
        <f t="shared" si="11"/>
        <v>193</v>
      </c>
    </row>
    <row r="36" spans="1:52" x14ac:dyDescent="0.2">
      <c r="A36" s="115"/>
      <c r="B36" s="170" t="s">
        <v>346</v>
      </c>
      <c r="C36" s="115"/>
      <c r="D36" s="115"/>
      <c r="E36" s="115">
        <v>146.00000000000003</v>
      </c>
      <c r="F36" s="115">
        <v>146.00000000000003</v>
      </c>
      <c r="G36" s="115">
        <v>146.00000000000003</v>
      </c>
      <c r="H36" s="115">
        <v>146.00000000000003</v>
      </c>
      <c r="I36" s="115">
        <v>146.00000000000003</v>
      </c>
      <c r="J36" s="115">
        <v>146.00000000000003</v>
      </c>
      <c r="K36" s="115">
        <v>146.00000000000003</v>
      </c>
      <c r="L36" s="115">
        <v>146.00000000000003</v>
      </c>
      <c r="M36" s="115">
        <v>160.60000000000005</v>
      </c>
      <c r="N36" s="115">
        <v>160.60000000000005</v>
      </c>
      <c r="O36" s="115">
        <v>160.60000000000005</v>
      </c>
      <c r="P36" s="115">
        <v>160.60000000000005</v>
      </c>
      <c r="Q36" s="115">
        <v>146.00000000000003</v>
      </c>
      <c r="R36" s="115">
        <v>146.00000000000003</v>
      </c>
      <c r="S36" s="115">
        <v>146.00000000000003</v>
      </c>
      <c r="T36" s="115">
        <v>146.00000000000003</v>
      </c>
      <c r="U36" s="115">
        <v>160.60000000000005</v>
      </c>
      <c r="V36" s="115">
        <v>160.60000000000005</v>
      </c>
      <c r="W36" s="115">
        <v>160.60000000000005</v>
      </c>
      <c r="X36" s="115">
        <v>160.60000000000005</v>
      </c>
      <c r="Y36" s="115">
        <v>146.00000000000003</v>
      </c>
      <c r="Z36" s="115">
        <v>146.00000000000003</v>
      </c>
      <c r="AA36" s="115">
        <v>146.00000000000003</v>
      </c>
      <c r="AB36" s="115">
        <v>146.00000000000003</v>
      </c>
      <c r="AC36" s="115">
        <v>160.60000000000005</v>
      </c>
      <c r="AD36" s="115">
        <v>160.60000000000005</v>
      </c>
      <c r="AE36" s="115">
        <v>160.60000000000005</v>
      </c>
      <c r="AF36" s="115">
        <v>160.60000000000005</v>
      </c>
      <c r="AG36" s="115">
        <v>146.00000000000003</v>
      </c>
      <c r="AH36" s="115">
        <v>146.00000000000003</v>
      </c>
      <c r="AI36" s="115">
        <v>146.00000000000003</v>
      </c>
      <c r="AJ36" s="115">
        <v>146.00000000000003</v>
      </c>
      <c r="AK36" s="115">
        <v>146.00000000000003</v>
      </c>
      <c r="AL36" s="115">
        <v>146.00000000000003</v>
      </c>
      <c r="AM36" s="115">
        <v>146.00000000000003</v>
      </c>
      <c r="AN36" s="115">
        <v>146.00000000000003</v>
      </c>
      <c r="AO36" s="115">
        <v>146.00000000000003</v>
      </c>
      <c r="AP36" s="115">
        <v>146.00000000000003</v>
      </c>
      <c r="AQ36" s="115">
        <v>146.00000000000003</v>
      </c>
      <c r="AR36" s="115">
        <v>146.00000000000003</v>
      </c>
      <c r="AS36" s="115">
        <v>131.4</v>
      </c>
      <c r="AT36" s="115">
        <v>131.4</v>
      </c>
      <c r="AU36" s="115">
        <v>131.4</v>
      </c>
      <c r="AV36" s="115">
        <v>131.4</v>
      </c>
      <c r="AW36" s="115">
        <v>146.00000000000003</v>
      </c>
      <c r="AX36" s="115">
        <v>146.00000000000003</v>
      </c>
      <c r="AY36" s="115">
        <v>146.00000000000003</v>
      </c>
    </row>
    <row r="37" spans="1:52" x14ac:dyDescent="0.2">
      <c r="A37" s="115"/>
      <c r="B37" s="170" t="s">
        <v>347</v>
      </c>
      <c r="C37" s="115"/>
      <c r="D37" s="115"/>
      <c r="E37" s="115">
        <v>46.999999999999993</v>
      </c>
      <c r="F37" s="115">
        <v>46.999999999999993</v>
      </c>
      <c r="G37" s="115">
        <v>46.999999999999993</v>
      </c>
      <c r="H37" s="115">
        <v>46.999999999999993</v>
      </c>
      <c r="I37" s="115">
        <v>46.999999999999993</v>
      </c>
      <c r="J37" s="115">
        <v>46.999999999999993</v>
      </c>
      <c r="K37" s="115">
        <v>46.999999999999993</v>
      </c>
      <c r="L37" s="115">
        <v>46.999999999999993</v>
      </c>
      <c r="M37" s="115">
        <v>51.7</v>
      </c>
      <c r="N37" s="115">
        <v>51.7</v>
      </c>
      <c r="O37" s="115">
        <v>51.7</v>
      </c>
      <c r="P37" s="115">
        <v>51.7</v>
      </c>
      <c r="Q37" s="115">
        <v>46.999999999999993</v>
      </c>
      <c r="R37" s="115">
        <v>46.999999999999993</v>
      </c>
      <c r="S37" s="115">
        <v>46.999999999999993</v>
      </c>
      <c r="T37" s="115">
        <v>46.999999999999993</v>
      </c>
      <c r="U37" s="115">
        <v>51.7</v>
      </c>
      <c r="V37" s="115">
        <v>51.7</v>
      </c>
      <c r="W37" s="115">
        <v>51.7</v>
      </c>
      <c r="X37" s="115">
        <v>51.7</v>
      </c>
      <c r="Y37" s="115">
        <v>46.999999999999993</v>
      </c>
      <c r="Z37" s="115">
        <v>46.999999999999993</v>
      </c>
      <c r="AA37" s="115">
        <v>46.999999999999993</v>
      </c>
      <c r="AB37" s="115">
        <v>46.999999999999993</v>
      </c>
      <c r="AC37" s="115">
        <v>51.7</v>
      </c>
      <c r="AD37" s="115">
        <v>51.7</v>
      </c>
      <c r="AE37" s="115">
        <v>51.7</v>
      </c>
      <c r="AF37" s="115">
        <v>51.7</v>
      </c>
      <c r="AG37" s="115">
        <v>46.999999999999993</v>
      </c>
      <c r="AH37" s="115">
        <v>46.999999999999993</v>
      </c>
      <c r="AI37" s="115">
        <v>46.999999999999993</v>
      </c>
      <c r="AJ37" s="115">
        <v>46.999999999999993</v>
      </c>
      <c r="AK37" s="115">
        <v>46.999999999999993</v>
      </c>
      <c r="AL37" s="115">
        <v>46.999999999999993</v>
      </c>
      <c r="AM37" s="115">
        <v>46.999999999999993</v>
      </c>
      <c r="AN37" s="115">
        <v>46.999999999999993</v>
      </c>
      <c r="AO37" s="115">
        <v>46.999999999999993</v>
      </c>
      <c r="AP37" s="115">
        <v>46.999999999999993</v>
      </c>
      <c r="AQ37" s="115">
        <v>46.999999999999993</v>
      </c>
      <c r="AR37" s="115">
        <v>46.999999999999993</v>
      </c>
      <c r="AS37" s="115">
        <v>42.3</v>
      </c>
      <c r="AT37" s="115">
        <v>42.3</v>
      </c>
      <c r="AU37" s="115">
        <v>42.3</v>
      </c>
      <c r="AV37" s="115">
        <v>42.3</v>
      </c>
      <c r="AW37" s="115">
        <v>46.999999999999993</v>
      </c>
      <c r="AX37" s="115">
        <v>46.999999999999993</v>
      </c>
      <c r="AY37" s="115">
        <v>46.999999999999993</v>
      </c>
    </row>
    <row r="38" spans="1:52" x14ac:dyDescent="0.2">
      <c r="A38" s="115"/>
      <c r="B38" s="170" t="s">
        <v>348</v>
      </c>
      <c r="C38" s="115"/>
      <c r="D38" s="115"/>
      <c r="E38" s="115">
        <v>7</v>
      </c>
      <c r="F38" s="115">
        <v>7</v>
      </c>
      <c r="G38" s="115">
        <v>7</v>
      </c>
      <c r="H38" s="115">
        <v>7</v>
      </c>
      <c r="I38" s="115">
        <v>7</v>
      </c>
      <c r="J38" s="115">
        <v>7</v>
      </c>
      <c r="K38" s="115">
        <v>7</v>
      </c>
      <c r="L38" s="115">
        <v>7</v>
      </c>
      <c r="M38" s="115">
        <v>8</v>
      </c>
      <c r="N38" s="115">
        <v>8</v>
      </c>
      <c r="O38" s="115">
        <v>8</v>
      </c>
      <c r="P38" s="115">
        <v>8</v>
      </c>
      <c r="Q38" s="115">
        <v>7</v>
      </c>
      <c r="R38" s="115">
        <v>7</v>
      </c>
      <c r="S38" s="115">
        <v>7</v>
      </c>
      <c r="T38" s="115">
        <v>7</v>
      </c>
      <c r="U38" s="115">
        <v>8</v>
      </c>
      <c r="V38" s="115">
        <v>8</v>
      </c>
      <c r="W38" s="115">
        <v>8</v>
      </c>
      <c r="X38" s="115">
        <v>8</v>
      </c>
      <c r="Y38" s="115">
        <v>7</v>
      </c>
      <c r="Z38" s="115">
        <v>7</v>
      </c>
      <c r="AA38" s="115">
        <v>7</v>
      </c>
      <c r="AB38" s="115">
        <v>7</v>
      </c>
      <c r="AC38" s="115">
        <v>8</v>
      </c>
      <c r="AD38" s="115">
        <v>8</v>
      </c>
      <c r="AE38" s="115">
        <v>8</v>
      </c>
      <c r="AF38" s="115">
        <v>8</v>
      </c>
      <c r="AG38" s="115">
        <v>7</v>
      </c>
      <c r="AH38" s="115">
        <v>7</v>
      </c>
      <c r="AI38" s="115">
        <v>7</v>
      </c>
      <c r="AJ38" s="115">
        <v>7</v>
      </c>
      <c r="AK38" s="115">
        <v>7</v>
      </c>
      <c r="AL38" s="115">
        <v>7</v>
      </c>
      <c r="AM38" s="115">
        <v>7</v>
      </c>
      <c r="AN38" s="115">
        <v>7</v>
      </c>
      <c r="AO38" s="115">
        <v>7</v>
      </c>
      <c r="AP38" s="115">
        <v>7</v>
      </c>
      <c r="AQ38" s="115">
        <v>7</v>
      </c>
      <c r="AR38" s="115">
        <v>7</v>
      </c>
      <c r="AS38" s="115">
        <v>6</v>
      </c>
      <c r="AT38" s="115">
        <v>6</v>
      </c>
      <c r="AU38" s="115">
        <v>6</v>
      </c>
      <c r="AV38" s="115">
        <v>6</v>
      </c>
      <c r="AW38" s="115">
        <v>7</v>
      </c>
      <c r="AX38" s="115">
        <v>7</v>
      </c>
      <c r="AY38" s="115">
        <v>7</v>
      </c>
    </row>
    <row r="39" spans="1:52" x14ac:dyDescent="0.2">
      <c r="A39" s="115"/>
      <c r="B39" s="170" t="s">
        <v>349</v>
      </c>
      <c r="C39" s="115"/>
      <c r="D39" s="115">
        <f>D33-D36</f>
        <v>0</v>
      </c>
      <c r="E39" s="115">
        <f t="shared" ref="E39:AY39" si="12">E33-E36</f>
        <v>0</v>
      </c>
      <c r="F39" s="115">
        <f t="shared" si="12"/>
        <v>0</v>
      </c>
      <c r="G39" s="115">
        <f t="shared" si="12"/>
        <v>0</v>
      </c>
      <c r="H39" s="115">
        <f t="shared" si="12"/>
        <v>0</v>
      </c>
      <c r="I39" s="115">
        <f t="shared" si="12"/>
        <v>0</v>
      </c>
      <c r="J39" s="115">
        <f t="shared" si="12"/>
        <v>0</v>
      </c>
      <c r="K39" s="115">
        <f t="shared" si="12"/>
        <v>0</v>
      </c>
      <c r="L39" s="115">
        <f t="shared" si="12"/>
        <v>0</v>
      </c>
      <c r="M39" s="115">
        <f t="shared" si="12"/>
        <v>0</v>
      </c>
      <c r="N39" s="115">
        <f t="shared" si="12"/>
        <v>0</v>
      </c>
      <c r="O39" s="115">
        <f t="shared" si="12"/>
        <v>0</v>
      </c>
      <c r="P39" s="115">
        <f t="shared" si="12"/>
        <v>0</v>
      </c>
      <c r="Q39" s="115">
        <f t="shared" si="12"/>
        <v>0</v>
      </c>
      <c r="R39" s="115">
        <f t="shared" si="12"/>
        <v>0</v>
      </c>
      <c r="S39" s="115">
        <f t="shared" si="12"/>
        <v>0</v>
      </c>
      <c r="T39" s="115">
        <f t="shared" si="12"/>
        <v>0</v>
      </c>
      <c r="U39" s="115">
        <f t="shared" si="12"/>
        <v>0</v>
      </c>
      <c r="V39" s="115">
        <f t="shared" si="12"/>
        <v>0</v>
      </c>
      <c r="W39" s="115">
        <f t="shared" si="12"/>
        <v>0</v>
      </c>
      <c r="X39" s="115">
        <f t="shared" si="12"/>
        <v>0</v>
      </c>
      <c r="Y39" s="115">
        <f t="shared" si="12"/>
        <v>0</v>
      </c>
      <c r="Z39" s="115">
        <f t="shared" si="12"/>
        <v>0</v>
      </c>
      <c r="AA39" s="115">
        <f t="shared" si="12"/>
        <v>0</v>
      </c>
      <c r="AB39" s="115">
        <f t="shared" si="12"/>
        <v>0</v>
      </c>
      <c r="AC39" s="115">
        <f t="shared" si="12"/>
        <v>0</v>
      </c>
      <c r="AD39" s="115">
        <f t="shared" si="12"/>
        <v>0</v>
      </c>
      <c r="AE39" s="115">
        <f t="shared" si="12"/>
        <v>0</v>
      </c>
      <c r="AF39" s="115">
        <f t="shared" si="12"/>
        <v>0</v>
      </c>
      <c r="AG39" s="115">
        <f t="shared" si="12"/>
        <v>0</v>
      </c>
      <c r="AH39" s="115">
        <f t="shared" si="12"/>
        <v>0</v>
      </c>
      <c r="AI39" s="115">
        <f t="shared" si="12"/>
        <v>0</v>
      </c>
      <c r="AJ39" s="115">
        <f t="shared" si="12"/>
        <v>0</v>
      </c>
      <c r="AK39" s="115">
        <f t="shared" si="12"/>
        <v>0</v>
      </c>
      <c r="AL39" s="115">
        <f t="shared" si="12"/>
        <v>0</v>
      </c>
      <c r="AM39" s="115">
        <f t="shared" si="12"/>
        <v>0</v>
      </c>
      <c r="AN39" s="115">
        <f t="shared" si="12"/>
        <v>0</v>
      </c>
      <c r="AO39" s="115">
        <f t="shared" si="12"/>
        <v>0</v>
      </c>
      <c r="AP39" s="115">
        <f t="shared" si="12"/>
        <v>0</v>
      </c>
      <c r="AQ39" s="115">
        <f t="shared" si="12"/>
        <v>0</v>
      </c>
      <c r="AR39" s="115">
        <f t="shared" si="12"/>
        <v>0</v>
      </c>
      <c r="AS39" s="115">
        <f t="shared" si="12"/>
        <v>0</v>
      </c>
      <c r="AT39" s="115">
        <f t="shared" si="12"/>
        <v>0</v>
      </c>
      <c r="AU39" s="115">
        <f t="shared" si="12"/>
        <v>0</v>
      </c>
      <c r="AV39" s="115">
        <f t="shared" si="12"/>
        <v>0</v>
      </c>
      <c r="AW39" s="115">
        <f t="shared" si="12"/>
        <v>0</v>
      </c>
      <c r="AX39" s="115">
        <f t="shared" si="12"/>
        <v>0</v>
      </c>
      <c r="AY39" s="115">
        <f t="shared" si="12"/>
        <v>0</v>
      </c>
    </row>
    <row r="40" spans="1:52" x14ac:dyDescent="0.2">
      <c r="A40" s="115"/>
      <c r="B40" s="170" t="s">
        <v>350</v>
      </c>
      <c r="C40" s="115"/>
      <c r="D40" s="115">
        <f>D34-D37</f>
        <v>0</v>
      </c>
      <c r="E40" s="115">
        <f t="shared" ref="E40:AY40" si="13">E34-E37</f>
        <v>0</v>
      </c>
      <c r="F40" s="115">
        <f t="shared" si="13"/>
        <v>0</v>
      </c>
      <c r="G40" s="115">
        <f t="shared" si="13"/>
        <v>0</v>
      </c>
      <c r="H40" s="115">
        <f t="shared" si="13"/>
        <v>0</v>
      </c>
      <c r="I40" s="115">
        <f t="shared" si="13"/>
        <v>0</v>
      </c>
      <c r="J40" s="115">
        <f t="shared" si="13"/>
        <v>0</v>
      </c>
      <c r="K40" s="115">
        <f t="shared" si="13"/>
        <v>0</v>
      </c>
      <c r="L40" s="115">
        <f t="shared" si="13"/>
        <v>0</v>
      </c>
      <c r="M40" s="115">
        <f t="shared" si="13"/>
        <v>0</v>
      </c>
      <c r="N40" s="115">
        <f t="shared" si="13"/>
        <v>0</v>
      </c>
      <c r="O40" s="115">
        <f t="shared" si="13"/>
        <v>0</v>
      </c>
      <c r="P40" s="115">
        <f t="shared" si="13"/>
        <v>0</v>
      </c>
      <c r="Q40" s="115">
        <f t="shared" si="13"/>
        <v>0</v>
      </c>
      <c r="R40" s="115">
        <f t="shared" si="13"/>
        <v>0</v>
      </c>
      <c r="S40" s="115">
        <f t="shared" si="13"/>
        <v>0</v>
      </c>
      <c r="T40" s="115">
        <f t="shared" si="13"/>
        <v>0</v>
      </c>
      <c r="U40" s="115">
        <f t="shared" si="13"/>
        <v>0</v>
      </c>
      <c r="V40" s="115">
        <f t="shared" si="13"/>
        <v>0</v>
      </c>
      <c r="W40" s="115">
        <f t="shared" si="13"/>
        <v>0</v>
      </c>
      <c r="X40" s="115">
        <f t="shared" si="13"/>
        <v>0</v>
      </c>
      <c r="Y40" s="115">
        <f t="shared" si="13"/>
        <v>0</v>
      </c>
      <c r="Z40" s="115">
        <f t="shared" si="13"/>
        <v>0</v>
      </c>
      <c r="AA40" s="115">
        <f t="shared" si="13"/>
        <v>0</v>
      </c>
      <c r="AB40" s="115">
        <f t="shared" si="13"/>
        <v>0</v>
      </c>
      <c r="AC40" s="115">
        <f t="shared" si="13"/>
        <v>0</v>
      </c>
      <c r="AD40" s="115">
        <f t="shared" si="13"/>
        <v>0</v>
      </c>
      <c r="AE40" s="115">
        <f t="shared" si="13"/>
        <v>0</v>
      </c>
      <c r="AF40" s="115">
        <f t="shared" si="13"/>
        <v>0</v>
      </c>
      <c r="AG40" s="115">
        <f t="shared" si="13"/>
        <v>0</v>
      </c>
      <c r="AH40" s="115">
        <f t="shared" si="13"/>
        <v>0</v>
      </c>
      <c r="AI40" s="115">
        <f t="shared" si="13"/>
        <v>0</v>
      </c>
      <c r="AJ40" s="115">
        <f t="shared" si="13"/>
        <v>0</v>
      </c>
      <c r="AK40" s="115">
        <f t="shared" si="13"/>
        <v>0</v>
      </c>
      <c r="AL40" s="115">
        <f t="shared" si="13"/>
        <v>0</v>
      </c>
      <c r="AM40" s="115">
        <f t="shared" si="13"/>
        <v>0</v>
      </c>
      <c r="AN40" s="115">
        <f t="shared" si="13"/>
        <v>0</v>
      </c>
      <c r="AO40" s="115">
        <f t="shared" si="13"/>
        <v>0</v>
      </c>
      <c r="AP40" s="115">
        <f t="shared" si="13"/>
        <v>0</v>
      </c>
      <c r="AQ40" s="115">
        <f t="shared" si="13"/>
        <v>0</v>
      </c>
      <c r="AR40" s="115">
        <f t="shared" si="13"/>
        <v>0</v>
      </c>
      <c r="AS40" s="115">
        <f t="shared" si="13"/>
        <v>0</v>
      </c>
      <c r="AT40" s="115">
        <f t="shared" si="13"/>
        <v>0</v>
      </c>
      <c r="AU40" s="115">
        <f t="shared" si="13"/>
        <v>0</v>
      </c>
      <c r="AV40" s="115">
        <f t="shared" si="13"/>
        <v>0</v>
      </c>
      <c r="AW40" s="115">
        <f t="shared" si="13"/>
        <v>0</v>
      </c>
      <c r="AX40" s="115">
        <f t="shared" si="13"/>
        <v>0</v>
      </c>
      <c r="AY40" s="115">
        <f t="shared" si="13"/>
        <v>0</v>
      </c>
    </row>
    <row r="41" spans="1:52" x14ac:dyDescent="0.2">
      <c r="A41" s="115"/>
      <c r="B41" s="170" t="s">
        <v>351</v>
      </c>
      <c r="C41" s="115"/>
      <c r="D41" s="115">
        <v>2</v>
      </c>
      <c r="E41" s="115">
        <v>1</v>
      </c>
      <c r="F41" s="115">
        <v>1</v>
      </c>
      <c r="G41" s="115">
        <v>2</v>
      </c>
      <c r="H41" s="115">
        <v>2</v>
      </c>
      <c r="I41" s="115">
        <v>1</v>
      </c>
      <c r="J41" s="115">
        <v>2</v>
      </c>
      <c r="K41" s="115">
        <v>3</v>
      </c>
      <c r="L41" s="115">
        <v>1</v>
      </c>
      <c r="M41" s="115">
        <v>3</v>
      </c>
      <c r="N41" s="115">
        <v>1</v>
      </c>
      <c r="O41" s="115">
        <v>1</v>
      </c>
      <c r="P41" s="115">
        <v>3</v>
      </c>
      <c r="Q41" s="115">
        <v>1</v>
      </c>
      <c r="R41" s="115">
        <v>1</v>
      </c>
      <c r="S41" s="115">
        <v>1</v>
      </c>
      <c r="T41" s="115">
        <v>1</v>
      </c>
      <c r="U41" s="115">
        <v>1</v>
      </c>
      <c r="V41" s="115">
        <v>1</v>
      </c>
      <c r="W41" s="115">
        <v>1</v>
      </c>
      <c r="X41" s="115">
        <v>1</v>
      </c>
      <c r="Y41" s="115">
        <v>1</v>
      </c>
      <c r="Z41" s="115">
        <v>2</v>
      </c>
      <c r="AA41" s="115">
        <v>1</v>
      </c>
      <c r="AB41" s="115">
        <v>1</v>
      </c>
      <c r="AC41" s="115">
        <v>1</v>
      </c>
      <c r="AD41" s="115">
        <v>1</v>
      </c>
      <c r="AE41" s="115">
        <v>1</v>
      </c>
      <c r="AF41" s="115">
        <v>1</v>
      </c>
      <c r="AG41" s="115">
        <v>1</v>
      </c>
      <c r="AH41" s="115">
        <v>1</v>
      </c>
      <c r="AI41" s="115">
        <v>1</v>
      </c>
      <c r="AJ41" s="115">
        <v>1</v>
      </c>
      <c r="AK41" s="115">
        <v>2</v>
      </c>
      <c r="AL41" s="115">
        <v>1</v>
      </c>
      <c r="AM41" s="115">
        <v>2</v>
      </c>
      <c r="AN41" s="115">
        <v>1</v>
      </c>
      <c r="AO41" s="115">
        <v>1</v>
      </c>
      <c r="AP41" s="115">
        <v>3</v>
      </c>
      <c r="AQ41" s="115">
        <v>2</v>
      </c>
      <c r="AR41" s="115">
        <v>1</v>
      </c>
      <c r="AS41" s="115">
        <v>1</v>
      </c>
      <c r="AT41" s="115">
        <v>1</v>
      </c>
      <c r="AU41" s="115">
        <v>2</v>
      </c>
      <c r="AV41" s="115">
        <v>1</v>
      </c>
      <c r="AW41" s="115">
        <v>3</v>
      </c>
      <c r="AX41" s="115">
        <v>2</v>
      </c>
      <c r="AY41" s="115">
        <v>1</v>
      </c>
    </row>
    <row r="42" spans="1:52" x14ac:dyDescent="0.2">
      <c r="A42" s="115"/>
      <c r="B42" s="183" t="s">
        <v>352</v>
      </c>
      <c r="C42" s="115"/>
      <c r="D42" s="115">
        <v>0</v>
      </c>
      <c r="E42" s="115">
        <v>35280</v>
      </c>
      <c r="F42" s="115">
        <v>35280</v>
      </c>
      <c r="G42" s="115">
        <v>35280</v>
      </c>
      <c r="H42" s="115">
        <v>35280</v>
      </c>
      <c r="I42" s="115">
        <v>35280</v>
      </c>
      <c r="J42" s="115">
        <v>35280</v>
      </c>
      <c r="K42" s="115">
        <v>35280</v>
      </c>
      <c r="L42" s="115">
        <v>35280</v>
      </c>
      <c r="M42" s="115">
        <v>40320</v>
      </c>
      <c r="N42" s="115">
        <v>40320</v>
      </c>
      <c r="O42" s="115">
        <v>40320</v>
      </c>
      <c r="P42" s="115">
        <v>40320</v>
      </c>
      <c r="Q42" s="115">
        <v>35280</v>
      </c>
      <c r="R42" s="115">
        <v>35280</v>
      </c>
      <c r="S42" s="115">
        <v>35280</v>
      </c>
      <c r="T42" s="115">
        <v>35280</v>
      </c>
      <c r="U42" s="115">
        <v>40320</v>
      </c>
      <c r="V42" s="115">
        <v>40320</v>
      </c>
      <c r="W42" s="115">
        <v>40320</v>
      </c>
      <c r="X42" s="115">
        <v>40320</v>
      </c>
      <c r="Y42" s="115">
        <v>35280</v>
      </c>
      <c r="Z42" s="115">
        <v>35280</v>
      </c>
      <c r="AA42" s="115">
        <v>35280</v>
      </c>
      <c r="AB42" s="115">
        <v>35280</v>
      </c>
      <c r="AC42" s="115">
        <v>40320</v>
      </c>
      <c r="AD42" s="115">
        <v>40320</v>
      </c>
      <c r="AE42" s="115">
        <v>40320</v>
      </c>
      <c r="AF42" s="115">
        <v>40320</v>
      </c>
      <c r="AG42" s="115">
        <v>35280</v>
      </c>
      <c r="AH42" s="115">
        <v>35280</v>
      </c>
      <c r="AI42" s="115">
        <v>35280</v>
      </c>
      <c r="AJ42" s="115">
        <v>35280</v>
      </c>
      <c r="AK42" s="115">
        <v>35280</v>
      </c>
      <c r="AL42" s="115">
        <v>35280</v>
      </c>
      <c r="AM42" s="115">
        <v>35280</v>
      </c>
      <c r="AN42" s="115">
        <v>35280</v>
      </c>
      <c r="AO42" s="115">
        <v>35280</v>
      </c>
      <c r="AP42" s="115">
        <v>35280</v>
      </c>
      <c r="AQ42" s="115">
        <v>35280</v>
      </c>
      <c r="AR42" s="115">
        <v>35280</v>
      </c>
      <c r="AS42" s="115">
        <v>30240</v>
      </c>
      <c r="AT42" s="115">
        <v>30240</v>
      </c>
      <c r="AU42" s="115">
        <v>30240</v>
      </c>
      <c r="AV42" s="115">
        <v>30240</v>
      </c>
      <c r="AW42" s="115">
        <v>35280</v>
      </c>
      <c r="AX42" s="115">
        <v>35280</v>
      </c>
      <c r="AY42" s="115">
        <v>35280</v>
      </c>
      <c r="AZ42" s="105">
        <f>SUM($D$42:$AY$42)</f>
        <v>1698480</v>
      </c>
    </row>
    <row r="43" spans="1:52" x14ac:dyDescent="0.2">
      <c r="A43" s="115"/>
      <c r="B43" s="183" t="s">
        <v>353</v>
      </c>
      <c r="C43" s="115"/>
      <c r="D43" s="115">
        <v>0</v>
      </c>
      <c r="E43" s="115">
        <v>0</v>
      </c>
      <c r="F43" s="115">
        <v>0</v>
      </c>
      <c r="G43" s="115">
        <v>0</v>
      </c>
      <c r="H43" s="115">
        <v>0</v>
      </c>
      <c r="I43" s="115">
        <v>0</v>
      </c>
      <c r="J43" s="115">
        <v>0</v>
      </c>
      <c r="K43" s="115">
        <v>0</v>
      </c>
      <c r="L43" s="115">
        <v>0</v>
      </c>
      <c r="M43" s="115">
        <v>0</v>
      </c>
      <c r="N43" s="115">
        <v>0</v>
      </c>
      <c r="O43" s="115">
        <v>0</v>
      </c>
      <c r="P43" s="115">
        <v>0</v>
      </c>
      <c r="Q43" s="115">
        <v>0</v>
      </c>
      <c r="R43" s="115">
        <v>0</v>
      </c>
      <c r="S43" s="115">
        <v>0</v>
      </c>
      <c r="T43" s="115">
        <v>0</v>
      </c>
      <c r="U43" s="115">
        <v>0</v>
      </c>
      <c r="V43" s="115">
        <v>0</v>
      </c>
      <c r="W43" s="115">
        <v>0</v>
      </c>
      <c r="X43" s="115">
        <v>0</v>
      </c>
      <c r="Y43" s="115">
        <v>0</v>
      </c>
      <c r="Z43" s="115">
        <v>0</v>
      </c>
      <c r="AA43" s="115">
        <v>0</v>
      </c>
      <c r="AB43" s="115">
        <v>0</v>
      </c>
      <c r="AC43" s="115">
        <v>0</v>
      </c>
      <c r="AD43" s="115">
        <v>0</v>
      </c>
      <c r="AE43" s="115">
        <v>0</v>
      </c>
      <c r="AF43" s="115">
        <v>0</v>
      </c>
      <c r="AG43" s="115">
        <v>0</v>
      </c>
      <c r="AH43" s="115">
        <v>0</v>
      </c>
      <c r="AI43" s="115">
        <v>0</v>
      </c>
      <c r="AJ43" s="115">
        <v>0</v>
      </c>
      <c r="AK43" s="115">
        <v>0</v>
      </c>
      <c r="AL43" s="115">
        <v>0</v>
      </c>
      <c r="AM43" s="115">
        <v>0</v>
      </c>
      <c r="AN43" s="115">
        <v>0</v>
      </c>
      <c r="AO43" s="115">
        <v>0</v>
      </c>
      <c r="AP43" s="115">
        <v>0</v>
      </c>
      <c r="AQ43" s="115">
        <v>0</v>
      </c>
      <c r="AR43" s="115">
        <v>0</v>
      </c>
      <c r="AS43" s="115">
        <v>0</v>
      </c>
      <c r="AT43" s="115">
        <v>0</v>
      </c>
      <c r="AU43" s="115">
        <v>0</v>
      </c>
      <c r="AV43" s="115">
        <v>0</v>
      </c>
      <c r="AW43" s="115">
        <v>0</v>
      </c>
      <c r="AX43" s="115">
        <v>0</v>
      </c>
      <c r="AY43" s="115">
        <v>0</v>
      </c>
      <c r="AZ43" s="105">
        <f>SUM($D$43:$AY$43)</f>
        <v>0</v>
      </c>
    </row>
    <row r="44" spans="1:52" x14ac:dyDescent="0.2">
      <c r="A44" s="140" t="s">
        <v>49</v>
      </c>
      <c r="B44" s="140" t="s">
        <v>343</v>
      </c>
      <c r="C44" s="129"/>
      <c r="D44" s="129">
        <f>D$21*shipping_manufacturing!$D$28/100</f>
        <v>0</v>
      </c>
      <c r="E44" s="129">
        <f>E$21*shipping_manufacturing!$D$28/100</f>
        <v>0</v>
      </c>
      <c r="F44" s="129">
        <f>F$21*shipping_manufacturing!$D$28/100</f>
        <v>0</v>
      </c>
      <c r="G44" s="129">
        <f>G$21*shipping_manufacturing!$D$28/100</f>
        <v>0</v>
      </c>
      <c r="H44" s="129">
        <f>H$21*shipping_manufacturing!$D$28/100</f>
        <v>0</v>
      </c>
      <c r="I44" s="129">
        <f>I$21*shipping_manufacturing!$D$28/100</f>
        <v>0</v>
      </c>
      <c r="J44" s="129">
        <f>J$21*shipping_manufacturing!$D$28/100</f>
        <v>0</v>
      </c>
      <c r="K44" s="129">
        <f>K$21*shipping_manufacturing!$D$28/100</f>
        <v>0</v>
      </c>
      <c r="L44" s="129">
        <f>L$21*shipping_manufacturing!$D$28/100</f>
        <v>0</v>
      </c>
      <c r="M44" s="129">
        <f>M$21*shipping_manufacturing!$D$28/100</f>
        <v>0</v>
      </c>
      <c r="N44" s="129">
        <f>N$21*shipping_manufacturing!$D$28/100</f>
        <v>0</v>
      </c>
      <c r="O44" s="129">
        <f>O$21*shipping_manufacturing!$D$28/100</f>
        <v>0</v>
      </c>
      <c r="P44" s="129">
        <f>P$21*shipping_manufacturing!$D$28/100</f>
        <v>0</v>
      </c>
      <c r="Q44" s="129">
        <f>Q$21*shipping_manufacturing!$D$28/100</f>
        <v>0</v>
      </c>
      <c r="R44" s="129">
        <f>R$21*shipping_manufacturing!$D$28/100</f>
        <v>0</v>
      </c>
      <c r="S44" s="129">
        <f>S$21*shipping_manufacturing!$D$28/100</f>
        <v>0</v>
      </c>
      <c r="T44" s="129">
        <f>T$21*shipping_manufacturing!$D$28/100</f>
        <v>0</v>
      </c>
      <c r="U44" s="129">
        <f>U$21*shipping_manufacturing!$D$28/100</f>
        <v>0</v>
      </c>
      <c r="V44" s="129">
        <f>V$21*shipping_manufacturing!$D$28/100</f>
        <v>0</v>
      </c>
      <c r="W44" s="129">
        <f>W$21*shipping_manufacturing!$D$28/100</f>
        <v>0</v>
      </c>
      <c r="X44" s="129">
        <f>X$21*shipping_manufacturing!$D$28/100</f>
        <v>0</v>
      </c>
      <c r="Y44" s="129">
        <f>Y$21*shipping_manufacturing!$D$28/100</f>
        <v>0</v>
      </c>
      <c r="Z44" s="129">
        <f>Z$21*shipping_manufacturing!$D$28/100</f>
        <v>0</v>
      </c>
      <c r="AA44" s="129">
        <f>AA$21*shipping_manufacturing!$D$28/100</f>
        <v>0</v>
      </c>
      <c r="AB44" s="129">
        <f>AB$21*shipping_manufacturing!$D$28/100</f>
        <v>0</v>
      </c>
      <c r="AC44" s="129">
        <f>AC$21*shipping_manufacturing!$D$28/100</f>
        <v>0</v>
      </c>
      <c r="AD44" s="129">
        <f>AD$21*shipping_manufacturing!$D$28/100</f>
        <v>0</v>
      </c>
      <c r="AE44" s="129">
        <f>AE$21*shipping_manufacturing!$D$28/100</f>
        <v>0</v>
      </c>
      <c r="AF44" s="129">
        <f>AF$21*shipping_manufacturing!$D$28/100</f>
        <v>0</v>
      </c>
      <c r="AG44" s="129">
        <f>AG$21*shipping_manufacturing!$D$28/100</f>
        <v>0</v>
      </c>
      <c r="AH44" s="129">
        <f>AH$21*shipping_manufacturing!$D$28/100</f>
        <v>0</v>
      </c>
      <c r="AI44" s="129">
        <f>AI$21*shipping_manufacturing!$D$28/100</f>
        <v>0</v>
      </c>
      <c r="AJ44" s="129">
        <f>AJ$21*shipping_manufacturing!$D$28/100</f>
        <v>0</v>
      </c>
      <c r="AK44" s="129">
        <f>AK$21*shipping_manufacturing!$D$28/100</f>
        <v>0</v>
      </c>
      <c r="AL44" s="129">
        <f>AL$21*shipping_manufacturing!$D$28/100</f>
        <v>0</v>
      </c>
      <c r="AM44" s="129">
        <f>AM$21*shipping_manufacturing!$D$28/100</f>
        <v>0</v>
      </c>
      <c r="AN44" s="129">
        <f>AN$21*shipping_manufacturing!$D$28/100</f>
        <v>0</v>
      </c>
      <c r="AO44" s="129">
        <f>AO$21*shipping_manufacturing!$D$28/100</f>
        <v>0</v>
      </c>
      <c r="AP44" s="129">
        <f>AP$21*shipping_manufacturing!$D$28/100</f>
        <v>0</v>
      </c>
      <c r="AQ44" s="129">
        <f>AQ$21*shipping_manufacturing!$D$28/100</f>
        <v>0</v>
      </c>
      <c r="AR44" s="129">
        <f>AR$21*shipping_manufacturing!$D$28/100</f>
        <v>0</v>
      </c>
      <c r="AS44" s="129">
        <f>AS$21*shipping_manufacturing!$D$28/100</f>
        <v>0</v>
      </c>
      <c r="AT44" s="129">
        <f>AT$21*shipping_manufacturing!$D$28/100</f>
        <v>0</v>
      </c>
      <c r="AU44" s="129">
        <f>AU$21*shipping_manufacturing!$D$28/100</f>
        <v>0</v>
      </c>
      <c r="AV44" s="129">
        <f>AV$21*shipping_manufacturing!$D$28/100</f>
        <v>0</v>
      </c>
      <c r="AW44" s="129">
        <f>AW$21*shipping_manufacturing!$D$28/100</f>
        <v>0</v>
      </c>
      <c r="AX44" s="129">
        <f>AX$21*shipping_manufacturing!$D$28/100</f>
        <v>0</v>
      </c>
      <c r="AY44" s="129">
        <f>AY$21*shipping_manufacturing!$D$28/100</f>
        <v>0</v>
      </c>
    </row>
    <row r="45" spans="1:52" x14ac:dyDescent="0.2">
      <c r="A45" s="118" t="s">
        <v>342</v>
      </c>
      <c r="B45" s="170" t="s">
        <v>344</v>
      </c>
      <c r="C45" s="115"/>
      <c r="D45" s="115">
        <f>D$22*shipping_manufacturing!$E$28/100</f>
        <v>0</v>
      </c>
      <c r="E45" s="115">
        <f>E$22*shipping_manufacturing!$E$28/100</f>
        <v>0</v>
      </c>
      <c r="F45" s="115">
        <f>F$22*shipping_manufacturing!$E$28/100</f>
        <v>0</v>
      </c>
      <c r="G45" s="115">
        <f>G$22*shipping_manufacturing!$E$28/100</f>
        <v>0</v>
      </c>
      <c r="H45" s="115">
        <f>H$22*shipping_manufacturing!$E$28/100</f>
        <v>0</v>
      </c>
      <c r="I45" s="115">
        <f>I$22*shipping_manufacturing!$E$28/100</f>
        <v>0</v>
      </c>
      <c r="J45" s="115">
        <f>J$22*shipping_manufacturing!$E$28/100</f>
        <v>0</v>
      </c>
      <c r="K45" s="115">
        <f>K$22*shipping_manufacturing!$E$28/100</f>
        <v>0</v>
      </c>
      <c r="L45" s="115">
        <f>L$22*shipping_manufacturing!$E$28/100</f>
        <v>0</v>
      </c>
      <c r="M45" s="115">
        <f>M$22*shipping_manufacturing!$E$28/100</f>
        <v>0</v>
      </c>
      <c r="N45" s="115">
        <f>N$22*shipping_manufacturing!$E$28/100</f>
        <v>0</v>
      </c>
      <c r="O45" s="115">
        <f>O$22*shipping_manufacturing!$E$28/100</f>
        <v>0</v>
      </c>
      <c r="P45" s="115">
        <f>P$22*shipping_manufacturing!$E$28/100</f>
        <v>0</v>
      </c>
      <c r="Q45" s="115">
        <f>Q$22*shipping_manufacturing!$E$28/100</f>
        <v>0</v>
      </c>
      <c r="R45" s="115">
        <f>R$22*shipping_manufacturing!$E$28/100</f>
        <v>0</v>
      </c>
      <c r="S45" s="115">
        <f>S$22*shipping_manufacturing!$E$28/100</f>
        <v>0</v>
      </c>
      <c r="T45" s="115">
        <f>T$22*shipping_manufacturing!$E$28/100</f>
        <v>0</v>
      </c>
      <c r="U45" s="115">
        <f>U$22*shipping_manufacturing!$E$28/100</f>
        <v>0</v>
      </c>
      <c r="V45" s="115">
        <f>V$22*shipping_manufacturing!$E$28/100</f>
        <v>0</v>
      </c>
      <c r="W45" s="115">
        <f>W$22*shipping_manufacturing!$E$28/100</f>
        <v>0</v>
      </c>
      <c r="X45" s="115">
        <f>X$22*shipping_manufacturing!$E$28/100</f>
        <v>0</v>
      </c>
      <c r="Y45" s="115">
        <f>Y$22*shipping_manufacturing!$E$28/100</f>
        <v>0</v>
      </c>
      <c r="Z45" s="115">
        <f>Z$22*shipping_manufacturing!$E$28/100</f>
        <v>0</v>
      </c>
      <c r="AA45" s="115">
        <f>AA$22*shipping_manufacturing!$E$28/100</f>
        <v>0</v>
      </c>
      <c r="AB45" s="115">
        <f>AB$22*shipping_manufacturing!$E$28/100</f>
        <v>0</v>
      </c>
      <c r="AC45" s="115">
        <f>AC$22*shipping_manufacturing!$E$28/100</f>
        <v>0</v>
      </c>
      <c r="AD45" s="115">
        <f>AD$22*shipping_manufacturing!$E$28/100</f>
        <v>0</v>
      </c>
      <c r="AE45" s="115">
        <f>AE$22*shipping_manufacturing!$E$28/100</f>
        <v>0</v>
      </c>
      <c r="AF45" s="115">
        <f>AF$22*shipping_manufacturing!$E$28/100</f>
        <v>0</v>
      </c>
      <c r="AG45" s="115">
        <f>AG$22*shipping_manufacturing!$E$28/100</f>
        <v>0</v>
      </c>
      <c r="AH45" s="115">
        <f>AH$22*shipping_manufacturing!$E$28/100</f>
        <v>0</v>
      </c>
      <c r="AI45" s="115">
        <f>AI$22*shipping_manufacturing!$E$28/100</f>
        <v>0</v>
      </c>
      <c r="AJ45" s="115">
        <f>AJ$22*shipping_manufacturing!$E$28/100</f>
        <v>0</v>
      </c>
      <c r="AK45" s="115">
        <f>AK$22*shipping_manufacturing!$E$28/100</f>
        <v>0</v>
      </c>
      <c r="AL45" s="115">
        <f>AL$22*shipping_manufacturing!$E$28/100</f>
        <v>0</v>
      </c>
      <c r="AM45" s="115">
        <f>AM$22*shipping_manufacturing!$E$28/100</f>
        <v>0</v>
      </c>
      <c r="AN45" s="115">
        <f>AN$22*shipping_manufacturing!$E$28/100</f>
        <v>0</v>
      </c>
      <c r="AO45" s="115">
        <f>AO$22*shipping_manufacturing!$E$28/100</f>
        <v>0</v>
      </c>
      <c r="AP45" s="115">
        <f>AP$22*shipping_manufacturing!$E$28/100</f>
        <v>0</v>
      </c>
      <c r="AQ45" s="115">
        <f>AQ$22*shipping_manufacturing!$E$28/100</f>
        <v>0</v>
      </c>
      <c r="AR45" s="115">
        <f>AR$22*shipping_manufacturing!$E$28/100</f>
        <v>0</v>
      </c>
      <c r="AS45" s="115">
        <f>AS$22*shipping_manufacturing!$E$28/100</f>
        <v>0</v>
      </c>
      <c r="AT45" s="115">
        <f>AT$22*shipping_manufacturing!$E$28/100</f>
        <v>0</v>
      </c>
      <c r="AU45" s="115">
        <f>AU$22*shipping_manufacturing!$E$28/100</f>
        <v>0</v>
      </c>
      <c r="AV45" s="115">
        <f>AV$22*shipping_manufacturing!$E$28/100</f>
        <v>0</v>
      </c>
      <c r="AW45" s="115">
        <f>AW$22*shipping_manufacturing!$E$28/100</f>
        <v>0</v>
      </c>
      <c r="AX45" s="115">
        <f>AX$22*shipping_manufacturing!$E$28/100</f>
        <v>0</v>
      </c>
      <c r="AY45" s="115">
        <f>AY$22*shipping_manufacturing!$E$28/100</f>
        <v>0</v>
      </c>
    </row>
    <row r="46" spans="1:52" x14ac:dyDescent="0.2">
      <c r="A46" s="115">
        <v>1518</v>
      </c>
      <c r="B46" s="170" t="s">
        <v>345</v>
      </c>
      <c r="C46" s="115"/>
      <c r="D46" s="115">
        <f>SUM(D44:D45)</f>
        <v>0</v>
      </c>
      <c r="E46" s="115">
        <f t="shared" ref="E46:AY46" si="14">SUM(E44:E45)</f>
        <v>0</v>
      </c>
      <c r="F46" s="115">
        <f t="shared" si="14"/>
        <v>0</v>
      </c>
      <c r="G46" s="115">
        <f t="shared" si="14"/>
        <v>0</v>
      </c>
      <c r="H46" s="115">
        <f t="shared" si="14"/>
        <v>0</v>
      </c>
      <c r="I46" s="115">
        <f t="shared" si="14"/>
        <v>0</v>
      </c>
      <c r="J46" s="115">
        <f t="shared" si="14"/>
        <v>0</v>
      </c>
      <c r="K46" s="115">
        <f t="shared" si="14"/>
        <v>0</v>
      </c>
      <c r="L46" s="115">
        <f t="shared" si="14"/>
        <v>0</v>
      </c>
      <c r="M46" s="115">
        <f t="shared" si="14"/>
        <v>0</v>
      </c>
      <c r="N46" s="115">
        <f t="shared" si="14"/>
        <v>0</v>
      </c>
      <c r="O46" s="115">
        <f t="shared" si="14"/>
        <v>0</v>
      </c>
      <c r="P46" s="115">
        <f t="shared" si="14"/>
        <v>0</v>
      </c>
      <c r="Q46" s="115">
        <f t="shared" si="14"/>
        <v>0</v>
      </c>
      <c r="R46" s="115">
        <f t="shared" si="14"/>
        <v>0</v>
      </c>
      <c r="S46" s="115">
        <f t="shared" si="14"/>
        <v>0</v>
      </c>
      <c r="T46" s="115">
        <f t="shared" si="14"/>
        <v>0</v>
      </c>
      <c r="U46" s="115">
        <f t="shared" si="14"/>
        <v>0</v>
      </c>
      <c r="V46" s="115">
        <f t="shared" si="14"/>
        <v>0</v>
      </c>
      <c r="W46" s="115">
        <f t="shared" si="14"/>
        <v>0</v>
      </c>
      <c r="X46" s="115">
        <f t="shared" si="14"/>
        <v>0</v>
      </c>
      <c r="Y46" s="115">
        <f t="shared" si="14"/>
        <v>0</v>
      </c>
      <c r="Z46" s="115">
        <f t="shared" si="14"/>
        <v>0</v>
      </c>
      <c r="AA46" s="115">
        <f t="shared" si="14"/>
        <v>0</v>
      </c>
      <c r="AB46" s="115">
        <f t="shared" si="14"/>
        <v>0</v>
      </c>
      <c r="AC46" s="115">
        <f t="shared" si="14"/>
        <v>0</v>
      </c>
      <c r="AD46" s="115">
        <f t="shared" si="14"/>
        <v>0</v>
      </c>
      <c r="AE46" s="115">
        <f t="shared" si="14"/>
        <v>0</v>
      </c>
      <c r="AF46" s="115">
        <f t="shared" si="14"/>
        <v>0</v>
      </c>
      <c r="AG46" s="115">
        <f t="shared" si="14"/>
        <v>0</v>
      </c>
      <c r="AH46" s="115">
        <f t="shared" si="14"/>
        <v>0</v>
      </c>
      <c r="AI46" s="115">
        <f t="shared" si="14"/>
        <v>0</v>
      </c>
      <c r="AJ46" s="115">
        <f t="shared" si="14"/>
        <v>0</v>
      </c>
      <c r="AK46" s="115">
        <f t="shared" si="14"/>
        <v>0</v>
      </c>
      <c r="AL46" s="115">
        <f t="shared" si="14"/>
        <v>0</v>
      </c>
      <c r="AM46" s="115">
        <f t="shared" si="14"/>
        <v>0</v>
      </c>
      <c r="AN46" s="115">
        <f t="shared" si="14"/>
        <v>0</v>
      </c>
      <c r="AO46" s="115">
        <f t="shared" si="14"/>
        <v>0</v>
      </c>
      <c r="AP46" s="115">
        <f t="shared" si="14"/>
        <v>0</v>
      </c>
      <c r="AQ46" s="115">
        <f t="shared" si="14"/>
        <v>0</v>
      </c>
      <c r="AR46" s="115">
        <f t="shared" si="14"/>
        <v>0</v>
      </c>
      <c r="AS46" s="115">
        <f t="shared" si="14"/>
        <v>0</v>
      </c>
      <c r="AT46" s="115">
        <f t="shared" si="14"/>
        <v>0</v>
      </c>
      <c r="AU46" s="115">
        <f t="shared" si="14"/>
        <v>0</v>
      </c>
      <c r="AV46" s="115">
        <f t="shared" si="14"/>
        <v>0</v>
      </c>
      <c r="AW46" s="115">
        <f t="shared" si="14"/>
        <v>0</v>
      </c>
      <c r="AX46" s="115">
        <f t="shared" si="14"/>
        <v>0</v>
      </c>
      <c r="AY46" s="115">
        <f t="shared" si="14"/>
        <v>0</v>
      </c>
    </row>
    <row r="47" spans="1:52" x14ac:dyDescent="0.2">
      <c r="A47" s="115"/>
      <c r="B47" s="170" t="s">
        <v>346</v>
      </c>
      <c r="C47" s="115"/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</row>
    <row r="48" spans="1:52" x14ac:dyDescent="0.2">
      <c r="A48" s="115"/>
      <c r="B48" s="170" t="s">
        <v>347</v>
      </c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</row>
    <row r="49" spans="1:52" x14ac:dyDescent="0.2">
      <c r="A49" s="115"/>
      <c r="B49" s="170" t="s">
        <v>348</v>
      </c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</row>
    <row r="50" spans="1:52" x14ac:dyDescent="0.2">
      <c r="A50" s="115"/>
      <c r="B50" s="170" t="s">
        <v>349</v>
      </c>
      <c r="C50" s="115"/>
      <c r="D50" s="115">
        <f>D44-D47</f>
        <v>0</v>
      </c>
      <c r="E50" s="115">
        <f t="shared" ref="E50:AY50" si="15">E44-E47</f>
        <v>0</v>
      </c>
      <c r="F50" s="115">
        <f t="shared" si="15"/>
        <v>0</v>
      </c>
      <c r="G50" s="115">
        <f t="shared" si="15"/>
        <v>0</v>
      </c>
      <c r="H50" s="115">
        <f t="shared" si="15"/>
        <v>0</v>
      </c>
      <c r="I50" s="115">
        <f t="shared" si="15"/>
        <v>0</v>
      </c>
      <c r="J50" s="115">
        <f t="shared" si="15"/>
        <v>0</v>
      </c>
      <c r="K50" s="115">
        <f t="shared" si="15"/>
        <v>0</v>
      </c>
      <c r="L50" s="115">
        <f t="shared" si="15"/>
        <v>0</v>
      </c>
      <c r="M50" s="115">
        <f t="shared" si="15"/>
        <v>0</v>
      </c>
      <c r="N50" s="115">
        <f t="shared" si="15"/>
        <v>0</v>
      </c>
      <c r="O50" s="115">
        <f t="shared" si="15"/>
        <v>0</v>
      </c>
      <c r="P50" s="115">
        <f t="shared" si="15"/>
        <v>0</v>
      </c>
      <c r="Q50" s="115">
        <f t="shared" si="15"/>
        <v>0</v>
      </c>
      <c r="R50" s="115">
        <f t="shared" si="15"/>
        <v>0</v>
      </c>
      <c r="S50" s="115">
        <f t="shared" si="15"/>
        <v>0</v>
      </c>
      <c r="T50" s="115">
        <f t="shared" si="15"/>
        <v>0</v>
      </c>
      <c r="U50" s="115">
        <f t="shared" si="15"/>
        <v>0</v>
      </c>
      <c r="V50" s="115">
        <f t="shared" si="15"/>
        <v>0</v>
      </c>
      <c r="W50" s="115">
        <f t="shared" si="15"/>
        <v>0</v>
      </c>
      <c r="X50" s="115">
        <f t="shared" si="15"/>
        <v>0</v>
      </c>
      <c r="Y50" s="115">
        <f t="shared" si="15"/>
        <v>0</v>
      </c>
      <c r="Z50" s="115">
        <f t="shared" si="15"/>
        <v>0</v>
      </c>
      <c r="AA50" s="115">
        <f t="shared" si="15"/>
        <v>0</v>
      </c>
      <c r="AB50" s="115">
        <f t="shared" si="15"/>
        <v>0</v>
      </c>
      <c r="AC50" s="115">
        <f t="shared" si="15"/>
        <v>0</v>
      </c>
      <c r="AD50" s="115">
        <f t="shared" si="15"/>
        <v>0</v>
      </c>
      <c r="AE50" s="115">
        <f t="shared" si="15"/>
        <v>0</v>
      </c>
      <c r="AF50" s="115">
        <f t="shared" si="15"/>
        <v>0</v>
      </c>
      <c r="AG50" s="115">
        <f t="shared" si="15"/>
        <v>0</v>
      </c>
      <c r="AH50" s="115">
        <f t="shared" si="15"/>
        <v>0</v>
      </c>
      <c r="AI50" s="115">
        <f t="shared" si="15"/>
        <v>0</v>
      </c>
      <c r="AJ50" s="115">
        <f t="shared" si="15"/>
        <v>0</v>
      </c>
      <c r="AK50" s="115">
        <f t="shared" si="15"/>
        <v>0</v>
      </c>
      <c r="AL50" s="115">
        <f t="shared" si="15"/>
        <v>0</v>
      </c>
      <c r="AM50" s="115">
        <f t="shared" si="15"/>
        <v>0</v>
      </c>
      <c r="AN50" s="115">
        <f t="shared" si="15"/>
        <v>0</v>
      </c>
      <c r="AO50" s="115">
        <f t="shared" si="15"/>
        <v>0</v>
      </c>
      <c r="AP50" s="115">
        <f t="shared" si="15"/>
        <v>0</v>
      </c>
      <c r="AQ50" s="115">
        <f t="shared" si="15"/>
        <v>0</v>
      </c>
      <c r="AR50" s="115">
        <f t="shared" si="15"/>
        <v>0</v>
      </c>
      <c r="AS50" s="115">
        <f t="shared" si="15"/>
        <v>0</v>
      </c>
      <c r="AT50" s="115">
        <f t="shared" si="15"/>
        <v>0</v>
      </c>
      <c r="AU50" s="115">
        <f t="shared" si="15"/>
        <v>0</v>
      </c>
      <c r="AV50" s="115">
        <f t="shared" si="15"/>
        <v>0</v>
      </c>
      <c r="AW50" s="115">
        <f t="shared" si="15"/>
        <v>0</v>
      </c>
      <c r="AX50" s="115">
        <f t="shared" si="15"/>
        <v>0</v>
      </c>
      <c r="AY50" s="115">
        <f t="shared" si="15"/>
        <v>0</v>
      </c>
    </row>
    <row r="51" spans="1:52" x14ac:dyDescent="0.2">
      <c r="A51" s="115"/>
      <c r="B51" s="170" t="s">
        <v>350</v>
      </c>
      <c r="C51" s="115"/>
      <c r="D51" s="115">
        <f>D45-D48</f>
        <v>0</v>
      </c>
      <c r="E51" s="115">
        <f t="shared" ref="E51:AY51" si="16">E45-E48</f>
        <v>0</v>
      </c>
      <c r="F51" s="115">
        <f t="shared" si="16"/>
        <v>0</v>
      </c>
      <c r="G51" s="115">
        <f t="shared" si="16"/>
        <v>0</v>
      </c>
      <c r="H51" s="115">
        <f t="shared" si="16"/>
        <v>0</v>
      </c>
      <c r="I51" s="115">
        <f t="shared" si="16"/>
        <v>0</v>
      </c>
      <c r="J51" s="115">
        <f t="shared" si="16"/>
        <v>0</v>
      </c>
      <c r="K51" s="115">
        <f t="shared" si="16"/>
        <v>0</v>
      </c>
      <c r="L51" s="115">
        <f t="shared" si="16"/>
        <v>0</v>
      </c>
      <c r="M51" s="115">
        <f t="shared" si="16"/>
        <v>0</v>
      </c>
      <c r="N51" s="115">
        <f t="shared" si="16"/>
        <v>0</v>
      </c>
      <c r="O51" s="115">
        <f t="shared" si="16"/>
        <v>0</v>
      </c>
      <c r="P51" s="115">
        <f t="shared" si="16"/>
        <v>0</v>
      </c>
      <c r="Q51" s="115">
        <f t="shared" si="16"/>
        <v>0</v>
      </c>
      <c r="R51" s="115">
        <f t="shared" si="16"/>
        <v>0</v>
      </c>
      <c r="S51" s="115">
        <f t="shared" si="16"/>
        <v>0</v>
      </c>
      <c r="T51" s="115">
        <f t="shared" si="16"/>
        <v>0</v>
      </c>
      <c r="U51" s="115">
        <f t="shared" si="16"/>
        <v>0</v>
      </c>
      <c r="V51" s="115">
        <f t="shared" si="16"/>
        <v>0</v>
      </c>
      <c r="W51" s="115">
        <f t="shared" si="16"/>
        <v>0</v>
      </c>
      <c r="X51" s="115">
        <f t="shared" si="16"/>
        <v>0</v>
      </c>
      <c r="Y51" s="115">
        <f t="shared" si="16"/>
        <v>0</v>
      </c>
      <c r="Z51" s="115">
        <f t="shared" si="16"/>
        <v>0</v>
      </c>
      <c r="AA51" s="115">
        <f t="shared" si="16"/>
        <v>0</v>
      </c>
      <c r="AB51" s="115">
        <f t="shared" si="16"/>
        <v>0</v>
      </c>
      <c r="AC51" s="115">
        <f t="shared" si="16"/>
        <v>0</v>
      </c>
      <c r="AD51" s="115">
        <f t="shared" si="16"/>
        <v>0</v>
      </c>
      <c r="AE51" s="115">
        <f t="shared" si="16"/>
        <v>0</v>
      </c>
      <c r="AF51" s="115">
        <f t="shared" si="16"/>
        <v>0</v>
      </c>
      <c r="AG51" s="115">
        <f t="shared" si="16"/>
        <v>0</v>
      </c>
      <c r="AH51" s="115">
        <f t="shared" si="16"/>
        <v>0</v>
      </c>
      <c r="AI51" s="115">
        <f t="shared" si="16"/>
        <v>0</v>
      </c>
      <c r="AJ51" s="115">
        <f t="shared" si="16"/>
        <v>0</v>
      </c>
      <c r="AK51" s="115">
        <f t="shared" si="16"/>
        <v>0</v>
      </c>
      <c r="AL51" s="115">
        <f t="shared" si="16"/>
        <v>0</v>
      </c>
      <c r="AM51" s="115">
        <f t="shared" si="16"/>
        <v>0</v>
      </c>
      <c r="AN51" s="115">
        <f t="shared" si="16"/>
        <v>0</v>
      </c>
      <c r="AO51" s="115">
        <f t="shared" si="16"/>
        <v>0</v>
      </c>
      <c r="AP51" s="115">
        <f t="shared" si="16"/>
        <v>0</v>
      </c>
      <c r="AQ51" s="115">
        <f t="shared" si="16"/>
        <v>0</v>
      </c>
      <c r="AR51" s="115">
        <f t="shared" si="16"/>
        <v>0</v>
      </c>
      <c r="AS51" s="115">
        <f t="shared" si="16"/>
        <v>0</v>
      </c>
      <c r="AT51" s="115">
        <f t="shared" si="16"/>
        <v>0</v>
      </c>
      <c r="AU51" s="115">
        <f t="shared" si="16"/>
        <v>0</v>
      </c>
      <c r="AV51" s="115">
        <f t="shared" si="16"/>
        <v>0</v>
      </c>
      <c r="AW51" s="115">
        <f t="shared" si="16"/>
        <v>0</v>
      </c>
      <c r="AX51" s="115">
        <f t="shared" si="16"/>
        <v>0</v>
      </c>
      <c r="AY51" s="115">
        <f t="shared" si="16"/>
        <v>0</v>
      </c>
    </row>
    <row r="52" spans="1:52" x14ac:dyDescent="0.2">
      <c r="A52" s="115"/>
      <c r="B52" s="170" t="s">
        <v>351</v>
      </c>
      <c r="C52" s="115"/>
      <c r="D52" s="115">
        <v>1</v>
      </c>
      <c r="E52" s="115">
        <v>1</v>
      </c>
      <c r="F52" s="115">
        <v>1</v>
      </c>
      <c r="G52" s="115">
        <v>1</v>
      </c>
      <c r="H52" s="115">
        <v>2</v>
      </c>
      <c r="I52" s="115">
        <v>2</v>
      </c>
      <c r="J52" s="115">
        <v>3</v>
      </c>
      <c r="K52" s="115">
        <v>2</v>
      </c>
      <c r="L52" s="115">
        <v>2</v>
      </c>
      <c r="M52" s="115">
        <v>1</v>
      </c>
      <c r="N52" s="115">
        <v>1</v>
      </c>
      <c r="O52" s="115">
        <v>3</v>
      </c>
      <c r="P52" s="115">
        <v>1</v>
      </c>
      <c r="Q52" s="115">
        <v>1</v>
      </c>
      <c r="R52" s="115">
        <v>2</v>
      </c>
      <c r="S52" s="115">
        <v>2</v>
      </c>
      <c r="T52" s="115">
        <v>3</v>
      </c>
      <c r="U52" s="115">
        <v>3</v>
      </c>
      <c r="V52" s="115">
        <v>1</v>
      </c>
      <c r="W52" s="115">
        <v>1</v>
      </c>
      <c r="X52" s="115">
        <v>1</v>
      </c>
      <c r="Y52" s="115">
        <v>3</v>
      </c>
      <c r="Z52" s="115">
        <v>1</v>
      </c>
      <c r="AA52" s="115">
        <v>2</v>
      </c>
      <c r="AB52" s="115">
        <v>1</v>
      </c>
      <c r="AC52" s="115">
        <v>1</v>
      </c>
      <c r="AD52" s="115">
        <v>1</v>
      </c>
      <c r="AE52" s="115">
        <v>2</v>
      </c>
      <c r="AF52" s="115">
        <v>1</v>
      </c>
      <c r="AG52" s="115">
        <v>1</v>
      </c>
      <c r="AH52" s="115">
        <v>1</v>
      </c>
      <c r="AI52" s="115">
        <v>1</v>
      </c>
      <c r="AJ52" s="115">
        <v>2</v>
      </c>
      <c r="AK52" s="115">
        <v>1</v>
      </c>
      <c r="AL52" s="115">
        <v>2</v>
      </c>
      <c r="AM52" s="115">
        <v>1</v>
      </c>
      <c r="AN52" s="115">
        <v>2</v>
      </c>
      <c r="AO52" s="115">
        <v>1</v>
      </c>
      <c r="AP52" s="115">
        <v>2</v>
      </c>
      <c r="AQ52" s="115">
        <v>1</v>
      </c>
      <c r="AR52" s="115">
        <v>2</v>
      </c>
      <c r="AS52" s="115">
        <v>1</v>
      </c>
      <c r="AT52" s="115">
        <v>2</v>
      </c>
      <c r="AU52" s="115">
        <v>2</v>
      </c>
      <c r="AV52" s="115">
        <v>1</v>
      </c>
      <c r="AW52" s="115">
        <v>2</v>
      </c>
      <c r="AX52" s="115">
        <v>1</v>
      </c>
      <c r="AY52" s="115">
        <v>1</v>
      </c>
    </row>
    <row r="53" spans="1:52" x14ac:dyDescent="0.2">
      <c r="A53" s="115"/>
      <c r="B53" s="183" t="s">
        <v>352</v>
      </c>
      <c r="C53" s="115"/>
      <c r="D53" s="115">
        <v>0</v>
      </c>
      <c r="E53" s="115">
        <v>0</v>
      </c>
      <c r="F53" s="115">
        <v>0</v>
      </c>
      <c r="G53" s="115">
        <v>0</v>
      </c>
      <c r="H53" s="115">
        <v>0</v>
      </c>
      <c r="I53" s="115">
        <v>0</v>
      </c>
      <c r="J53" s="115">
        <v>0</v>
      </c>
      <c r="K53" s="115">
        <v>0</v>
      </c>
      <c r="L53" s="115">
        <v>0</v>
      </c>
      <c r="M53" s="115">
        <v>0</v>
      </c>
      <c r="N53" s="115">
        <v>0</v>
      </c>
      <c r="O53" s="115">
        <v>0</v>
      </c>
      <c r="P53" s="115">
        <v>0</v>
      </c>
      <c r="Q53" s="115">
        <v>0</v>
      </c>
      <c r="R53" s="115">
        <v>0</v>
      </c>
      <c r="S53" s="115">
        <v>0</v>
      </c>
      <c r="T53" s="115">
        <v>0</v>
      </c>
      <c r="U53" s="115">
        <v>0</v>
      </c>
      <c r="V53" s="115">
        <v>0</v>
      </c>
      <c r="W53" s="115">
        <v>0</v>
      </c>
      <c r="X53" s="115">
        <v>0</v>
      </c>
      <c r="Y53" s="115">
        <v>0</v>
      </c>
      <c r="Z53" s="115">
        <v>0</v>
      </c>
      <c r="AA53" s="115">
        <v>0</v>
      </c>
      <c r="AB53" s="115">
        <v>0</v>
      </c>
      <c r="AC53" s="115">
        <v>0</v>
      </c>
      <c r="AD53" s="115">
        <v>0</v>
      </c>
      <c r="AE53" s="115">
        <v>0</v>
      </c>
      <c r="AF53" s="115">
        <v>0</v>
      </c>
      <c r="AG53" s="115">
        <v>0</v>
      </c>
      <c r="AH53" s="115">
        <v>0</v>
      </c>
      <c r="AI53" s="115">
        <v>0</v>
      </c>
      <c r="AJ53" s="115">
        <v>0</v>
      </c>
      <c r="AK53" s="115">
        <v>0</v>
      </c>
      <c r="AL53" s="115">
        <v>0</v>
      </c>
      <c r="AM53" s="115">
        <v>0</v>
      </c>
      <c r="AN53" s="115">
        <v>0</v>
      </c>
      <c r="AO53" s="115">
        <v>0</v>
      </c>
      <c r="AP53" s="115">
        <v>0</v>
      </c>
      <c r="AQ53" s="115">
        <v>0</v>
      </c>
      <c r="AR53" s="115">
        <v>0</v>
      </c>
      <c r="AS53" s="115">
        <v>0</v>
      </c>
      <c r="AT53" s="115">
        <v>0</v>
      </c>
      <c r="AU53" s="115">
        <v>0</v>
      </c>
      <c r="AV53" s="115">
        <v>0</v>
      </c>
      <c r="AW53" s="115">
        <v>0</v>
      </c>
      <c r="AX53" s="115">
        <v>0</v>
      </c>
      <c r="AY53" s="115">
        <v>0</v>
      </c>
      <c r="AZ53" s="105">
        <f>SUM($D$53:$AY$53)</f>
        <v>0</v>
      </c>
    </row>
    <row r="54" spans="1:52" x14ac:dyDescent="0.2">
      <c r="A54" s="115"/>
      <c r="B54" s="183" t="s">
        <v>353</v>
      </c>
      <c r="C54" s="115"/>
      <c r="D54" s="115">
        <v>0</v>
      </c>
      <c r="E54" s="115">
        <v>0</v>
      </c>
      <c r="F54" s="115">
        <v>0</v>
      </c>
      <c r="G54" s="115">
        <v>0</v>
      </c>
      <c r="H54" s="115">
        <v>0</v>
      </c>
      <c r="I54" s="115">
        <v>0</v>
      </c>
      <c r="J54" s="115">
        <v>0</v>
      </c>
      <c r="K54" s="115">
        <v>0</v>
      </c>
      <c r="L54" s="115">
        <v>0</v>
      </c>
      <c r="M54" s="115">
        <v>0</v>
      </c>
      <c r="N54" s="115">
        <v>0</v>
      </c>
      <c r="O54" s="115">
        <v>0</v>
      </c>
      <c r="P54" s="115">
        <v>0</v>
      </c>
      <c r="Q54" s="115">
        <v>0</v>
      </c>
      <c r="R54" s="115">
        <v>0</v>
      </c>
      <c r="S54" s="115">
        <v>0</v>
      </c>
      <c r="T54" s="115">
        <v>0</v>
      </c>
      <c r="U54" s="115">
        <v>0</v>
      </c>
      <c r="V54" s="115">
        <v>0</v>
      </c>
      <c r="W54" s="115">
        <v>0</v>
      </c>
      <c r="X54" s="115">
        <v>0</v>
      </c>
      <c r="Y54" s="115">
        <v>0</v>
      </c>
      <c r="Z54" s="115">
        <v>0</v>
      </c>
      <c r="AA54" s="115">
        <v>0</v>
      </c>
      <c r="AB54" s="115">
        <v>0</v>
      </c>
      <c r="AC54" s="115">
        <v>0</v>
      </c>
      <c r="AD54" s="115">
        <v>0</v>
      </c>
      <c r="AE54" s="115">
        <v>0</v>
      </c>
      <c r="AF54" s="115">
        <v>0</v>
      </c>
      <c r="AG54" s="115">
        <v>0</v>
      </c>
      <c r="AH54" s="115">
        <v>0</v>
      </c>
      <c r="AI54" s="115">
        <v>0</v>
      </c>
      <c r="AJ54" s="115">
        <v>0</v>
      </c>
      <c r="AK54" s="115">
        <v>0</v>
      </c>
      <c r="AL54" s="115">
        <v>0</v>
      </c>
      <c r="AM54" s="115">
        <v>0</v>
      </c>
      <c r="AN54" s="115">
        <v>0</v>
      </c>
      <c r="AO54" s="115">
        <v>0</v>
      </c>
      <c r="AP54" s="115">
        <v>0</v>
      </c>
      <c r="AQ54" s="115">
        <v>0</v>
      </c>
      <c r="AR54" s="115">
        <v>0</v>
      </c>
      <c r="AS54" s="115">
        <v>0</v>
      </c>
      <c r="AT54" s="115">
        <v>0</v>
      </c>
      <c r="AU54" s="115">
        <v>0</v>
      </c>
      <c r="AV54" s="115">
        <v>0</v>
      </c>
      <c r="AW54" s="115">
        <v>0</v>
      </c>
      <c r="AX54" s="115">
        <v>0</v>
      </c>
      <c r="AY54" s="115">
        <v>0</v>
      </c>
      <c r="AZ54" s="105">
        <f>SUM($D$54:$AY$54)</f>
        <v>0</v>
      </c>
    </row>
    <row r="55" spans="1:52" x14ac:dyDescent="0.2">
      <c r="A55" s="140" t="s">
        <v>57</v>
      </c>
      <c r="B55" s="140" t="s">
        <v>343</v>
      </c>
      <c r="C55" s="129"/>
      <c r="D55" s="129">
        <f>D$21*shipping_manufacturing!$D$29/100</f>
        <v>0</v>
      </c>
      <c r="E55" s="129">
        <f>E$21*shipping_manufacturing!$D$29/100</f>
        <v>0</v>
      </c>
      <c r="F55" s="129">
        <f>F$21*shipping_manufacturing!$D$29/100</f>
        <v>0</v>
      </c>
      <c r="G55" s="129">
        <f>G$21*shipping_manufacturing!$D$29/100</f>
        <v>0</v>
      </c>
      <c r="H55" s="129">
        <f>H$21*shipping_manufacturing!$D$29/100</f>
        <v>0</v>
      </c>
      <c r="I55" s="129">
        <f>I$21*shipping_manufacturing!$D$29/100</f>
        <v>0</v>
      </c>
      <c r="J55" s="129">
        <f>J$21*shipping_manufacturing!$D$29/100</f>
        <v>0</v>
      </c>
      <c r="K55" s="129">
        <f>K$21*shipping_manufacturing!$D$29/100</f>
        <v>0</v>
      </c>
      <c r="L55" s="129">
        <f>L$21*shipping_manufacturing!$D$29/100</f>
        <v>0</v>
      </c>
      <c r="M55" s="129">
        <f>M$21*shipping_manufacturing!$D$29/100</f>
        <v>0</v>
      </c>
      <c r="N55" s="129">
        <f>N$21*shipping_manufacturing!$D$29/100</f>
        <v>0</v>
      </c>
      <c r="O55" s="129">
        <f>O$21*shipping_manufacturing!$D$29/100</f>
        <v>0</v>
      </c>
      <c r="P55" s="129">
        <f>P$21*shipping_manufacturing!$D$29/100</f>
        <v>0</v>
      </c>
      <c r="Q55" s="129">
        <f>Q$21*shipping_manufacturing!$D$29/100</f>
        <v>0</v>
      </c>
      <c r="R55" s="129">
        <f>R$21*shipping_manufacturing!$D$29/100</f>
        <v>0</v>
      </c>
      <c r="S55" s="129">
        <f>S$21*shipping_manufacturing!$D$29/100</f>
        <v>0</v>
      </c>
      <c r="T55" s="129">
        <f>T$21*shipping_manufacturing!$D$29/100</f>
        <v>0</v>
      </c>
      <c r="U55" s="129">
        <f>U$21*shipping_manufacturing!$D$29/100</f>
        <v>0</v>
      </c>
      <c r="V55" s="129">
        <f>V$21*shipping_manufacturing!$D$29/100</f>
        <v>0</v>
      </c>
      <c r="W55" s="129">
        <f>W$21*shipping_manufacturing!$D$29/100</f>
        <v>0</v>
      </c>
      <c r="X55" s="129">
        <f>X$21*shipping_manufacturing!$D$29/100</f>
        <v>0</v>
      </c>
      <c r="Y55" s="129">
        <f>Y$21*shipping_manufacturing!$D$29/100</f>
        <v>0</v>
      </c>
      <c r="Z55" s="129">
        <f>Z$21*shipping_manufacturing!$D$29/100</f>
        <v>0</v>
      </c>
      <c r="AA55" s="129">
        <f>AA$21*shipping_manufacturing!$D$29/100</f>
        <v>0</v>
      </c>
      <c r="AB55" s="129">
        <f>AB$21*shipping_manufacturing!$D$29/100</f>
        <v>0</v>
      </c>
      <c r="AC55" s="129">
        <f>AC$21*shipping_manufacturing!$D$29/100</f>
        <v>0</v>
      </c>
      <c r="AD55" s="129">
        <f>AD$21*shipping_manufacturing!$D$29/100</f>
        <v>0</v>
      </c>
      <c r="AE55" s="129">
        <f>AE$21*shipping_manufacturing!$D$29/100</f>
        <v>0</v>
      </c>
      <c r="AF55" s="129">
        <f>AF$21*shipping_manufacturing!$D$29/100</f>
        <v>0</v>
      </c>
      <c r="AG55" s="129">
        <f>AG$21*shipping_manufacturing!$D$29/100</f>
        <v>0</v>
      </c>
      <c r="AH55" s="129">
        <f>AH$21*shipping_manufacturing!$D$29/100</f>
        <v>0</v>
      </c>
      <c r="AI55" s="129">
        <f>AI$21*shipping_manufacturing!$D$29/100</f>
        <v>0</v>
      </c>
      <c r="AJ55" s="129">
        <f>AJ$21*shipping_manufacturing!$D$29/100</f>
        <v>0</v>
      </c>
      <c r="AK55" s="129">
        <f>AK$21*shipping_manufacturing!$D$29/100</f>
        <v>0</v>
      </c>
      <c r="AL55" s="129">
        <f>AL$21*shipping_manufacturing!$D$29/100</f>
        <v>0</v>
      </c>
      <c r="AM55" s="129">
        <f>AM$21*shipping_manufacturing!$D$29/100</f>
        <v>0</v>
      </c>
      <c r="AN55" s="129">
        <f>AN$21*shipping_manufacturing!$D$29/100</f>
        <v>0</v>
      </c>
      <c r="AO55" s="129">
        <f>AO$21*shipping_manufacturing!$D$29/100</f>
        <v>0</v>
      </c>
      <c r="AP55" s="129">
        <f>AP$21*shipping_manufacturing!$D$29/100</f>
        <v>0</v>
      </c>
      <c r="AQ55" s="129">
        <f>AQ$21*shipping_manufacturing!$D$29/100</f>
        <v>0</v>
      </c>
      <c r="AR55" s="129">
        <f>AR$21*shipping_manufacturing!$D$29/100</f>
        <v>0</v>
      </c>
      <c r="AS55" s="129">
        <f>AS$21*shipping_manufacturing!$D$29/100</f>
        <v>0</v>
      </c>
      <c r="AT55" s="129">
        <f>AT$21*shipping_manufacturing!$D$29/100</f>
        <v>0</v>
      </c>
      <c r="AU55" s="129">
        <f>AU$21*shipping_manufacturing!$D$29/100</f>
        <v>0</v>
      </c>
      <c r="AV55" s="129">
        <f>AV$21*shipping_manufacturing!$D$29/100</f>
        <v>0</v>
      </c>
      <c r="AW55" s="129">
        <f>AW$21*shipping_manufacturing!$D$29/100</f>
        <v>0</v>
      </c>
      <c r="AX55" s="129">
        <f>AX$21*shipping_manufacturing!$D$29/100</f>
        <v>0</v>
      </c>
      <c r="AY55" s="129">
        <f>AY$21*shipping_manufacturing!$D$29/100</f>
        <v>0</v>
      </c>
    </row>
    <row r="56" spans="1:52" x14ac:dyDescent="0.2">
      <c r="A56" s="118" t="s">
        <v>342</v>
      </c>
      <c r="B56" s="170" t="s">
        <v>344</v>
      </c>
      <c r="C56" s="115"/>
      <c r="D56" s="115">
        <f>D$22*shipping_manufacturing!$E$29/100</f>
        <v>0</v>
      </c>
      <c r="E56" s="115">
        <f>E$22*shipping_manufacturing!$E$29/100</f>
        <v>0</v>
      </c>
      <c r="F56" s="115">
        <f>F$22*shipping_manufacturing!$E$29/100</f>
        <v>0</v>
      </c>
      <c r="G56" s="115">
        <f>G$22*shipping_manufacturing!$E$29/100</f>
        <v>0</v>
      </c>
      <c r="H56" s="115">
        <f>H$22*shipping_manufacturing!$E$29/100</f>
        <v>0</v>
      </c>
      <c r="I56" s="115">
        <f>I$22*shipping_manufacturing!$E$29/100</f>
        <v>0</v>
      </c>
      <c r="J56" s="115">
        <f>J$22*shipping_manufacturing!$E$29/100</f>
        <v>0</v>
      </c>
      <c r="K56" s="115">
        <f>K$22*shipping_manufacturing!$E$29/100</f>
        <v>0</v>
      </c>
      <c r="L56" s="115">
        <f>L$22*shipping_manufacturing!$E$29/100</f>
        <v>0</v>
      </c>
      <c r="M56" s="115">
        <f>M$22*shipping_manufacturing!$E$29/100</f>
        <v>0</v>
      </c>
      <c r="N56" s="115">
        <f>N$22*shipping_manufacturing!$E$29/100</f>
        <v>0</v>
      </c>
      <c r="O56" s="115">
        <f>O$22*shipping_manufacturing!$E$29/100</f>
        <v>0</v>
      </c>
      <c r="P56" s="115">
        <f>P$22*shipping_manufacturing!$E$29/100</f>
        <v>0</v>
      </c>
      <c r="Q56" s="115">
        <f>Q$22*shipping_manufacturing!$E$29/100</f>
        <v>0</v>
      </c>
      <c r="R56" s="115">
        <f>R$22*shipping_manufacturing!$E$29/100</f>
        <v>0</v>
      </c>
      <c r="S56" s="115">
        <f>S$22*shipping_manufacturing!$E$29/100</f>
        <v>0</v>
      </c>
      <c r="T56" s="115">
        <f>T$22*shipping_manufacturing!$E$29/100</f>
        <v>0</v>
      </c>
      <c r="U56" s="115">
        <f>U$22*shipping_manufacturing!$E$29/100</f>
        <v>0</v>
      </c>
      <c r="V56" s="115">
        <f>V$22*shipping_manufacturing!$E$29/100</f>
        <v>0</v>
      </c>
      <c r="W56" s="115">
        <f>W$22*shipping_manufacturing!$E$29/100</f>
        <v>0</v>
      </c>
      <c r="X56" s="115">
        <f>X$22*shipping_manufacturing!$E$29/100</f>
        <v>0</v>
      </c>
      <c r="Y56" s="115">
        <f>Y$22*shipping_manufacturing!$E$29/100</f>
        <v>0</v>
      </c>
      <c r="Z56" s="115">
        <f>Z$22*shipping_manufacturing!$E$29/100</f>
        <v>0</v>
      </c>
      <c r="AA56" s="115">
        <f>AA$22*shipping_manufacturing!$E$29/100</f>
        <v>0</v>
      </c>
      <c r="AB56" s="115">
        <f>AB$22*shipping_manufacturing!$E$29/100</f>
        <v>0</v>
      </c>
      <c r="AC56" s="115">
        <f>AC$22*shipping_manufacturing!$E$29/100</f>
        <v>0</v>
      </c>
      <c r="AD56" s="115">
        <f>AD$22*shipping_manufacturing!$E$29/100</f>
        <v>0</v>
      </c>
      <c r="AE56" s="115">
        <f>AE$22*shipping_manufacturing!$E$29/100</f>
        <v>0</v>
      </c>
      <c r="AF56" s="115">
        <f>AF$22*shipping_manufacturing!$E$29/100</f>
        <v>0</v>
      </c>
      <c r="AG56" s="115">
        <f>AG$22*shipping_manufacturing!$E$29/100</f>
        <v>0</v>
      </c>
      <c r="AH56" s="115">
        <f>AH$22*shipping_manufacturing!$E$29/100</f>
        <v>0</v>
      </c>
      <c r="AI56" s="115">
        <f>AI$22*shipping_manufacturing!$E$29/100</f>
        <v>0</v>
      </c>
      <c r="AJ56" s="115">
        <f>AJ$22*shipping_manufacturing!$E$29/100</f>
        <v>0</v>
      </c>
      <c r="AK56" s="115">
        <f>AK$22*shipping_manufacturing!$E$29/100</f>
        <v>0</v>
      </c>
      <c r="AL56" s="115">
        <f>AL$22*shipping_manufacturing!$E$29/100</f>
        <v>0</v>
      </c>
      <c r="AM56" s="115">
        <f>AM$22*shipping_manufacturing!$E$29/100</f>
        <v>0</v>
      </c>
      <c r="AN56" s="115">
        <f>AN$22*shipping_manufacturing!$E$29/100</f>
        <v>0</v>
      </c>
      <c r="AO56" s="115">
        <f>AO$22*shipping_manufacturing!$E$29/100</f>
        <v>0</v>
      </c>
      <c r="AP56" s="115">
        <f>AP$22*shipping_manufacturing!$E$29/100</f>
        <v>0</v>
      </c>
      <c r="AQ56" s="115">
        <f>AQ$22*shipping_manufacturing!$E$29/100</f>
        <v>0</v>
      </c>
      <c r="AR56" s="115">
        <f>AR$22*shipping_manufacturing!$E$29/100</f>
        <v>0</v>
      </c>
      <c r="AS56" s="115">
        <f>AS$22*shipping_manufacturing!$E$29/100</f>
        <v>0</v>
      </c>
      <c r="AT56" s="115">
        <f>AT$22*shipping_manufacturing!$E$29/100</f>
        <v>0</v>
      </c>
      <c r="AU56" s="115">
        <f>AU$22*shipping_manufacturing!$E$29/100</f>
        <v>0</v>
      </c>
      <c r="AV56" s="115">
        <f>AV$22*shipping_manufacturing!$E$29/100</f>
        <v>0</v>
      </c>
      <c r="AW56" s="115">
        <f>AW$22*shipping_manufacturing!$E$29/100</f>
        <v>0</v>
      </c>
      <c r="AX56" s="115">
        <f>AX$22*shipping_manufacturing!$E$29/100</f>
        <v>0</v>
      </c>
      <c r="AY56" s="115">
        <f>AY$22*shipping_manufacturing!$E$29/100</f>
        <v>0</v>
      </c>
    </row>
    <row r="57" spans="1:52" x14ac:dyDescent="0.2">
      <c r="A57" s="115">
        <v>1314</v>
      </c>
      <c r="B57" s="170" t="s">
        <v>345</v>
      </c>
      <c r="C57" s="115"/>
      <c r="D57" s="115">
        <f>SUM(D55:D56)</f>
        <v>0</v>
      </c>
      <c r="E57" s="115">
        <f t="shared" ref="E57:AY57" si="17">SUM(E55:E56)</f>
        <v>0</v>
      </c>
      <c r="F57" s="115">
        <f t="shared" si="17"/>
        <v>0</v>
      </c>
      <c r="G57" s="115">
        <f t="shared" si="17"/>
        <v>0</v>
      </c>
      <c r="H57" s="115">
        <f t="shared" si="17"/>
        <v>0</v>
      </c>
      <c r="I57" s="115">
        <f t="shared" si="17"/>
        <v>0</v>
      </c>
      <c r="J57" s="115">
        <f t="shared" si="17"/>
        <v>0</v>
      </c>
      <c r="K57" s="115">
        <f t="shared" si="17"/>
        <v>0</v>
      </c>
      <c r="L57" s="115">
        <f t="shared" si="17"/>
        <v>0</v>
      </c>
      <c r="M57" s="115">
        <f t="shared" si="17"/>
        <v>0</v>
      </c>
      <c r="N57" s="115">
        <f t="shared" si="17"/>
        <v>0</v>
      </c>
      <c r="O57" s="115">
        <f t="shared" si="17"/>
        <v>0</v>
      </c>
      <c r="P57" s="115">
        <f t="shared" si="17"/>
        <v>0</v>
      </c>
      <c r="Q57" s="115">
        <f t="shared" si="17"/>
        <v>0</v>
      </c>
      <c r="R57" s="115">
        <f t="shared" si="17"/>
        <v>0</v>
      </c>
      <c r="S57" s="115">
        <f t="shared" si="17"/>
        <v>0</v>
      </c>
      <c r="T57" s="115">
        <f t="shared" si="17"/>
        <v>0</v>
      </c>
      <c r="U57" s="115">
        <f t="shared" si="17"/>
        <v>0</v>
      </c>
      <c r="V57" s="115">
        <f t="shared" si="17"/>
        <v>0</v>
      </c>
      <c r="W57" s="115">
        <f t="shared" si="17"/>
        <v>0</v>
      </c>
      <c r="X57" s="115">
        <f t="shared" si="17"/>
        <v>0</v>
      </c>
      <c r="Y57" s="115">
        <f t="shared" si="17"/>
        <v>0</v>
      </c>
      <c r="Z57" s="115">
        <f t="shared" si="17"/>
        <v>0</v>
      </c>
      <c r="AA57" s="115">
        <f t="shared" si="17"/>
        <v>0</v>
      </c>
      <c r="AB57" s="115">
        <f t="shared" si="17"/>
        <v>0</v>
      </c>
      <c r="AC57" s="115">
        <f t="shared" si="17"/>
        <v>0</v>
      </c>
      <c r="AD57" s="115">
        <f t="shared" si="17"/>
        <v>0</v>
      </c>
      <c r="AE57" s="115">
        <f t="shared" si="17"/>
        <v>0</v>
      </c>
      <c r="AF57" s="115">
        <f t="shared" si="17"/>
        <v>0</v>
      </c>
      <c r="AG57" s="115">
        <f t="shared" si="17"/>
        <v>0</v>
      </c>
      <c r="AH57" s="115">
        <f t="shared" si="17"/>
        <v>0</v>
      </c>
      <c r="AI57" s="115">
        <f t="shared" si="17"/>
        <v>0</v>
      </c>
      <c r="AJ57" s="115">
        <f t="shared" si="17"/>
        <v>0</v>
      </c>
      <c r="AK57" s="115">
        <f t="shared" si="17"/>
        <v>0</v>
      </c>
      <c r="AL57" s="115">
        <f t="shared" si="17"/>
        <v>0</v>
      </c>
      <c r="AM57" s="115">
        <f t="shared" si="17"/>
        <v>0</v>
      </c>
      <c r="AN57" s="115">
        <f t="shared" si="17"/>
        <v>0</v>
      </c>
      <c r="AO57" s="115">
        <f t="shared" si="17"/>
        <v>0</v>
      </c>
      <c r="AP57" s="115">
        <f t="shared" si="17"/>
        <v>0</v>
      </c>
      <c r="AQ57" s="115">
        <f t="shared" si="17"/>
        <v>0</v>
      </c>
      <c r="AR57" s="115">
        <f t="shared" si="17"/>
        <v>0</v>
      </c>
      <c r="AS57" s="115">
        <f t="shared" si="17"/>
        <v>0</v>
      </c>
      <c r="AT57" s="115">
        <f t="shared" si="17"/>
        <v>0</v>
      </c>
      <c r="AU57" s="115">
        <f t="shared" si="17"/>
        <v>0</v>
      </c>
      <c r="AV57" s="115">
        <f t="shared" si="17"/>
        <v>0</v>
      </c>
      <c r="AW57" s="115">
        <f t="shared" si="17"/>
        <v>0</v>
      </c>
      <c r="AX57" s="115">
        <f t="shared" si="17"/>
        <v>0</v>
      </c>
      <c r="AY57" s="115">
        <f t="shared" si="17"/>
        <v>0</v>
      </c>
    </row>
    <row r="58" spans="1:52" x14ac:dyDescent="0.2">
      <c r="A58" s="115"/>
      <c r="B58" s="170" t="s">
        <v>346</v>
      </c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</row>
    <row r="59" spans="1:52" x14ac:dyDescent="0.2">
      <c r="A59" s="115"/>
      <c r="B59" s="170" t="s">
        <v>347</v>
      </c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</row>
    <row r="60" spans="1:52" x14ac:dyDescent="0.2">
      <c r="A60" s="115"/>
      <c r="B60" s="170" t="s">
        <v>348</v>
      </c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</row>
    <row r="61" spans="1:52" x14ac:dyDescent="0.2">
      <c r="A61" s="115"/>
      <c r="B61" s="170" t="s">
        <v>349</v>
      </c>
      <c r="C61" s="115"/>
      <c r="D61" s="115">
        <f>D55-D58</f>
        <v>0</v>
      </c>
      <c r="E61" s="115">
        <f t="shared" ref="E61:AY61" si="18">E55-E58</f>
        <v>0</v>
      </c>
      <c r="F61" s="115">
        <f t="shared" si="18"/>
        <v>0</v>
      </c>
      <c r="G61" s="115">
        <f t="shared" si="18"/>
        <v>0</v>
      </c>
      <c r="H61" s="115">
        <f t="shared" si="18"/>
        <v>0</v>
      </c>
      <c r="I61" s="115">
        <f t="shared" si="18"/>
        <v>0</v>
      </c>
      <c r="J61" s="115">
        <f t="shared" si="18"/>
        <v>0</v>
      </c>
      <c r="K61" s="115">
        <f t="shared" si="18"/>
        <v>0</v>
      </c>
      <c r="L61" s="115">
        <f t="shared" si="18"/>
        <v>0</v>
      </c>
      <c r="M61" s="115">
        <f t="shared" si="18"/>
        <v>0</v>
      </c>
      <c r="N61" s="115">
        <f t="shared" si="18"/>
        <v>0</v>
      </c>
      <c r="O61" s="115">
        <f t="shared" si="18"/>
        <v>0</v>
      </c>
      <c r="P61" s="115">
        <f t="shared" si="18"/>
        <v>0</v>
      </c>
      <c r="Q61" s="115">
        <f t="shared" si="18"/>
        <v>0</v>
      </c>
      <c r="R61" s="115">
        <f t="shared" si="18"/>
        <v>0</v>
      </c>
      <c r="S61" s="115">
        <f t="shared" si="18"/>
        <v>0</v>
      </c>
      <c r="T61" s="115">
        <f t="shared" si="18"/>
        <v>0</v>
      </c>
      <c r="U61" s="115">
        <f t="shared" si="18"/>
        <v>0</v>
      </c>
      <c r="V61" s="115">
        <f t="shared" si="18"/>
        <v>0</v>
      </c>
      <c r="W61" s="115">
        <f t="shared" si="18"/>
        <v>0</v>
      </c>
      <c r="X61" s="115">
        <f t="shared" si="18"/>
        <v>0</v>
      </c>
      <c r="Y61" s="115">
        <f t="shared" si="18"/>
        <v>0</v>
      </c>
      <c r="Z61" s="115">
        <f t="shared" si="18"/>
        <v>0</v>
      </c>
      <c r="AA61" s="115">
        <f t="shared" si="18"/>
        <v>0</v>
      </c>
      <c r="AB61" s="115">
        <f t="shared" si="18"/>
        <v>0</v>
      </c>
      <c r="AC61" s="115">
        <f t="shared" si="18"/>
        <v>0</v>
      </c>
      <c r="AD61" s="115">
        <f t="shared" si="18"/>
        <v>0</v>
      </c>
      <c r="AE61" s="115">
        <f t="shared" si="18"/>
        <v>0</v>
      </c>
      <c r="AF61" s="115">
        <f t="shared" si="18"/>
        <v>0</v>
      </c>
      <c r="AG61" s="115">
        <f t="shared" si="18"/>
        <v>0</v>
      </c>
      <c r="AH61" s="115">
        <f t="shared" si="18"/>
        <v>0</v>
      </c>
      <c r="AI61" s="115">
        <f t="shared" si="18"/>
        <v>0</v>
      </c>
      <c r="AJ61" s="115">
        <f t="shared" si="18"/>
        <v>0</v>
      </c>
      <c r="AK61" s="115">
        <f t="shared" si="18"/>
        <v>0</v>
      </c>
      <c r="AL61" s="115">
        <f t="shared" si="18"/>
        <v>0</v>
      </c>
      <c r="AM61" s="115">
        <f t="shared" si="18"/>
        <v>0</v>
      </c>
      <c r="AN61" s="115">
        <f t="shared" si="18"/>
        <v>0</v>
      </c>
      <c r="AO61" s="115">
        <f t="shared" si="18"/>
        <v>0</v>
      </c>
      <c r="AP61" s="115">
        <f t="shared" si="18"/>
        <v>0</v>
      </c>
      <c r="AQ61" s="115">
        <f t="shared" si="18"/>
        <v>0</v>
      </c>
      <c r="AR61" s="115">
        <f t="shared" si="18"/>
        <v>0</v>
      </c>
      <c r="AS61" s="115">
        <f t="shared" si="18"/>
        <v>0</v>
      </c>
      <c r="AT61" s="115">
        <f t="shared" si="18"/>
        <v>0</v>
      </c>
      <c r="AU61" s="115">
        <f t="shared" si="18"/>
        <v>0</v>
      </c>
      <c r="AV61" s="115">
        <f t="shared" si="18"/>
        <v>0</v>
      </c>
      <c r="AW61" s="115">
        <f t="shared" si="18"/>
        <v>0</v>
      </c>
      <c r="AX61" s="115">
        <f t="shared" si="18"/>
        <v>0</v>
      </c>
      <c r="AY61" s="115">
        <f t="shared" si="18"/>
        <v>0</v>
      </c>
    </row>
    <row r="62" spans="1:52" x14ac:dyDescent="0.2">
      <c r="A62" s="115"/>
      <c r="B62" s="170" t="s">
        <v>350</v>
      </c>
      <c r="C62" s="115"/>
      <c r="D62" s="115">
        <f>D56-D59</f>
        <v>0</v>
      </c>
      <c r="E62" s="115">
        <f t="shared" ref="E62:AY62" si="19">E56-E59</f>
        <v>0</v>
      </c>
      <c r="F62" s="115">
        <f t="shared" si="19"/>
        <v>0</v>
      </c>
      <c r="G62" s="115">
        <f t="shared" si="19"/>
        <v>0</v>
      </c>
      <c r="H62" s="115">
        <f t="shared" si="19"/>
        <v>0</v>
      </c>
      <c r="I62" s="115">
        <f t="shared" si="19"/>
        <v>0</v>
      </c>
      <c r="J62" s="115">
        <f t="shared" si="19"/>
        <v>0</v>
      </c>
      <c r="K62" s="115">
        <f t="shared" si="19"/>
        <v>0</v>
      </c>
      <c r="L62" s="115">
        <f t="shared" si="19"/>
        <v>0</v>
      </c>
      <c r="M62" s="115">
        <f t="shared" si="19"/>
        <v>0</v>
      </c>
      <c r="N62" s="115">
        <f t="shared" si="19"/>
        <v>0</v>
      </c>
      <c r="O62" s="115">
        <f t="shared" si="19"/>
        <v>0</v>
      </c>
      <c r="P62" s="115">
        <f t="shared" si="19"/>
        <v>0</v>
      </c>
      <c r="Q62" s="115">
        <f t="shared" si="19"/>
        <v>0</v>
      </c>
      <c r="R62" s="115">
        <f t="shared" si="19"/>
        <v>0</v>
      </c>
      <c r="S62" s="115">
        <f t="shared" si="19"/>
        <v>0</v>
      </c>
      <c r="T62" s="115">
        <f t="shared" si="19"/>
        <v>0</v>
      </c>
      <c r="U62" s="115">
        <f t="shared" si="19"/>
        <v>0</v>
      </c>
      <c r="V62" s="115">
        <f t="shared" si="19"/>
        <v>0</v>
      </c>
      <c r="W62" s="115">
        <f t="shared" si="19"/>
        <v>0</v>
      </c>
      <c r="X62" s="115">
        <f t="shared" si="19"/>
        <v>0</v>
      </c>
      <c r="Y62" s="115">
        <f t="shared" si="19"/>
        <v>0</v>
      </c>
      <c r="Z62" s="115">
        <f t="shared" si="19"/>
        <v>0</v>
      </c>
      <c r="AA62" s="115">
        <f t="shared" si="19"/>
        <v>0</v>
      </c>
      <c r="AB62" s="115">
        <f t="shared" si="19"/>
        <v>0</v>
      </c>
      <c r="AC62" s="115">
        <f t="shared" si="19"/>
        <v>0</v>
      </c>
      <c r="AD62" s="115">
        <f t="shared" si="19"/>
        <v>0</v>
      </c>
      <c r="AE62" s="115">
        <f t="shared" si="19"/>
        <v>0</v>
      </c>
      <c r="AF62" s="115">
        <f t="shared" si="19"/>
        <v>0</v>
      </c>
      <c r="AG62" s="115">
        <f t="shared" si="19"/>
        <v>0</v>
      </c>
      <c r="AH62" s="115">
        <f t="shared" si="19"/>
        <v>0</v>
      </c>
      <c r="AI62" s="115">
        <f t="shared" si="19"/>
        <v>0</v>
      </c>
      <c r="AJ62" s="115">
        <f t="shared" si="19"/>
        <v>0</v>
      </c>
      <c r="AK62" s="115">
        <f t="shared" si="19"/>
        <v>0</v>
      </c>
      <c r="AL62" s="115">
        <f t="shared" si="19"/>
        <v>0</v>
      </c>
      <c r="AM62" s="115">
        <f t="shared" si="19"/>
        <v>0</v>
      </c>
      <c r="AN62" s="115">
        <f t="shared" si="19"/>
        <v>0</v>
      </c>
      <c r="AO62" s="115">
        <f t="shared" si="19"/>
        <v>0</v>
      </c>
      <c r="AP62" s="115">
        <f t="shared" si="19"/>
        <v>0</v>
      </c>
      <c r="AQ62" s="115">
        <f t="shared" si="19"/>
        <v>0</v>
      </c>
      <c r="AR62" s="115">
        <f t="shared" si="19"/>
        <v>0</v>
      </c>
      <c r="AS62" s="115">
        <f t="shared" si="19"/>
        <v>0</v>
      </c>
      <c r="AT62" s="115">
        <f t="shared" si="19"/>
        <v>0</v>
      </c>
      <c r="AU62" s="115">
        <f t="shared" si="19"/>
        <v>0</v>
      </c>
      <c r="AV62" s="115">
        <f t="shared" si="19"/>
        <v>0</v>
      </c>
      <c r="AW62" s="115">
        <f t="shared" si="19"/>
        <v>0</v>
      </c>
      <c r="AX62" s="115">
        <f t="shared" si="19"/>
        <v>0</v>
      </c>
      <c r="AY62" s="115">
        <f t="shared" si="19"/>
        <v>0</v>
      </c>
    </row>
    <row r="63" spans="1:52" x14ac:dyDescent="0.2">
      <c r="A63" s="115"/>
      <c r="B63" s="170" t="s">
        <v>351</v>
      </c>
      <c r="C63" s="115"/>
      <c r="D63" s="115">
        <v>1</v>
      </c>
      <c r="E63" s="115">
        <v>2</v>
      </c>
      <c r="F63" s="115">
        <v>1</v>
      </c>
      <c r="G63" s="115">
        <v>1</v>
      </c>
      <c r="H63" s="115">
        <v>1</v>
      </c>
      <c r="I63" s="115">
        <v>1</v>
      </c>
      <c r="J63" s="115">
        <v>2</v>
      </c>
      <c r="K63" s="115">
        <v>1</v>
      </c>
      <c r="L63" s="115">
        <v>1</v>
      </c>
      <c r="M63" s="115">
        <v>1</v>
      </c>
      <c r="N63" s="115">
        <v>1</v>
      </c>
      <c r="O63" s="115">
        <v>1</v>
      </c>
      <c r="P63" s="115">
        <v>2</v>
      </c>
      <c r="Q63" s="115">
        <v>1</v>
      </c>
      <c r="R63" s="115">
        <v>3</v>
      </c>
      <c r="S63" s="115">
        <v>1</v>
      </c>
      <c r="T63" s="115">
        <v>2</v>
      </c>
      <c r="U63" s="115">
        <v>2</v>
      </c>
      <c r="V63" s="115">
        <v>1</v>
      </c>
      <c r="W63" s="115">
        <v>3</v>
      </c>
      <c r="X63" s="115">
        <v>1</v>
      </c>
      <c r="Y63" s="115">
        <v>2</v>
      </c>
      <c r="Z63" s="115">
        <v>3</v>
      </c>
      <c r="AA63" s="115">
        <v>1</v>
      </c>
      <c r="AB63" s="115">
        <v>1</v>
      </c>
      <c r="AC63" s="115">
        <v>2</v>
      </c>
      <c r="AD63" s="115">
        <v>2</v>
      </c>
      <c r="AE63" s="115">
        <v>2</v>
      </c>
      <c r="AF63" s="115">
        <v>2</v>
      </c>
      <c r="AG63" s="115">
        <v>1</v>
      </c>
      <c r="AH63" s="115">
        <v>3</v>
      </c>
      <c r="AI63" s="115">
        <v>1</v>
      </c>
      <c r="AJ63" s="115">
        <v>1</v>
      </c>
      <c r="AK63" s="115">
        <v>3</v>
      </c>
      <c r="AL63" s="115">
        <v>2</v>
      </c>
      <c r="AM63" s="115">
        <v>1</v>
      </c>
      <c r="AN63" s="115">
        <v>1</v>
      </c>
      <c r="AO63" s="115">
        <v>1</v>
      </c>
      <c r="AP63" s="115">
        <v>1</v>
      </c>
      <c r="AQ63" s="115">
        <v>1</v>
      </c>
      <c r="AR63" s="115">
        <v>2</v>
      </c>
      <c r="AS63" s="115">
        <v>2</v>
      </c>
      <c r="AT63" s="115">
        <v>2</v>
      </c>
      <c r="AU63" s="115">
        <v>1</v>
      </c>
      <c r="AV63" s="115">
        <v>1</v>
      </c>
      <c r="AW63" s="115">
        <v>1</v>
      </c>
      <c r="AX63" s="115">
        <v>1</v>
      </c>
      <c r="AY63" s="115">
        <v>1</v>
      </c>
    </row>
    <row r="64" spans="1:52" x14ac:dyDescent="0.2">
      <c r="A64" s="115"/>
      <c r="B64" s="183" t="s">
        <v>352</v>
      </c>
      <c r="C64" s="115"/>
      <c r="D64" s="115">
        <v>0</v>
      </c>
      <c r="E64" s="115">
        <v>0</v>
      </c>
      <c r="F64" s="115">
        <v>0</v>
      </c>
      <c r="G64" s="115">
        <v>0</v>
      </c>
      <c r="H64" s="115">
        <v>0</v>
      </c>
      <c r="I64" s="115">
        <v>0</v>
      </c>
      <c r="J64" s="115">
        <v>0</v>
      </c>
      <c r="K64" s="115">
        <v>0</v>
      </c>
      <c r="L64" s="115">
        <v>0</v>
      </c>
      <c r="M64" s="115">
        <v>0</v>
      </c>
      <c r="N64" s="115">
        <v>0</v>
      </c>
      <c r="O64" s="115">
        <v>0</v>
      </c>
      <c r="P64" s="115">
        <v>0</v>
      </c>
      <c r="Q64" s="115">
        <v>0</v>
      </c>
      <c r="R64" s="115">
        <v>0</v>
      </c>
      <c r="S64" s="115">
        <v>0</v>
      </c>
      <c r="T64" s="115">
        <v>0</v>
      </c>
      <c r="U64" s="115">
        <v>0</v>
      </c>
      <c r="V64" s="115">
        <v>0</v>
      </c>
      <c r="W64" s="115">
        <v>0</v>
      </c>
      <c r="X64" s="115">
        <v>0</v>
      </c>
      <c r="Y64" s="115">
        <v>0</v>
      </c>
      <c r="Z64" s="115">
        <v>0</v>
      </c>
      <c r="AA64" s="115">
        <v>0</v>
      </c>
      <c r="AB64" s="115">
        <v>0</v>
      </c>
      <c r="AC64" s="115">
        <v>0</v>
      </c>
      <c r="AD64" s="115">
        <v>0</v>
      </c>
      <c r="AE64" s="115">
        <v>0</v>
      </c>
      <c r="AF64" s="115">
        <v>0</v>
      </c>
      <c r="AG64" s="115">
        <v>0</v>
      </c>
      <c r="AH64" s="115">
        <v>0</v>
      </c>
      <c r="AI64" s="115">
        <v>0</v>
      </c>
      <c r="AJ64" s="115">
        <v>0</v>
      </c>
      <c r="AK64" s="115">
        <v>0</v>
      </c>
      <c r="AL64" s="115">
        <v>0</v>
      </c>
      <c r="AM64" s="115">
        <v>0</v>
      </c>
      <c r="AN64" s="115">
        <v>0</v>
      </c>
      <c r="AO64" s="115">
        <v>0</v>
      </c>
      <c r="AP64" s="115">
        <v>0</v>
      </c>
      <c r="AQ64" s="115">
        <v>0</v>
      </c>
      <c r="AR64" s="115">
        <v>0</v>
      </c>
      <c r="AS64" s="115">
        <v>0</v>
      </c>
      <c r="AT64" s="115">
        <v>0</v>
      </c>
      <c r="AU64" s="115">
        <v>0</v>
      </c>
      <c r="AV64" s="115">
        <v>0</v>
      </c>
      <c r="AW64" s="115">
        <v>0</v>
      </c>
      <c r="AX64" s="115">
        <v>0</v>
      </c>
      <c r="AY64" s="115">
        <v>0</v>
      </c>
      <c r="AZ64" s="105">
        <f>SUM($D$64:$AY$64)</f>
        <v>0</v>
      </c>
    </row>
    <row r="65" spans="1:52" x14ac:dyDescent="0.2">
      <c r="A65" s="115"/>
      <c r="B65" s="183" t="s">
        <v>353</v>
      </c>
      <c r="C65" s="115"/>
      <c r="D65" s="115">
        <v>0</v>
      </c>
      <c r="E65" s="115">
        <v>0</v>
      </c>
      <c r="F65" s="115">
        <v>0</v>
      </c>
      <c r="G65" s="115">
        <v>0</v>
      </c>
      <c r="H65" s="115">
        <v>0</v>
      </c>
      <c r="I65" s="115">
        <v>0</v>
      </c>
      <c r="J65" s="115">
        <v>0</v>
      </c>
      <c r="K65" s="115">
        <v>0</v>
      </c>
      <c r="L65" s="115">
        <v>0</v>
      </c>
      <c r="M65" s="115">
        <v>0</v>
      </c>
      <c r="N65" s="115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15">
        <v>0</v>
      </c>
      <c r="AA65" s="115">
        <v>0</v>
      </c>
      <c r="AB65" s="115">
        <v>0</v>
      </c>
      <c r="AC65" s="115">
        <v>0</v>
      </c>
      <c r="AD65" s="115">
        <v>0</v>
      </c>
      <c r="AE65" s="115">
        <v>0</v>
      </c>
      <c r="AF65" s="115">
        <v>0</v>
      </c>
      <c r="AG65" s="115">
        <v>0</v>
      </c>
      <c r="AH65" s="115">
        <v>0</v>
      </c>
      <c r="AI65" s="115">
        <v>0</v>
      </c>
      <c r="AJ65" s="115">
        <v>0</v>
      </c>
      <c r="AK65" s="115">
        <v>0</v>
      </c>
      <c r="AL65" s="115">
        <v>0</v>
      </c>
      <c r="AM65" s="115">
        <v>0</v>
      </c>
      <c r="AN65" s="115">
        <v>0</v>
      </c>
      <c r="AO65" s="115">
        <v>0</v>
      </c>
      <c r="AP65" s="115">
        <v>0</v>
      </c>
      <c r="AQ65" s="115">
        <v>0</v>
      </c>
      <c r="AR65" s="115">
        <v>0</v>
      </c>
      <c r="AS65" s="115">
        <v>0</v>
      </c>
      <c r="AT65" s="115">
        <v>0</v>
      </c>
      <c r="AU65" s="115">
        <v>0</v>
      </c>
      <c r="AV65" s="115">
        <v>0</v>
      </c>
      <c r="AW65" s="115">
        <v>0</v>
      </c>
      <c r="AX65" s="115">
        <v>0</v>
      </c>
      <c r="AY65" s="115">
        <v>0</v>
      </c>
      <c r="AZ65" s="105">
        <f>SUM($D$65:$AY$65)</f>
        <v>0</v>
      </c>
    </row>
    <row r="66" spans="1:52" x14ac:dyDescent="0.2">
      <c r="A66" s="140" t="s">
        <v>70</v>
      </c>
      <c r="B66" s="140" t="s">
        <v>343</v>
      </c>
      <c r="C66" s="129"/>
      <c r="D66" s="129">
        <f>D$21*shipping_manufacturing!$D$30/100</f>
        <v>0</v>
      </c>
      <c r="E66" s="129">
        <f>E$21*shipping_manufacturing!$D$30/100</f>
        <v>0</v>
      </c>
      <c r="F66" s="129">
        <f>F$21*shipping_manufacturing!$D$30/100</f>
        <v>0</v>
      </c>
      <c r="G66" s="129">
        <f>G$21*shipping_manufacturing!$D$30/100</f>
        <v>0</v>
      </c>
      <c r="H66" s="129">
        <f>H$21*shipping_manufacturing!$D$30/100</f>
        <v>0</v>
      </c>
      <c r="I66" s="129">
        <f>I$21*shipping_manufacturing!$D$30/100</f>
        <v>0</v>
      </c>
      <c r="J66" s="129">
        <f>J$21*shipping_manufacturing!$D$30/100</f>
        <v>0</v>
      </c>
      <c r="K66" s="129">
        <f>K$21*shipping_manufacturing!$D$30/100</f>
        <v>0</v>
      </c>
      <c r="L66" s="129">
        <f>L$21*shipping_manufacturing!$D$30/100</f>
        <v>0</v>
      </c>
      <c r="M66" s="129">
        <f>M$21*shipping_manufacturing!$D$30/100</f>
        <v>0</v>
      </c>
      <c r="N66" s="129">
        <f>N$21*shipping_manufacturing!$D$30/100</f>
        <v>0</v>
      </c>
      <c r="O66" s="129">
        <f>O$21*shipping_manufacturing!$D$30/100</f>
        <v>0</v>
      </c>
      <c r="P66" s="129">
        <f>P$21*shipping_manufacturing!$D$30/100</f>
        <v>0</v>
      </c>
      <c r="Q66" s="129">
        <f>Q$21*shipping_manufacturing!$D$30/100</f>
        <v>0</v>
      </c>
      <c r="R66" s="129">
        <f>R$21*shipping_manufacturing!$D$30/100</f>
        <v>0</v>
      </c>
      <c r="S66" s="129">
        <f>S$21*shipping_manufacturing!$D$30/100</f>
        <v>0</v>
      </c>
      <c r="T66" s="129">
        <f>T$21*shipping_manufacturing!$D$30/100</f>
        <v>0</v>
      </c>
      <c r="U66" s="129">
        <f>U$21*shipping_manufacturing!$D$30/100</f>
        <v>0</v>
      </c>
      <c r="V66" s="129">
        <f>V$21*shipping_manufacturing!$D$30/100</f>
        <v>0</v>
      </c>
      <c r="W66" s="129">
        <f>W$21*shipping_manufacturing!$D$30/100</f>
        <v>0</v>
      </c>
      <c r="X66" s="129">
        <f>X$21*shipping_manufacturing!$D$30/100</f>
        <v>0</v>
      </c>
      <c r="Y66" s="129">
        <f>Y$21*shipping_manufacturing!$D$30/100</f>
        <v>0</v>
      </c>
      <c r="Z66" s="129">
        <f>Z$21*shipping_manufacturing!$D$30/100</f>
        <v>0</v>
      </c>
      <c r="AA66" s="129">
        <f>AA$21*shipping_manufacturing!$D$30/100</f>
        <v>0</v>
      </c>
      <c r="AB66" s="129">
        <f>AB$21*shipping_manufacturing!$D$30/100</f>
        <v>0</v>
      </c>
      <c r="AC66" s="129">
        <f>AC$21*shipping_manufacturing!$D$30/100</f>
        <v>0</v>
      </c>
      <c r="AD66" s="129">
        <f>AD$21*shipping_manufacturing!$D$30/100</f>
        <v>0</v>
      </c>
      <c r="AE66" s="129">
        <f>AE$21*shipping_manufacturing!$D$30/100</f>
        <v>0</v>
      </c>
      <c r="AF66" s="129">
        <f>AF$21*shipping_manufacturing!$D$30/100</f>
        <v>0</v>
      </c>
      <c r="AG66" s="129">
        <f>AG$21*shipping_manufacturing!$D$30/100</f>
        <v>0</v>
      </c>
      <c r="AH66" s="129">
        <f>AH$21*shipping_manufacturing!$D$30/100</f>
        <v>0</v>
      </c>
      <c r="AI66" s="129">
        <f>AI$21*shipping_manufacturing!$D$30/100</f>
        <v>0</v>
      </c>
      <c r="AJ66" s="129">
        <f>AJ$21*shipping_manufacturing!$D$30/100</f>
        <v>0</v>
      </c>
      <c r="AK66" s="129">
        <f>AK$21*shipping_manufacturing!$D$30/100</f>
        <v>0</v>
      </c>
      <c r="AL66" s="129">
        <f>AL$21*shipping_manufacturing!$D$30/100</f>
        <v>0</v>
      </c>
      <c r="AM66" s="129">
        <f>AM$21*shipping_manufacturing!$D$30/100</f>
        <v>0</v>
      </c>
      <c r="AN66" s="129">
        <f>AN$21*shipping_manufacturing!$D$30/100</f>
        <v>0</v>
      </c>
      <c r="AO66" s="129">
        <f>AO$21*shipping_manufacturing!$D$30/100</f>
        <v>0</v>
      </c>
      <c r="AP66" s="129">
        <f>AP$21*shipping_manufacturing!$D$30/100</f>
        <v>0</v>
      </c>
      <c r="AQ66" s="129">
        <f>AQ$21*shipping_manufacturing!$D$30/100</f>
        <v>0</v>
      </c>
      <c r="AR66" s="129">
        <f>AR$21*shipping_manufacturing!$D$30/100</f>
        <v>0</v>
      </c>
      <c r="AS66" s="129">
        <f>AS$21*shipping_manufacturing!$D$30/100</f>
        <v>0</v>
      </c>
      <c r="AT66" s="129">
        <f>AT$21*shipping_manufacturing!$D$30/100</f>
        <v>0</v>
      </c>
      <c r="AU66" s="129">
        <f>AU$21*shipping_manufacturing!$D$30/100</f>
        <v>0</v>
      </c>
      <c r="AV66" s="129">
        <f>AV$21*shipping_manufacturing!$D$30/100</f>
        <v>0</v>
      </c>
      <c r="AW66" s="129">
        <f>AW$21*shipping_manufacturing!$D$30/100</f>
        <v>0</v>
      </c>
      <c r="AX66" s="129">
        <f>AX$21*shipping_manufacturing!$D$30/100</f>
        <v>0</v>
      </c>
      <c r="AY66" s="129">
        <f>AY$21*shipping_manufacturing!$D$30/100</f>
        <v>0</v>
      </c>
    </row>
    <row r="67" spans="1:52" x14ac:dyDescent="0.2">
      <c r="A67" s="118" t="s">
        <v>342</v>
      </c>
      <c r="B67" s="170" t="s">
        <v>344</v>
      </c>
      <c r="C67" s="115"/>
      <c r="D67" s="115">
        <f>D$22*shipping_manufacturing!$E$30/100</f>
        <v>0</v>
      </c>
      <c r="E67" s="115">
        <f>E$22*shipping_manufacturing!$E$30/100</f>
        <v>0</v>
      </c>
      <c r="F67" s="115">
        <f>F$22*shipping_manufacturing!$E$30/100</f>
        <v>0</v>
      </c>
      <c r="G67" s="115">
        <f>G$22*shipping_manufacturing!$E$30/100</f>
        <v>0</v>
      </c>
      <c r="H67" s="115">
        <f>H$22*shipping_manufacturing!$E$30/100</f>
        <v>0</v>
      </c>
      <c r="I67" s="115">
        <f>I$22*shipping_manufacturing!$E$30/100</f>
        <v>0</v>
      </c>
      <c r="J67" s="115">
        <f>J$22*shipping_manufacturing!$E$30/100</f>
        <v>0</v>
      </c>
      <c r="K67" s="115">
        <f>K$22*shipping_manufacturing!$E$30/100</f>
        <v>0</v>
      </c>
      <c r="L67" s="115">
        <f>L$22*shipping_manufacturing!$E$30/100</f>
        <v>0</v>
      </c>
      <c r="M67" s="115">
        <f>M$22*shipping_manufacturing!$E$30/100</f>
        <v>0</v>
      </c>
      <c r="N67" s="115">
        <f>N$22*shipping_manufacturing!$E$30/100</f>
        <v>0</v>
      </c>
      <c r="O67" s="115">
        <f>O$22*shipping_manufacturing!$E$30/100</f>
        <v>0</v>
      </c>
      <c r="P67" s="115">
        <f>P$22*shipping_manufacturing!$E$30/100</f>
        <v>0</v>
      </c>
      <c r="Q67" s="115">
        <f>Q$22*shipping_manufacturing!$E$30/100</f>
        <v>0</v>
      </c>
      <c r="R67" s="115">
        <f>R$22*shipping_manufacturing!$E$30/100</f>
        <v>0</v>
      </c>
      <c r="S67" s="115">
        <f>S$22*shipping_manufacturing!$E$30/100</f>
        <v>0</v>
      </c>
      <c r="T67" s="115">
        <f>T$22*shipping_manufacturing!$E$30/100</f>
        <v>0</v>
      </c>
      <c r="U67" s="115">
        <f>U$22*shipping_manufacturing!$E$30/100</f>
        <v>0</v>
      </c>
      <c r="V67" s="115">
        <f>V$22*shipping_manufacturing!$E$30/100</f>
        <v>0</v>
      </c>
      <c r="W67" s="115">
        <f>W$22*shipping_manufacturing!$E$30/100</f>
        <v>0</v>
      </c>
      <c r="X67" s="115">
        <f>X$22*shipping_manufacturing!$E$30/100</f>
        <v>0</v>
      </c>
      <c r="Y67" s="115">
        <f>Y$22*shipping_manufacturing!$E$30/100</f>
        <v>0</v>
      </c>
      <c r="Z67" s="115">
        <f>Z$22*shipping_manufacturing!$E$30/100</f>
        <v>0</v>
      </c>
      <c r="AA67" s="115">
        <f>AA$22*shipping_manufacturing!$E$30/100</f>
        <v>0</v>
      </c>
      <c r="AB67" s="115">
        <f>AB$22*shipping_manufacturing!$E$30/100</f>
        <v>0</v>
      </c>
      <c r="AC67" s="115">
        <f>AC$22*shipping_manufacturing!$E$30/100</f>
        <v>0</v>
      </c>
      <c r="AD67" s="115">
        <f>AD$22*shipping_manufacturing!$E$30/100</f>
        <v>0</v>
      </c>
      <c r="AE67" s="115">
        <f>AE$22*shipping_manufacturing!$E$30/100</f>
        <v>0</v>
      </c>
      <c r="AF67" s="115">
        <f>AF$22*shipping_manufacturing!$E$30/100</f>
        <v>0</v>
      </c>
      <c r="AG67" s="115">
        <f>AG$22*shipping_manufacturing!$E$30/100</f>
        <v>0</v>
      </c>
      <c r="AH67" s="115">
        <f>AH$22*shipping_manufacturing!$E$30/100</f>
        <v>0</v>
      </c>
      <c r="AI67" s="115">
        <f>AI$22*shipping_manufacturing!$E$30/100</f>
        <v>0</v>
      </c>
      <c r="AJ67" s="115">
        <f>AJ$22*shipping_manufacturing!$E$30/100</f>
        <v>0</v>
      </c>
      <c r="AK67" s="115">
        <f>AK$22*shipping_manufacturing!$E$30/100</f>
        <v>0</v>
      </c>
      <c r="AL67" s="115">
        <f>AL$22*shipping_manufacturing!$E$30/100</f>
        <v>0</v>
      </c>
      <c r="AM67" s="115">
        <f>AM$22*shipping_manufacturing!$E$30/100</f>
        <v>0</v>
      </c>
      <c r="AN67" s="115">
        <f>AN$22*shipping_manufacturing!$E$30/100</f>
        <v>0</v>
      </c>
      <c r="AO67" s="115">
        <f>AO$22*shipping_manufacturing!$E$30/100</f>
        <v>0</v>
      </c>
      <c r="AP67" s="115">
        <f>AP$22*shipping_manufacturing!$E$30/100</f>
        <v>0</v>
      </c>
      <c r="AQ67" s="115">
        <f>AQ$22*shipping_manufacturing!$E$30/100</f>
        <v>0</v>
      </c>
      <c r="AR67" s="115">
        <f>AR$22*shipping_manufacturing!$E$30/100</f>
        <v>0</v>
      </c>
      <c r="AS67" s="115">
        <f>AS$22*shipping_manufacturing!$E$30/100</f>
        <v>0</v>
      </c>
      <c r="AT67" s="115">
        <f>AT$22*shipping_manufacturing!$E$30/100</f>
        <v>0</v>
      </c>
      <c r="AU67" s="115">
        <f>AU$22*shipping_manufacturing!$E$30/100</f>
        <v>0</v>
      </c>
      <c r="AV67" s="115">
        <f>AV$22*shipping_manufacturing!$E$30/100</f>
        <v>0</v>
      </c>
      <c r="AW67" s="115">
        <f>AW$22*shipping_manufacturing!$E$30/100</f>
        <v>0</v>
      </c>
      <c r="AX67" s="115">
        <f>AX$22*shipping_manufacturing!$E$30/100</f>
        <v>0</v>
      </c>
      <c r="AY67" s="115">
        <f>AY$22*shipping_manufacturing!$E$30/100</f>
        <v>0</v>
      </c>
    </row>
    <row r="68" spans="1:52" x14ac:dyDescent="0.2">
      <c r="A68" s="115">
        <v>1043</v>
      </c>
      <c r="B68" s="170" t="s">
        <v>345</v>
      </c>
      <c r="C68" s="115"/>
      <c r="D68" s="115">
        <f>SUM(D66:D67)</f>
        <v>0</v>
      </c>
      <c r="E68" s="115">
        <f t="shared" ref="E68:AY68" si="20">SUM(E66:E67)</f>
        <v>0</v>
      </c>
      <c r="F68" s="115">
        <f t="shared" si="20"/>
        <v>0</v>
      </c>
      <c r="G68" s="115">
        <f t="shared" si="20"/>
        <v>0</v>
      </c>
      <c r="H68" s="115">
        <f t="shared" si="20"/>
        <v>0</v>
      </c>
      <c r="I68" s="115">
        <f t="shared" si="20"/>
        <v>0</v>
      </c>
      <c r="J68" s="115">
        <f t="shared" si="20"/>
        <v>0</v>
      </c>
      <c r="K68" s="115">
        <f t="shared" si="20"/>
        <v>0</v>
      </c>
      <c r="L68" s="115">
        <f t="shared" si="20"/>
        <v>0</v>
      </c>
      <c r="M68" s="115">
        <f t="shared" si="20"/>
        <v>0</v>
      </c>
      <c r="N68" s="115">
        <f t="shared" si="20"/>
        <v>0</v>
      </c>
      <c r="O68" s="115">
        <f t="shared" si="20"/>
        <v>0</v>
      </c>
      <c r="P68" s="115">
        <f t="shared" si="20"/>
        <v>0</v>
      </c>
      <c r="Q68" s="115">
        <f t="shared" si="20"/>
        <v>0</v>
      </c>
      <c r="R68" s="115">
        <f t="shared" si="20"/>
        <v>0</v>
      </c>
      <c r="S68" s="115">
        <f t="shared" si="20"/>
        <v>0</v>
      </c>
      <c r="T68" s="115">
        <f t="shared" si="20"/>
        <v>0</v>
      </c>
      <c r="U68" s="115">
        <f t="shared" si="20"/>
        <v>0</v>
      </c>
      <c r="V68" s="115">
        <f t="shared" si="20"/>
        <v>0</v>
      </c>
      <c r="W68" s="115">
        <f t="shared" si="20"/>
        <v>0</v>
      </c>
      <c r="X68" s="115">
        <f t="shared" si="20"/>
        <v>0</v>
      </c>
      <c r="Y68" s="115">
        <f t="shared" si="20"/>
        <v>0</v>
      </c>
      <c r="Z68" s="115">
        <f t="shared" si="20"/>
        <v>0</v>
      </c>
      <c r="AA68" s="115">
        <f t="shared" si="20"/>
        <v>0</v>
      </c>
      <c r="AB68" s="115">
        <f t="shared" si="20"/>
        <v>0</v>
      </c>
      <c r="AC68" s="115">
        <f t="shared" si="20"/>
        <v>0</v>
      </c>
      <c r="AD68" s="115">
        <f t="shared" si="20"/>
        <v>0</v>
      </c>
      <c r="AE68" s="115">
        <f t="shared" si="20"/>
        <v>0</v>
      </c>
      <c r="AF68" s="115">
        <f t="shared" si="20"/>
        <v>0</v>
      </c>
      <c r="AG68" s="115">
        <f t="shared" si="20"/>
        <v>0</v>
      </c>
      <c r="AH68" s="115">
        <f t="shared" si="20"/>
        <v>0</v>
      </c>
      <c r="AI68" s="115">
        <f t="shared" si="20"/>
        <v>0</v>
      </c>
      <c r="AJ68" s="115">
        <f t="shared" si="20"/>
        <v>0</v>
      </c>
      <c r="AK68" s="115">
        <f t="shared" si="20"/>
        <v>0</v>
      </c>
      <c r="AL68" s="115">
        <f t="shared" si="20"/>
        <v>0</v>
      </c>
      <c r="AM68" s="115">
        <f t="shared" si="20"/>
        <v>0</v>
      </c>
      <c r="AN68" s="115">
        <f t="shared" si="20"/>
        <v>0</v>
      </c>
      <c r="AO68" s="115">
        <f t="shared" si="20"/>
        <v>0</v>
      </c>
      <c r="AP68" s="115">
        <f t="shared" si="20"/>
        <v>0</v>
      </c>
      <c r="AQ68" s="115">
        <f t="shared" si="20"/>
        <v>0</v>
      </c>
      <c r="AR68" s="115">
        <f t="shared" si="20"/>
        <v>0</v>
      </c>
      <c r="AS68" s="115">
        <f t="shared" si="20"/>
        <v>0</v>
      </c>
      <c r="AT68" s="115">
        <f t="shared" si="20"/>
        <v>0</v>
      </c>
      <c r="AU68" s="115">
        <f t="shared" si="20"/>
        <v>0</v>
      </c>
      <c r="AV68" s="115">
        <f t="shared" si="20"/>
        <v>0</v>
      </c>
      <c r="AW68" s="115">
        <f t="shared" si="20"/>
        <v>0</v>
      </c>
      <c r="AX68" s="115">
        <f t="shared" si="20"/>
        <v>0</v>
      </c>
      <c r="AY68" s="115">
        <f t="shared" si="20"/>
        <v>0</v>
      </c>
    </row>
    <row r="69" spans="1:52" x14ac:dyDescent="0.2">
      <c r="A69" s="115"/>
      <c r="B69" s="170" t="s">
        <v>346</v>
      </c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</row>
    <row r="70" spans="1:52" x14ac:dyDescent="0.2">
      <c r="A70" s="115"/>
      <c r="B70" s="170" t="s">
        <v>347</v>
      </c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</row>
    <row r="71" spans="1:52" x14ac:dyDescent="0.2">
      <c r="A71" s="115"/>
      <c r="B71" s="170" t="s">
        <v>348</v>
      </c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</row>
    <row r="72" spans="1:52" x14ac:dyDescent="0.2">
      <c r="A72" s="115"/>
      <c r="B72" s="170" t="s">
        <v>349</v>
      </c>
      <c r="C72" s="115"/>
      <c r="D72" s="115">
        <f>D66-D69</f>
        <v>0</v>
      </c>
      <c r="E72" s="115">
        <f t="shared" ref="E72:AY72" si="21">E66-E69</f>
        <v>0</v>
      </c>
      <c r="F72" s="115">
        <f t="shared" si="21"/>
        <v>0</v>
      </c>
      <c r="G72" s="115">
        <f t="shared" si="21"/>
        <v>0</v>
      </c>
      <c r="H72" s="115">
        <f t="shared" si="21"/>
        <v>0</v>
      </c>
      <c r="I72" s="115">
        <f t="shared" si="21"/>
        <v>0</v>
      </c>
      <c r="J72" s="115">
        <f t="shared" si="21"/>
        <v>0</v>
      </c>
      <c r="K72" s="115">
        <f t="shared" si="21"/>
        <v>0</v>
      </c>
      <c r="L72" s="115">
        <f t="shared" si="21"/>
        <v>0</v>
      </c>
      <c r="M72" s="115">
        <f t="shared" si="21"/>
        <v>0</v>
      </c>
      <c r="N72" s="115">
        <f t="shared" si="21"/>
        <v>0</v>
      </c>
      <c r="O72" s="115">
        <f t="shared" si="21"/>
        <v>0</v>
      </c>
      <c r="P72" s="115">
        <f t="shared" si="21"/>
        <v>0</v>
      </c>
      <c r="Q72" s="115">
        <f t="shared" si="21"/>
        <v>0</v>
      </c>
      <c r="R72" s="115">
        <f t="shared" si="21"/>
        <v>0</v>
      </c>
      <c r="S72" s="115">
        <f t="shared" si="21"/>
        <v>0</v>
      </c>
      <c r="T72" s="115">
        <f t="shared" si="21"/>
        <v>0</v>
      </c>
      <c r="U72" s="115">
        <f t="shared" si="21"/>
        <v>0</v>
      </c>
      <c r="V72" s="115">
        <f t="shared" si="21"/>
        <v>0</v>
      </c>
      <c r="W72" s="115">
        <f t="shared" si="21"/>
        <v>0</v>
      </c>
      <c r="X72" s="115">
        <f t="shared" si="21"/>
        <v>0</v>
      </c>
      <c r="Y72" s="115">
        <f t="shared" si="21"/>
        <v>0</v>
      </c>
      <c r="Z72" s="115">
        <f t="shared" si="21"/>
        <v>0</v>
      </c>
      <c r="AA72" s="115">
        <f t="shared" si="21"/>
        <v>0</v>
      </c>
      <c r="AB72" s="115">
        <f t="shared" si="21"/>
        <v>0</v>
      </c>
      <c r="AC72" s="115">
        <f t="shared" si="21"/>
        <v>0</v>
      </c>
      <c r="AD72" s="115">
        <f t="shared" si="21"/>
        <v>0</v>
      </c>
      <c r="AE72" s="115">
        <f t="shared" si="21"/>
        <v>0</v>
      </c>
      <c r="AF72" s="115">
        <f t="shared" si="21"/>
        <v>0</v>
      </c>
      <c r="AG72" s="115">
        <f t="shared" si="21"/>
        <v>0</v>
      </c>
      <c r="AH72" s="115">
        <f t="shared" si="21"/>
        <v>0</v>
      </c>
      <c r="AI72" s="115">
        <f t="shared" si="21"/>
        <v>0</v>
      </c>
      <c r="AJ72" s="115">
        <f t="shared" si="21"/>
        <v>0</v>
      </c>
      <c r="AK72" s="115">
        <f t="shared" si="21"/>
        <v>0</v>
      </c>
      <c r="AL72" s="115">
        <f t="shared" si="21"/>
        <v>0</v>
      </c>
      <c r="AM72" s="115">
        <f t="shared" si="21"/>
        <v>0</v>
      </c>
      <c r="AN72" s="115">
        <f t="shared" si="21"/>
        <v>0</v>
      </c>
      <c r="AO72" s="115">
        <f t="shared" si="21"/>
        <v>0</v>
      </c>
      <c r="AP72" s="115">
        <f t="shared" si="21"/>
        <v>0</v>
      </c>
      <c r="AQ72" s="115">
        <f t="shared" si="21"/>
        <v>0</v>
      </c>
      <c r="AR72" s="115">
        <f t="shared" si="21"/>
        <v>0</v>
      </c>
      <c r="AS72" s="115">
        <f t="shared" si="21"/>
        <v>0</v>
      </c>
      <c r="AT72" s="115">
        <f t="shared" si="21"/>
        <v>0</v>
      </c>
      <c r="AU72" s="115">
        <f t="shared" si="21"/>
        <v>0</v>
      </c>
      <c r="AV72" s="115">
        <f t="shared" si="21"/>
        <v>0</v>
      </c>
      <c r="AW72" s="115">
        <f t="shared" si="21"/>
        <v>0</v>
      </c>
      <c r="AX72" s="115">
        <f t="shared" si="21"/>
        <v>0</v>
      </c>
      <c r="AY72" s="115">
        <f t="shared" si="21"/>
        <v>0</v>
      </c>
    </row>
    <row r="73" spans="1:52" x14ac:dyDescent="0.2">
      <c r="A73" s="115"/>
      <c r="B73" s="170" t="s">
        <v>350</v>
      </c>
      <c r="C73" s="115"/>
      <c r="D73" s="115">
        <f>D67-D70</f>
        <v>0</v>
      </c>
      <c r="E73" s="115">
        <f t="shared" ref="E73:AY73" si="22">E67-E70</f>
        <v>0</v>
      </c>
      <c r="F73" s="115">
        <f t="shared" si="22"/>
        <v>0</v>
      </c>
      <c r="G73" s="115">
        <f t="shared" si="22"/>
        <v>0</v>
      </c>
      <c r="H73" s="115">
        <f t="shared" si="22"/>
        <v>0</v>
      </c>
      <c r="I73" s="115">
        <f t="shared" si="22"/>
        <v>0</v>
      </c>
      <c r="J73" s="115">
        <f t="shared" si="22"/>
        <v>0</v>
      </c>
      <c r="K73" s="115">
        <f t="shared" si="22"/>
        <v>0</v>
      </c>
      <c r="L73" s="115">
        <f t="shared" si="22"/>
        <v>0</v>
      </c>
      <c r="M73" s="115">
        <f t="shared" si="22"/>
        <v>0</v>
      </c>
      <c r="N73" s="115">
        <f t="shared" si="22"/>
        <v>0</v>
      </c>
      <c r="O73" s="115">
        <f t="shared" si="22"/>
        <v>0</v>
      </c>
      <c r="P73" s="115">
        <f t="shared" si="22"/>
        <v>0</v>
      </c>
      <c r="Q73" s="115">
        <f t="shared" si="22"/>
        <v>0</v>
      </c>
      <c r="R73" s="115">
        <f t="shared" si="22"/>
        <v>0</v>
      </c>
      <c r="S73" s="115">
        <f t="shared" si="22"/>
        <v>0</v>
      </c>
      <c r="T73" s="115">
        <f t="shared" si="22"/>
        <v>0</v>
      </c>
      <c r="U73" s="115">
        <f t="shared" si="22"/>
        <v>0</v>
      </c>
      <c r="V73" s="115">
        <f t="shared" si="22"/>
        <v>0</v>
      </c>
      <c r="W73" s="115">
        <f t="shared" si="22"/>
        <v>0</v>
      </c>
      <c r="X73" s="115">
        <f t="shared" si="22"/>
        <v>0</v>
      </c>
      <c r="Y73" s="115">
        <f t="shared" si="22"/>
        <v>0</v>
      </c>
      <c r="Z73" s="115">
        <f t="shared" si="22"/>
        <v>0</v>
      </c>
      <c r="AA73" s="115">
        <f t="shared" si="22"/>
        <v>0</v>
      </c>
      <c r="AB73" s="115">
        <f t="shared" si="22"/>
        <v>0</v>
      </c>
      <c r="AC73" s="115">
        <f t="shared" si="22"/>
        <v>0</v>
      </c>
      <c r="AD73" s="115">
        <f t="shared" si="22"/>
        <v>0</v>
      </c>
      <c r="AE73" s="115">
        <f t="shared" si="22"/>
        <v>0</v>
      </c>
      <c r="AF73" s="115">
        <f t="shared" si="22"/>
        <v>0</v>
      </c>
      <c r="AG73" s="115">
        <f t="shared" si="22"/>
        <v>0</v>
      </c>
      <c r="AH73" s="115">
        <f t="shared" si="22"/>
        <v>0</v>
      </c>
      <c r="AI73" s="115">
        <f t="shared" si="22"/>
        <v>0</v>
      </c>
      <c r="AJ73" s="115">
        <f t="shared" si="22"/>
        <v>0</v>
      </c>
      <c r="AK73" s="115">
        <f t="shared" si="22"/>
        <v>0</v>
      </c>
      <c r="AL73" s="115">
        <f t="shared" si="22"/>
        <v>0</v>
      </c>
      <c r="AM73" s="115">
        <f t="shared" si="22"/>
        <v>0</v>
      </c>
      <c r="AN73" s="115">
        <f t="shared" si="22"/>
        <v>0</v>
      </c>
      <c r="AO73" s="115">
        <f t="shared" si="22"/>
        <v>0</v>
      </c>
      <c r="AP73" s="115">
        <f t="shared" si="22"/>
        <v>0</v>
      </c>
      <c r="AQ73" s="115">
        <f t="shared" si="22"/>
        <v>0</v>
      </c>
      <c r="AR73" s="115">
        <f t="shared" si="22"/>
        <v>0</v>
      </c>
      <c r="AS73" s="115">
        <f t="shared" si="22"/>
        <v>0</v>
      </c>
      <c r="AT73" s="115">
        <f t="shared" si="22"/>
        <v>0</v>
      </c>
      <c r="AU73" s="115">
        <f t="shared" si="22"/>
        <v>0</v>
      </c>
      <c r="AV73" s="115">
        <f t="shared" si="22"/>
        <v>0</v>
      </c>
      <c r="AW73" s="115">
        <f t="shared" si="22"/>
        <v>0</v>
      </c>
      <c r="AX73" s="115">
        <f t="shared" si="22"/>
        <v>0</v>
      </c>
      <c r="AY73" s="115">
        <f t="shared" si="22"/>
        <v>0</v>
      </c>
    </row>
    <row r="74" spans="1:52" x14ac:dyDescent="0.2">
      <c r="A74" s="115"/>
      <c r="B74" s="170" t="s">
        <v>351</v>
      </c>
      <c r="C74" s="115"/>
      <c r="D74" s="115">
        <v>1</v>
      </c>
      <c r="E74" s="115">
        <v>1</v>
      </c>
      <c r="F74" s="115">
        <v>1</v>
      </c>
      <c r="G74" s="115">
        <v>1</v>
      </c>
      <c r="H74" s="115">
        <v>1</v>
      </c>
      <c r="I74" s="115">
        <v>1</v>
      </c>
      <c r="J74" s="115">
        <v>1</v>
      </c>
      <c r="K74" s="115">
        <v>1</v>
      </c>
      <c r="L74" s="115">
        <v>2</v>
      </c>
      <c r="M74" s="115">
        <v>1</v>
      </c>
      <c r="N74" s="115">
        <v>2</v>
      </c>
      <c r="O74" s="115">
        <v>1</v>
      </c>
      <c r="P74" s="115">
        <v>1</v>
      </c>
      <c r="Q74" s="115">
        <v>1</v>
      </c>
      <c r="R74" s="115">
        <v>2</v>
      </c>
      <c r="S74" s="115">
        <v>2</v>
      </c>
      <c r="T74" s="115">
        <v>3</v>
      </c>
      <c r="U74" s="115">
        <v>2</v>
      </c>
      <c r="V74" s="115">
        <v>1</v>
      </c>
      <c r="W74" s="115">
        <v>1</v>
      </c>
      <c r="X74" s="115">
        <v>1</v>
      </c>
      <c r="Y74" s="115">
        <v>1</v>
      </c>
      <c r="Z74" s="115">
        <v>1</v>
      </c>
      <c r="AA74" s="115">
        <v>1</v>
      </c>
      <c r="AB74" s="115">
        <v>3</v>
      </c>
      <c r="AC74" s="115">
        <v>1</v>
      </c>
      <c r="AD74" s="115">
        <v>1</v>
      </c>
      <c r="AE74" s="115">
        <v>1</v>
      </c>
      <c r="AF74" s="115">
        <v>2</v>
      </c>
      <c r="AG74" s="115">
        <v>1</v>
      </c>
      <c r="AH74" s="115">
        <v>1</v>
      </c>
      <c r="AI74" s="115">
        <v>2</v>
      </c>
      <c r="AJ74" s="115">
        <v>1</v>
      </c>
      <c r="AK74" s="115">
        <v>3</v>
      </c>
      <c r="AL74" s="115">
        <v>1</v>
      </c>
      <c r="AM74" s="115">
        <v>1</v>
      </c>
      <c r="AN74" s="115">
        <v>2</v>
      </c>
      <c r="AO74" s="115">
        <v>1</v>
      </c>
      <c r="AP74" s="115">
        <v>3</v>
      </c>
      <c r="AQ74" s="115">
        <v>2</v>
      </c>
      <c r="AR74" s="115">
        <v>2</v>
      </c>
      <c r="AS74" s="115">
        <v>2</v>
      </c>
      <c r="AT74" s="115">
        <v>2</v>
      </c>
      <c r="AU74" s="115">
        <v>1</v>
      </c>
      <c r="AV74" s="115">
        <v>1</v>
      </c>
      <c r="AW74" s="115">
        <v>2</v>
      </c>
      <c r="AX74" s="115">
        <v>1</v>
      </c>
      <c r="AY74" s="115">
        <v>1</v>
      </c>
    </row>
    <row r="75" spans="1:52" x14ac:dyDescent="0.2">
      <c r="A75" s="115"/>
      <c r="B75" s="183" t="s">
        <v>352</v>
      </c>
      <c r="C75" s="115"/>
      <c r="D75" s="115">
        <v>0</v>
      </c>
      <c r="E75" s="115">
        <v>0</v>
      </c>
      <c r="F75" s="115">
        <v>0</v>
      </c>
      <c r="G75" s="115">
        <v>0</v>
      </c>
      <c r="H75" s="115">
        <v>0</v>
      </c>
      <c r="I75" s="115">
        <v>0</v>
      </c>
      <c r="J75" s="115">
        <v>0</v>
      </c>
      <c r="K75" s="115">
        <v>0</v>
      </c>
      <c r="L75" s="115">
        <v>0</v>
      </c>
      <c r="M75" s="115">
        <v>0</v>
      </c>
      <c r="N75" s="115">
        <v>0</v>
      </c>
      <c r="O75" s="115">
        <v>0</v>
      </c>
      <c r="P75" s="115">
        <v>0</v>
      </c>
      <c r="Q75" s="115">
        <v>0</v>
      </c>
      <c r="R75" s="115">
        <v>0</v>
      </c>
      <c r="S75" s="115">
        <v>0</v>
      </c>
      <c r="T75" s="115">
        <v>0</v>
      </c>
      <c r="U75" s="115">
        <v>0</v>
      </c>
      <c r="V75" s="115">
        <v>0</v>
      </c>
      <c r="W75" s="115">
        <v>0</v>
      </c>
      <c r="X75" s="115">
        <v>0</v>
      </c>
      <c r="Y75" s="115">
        <v>0</v>
      </c>
      <c r="Z75" s="115">
        <v>0</v>
      </c>
      <c r="AA75" s="115">
        <v>0</v>
      </c>
      <c r="AB75" s="115">
        <v>0</v>
      </c>
      <c r="AC75" s="115">
        <v>0</v>
      </c>
      <c r="AD75" s="115">
        <v>0</v>
      </c>
      <c r="AE75" s="115">
        <v>0</v>
      </c>
      <c r="AF75" s="115">
        <v>0</v>
      </c>
      <c r="AG75" s="115">
        <v>0</v>
      </c>
      <c r="AH75" s="115">
        <v>0</v>
      </c>
      <c r="AI75" s="115">
        <v>0</v>
      </c>
      <c r="AJ75" s="115">
        <v>0</v>
      </c>
      <c r="AK75" s="115">
        <v>0</v>
      </c>
      <c r="AL75" s="115">
        <v>0</v>
      </c>
      <c r="AM75" s="115">
        <v>0</v>
      </c>
      <c r="AN75" s="115">
        <v>0</v>
      </c>
      <c r="AO75" s="115">
        <v>0</v>
      </c>
      <c r="AP75" s="115">
        <v>0</v>
      </c>
      <c r="AQ75" s="115">
        <v>0</v>
      </c>
      <c r="AR75" s="115">
        <v>0</v>
      </c>
      <c r="AS75" s="115">
        <v>0</v>
      </c>
      <c r="AT75" s="115">
        <v>0</v>
      </c>
      <c r="AU75" s="115">
        <v>0</v>
      </c>
      <c r="AV75" s="115">
        <v>0</v>
      </c>
      <c r="AW75" s="115">
        <v>0</v>
      </c>
      <c r="AX75" s="115">
        <v>0</v>
      </c>
      <c r="AY75" s="115">
        <v>0</v>
      </c>
      <c r="AZ75" s="105">
        <f>SUM($D$75:$AY$75)</f>
        <v>0</v>
      </c>
    </row>
    <row r="76" spans="1:52" x14ac:dyDescent="0.2">
      <c r="A76" s="130"/>
      <c r="B76" s="145" t="s">
        <v>353</v>
      </c>
      <c r="C76" s="130"/>
      <c r="D76" s="130">
        <v>0</v>
      </c>
      <c r="E76" s="130">
        <v>0</v>
      </c>
      <c r="F76" s="130">
        <v>0</v>
      </c>
      <c r="G76" s="130">
        <v>0</v>
      </c>
      <c r="H76" s="130">
        <v>0</v>
      </c>
      <c r="I76" s="130">
        <v>0</v>
      </c>
      <c r="J76" s="130">
        <v>0</v>
      </c>
      <c r="K76" s="130">
        <v>0</v>
      </c>
      <c r="L76" s="130">
        <v>0</v>
      </c>
      <c r="M76" s="130">
        <v>0</v>
      </c>
      <c r="N76" s="130">
        <v>0</v>
      </c>
      <c r="O76" s="130">
        <v>0</v>
      </c>
      <c r="P76" s="130">
        <v>0</v>
      </c>
      <c r="Q76" s="130">
        <v>0</v>
      </c>
      <c r="R76" s="130">
        <v>0</v>
      </c>
      <c r="S76" s="130">
        <v>0</v>
      </c>
      <c r="T76" s="130">
        <v>0</v>
      </c>
      <c r="U76" s="130">
        <v>0</v>
      </c>
      <c r="V76" s="130">
        <v>0</v>
      </c>
      <c r="W76" s="130">
        <v>0</v>
      </c>
      <c r="X76" s="130">
        <v>0</v>
      </c>
      <c r="Y76" s="130">
        <v>0</v>
      </c>
      <c r="Z76" s="130">
        <v>0</v>
      </c>
      <c r="AA76" s="130">
        <v>0</v>
      </c>
      <c r="AB76" s="130">
        <v>0</v>
      </c>
      <c r="AC76" s="130">
        <v>0</v>
      </c>
      <c r="AD76" s="130">
        <v>0</v>
      </c>
      <c r="AE76" s="130">
        <v>0</v>
      </c>
      <c r="AF76" s="130">
        <v>0</v>
      </c>
      <c r="AG76" s="130">
        <v>0</v>
      </c>
      <c r="AH76" s="130">
        <v>0</v>
      </c>
      <c r="AI76" s="130">
        <v>0</v>
      </c>
      <c r="AJ76" s="130">
        <v>0</v>
      </c>
      <c r="AK76" s="130">
        <v>0</v>
      </c>
      <c r="AL76" s="130">
        <v>0</v>
      </c>
      <c r="AM76" s="130">
        <v>0</v>
      </c>
      <c r="AN76" s="130">
        <v>0</v>
      </c>
      <c r="AO76" s="130">
        <v>0</v>
      </c>
      <c r="AP76" s="130">
        <v>0</v>
      </c>
      <c r="AQ76" s="130">
        <v>0</v>
      </c>
      <c r="AR76" s="130">
        <v>0</v>
      </c>
      <c r="AS76" s="130">
        <v>0</v>
      </c>
      <c r="AT76" s="130">
        <v>0</v>
      </c>
      <c r="AU76" s="130">
        <v>0</v>
      </c>
      <c r="AV76" s="130">
        <v>0</v>
      </c>
      <c r="AW76" s="130">
        <v>0</v>
      </c>
      <c r="AX76" s="130">
        <v>0</v>
      </c>
      <c r="AY76" s="130">
        <v>0</v>
      </c>
      <c r="AZ76" s="105">
        <f>SUM($D$76:$AY$76)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76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2.75" x14ac:dyDescent="0.2"/>
  <cols>
    <col min="1" max="1" width="14.7109375" style="105" customWidth="1"/>
    <col min="2" max="2" width="17.7109375" style="105" customWidth="1"/>
    <col min="3" max="51" width="9.140625" style="105"/>
    <col min="52" max="52" width="10.7109375" style="105" customWidth="1"/>
    <col min="53" max="16384" width="9.140625" style="105"/>
  </cols>
  <sheetData>
    <row r="1" spans="1:52" x14ac:dyDescent="0.2">
      <c r="A1" s="107" t="s">
        <v>118</v>
      </c>
    </row>
    <row r="2" spans="1:52" x14ac:dyDescent="0.2">
      <c r="A2" s="105" t="s">
        <v>305</v>
      </c>
      <c r="B2" s="112" t="s">
        <v>8</v>
      </c>
      <c r="E2" s="115"/>
    </row>
    <row r="3" spans="1:52" x14ac:dyDescent="0.2">
      <c r="A3" s="105" t="s">
        <v>288</v>
      </c>
      <c r="B3" s="112">
        <v>5500</v>
      </c>
      <c r="E3" s="115"/>
    </row>
    <row r="4" spans="1:52" x14ac:dyDescent="0.2">
      <c r="A4" s="107"/>
      <c r="C4" s="116" t="s">
        <v>289</v>
      </c>
    </row>
    <row r="5" spans="1:52" x14ac:dyDescent="0.2">
      <c r="B5" s="111"/>
      <c r="C5" s="117">
        <v>0</v>
      </c>
      <c r="D5" s="117">
        <v>1</v>
      </c>
      <c r="E5" s="117">
        <v>2</v>
      </c>
      <c r="F5" s="117">
        <v>3</v>
      </c>
      <c r="G5" s="117">
        <v>4</v>
      </c>
      <c r="H5" s="117">
        <v>5</v>
      </c>
      <c r="I5" s="117">
        <v>6</v>
      </c>
      <c r="J5" s="117">
        <v>7</v>
      </c>
      <c r="K5" s="117">
        <v>8</v>
      </c>
      <c r="L5" s="117">
        <v>9</v>
      </c>
      <c r="M5" s="117">
        <v>10</v>
      </c>
      <c r="N5" s="117">
        <v>11</v>
      </c>
      <c r="O5" s="117">
        <v>12</v>
      </c>
      <c r="P5" s="117">
        <v>13</v>
      </c>
      <c r="Q5" s="117">
        <v>14</v>
      </c>
      <c r="R5" s="117">
        <v>15</v>
      </c>
      <c r="S5" s="117">
        <v>16</v>
      </c>
      <c r="T5" s="117">
        <v>17</v>
      </c>
      <c r="U5" s="117">
        <v>18</v>
      </c>
      <c r="V5" s="117">
        <v>19</v>
      </c>
      <c r="W5" s="117">
        <v>20</v>
      </c>
      <c r="X5" s="117">
        <v>21</v>
      </c>
      <c r="Y5" s="117">
        <v>22</v>
      </c>
      <c r="Z5" s="117">
        <v>23</v>
      </c>
      <c r="AA5" s="117">
        <v>24</v>
      </c>
      <c r="AB5" s="117">
        <v>25</v>
      </c>
      <c r="AC5" s="117">
        <v>26</v>
      </c>
      <c r="AD5" s="117">
        <v>27</v>
      </c>
      <c r="AE5" s="117">
        <v>28</v>
      </c>
      <c r="AF5" s="117">
        <v>29</v>
      </c>
      <c r="AG5" s="117">
        <v>30</v>
      </c>
      <c r="AH5" s="117">
        <v>31</v>
      </c>
      <c r="AI5" s="117">
        <v>32</v>
      </c>
      <c r="AJ5" s="117">
        <v>33</v>
      </c>
      <c r="AK5" s="117">
        <v>34</v>
      </c>
      <c r="AL5" s="117">
        <v>35</v>
      </c>
      <c r="AM5" s="117">
        <v>36</v>
      </c>
      <c r="AN5" s="117">
        <v>37</v>
      </c>
      <c r="AO5" s="117">
        <v>38</v>
      </c>
      <c r="AP5" s="117">
        <v>39</v>
      </c>
      <c r="AQ5" s="117">
        <v>40</v>
      </c>
      <c r="AR5" s="117">
        <v>41</v>
      </c>
      <c r="AS5" s="117">
        <v>42</v>
      </c>
      <c r="AT5" s="117">
        <v>43</v>
      </c>
      <c r="AU5" s="117">
        <v>44</v>
      </c>
      <c r="AV5" s="117">
        <v>45</v>
      </c>
      <c r="AW5" s="117">
        <v>46</v>
      </c>
      <c r="AX5" s="117">
        <v>47</v>
      </c>
      <c r="AY5" s="117">
        <v>48</v>
      </c>
    </row>
    <row r="6" spans="1:52" x14ac:dyDescent="0.2">
      <c r="A6" s="107" t="s">
        <v>306</v>
      </c>
      <c r="B6" s="119"/>
      <c r="C6" s="118" t="s">
        <v>290</v>
      </c>
      <c r="D6" s="117" t="s">
        <v>291</v>
      </c>
      <c r="E6" s="117" t="s">
        <v>291</v>
      </c>
      <c r="F6" s="117" t="s">
        <v>291</v>
      </c>
      <c r="G6" s="117" t="s">
        <v>291</v>
      </c>
      <c r="H6" s="117" t="s">
        <v>291</v>
      </c>
      <c r="I6" s="117" t="s">
        <v>291</v>
      </c>
      <c r="J6" s="117" t="s">
        <v>291</v>
      </c>
      <c r="K6" s="117" t="s">
        <v>291</v>
      </c>
      <c r="L6" s="117" t="s">
        <v>291</v>
      </c>
      <c r="M6" s="117" t="s">
        <v>291</v>
      </c>
      <c r="N6" s="117" t="s">
        <v>291</v>
      </c>
      <c r="O6" s="117" t="s">
        <v>291</v>
      </c>
      <c r="P6" s="117" t="s">
        <v>291</v>
      </c>
      <c r="Q6" s="117" t="s">
        <v>291</v>
      </c>
      <c r="R6" s="117" t="s">
        <v>291</v>
      </c>
      <c r="S6" s="117" t="s">
        <v>291</v>
      </c>
      <c r="T6" s="117" t="s">
        <v>291</v>
      </c>
      <c r="U6" s="117" t="s">
        <v>291</v>
      </c>
      <c r="V6" s="117" t="s">
        <v>291</v>
      </c>
      <c r="W6" s="117" t="s">
        <v>291</v>
      </c>
      <c r="X6" s="117" t="s">
        <v>291</v>
      </c>
      <c r="Y6" s="117" t="s">
        <v>291</v>
      </c>
      <c r="Z6" s="117" t="s">
        <v>291</v>
      </c>
      <c r="AA6" s="117" t="s">
        <v>291</v>
      </c>
      <c r="AB6" s="117" t="s">
        <v>291</v>
      </c>
      <c r="AC6" s="117" t="s">
        <v>291</v>
      </c>
      <c r="AD6" s="117" t="s">
        <v>291</v>
      </c>
      <c r="AE6" s="117" t="s">
        <v>291</v>
      </c>
      <c r="AF6" s="117" t="s">
        <v>291</v>
      </c>
      <c r="AG6" s="117" t="s">
        <v>291</v>
      </c>
      <c r="AH6" s="117" t="s">
        <v>291</v>
      </c>
      <c r="AI6" s="117" t="s">
        <v>291</v>
      </c>
      <c r="AJ6" s="117" t="s">
        <v>291</v>
      </c>
      <c r="AK6" s="117" t="s">
        <v>291</v>
      </c>
      <c r="AL6" s="117" t="s">
        <v>291</v>
      </c>
      <c r="AM6" s="117" t="s">
        <v>291</v>
      </c>
      <c r="AN6" s="117" t="s">
        <v>291</v>
      </c>
      <c r="AO6" s="117" t="s">
        <v>291</v>
      </c>
      <c r="AP6" s="117" t="s">
        <v>291</v>
      </c>
      <c r="AQ6" s="117" t="s">
        <v>291</v>
      </c>
      <c r="AR6" s="117" t="s">
        <v>291</v>
      </c>
      <c r="AS6" s="117" t="s">
        <v>291</v>
      </c>
      <c r="AT6" s="117" t="s">
        <v>291</v>
      </c>
      <c r="AU6" s="117" t="s">
        <v>291</v>
      </c>
      <c r="AV6" s="117" t="s">
        <v>291</v>
      </c>
      <c r="AW6" s="117" t="s">
        <v>291</v>
      </c>
      <c r="AX6" s="117" t="s">
        <v>291</v>
      </c>
      <c r="AY6" s="116" t="s">
        <v>292</v>
      </c>
      <c r="AZ6" s="147" t="s">
        <v>150</v>
      </c>
    </row>
    <row r="7" spans="1:52" x14ac:dyDescent="0.2">
      <c r="A7" s="120" t="s">
        <v>125</v>
      </c>
      <c r="B7" s="148">
        <v>1</v>
      </c>
      <c r="C7" s="149" t="s">
        <v>295</v>
      </c>
      <c r="D7" s="149">
        <v>638.03132895401711</v>
      </c>
      <c r="E7" s="149">
        <v>638.03132895401711</v>
      </c>
      <c r="F7" s="149">
        <v>638.03132895401711</v>
      </c>
      <c r="G7" s="149">
        <v>638.03132895401711</v>
      </c>
      <c r="H7" s="149">
        <v>701.83446184941897</v>
      </c>
      <c r="I7" s="149">
        <v>701.83446184941897</v>
      </c>
      <c r="J7" s="149">
        <v>701.83446184941897</v>
      </c>
      <c r="K7" s="149">
        <v>701.83446184941897</v>
      </c>
      <c r="L7" s="149">
        <v>701.83446184941897</v>
      </c>
      <c r="M7" s="149">
        <v>701.83446184941897</v>
      </c>
      <c r="N7" s="149">
        <v>701.83446184941897</v>
      </c>
      <c r="O7" s="149">
        <v>701.83446184941897</v>
      </c>
      <c r="P7" s="149">
        <v>638.03132895401711</v>
      </c>
      <c r="Q7" s="149">
        <v>638.03132895401711</v>
      </c>
      <c r="R7" s="149">
        <v>638.03132895401711</v>
      </c>
      <c r="S7" s="149">
        <v>638.03132895401711</v>
      </c>
      <c r="T7" s="149">
        <v>574.22819605861548</v>
      </c>
      <c r="U7" s="149">
        <v>574.22819605861548</v>
      </c>
      <c r="V7" s="149">
        <v>574.22819605861548</v>
      </c>
      <c r="W7" s="149">
        <v>574.22819605861548</v>
      </c>
      <c r="X7" s="149">
        <v>574.22819605861548</v>
      </c>
      <c r="Y7" s="149">
        <v>574.22819605861548</v>
      </c>
      <c r="Z7" s="149">
        <v>574.22819605861548</v>
      </c>
      <c r="AA7" s="149">
        <v>574.22819605861548</v>
      </c>
      <c r="AB7" s="149">
        <v>574.22819605861548</v>
      </c>
      <c r="AC7" s="149">
        <v>574.22819605861548</v>
      </c>
      <c r="AD7" s="149">
        <v>574.22819605861548</v>
      </c>
      <c r="AE7" s="149">
        <v>574.22819605861548</v>
      </c>
      <c r="AF7" s="149">
        <v>701.83446184941897</v>
      </c>
      <c r="AG7" s="149">
        <v>701.83446184941897</v>
      </c>
      <c r="AH7" s="149">
        <v>701.83446184941897</v>
      </c>
      <c r="AI7" s="149">
        <v>701.83446184941897</v>
      </c>
      <c r="AJ7" s="149">
        <v>701.83446184941897</v>
      </c>
      <c r="AK7" s="149">
        <v>701.83446184941897</v>
      </c>
      <c r="AL7" s="149">
        <v>701.83446184941897</v>
      </c>
      <c r="AM7" s="149">
        <v>701.83446184941897</v>
      </c>
      <c r="AN7" s="149">
        <v>701.83446184941897</v>
      </c>
      <c r="AO7" s="149">
        <v>701.83446184941897</v>
      </c>
      <c r="AP7" s="149">
        <v>701.83446184941897</v>
      </c>
      <c r="AQ7" s="149">
        <v>701.83446184941897</v>
      </c>
      <c r="AR7" s="149">
        <v>638.03132895401711</v>
      </c>
      <c r="AS7" s="149">
        <v>638.03132895401711</v>
      </c>
      <c r="AT7" s="149">
        <v>638.03132895401711</v>
      </c>
      <c r="AU7" s="149">
        <v>638.03132895401711</v>
      </c>
      <c r="AV7" s="149">
        <v>574.22819605861548</v>
      </c>
      <c r="AW7" s="149">
        <v>574.22819605861548</v>
      </c>
      <c r="AX7" s="149">
        <v>574.22819605861548</v>
      </c>
      <c r="AY7" s="149">
        <v>574.22819605861548</v>
      </c>
      <c r="AZ7" s="111"/>
    </row>
    <row r="8" spans="1:52" x14ac:dyDescent="0.2">
      <c r="A8" s="150"/>
      <c r="B8" s="151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2"/>
    </row>
    <row r="9" spans="1:52" x14ac:dyDescent="0.2">
      <c r="A9" s="107" t="s">
        <v>296</v>
      </c>
      <c r="B9" s="153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  <c r="AU9" s="111"/>
      <c r="AV9" s="111"/>
      <c r="AW9" s="111"/>
      <c r="AX9" s="111"/>
      <c r="AY9" s="111"/>
      <c r="AZ9" s="111"/>
    </row>
    <row r="10" spans="1:52" x14ac:dyDescent="0.2">
      <c r="A10" s="154" t="s">
        <v>125</v>
      </c>
      <c r="B10" s="155">
        <v>1</v>
      </c>
      <c r="C10" s="149" t="s">
        <v>295</v>
      </c>
      <c r="D10" s="149">
        <f t="shared" ref="D10:AY10" si="0">MAX(SUM(D$14:D$16)+D$7-$B$3,0)</f>
        <v>0</v>
      </c>
      <c r="E10" s="149">
        <f t="shared" si="0"/>
        <v>0</v>
      </c>
      <c r="F10" s="149">
        <f t="shared" si="0"/>
        <v>0</v>
      </c>
      <c r="G10" s="149">
        <f t="shared" si="0"/>
        <v>0</v>
      </c>
      <c r="H10" s="149">
        <f t="shared" si="0"/>
        <v>0</v>
      </c>
      <c r="I10" s="149">
        <f t="shared" si="0"/>
        <v>0</v>
      </c>
      <c r="J10" s="149">
        <f t="shared" si="0"/>
        <v>0</v>
      </c>
      <c r="K10" s="149">
        <f t="shared" si="0"/>
        <v>0</v>
      </c>
      <c r="L10" s="149">
        <f t="shared" si="0"/>
        <v>0</v>
      </c>
      <c r="M10" s="149">
        <f t="shared" si="0"/>
        <v>0</v>
      </c>
      <c r="N10" s="149">
        <f t="shared" si="0"/>
        <v>0</v>
      </c>
      <c r="O10" s="149">
        <f t="shared" si="0"/>
        <v>0</v>
      </c>
      <c r="P10" s="149">
        <f t="shared" si="0"/>
        <v>0</v>
      </c>
      <c r="Q10" s="149">
        <f t="shared" si="0"/>
        <v>0</v>
      </c>
      <c r="R10" s="149">
        <f t="shared" si="0"/>
        <v>0</v>
      </c>
      <c r="S10" s="149">
        <f t="shared" si="0"/>
        <v>0</v>
      </c>
      <c r="T10" s="149">
        <f t="shared" si="0"/>
        <v>0</v>
      </c>
      <c r="U10" s="149">
        <f t="shared" si="0"/>
        <v>0</v>
      </c>
      <c r="V10" s="149">
        <f t="shared" si="0"/>
        <v>0</v>
      </c>
      <c r="W10" s="149">
        <f t="shared" si="0"/>
        <v>0</v>
      </c>
      <c r="X10" s="149">
        <f t="shared" si="0"/>
        <v>0</v>
      </c>
      <c r="Y10" s="149">
        <f t="shared" si="0"/>
        <v>0</v>
      </c>
      <c r="Z10" s="149">
        <f t="shared" si="0"/>
        <v>0</v>
      </c>
      <c r="AA10" s="149">
        <f t="shared" si="0"/>
        <v>0</v>
      </c>
      <c r="AB10" s="149">
        <f t="shared" si="0"/>
        <v>0</v>
      </c>
      <c r="AC10" s="149">
        <f t="shared" si="0"/>
        <v>0</v>
      </c>
      <c r="AD10" s="149">
        <f t="shared" si="0"/>
        <v>0</v>
      </c>
      <c r="AE10" s="149">
        <f t="shared" si="0"/>
        <v>0</v>
      </c>
      <c r="AF10" s="149">
        <f t="shared" si="0"/>
        <v>0</v>
      </c>
      <c r="AG10" s="149">
        <f t="shared" si="0"/>
        <v>0</v>
      </c>
      <c r="AH10" s="149">
        <f t="shared" si="0"/>
        <v>0</v>
      </c>
      <c r="AI10" s="149">
        <f t="shared" si="0"/>
        <v>0</v>
      </c>
      <c r="AJ10" s="149">
        <f t="shared" si="0"/>
        <v>0</v>
      </c>
      <c r="AK10" s="149">
        <f t="shared" si="0"/>
        <v>0</v>
      </c>
      <c r="AL10" s="149">
        <f t="shared" si="0"/>
        <v>0</v>
      </c>
      <c r="AM10" s="149">
        <f t="shared" si="0"/>
        <v>0</v>
      </c>
      <c r="AN10" s="149">
        <f t="shared" si="0"/>
        <v>0</v>
      </c>
      <c r="AO10" s="149">
        <f t="shared" si="0"/>
        <v>0</v>
      </c>
      <c r="AP10" s="149">
        <f t="shared" si="0"/>
        <v>0</v>
      </c>
      <c r="AQ10" s="149">
        <f t="shared" si="0"/>
        <v>0</v>
      </c>
      <c r="AR10" s="149">
        <f t="shared" si="0"/>
        <v>0</v>
      </c>
      <c r="AS10" s="149">
        <f t="shared" si="0"/>
        <v>0</v>
      </c>
      <c r="AT10" s="149">
        <f t="shared" si="0"/>
        <v>0</v>
      </c>
      <c r="AU10" s="149">
        <f t="shared" si="0"/>
        <v>0</v>
      </c>
      <c r="AV10" s="149">
        <f t="shared" si="0"/>
        <v>0</v>
      </c>
      <c r="AW10" s="149">
        <f t="shared" si="0"/>
        <v>0</v>
      </c>
      <c r="AX10" s="149">
        <f t="shared" si="0"/>
        <v>0</v>
      </c>
      <c r="AY10" s="149">
        <f t="shared" si="0"/>
        <v>0</v>
      </c>
      <c r="AZ10" s="156">
        <f>SUM($D10:$AY10)</f>
        <v>0</v>
      </c>
    </row>
    <row r="11" spans="1:52" x14ac:dyDescent="0.2">
      <c r="C11" s="115"/>
    </row>
    <row r="12" spans="1:52" x14ac:dyDescent="0.2">
      <c r="A12" s="157" t="s">
        <v>297</v>
      </c>
      <c r="B12" s="151"/>
      <c r="C12" s="115"/>
    </row>
    <row r="13" spans="1:52" x14ac:dyDescent="0.2">
      <c r="A13" s="127" t="s">
        <v>125</v>
      </c>
      <c r="B13" s="128">
        <v>1</v>
      </c>
      <c r="C13" s="129"/>
      <c r="D13" s="143">
        <f t="shared" ref="D13:AY13" si="1">D$7-D$10</f>
        <v>638.03132895401711</v>
      </c>
      <c r="E13" s="143">
        <f t="shared" si="1"/>
        <v>638.03132895401711</v>
      </c>
      <c r="F13" s="143">
        <f t="shared" si="1"/>
        <v>638.03132895401711</v>
      </c>
      <c r="G13" s="143">
        <f t="shared" si="1"/>
        <v>638.03132895401711</v>
      </c>
      <c r="H13" s="143">
        <f t="shared" si="1"/>
        <v>701.83446184941897</v>
      </c>
      <c r="I13" s="143">
        <f t="shared" si="1"/>
        <v>701.83446184941897</v>
      </c>
      <c r="J13" s="143">
        <f t="shared" si="1"/>
        <v>701.83446184941897</v>
      </c>
      <c r="K13" s="143">
        <f t="shared" si="1"/>
        <v>701.83446184941897</v>
      </c>
      <c r="L13" s="143">
        <f t="shared" si="1"/>
        <v>701.83446184941897</v>
      </c>
      <c r="M13" s="143">
        <f t="shared" si="1"/>
        <v>701.83446184941897</v>
      </c>
      <c r="N13" s="143">
        <f t="shared" si="1"/>
        <v>701.83446184941897</v>
      </c>
      <c r="O13" s="143">
        <f t="shared" si="1"/>
        <v>701.83446184941897</v>
      </c>
      <c r="P13" s="143">
        <f t="shared" si="1"/>
        <v>638.03132895401711</v>
      </c>
      <c r="Q13" s="143">
        <f t="shared" si="1"/>
        <v>638.03132895401711</v>
      </c>
      <c r="R13" s="143">
        <f t="shared" si="1"/>
        <v>638.03132895401711</v>
      </c>
      <c r="S13" s="143">
        <f t="shared" si="1"/>
        <v>638.03132895401711</v>
      </c>
      <c r="T13" s="143">
        <f t="shared" si="1"/>
        <v>574.22819605861548</v>
      </c>
      <c r="U13" s="143">
        <f t="shared" si="1"/>
        <v>574.22819605861548</v>
      </c>
      <c r="V13" s="143">
        <f t="shared" si="1"/>
        <v>574.22819605861548</v>
      </c>
      <c r="W13" s="143">
        <f t="shared" si="1"/>
        <v>574.22819605861548</v>
      </c>
      <c r="X13" s="143">
        <f t="shared" si="1"/>
        <v>574.22819605861548</v>
      </c>
      <c r="Y13" s="143">
        <f t="shared" si="1"/>
        <v>574.22819605861548</v>
      </c>
      <c r="Z13" s="143">
        <f t="shared" si="1"/>
        <v>574.22819605861548</v>
      </c>
      <c r="AA13" s="143">
        <f t="shared" si="1"/>
        <v>574.22819605861548</v>
      </c>
      <c r="AB13" s="143">
        <f t="shared" si="1"/>
        <v>574.22819605861548</v>
      </c>
      <c r="AC13" s="143">
        <f t="shared" si="1"/>
        <v>574.22819605861548</v>
      </c>
      <c r="AD13" s="143">
        <f t="shared" si="1"/>
        <v>574.22819605861548</v>
      </c>
      <c r="AE13" s="143">
        <f t="shared" si="1"/>
        <v>574.22819605861548</v>
      </c>
      <c r="AF13" s="143">
        <f t="shared" si="1"/>
        <v>701.83446184941897</v>
      </c>
      <c r="AG13" s="143">
        <f t="shared" si="1"/>
        <v>701.83446184941897</v>
      </c>
      <c r="AH13" s="143">
        <f t="shared" si="1"/>
        <v>701.83446184941897</v>
      </c>
      <c r="AI13" s="143">
        <f t="shared" si="1"/>
        <v>701.83446184941897</v>
      </c>
      <c r="AJ13" s="143">
        <f t="shared" si="1"/>
        <v>701.83446184941897</v>
      </c>
      <c r="AK13" s="143">
        <f t="shared" si="1"/>
        <v>701.83446184941897</v>
      </c>
      <c r="AL13" s="143">
        <f t="shared" si="1"/>
        <v>701.83446184941897</v>
      </c>
      <c r="AM13" s="143">
        <f t="shared" si="1"/>
        <v>701.83446184941897</v>
      </c>
      <c r="AN13" s="143">
        <f t="shared" si="1"/>
        <v>701.83446184941897</v>
      </c>
      <c r="AO13" s="143">
        <f t="shared" si="1"/>
        <v>701.83446184941897</v>
      </c>
      <c r="AP13" s="143">
        <f t="shared" si="1"/>
        <v>701.83446184941897</v>
      </c>
      <c r="AQ13" s="143">
        <f t="shared" si="1"/>
        <v>701.83446184941897</v>
      </c>
      <c r="AR13" s="143">
        <f t="shared" si="1"/>
        <v>638.03132895401711</v>
      </c>
      <c r="AS13" s="143">
        <f t="shared" si="1"/>
        <v>638.03132895401711</v>
      </c>
      <c r="AT13" s="143">
        <f t="shared" si="1"/>
        <v>638.03132895401711</v>
      </c>
      <c r="AU13" s="143">
        <f t="shared" si="1"/>
        <v>638.03132895401711</v>
      </c>
      <c r="AV13" s="143">
        <f t="shared" si="1"/>
        <v>574.22819605861548</v>
      </c>
      <c r="AW13" s="143">
        <f t="shared" si="1"/>
        <v>574.22819605861548</v>
      </c>
      <c r="AX13" s="143">
        <f t="shared" si="1"/>
        <v>574.22819605861548</v>
      </c>
      <c r="AY13" s="143">
        <f t="shared" si="1"/>
        <v>574.22819605861548</v>
      </c>
      <c r="AZ13" s="114"/>
    </row>
    <row r="14" spans="1:52" x14ac:dyDescent="0.2">
      <c r="A14" s="115"/>
      <c r="B14" s="125">
        <v>2</v>
      </c>
      <c r="C14" s="115"/>
      <c r="D14" s="111">
        <f>IF(C$20="Yes",C13,0)</f>
        <v>0</v>
      </c>
      <c r="E14" s="111">
        <f t="shared" ref="E14:AY17" si="2">IF(D$20="Yes",D13,0)</f>
        <v>0</v>
      </c>
      <c r="F14" s="111">
        <f t="shared" si="2"/>
        <v>0</v>
      </c>
      <c r="G14" s="111">
        <f t="shared" si="2"/>
        <v>0</v>
      </c>
      <c r="H14" s="111">
        <f t="shared" si="2"/>
        <v>0</v>
      </c>
      <c r="I14" s="111">
        <f t="shared" si="2"/>
        <v>0</v>
      </c>
      <c r="J14" s="111">
        <f t="shared" si="2"/>
        <v>0</v>
      </c>
      <c r="K14" s="111">
        <f t="shared" si="2"/>
        <v>0</v>
      </c>
      <c r="L14" s="111">
        <f t="shared" si="2"/>
        <v>0</v>
      </c>
      <c r="M14" s="111">
        <f t="shared" si="2"/>
        <v>0</v>
      </c>
      <c r="N14" s="111">
        <f t="shared" si="2"/>
        <v>0</v>
      </c>
      <c r="O14" s="111">
        <f t="shared" si="2"/>
        <v>0</v>
      </c>
      <c r="P14" s="111">
        <f t="shared" si="2"/>
        <v>0</v>
      </c>
      <c r="Q14" s="111">
        <f t="shared" si="2"/>
        <v>0</v>
      </c>
      <c r="R14" s="111">
        <f t="shared" si="2"/>
        <v>0</v>
      </c>
      <c r="S14" s="111">
        <f t="shared" si="2"/>
        <v>0</v>
      </c>
      <c r="T14" s="111">
        <f t="shared" si="2"/>
        <v>0</v>
      </c>
      <c r="U14" s="111">
        <f t="shared" si="2"/>
        <v>0</v>
      </c>
      <c r="V14" s="111">
        <f t="shared" si="2"/>
        <v>0</v>
      </c>
      <c r="W14" s="111">
        <f t="shared" si="2"/>
        <v>0</v>
      </c>
      <c r="X14" s="111">
        <f t="shared" si="2"/>
        <v>0</v>
      </c>
      <c r="Y14" s="111">
        <f t="shared" si="2"/>
        <v>0</v>
      </c>
      <c r="Z14" s="111">
        <f t="shared" si="2"/>
        <v>0</v>
      </c>
      <c r="AA14" s="111">
        <f t="shared" si="2"/>
        <v>0</v>
      </c>
      <c r="AB14" s="111">
        <f t="shared" si="2"/>
        <v>0</v>
      </c>
      <c r="AC14" s="111">
        <f t="shared" si="2"/>
        <v>0</v>
      </c>
      <c r="AD14" s="111">
        <f t="shared" si="2"/>
        <v>0</v>
      </c>
      <c r="AE14" s="111">
        <f t="shared" si="2"/>
        <v>0</v>
      </c>
      <c r="AF14" s="111">
        <f t="shared" si="2"/>
        <v>0</v>
      </c>
      <c r="AG14" s="111">
        <f t="shared" si="2"/>
        <v>0</v>
      </c>
      <c r="AH14" s="111">
        <f t="shared" si="2"/>
        <v>0</v>
      </c>
      <c r="AI14" s="111">
        <f t="shared" si="2"/>
        <v>0</v>
      </c>
      <c r="AJ14" s="111">
        <f t="shared" si="2"/>
        <v>0</v>
      </c>
      <c r="AK14" s="111">
        <f t="shared" si="2"/>
        <v>0</v>
      </c>
      <c r="AL14" s="111">
        <f t="shared" si="2"/>
        <v>0</v>
      </c>
      <c r="AM14" s="111">
        <f t="shared" si="2"/>
        <v>0</v>
      </c>
      <c r="AN14" s="111">
        <f t="shared" si="2"/>
        <v>0</v>
      </c>
      <c r="AO14" s="111">
        <f t="shared" si="2"/>
        <v>0</v>
      </c>
      <c r="AP14" s="111">
        <f t="shared" si="2"/>
        <v>0</v>
      </c>
      <c r="AQ14" s="111">
        <f t="shared" si="2"/>
        <v>0</v>
      </c>
      <c r="AR14" s="111">
        <f t="shared" si="2"/>
        <v>0</v>
      </c>
      <c r="AS14" s="111">
        <f t="shared" si="2"/>
        <v>0</v>
      </c>
      <c r="AT14" s="111">
        <f t="shared" si="2"/>
        <v>0</v>
      </c>
      <c r="AU14" s="111">
        <f t="shared" si="2"/>
        <v>0</v>
      </c>
      <c r="AV14" s="111">
        <f t="shared" si="2"/>
        <v>0</v>
      </c>
      <c r="AW14" s="111">
        <f t="shared" si="2"/>
        <v>0</v>
      </c>
      <c r="AX14" s="111">
        <f t="shared" si="2"/>
        <v>0</v>
      </c>
      <c r="AY14" s="111">
        <f t="shared" si="2"/>
        <v>0</v>
      </c>
      <c r="AZ14" s="114"/>
    </row>
    <row r="15" spans="1:52" x14ac:dyDescent="0.2">
      <c r="A15" s="115"/>
      <c r="B15" s="132">
        <v>3</v>
      </c>
      <c r="C15" s="115"/>
      <c r="D15" s="111">
        <f>IF(C$20="Yes",C14,0)</f>
        <v>0</v>
      </c>
      <c r="E15" s="111">
        <f t="shared" si="2"/>
        <v>0</v>
      </c>
      <c r="F15" s="111">
        <f t="shared" si="2"/>
        <v>0</v>
      </c>
      <c r="G15" s="111">
        <f t="shared" si="2"/>
        <v>0</v>
      </c>
      <c r="H15" s="111">
        <f t="shared" si="2"/>
        <v>0</v>
      </c>
      <c r="I15" s="111">
        <f t="shared" si="2"/>
        <v>0</v>
      </c>
      <c r="J15" s="111">
        <f t="shared" si="2"/>
        <v>0</v>
      </c>
      <c r="K15" s="111">
        <f t="shared" si="2"/>
        <v>0</v>
      </c>
      <c r="L15" s="111">
        <f t="shared" si="2"/>
        <v>0</v>
      </c>
      <c r="M15" s="111">
        <f t="shared" si="2"/>
        <v>0</v>
      </c>
      <c r="N15" s="111">
        <f t="shared" si="2"/>
        <v>0</v>
      </c>
      <c r="O15" s="111">
        <f t="shared" si="2"/>
        <v>0</v>
      </c>
      <c r="P15" s="111">
        <f t="shared" si="2"/>
        <v>0</v>
      </c>
      <c r="Q15" s="111">
        <f t="shared" si="2"/>
        <v>0</v>
      </c>
      <c r="R15" s="111">
        <f t="shared" si="2"/>
        <v>0</v>
      </c>
      <c r="S15" s="111">
        <f t="shared" si="2"/>
        <v>0</v>
      </c>
      <c r="T15" s="111">
        <f t="shared" si="2"/>
        <v>0</v>
      </c>
      <c r="U15" s="111">
        <f t="shared" si="2"/>
        <v>0</v>
      </c>
      <c r="V15" s="111">
        <f t="shared" si="2"/>
        <v>0</v>
      </c>
      <c r="W15" s="111">
        <f t="shared" si="2"/>
        <v>0</v>
      </c>
      <c r="X15" s="111">
        <f t="shared" si="2"/>
        <v>0</v>
      </c>
      <c r="Y15" s="111">
        <f t="shared" si="2"/>
        <v>0</v>
      </c>
      <c r="Z15" s="111">
        <f t="shared" si="2"/>
        <v>0</v>
      </c>
      <c r="AA15" s="111">
        <f t="shared" si="2"/>
        <v>0</v>
      </c>
      <c r="AB15" s="111">
        <f t="shared" si="2"/>
        <v>0</v>
      </c>
      <c r="AC15" s="111">
        <f t="shared" si="2"/>
        <v>0</v>
      </c>
      <c r="AD15" s="111">
        <f t="shared" si="2"/>
        <v>0</v>
      </c>
      <c r="AE15" s="111">
        <f t="shared" si="2"/>
        <v>0</v>
      </c>
      <c r="AF15" s="111">
        <f t="shared" si="2"/>
        <v>0</v>
      </c>
      <c r="AG15" s="111">
        <f t="shared" si="2"/>
        <v>0</v>
      </c>
      <c r="AH15" s="111">
        <f t="shared" si="2"/>
        <v>0</v>
      </c>
      <c r="AI15" s="111">
        <f t="shared" si="2"/>
        <v>0</v>
      </c>
      <c r="AJ15" s="111">
        <f t="shared" si="2"/>
        <v>0</v>
      </c>
      <c r="AK15" s="111">
        <f t="shared" si="2"/>
        <v>0</v>
      </c>
      <c r="AL15" s="111">
        <f t="shared" si="2"/>
        <v>0</v>
      </c>
      <c r="AM15" s="111">
        <f t="shared" si="2"/>
        <v>0</v>
      </c>
      <c r="AN15" s="111">
        <f t="shared" si="2"/>
        <v>0</v>
      </c>
      <c r="AO15" s="111">
        <f t="shared" si="2"/>
        <v>0</v>
      </c>
      <c r="AP15" s="111">
        <f t="shared" si="2"/>
        <v>0</v>
      </c>
      <c r="AQ15" s="111">
        <f t="shared" si="2"/>
        <v>0</v>
      </c>
      <c r="AR15" s="111">
        <f t="shared" si="2"/>
        <v>0</v>
      </c>
      <c r="AS15" s="111">
        <f t="shared" si="2"/>
        <v>0</v>
      </c>
      <c r="AT15" s="111">
        <f t="shared" si="2"/>
        <v>0</v>
      </c>
      <c r="AU15" s="111">
        <f t="shared" si="2"/>
        <v>0</v>
      </c>
      <c r="AV15" s="111">
        <f t="shared" si="2"/>
        <v>0</v>
      </c>
      <c r="AW15" s="111">
        <f t="shared" si="2"/>
        <v>0</v>
      </c>
      <c r="AX15" s="111">
        <f t="shared" si="2"/>
        <v>0</v>
      </c>
      <c r="AY15" s="111">
        <f t="shared" si="2"/>
        <v>0</v>
      </c>
      <c r="AZ15" s="114"/>
    </row>
    <row r="16" spans="1:52" x14ac:dyDescent="0.2">
      <c r="A16" s="115"/>
      <c r="B16" s="135">
        <v>4</v>
      </c>
      <c r="C16" s="115"/>
      <c r="D16" s="111">
        <f>IF(C$20="Yes",C15,0)</f>
        <v>0</v>
      </c>
      <c r="E16" s="111">
        <f t="shared" si="2"/>
        <v>0</v>
      </c>
      <c r="F16" s="111">
        <f t="shared" si="2"/>
        <v>0</v>
      </c>
      <c r="G16" s="111">
        <f t="shared" si="2"/>
        <v>0</v>
      </c>
      <c r="H16" s="111">
        <f t="shared" si="2"/>
        <v>0</v>
      </c>
      <c r="I16" s="111">
        <f t="shared" si="2"/>
        <v>0</v>
      </c>
      <c r="J16" s="111">
        <f t="shared" si="2"/>
        <v>0</v>
      </c>
      <c r="K16" s="111">
        <f t="shared" si="2"/>
        <v>0</v>
      </c>
      <c r="L16" s="111">
        <f t="shared" si="2"/>
        <v>0</v>
      </c>
      <c r="M16" s="111">
        <f t="shared" si="2"/>
        <v>0</v>
      </c>
      <c r="N16" s="111">
        <f t="shared" si="2"/>
        <v>0</v>
      </c>
      <c r="O16" s="111">
        <f t="shared" si="2"/>
        <v>0</v>
      </c>
      <c r="P16" s="111">
        <f t="shared" si="2"/>
        <v>0</v>
      </c>
      <c r="Q16" s="111">
        <f t="shared" si="2"/>
        <v>0</v>
      </c>
      <c r="R16" s="111">
        <f t="shared" si="2"/>
        <v>0</v>
      </c>
      <c r="S16" s="111">
        <f t="shared" si="2"/>
        <v>0</v>
      </c>
      <c r="T16" s="111">
        <f t="shared" si="2"/>
        <v>0</v>
      </c>
      <c r="U16" s="111">
        <f t="shared" si="2"/>
        <v>0</v>
      </c>
      <c r="V16" s="111">
        <f t="shared" si="2"/>
        <v>0</v>
      </c>
      <c r="W16" s="111">
        <f t="shared" si="2"/>
        <v>0</v>
      </c>
      <c r="X16" s="111">
        <f t="shared" si="2"/>
        <v>0</v>
      </c>
      <c r="Y16" s="111">
        <f t="shared" si="2"/>
        <v>0</v>
      </c>
      <c r="Z16" s="111">
        <f t="shared" si="2"/>
        <v>0</v>
      </c>
      <c r="AA16" s="111">
        <f t="shared" si="2"/>
        <v>0</v>
      </c>
      <c r="AB16" s="111">
        <f t="shared" si="2"/>
        <v>0</v>
      </c>
      <c r="AC16" s="111">
        <f t="shared" si="2"/>
        <v>0</v>
      </c>
      <c r="AD16" s="111">
        <f t="shared" si="2"/>
        <v>0</v>
      </c>
      <c r="AE16" s="111">
        <f t="shared" si="2"/>
        <v>0</v>
      </c>
      <c r="AF16" s="111">
        <f t="shared" si="2"/>
        <v>0</v>
      </c>
      <c r="AG16" s="111">
        <f t="shared" si="2"/>
        <v>0</v>
      </c>
      <c r="AH16" s="111">
        <f t="shared" si="2"/>
        <v>0</v>
      </c>
      <c r="AI16" s="111">
        <f t="shared" si="2"/>
        <v>0</v>
      </c>
      <c r="AJ16" s="111">
        <f t="shared" si="2"/>
        <v>0</v>
      </c>
      <c r="AK16" s="111">
        <f t="shared" si="2"/>
        <v>0</v>
      </c>
      <c r="AL16" s="111">
        <f t="shared" si="2"/>
        <v>0</v>
      </c>
      <c r="AM16" s="111">
        <f t="shared" si="2"/>
        <v>0</v>
      </c>
      <c r="AN16" s="111">
        <f t="shared" si="2"/>
        <v>0</v>
      </c>
      <c r="AO16" s="111">
        <f t="shared" si="2"/>
        <v>0</v>
      </c>
      <c r="AP16" s="111">
        <f t="shared" si="2"/>
        <v>0</v>
      </c>
      <c r="AQ16" s="111">
        <f t="shared" si="2"/>
        <v>0</v>
      </c>
      <c r="AR16" s="111">
        <f t="shared" si="2"/>
        <v>0</v>
      </c>
      <c r="AS16" s="111">
        <f t="shared" si="2"/>
        <v>0</v>
      </c>
      <c r="AT16" s="111">
        <f t="shared" si="2"/>
        <v>0</v>
      </c>
      <c r="AU16" s="111">
        <f t="shared" si="2"/>
        <v>0</v>
      </c>
      <c r="AV16" s="111">
        <f t="shared" si="2"/>
        <v>0</v>
      </c>
      <c r="AW16" s="111">
        <f t="shared" si="2"/>
        <v>0</v>
      </c>
      <c r="AX16" s="111">
        <f t="shared" si="2"/>
        <v>0</v>
      </c>
      <c r="AY16" s="111">
        <f t="shared" si="2"/>
        <v>0</v>
      </c>
      <c r="AZ16" s="133"/>
    </row>
    <row r="17" spans="1:52" x14ac:dyDescent="0.2">
      <c r="A17" s="130"/>
      <c r="B17" s="137" t="s">
        <v>298</v>
      </c>
      <c r="C17" s="130"/>
      <c r="D17" s="119">
        <f>IF(C$20="Yes",C16,0)</f>
        <v>0</v>
      </c>
      <c r="E17" s="119">
        <f t="shared" si="2"/>
        <v>0</v>
      </c>
      <c r="F17" s="119">
        <f t="shared" si="2"/>
        <v>0</v>
      </c>
      <c r="G17" s="119">
        <f t="shared" si="2"/>
        <v>0</v>
      </c>
      <c r="H17" s="119">
        <f t="shared" si="2"/>
        <v>0</v>
      </c>
      <c r="I17" s="119">
        <f t="shared" si="2"/>
        <v>0</v>
      </c>
      <c r="J17" s="119">
        <f t="shared" si="2"/>
        <v>0</v>
      </c>
      <c r="K17" s="119">
        <f t="shared" si="2"/>
        <v>0</v>
      </c>
      <c r="L17" s="119">
        <f t="shared" si="2"/>
        <v>0</v>
      </c>
      <c r="M17" s="119">
        <f t="shared" si="2"/>
        <v>0</v>
      </c>
      <c r="N17" s="119">
        <f t="shared" si="2"/>
        <v>0</v>
      </c>
      <c r="O17" s="119">
        <f t="shared" si="2"/>
        <v>0</v>
      </c>
      <c r="P17" s="119">
        <f t="shared" si="2"/>
        <v>0</v>
      </c>
      <c r="Q17" s="119">
        <f t="shared" si="2"/>
        <v>0</v>
      </c>
      <c r="R17" s="119">
        <f t="shared" si="2"/>
        <v>0</v>
      </c>
      <c r="S17" s="119">
        <f t="shared" si="2"/>
        <v>0</v>
      </c>
      <c r="T17" s="119">
        <f t="shared" si="2"/>
        <v>0</v>
      </c>
      <c r="U17" s="119">
        <f t="shared" si="2"/>
        <v>0</v>
      </c>
      <c r="V17" s="119">
        <f t="shared" si="2"/>
        <v>0</v>
      </c>
      <c r="W17" s="119">
        <f t="shared" si="2"/>
        <v>0</v>
      </c>
      <c r="X17" s="119">
        <f t="shared" si="2"/>
        <v>0</v>
      </c>
      <c r="Y17" s="119">
        <f t="shared" si="2"/>
        <v>0</v>
      </c>
      <c r="Z17" s="119">
        <f t="shared" si="2"/>
        <v>0</v>
      </c>
      <c r="AA17" s="119">
        <f t="shared" si="2"/>
        <v>0</v>
      </c>
      <c r="AB17" s="119">
        <f t="shared" si="2"/>
        <v>0</v>
      </c>
      <c r="AC17" s="119">
        <f t="shared" si="2"/>
        <v>0</v>
      </c>
      <c r="AD17" s="119">
        <f t="shared" si="2"/>
        <v>0</v>
      </c>
      <c r="AE17" s="119">
        <f t="shared" si="2"/>
        <v>0</v>
      </c>
      <c r="AF17" s="119">
        <f t="shared" si="2"/>
        <v>0</v>
      </c>
      <c r="AG17" s="119">
        <f t="shared" si="2"/>
        <v>0</v>
      </c>
      <c r="AH17" s="119">
        <f t="shared" si="2"/>
        <v>0</v>
      </c>
      <c r="AI17" s="119">
        <f t="shared" si="2"/>
        <v>0</v>
      </c>
      <c r="AJ17" s="119">
        <f t="shared" si="2"/>
        <v>0</v>
      </c>
      <c r="AK17" s="119">
        <f t="shared" si="2"/>
        <v>0</v>
      </c>
      <c r="AL17" s="119">
        <f t="shared" si="2"/>
        <v>0</v>
      </c>
      <c r="AM17" s="119">
        <f t="shared" si="2"/>
        <v>0</v>
      </c>
      <c r="AN17" s="119">
        <f t="shared" si="2"/>
        <v>0</v>
      </c>
      <c r="AO17" s="119">
        <f t="shared" si="2"/>
        <v>0</v>
      </c>
      <c r="AP17" s="119">
        <f t="shared" si="2"/>
        <v>0</v>
      </c>
      <c r="AQ17" s="119">
        <f t="shared" si="2"/>
        <v>0</v>
      </c>
      <c r="AR17" s="119">
        <f t="shared" si="2"/>
        <v>0</v>
      </c>
      <c r="AS17" s="119">
        <f t="shared" si="2"/>
        <v>0</v>
      </c>
      <c r="AT17" s="119">
        <f t="shared" si="2"/>
        <v>0</v>
      </c>
      <c r="AU17" s="119">
        <f t="shared" si="2"/>
        <v>0</v>
      </c>
      <c r="AV17" s="119">
        <f t="shared" si="2"/>
        <v>0</v>
      </c>
      <c r="AW17" s="119">
        <f t="shared" si="2"/>
        <v>0</v>
      </c>
      <c r="AX17" s="119">
        <f t="shared" si="2"/>
        <v>0</v>
      </c>
      <c r="AY17" s="119">
        <f t="shared" si="2"/>
        <v>0</v>
      </c>
      <c r="AZ17" s="156">
        <f>SUM($D$17:$AY$17)</f>
        <v>0</v>
      </c>
    </row>
    <row r="18" spans="1:52" x14ac:dyDescent="0.2">
      <c r="A18" s="111"/>
      <c r="B18" s="158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11"/>
    </row>
    <row r="19" spans="1:52" x14ac:dyDescent="0.2">
      <c r="A19" s="107" t="s">
        <v>116</v>
      </c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</row>
    <row r="20" spans="1:52" s="115" customFormat="1" x14ac:dyDescent="0.2">
      <c r="A20" s="120" t="s">
        <v>307</v>
      </c>
      <c r="B20" s="159" t="s">
        <v>308</v>
      </c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22"/>
      <c r="AL20" s="122"/>
      <c r="AM20" s="122"/>
      <c r="AN20" s="122"/>
      <c r="AO20" s="122"/>
      <c r="AP20" s="122"/>
      <c r="AQ20" s="122"/>
      <c r="AR20" s="122"/>
      <c r="AS20" s="122"/>
      <c r="AT20" s="122"/>
      <c r="AU20" s="122"/>
      <c r="AV20" s="122"/>
      <c r="AW20" s="122"/>
      <c r="AX20" s="122"/>
      <c r="AY20" s="122"/>
      <c r="AZ20" s="112"/>
    </row>
    <row r="21" spans="1:52" s="115" customFormat="1" x14ac:dyDescent="0.2">
      <c r="A21" s="160" t="s">
        <v>133</v>
      </c>
      <c r="B21" s="161">
        <f>shipping_manufacturing!$E$19/100</f>
        <v>0.60250391236306733</v>
      </c>
      <c r="C21" s="161" t="s">
        <v>295</v>
      </c>
      <c r="D21" s="111">
        <f>IF(C$20="Yes",0,SUM(C$13:C$16)*$B$21)</f>
        <v>0</v>
      </c>
      <c r="E21" s="111">
        <f t="shared" ref="E21:AY21" si="3">IF(D$20="Yes",0,SUM(D$13:D$16)*$B$21)</f>
        <v>384.41637190500251</v>
      </c>
      <c r="F21" s="111">
        <f t="shared" si="3"/>
        <v>384.41637190500251</v>
      </c>
      <c r="G21" s="111">
        <f t="shared" si="3"/>
        <v>384.41637190500251</v>
      </c>
      <c r="H21" s="111">
        <f t="shared" si="3"/>
        <v>384.41637190500251</v>
      </c>
      <c r="I21" s="111">
        <f t="shared" si="3"/>
        <v>422.85800909550284</v>
      </c>
      <c r="J21" s="111">
        <f t="shared" si="3"/>
        <v>422.85800909550284</v>
      </c>
      <c r="K21" s="111">
        <f t="shared" si="3"/>
        <v>422.85800909550284</v>
      </c>
      <c r="L21" s="111">
        <f t="shared" si="3"/>
        <v>422.85800909550284</v>
      </c>
      <c r="M21" s="111">
        <f t="shared" si="3"/>
        <v>422.85800909550284</v>
      </c>
      <c r="N21" s="111">
        <f t="shared" si="3"/>
        <v>422.85800909550284</v>
      </c>
      <c r="O21" s="111">
        <f t="shared" si="3"/>
        <v>422.85800909550284</v>
      </c>
      <c r="P21" s="111">
        <f t="shared" si="3"/>
        <v>422.85800909550284</v>
      </c>
      <c r="Q21" s="111">
        <f t="shared" si="3"/>
        <v>384.41637190500251</v>
      </c>
      <c r="R21" s="111">
        <f t="shared" si="3"/>
        <v>384.41637190500251</v>
      </c>
      <c r="S21" s="111">
        <f t="shared" si="3"/>
        <v>384.41637190500251</v>
      </c>
      <c r="T21" s="111">
        <f t="shared" si="3"/>
        <v>384.41637190500251</v>
      </c>
      <c r="U21" s="111">
        <f t="shared" si="3"/>
        <v>345.97473471450229</v>
      </c>
      <c r="V21" s="111">
        <f t="shared" si="3"/>
        <v>345.97473471450229</v>
      </c>
      <c r="W21" s="111">
        <f t="shared" si="3"/>
        <v>345.97473471450229</v>
      </c>
      <c r="X21" s="111">
        <f t="shared" si="3"/>
        <v>345.97473471450229</v>
      </c>
      <c r="Y21" s="111">
        <f t="shared" si="3"/>
        <v>345.97473471450229</v>
      </c>
      <c r="Z21" s="111">
        <f t="shared" si="3"/>
        <v>345.97473471450229</v>
      </c>
      <c r="AA21" s="111">
        <f t="shared" si="3"/>
        <v>345.97473471450229</v>
      </c>
      <c r="AB21" s="111">
        <f t="shared" si="3"/>
        <v>345.97473471450229</v>
      </c>
      <c r="AC21" s="111">
        <f t="shared" si="3"/>
        <v>345.97473471450229</v>
      </c>
      <c r="AD21" s="111">
        <f t="shared" si="3"/>
        <v>345.97473471450229</v>
      </c>
      <c r="AE21" s="111">
        <f t="shared" si="3"/>
        <v>345.97473471450229</v>
      </c>
      <c r="AF21" s="111">
        <f t="shared" si="3"/>
        <v>345.97473471450229</v>
      </c>
      <c r="AG21" s="111">
        <f t="shared" si="3"/>
        <v>422.85800909550284</v>
      </c>
      <c r="AH21" s="111">
        <f t="shared" si="3"/>
        <v>422.85800909550284</v>
      </c>
      <c r="AI21" s="111">
        <f t="shared" si="3"/>
        <v>422.85800909550284</v>
      </c>
      <c r="AJ21" s="111">
        <f t="shared" si="3"/>
        <v>422.85800909550284</v>
      </c>
      <c r="AK21" s="111">
        <f t="shared" si="3"/>
        <v>422.85800909550284</v>
      </c>
      <c r="AL21" s="111">
        <f t="shared" si="3"/>
        <v>422.85800909550284</v>
      </c>
      <c r="AM21" s="111">
        <f t="shared" si="3"/>
        <v>422.85800909550284</v>
      </c>
      <c r="AN21" s="111">
        <f t="shared" si="3"/>
        <v>422.85800909550284</v>
      </c>
      <c r="AO21" s="111">
        <f t="shared" si="3"/>
        <v>422.85800909550284</v>
      </c>
      <c r="AP21" s="111">
        <f t="shared" si="3"/>
        <v>422.85800909550284</v>
      </c>
      <c r="AQ21" s="111">
        <f t="shared" si="3"/>
        <v>422.85800909550284</v>
      </c>
      <c r="AR21" s="111">
        <f t="shared" si="3"/>
        <v>422.85800909550284</v>
      </c>
      <c r="AS21" s="111">
        <f t="shared" si="3"/>
        <v>384.41637190500251</v>
      </c>
      <c r="AT21" s="111">
        <f t="shared" si="3"/>
        <v>384.41637190500251</v>
      </c>
      <c r="AU21" s="111">
        <f t="shared" si="3"/>
        <v>384.41637190500251</v>
      </c>
      <c r="AV21" s="111">
        <f t="shared" si="3"/>
        <v>384.41637190500251</v>
      </c>
      <c r="AW21" s="111">
        <f t="shared" si="3"/>
        <v>345.97473471450229</v>
      </c>
      <c r="AX21" s="111">
        <f t="shared" si="3"/>
        <v>345.97473471450229</v>
      </c>
      <c r="AY21" s="111">
        <f t="shared" si="3"/>
        <v>345.97473471450229</v>
      </c>
      <c r="AZ21" s="162">
        <f>SUM($D21:$AY21)</f>
        <v>18259.777665487607</v>
      </c>
    </row>
    <row r="22" spans="1:52" s="115" customFormat="1" x14ac:dyDescent="0.2">
      <c r="A22" s="163" t="s">
        <v>123</v>
      </c>
      <c r="B22" s="164">
        <f>1-$B$21</f>
        <v>0.39749608763693267</v>
      </c>
      <c r="C22" s="164" t="s">
        <v>295</v>
      </c>
      <c r="D22" s="119">
        <f>IF(C$20="Yes",0,SUM(C$13:C$16)*$B$22)</f>
        <v>0</v>
      </c>
      <c r="E22" s="119">
        <f t="shared" ref="E22:AY22" si="4">IF(D$20="Yes",0,SUM(D$13:D$16)*$B$22)</f>
        <v>253.61495704901461</v>
      </c>
      <c r="F22" s="119">
        <f t="shared" si="4"/>
        <v>253.61495704901461</v>
      </c>
      <c r="G22" s="119">
        <f t="shared" si="4"/>
        <v>253.61495704901461</v>
      </c>
      <c r="H22" s="119">
        <f t="shared" si="4"/>
        <v>253.61495704901461</v>
      </c>
      <c r="I22" s="119">
        <f t="shared" si="4"/>
        <v>278.97645275391613</v>
      </c>
      <c r="J22" s="119">
        <f t="shared" si="4"/>
        <v>278.97645275391613</v>
      </c>
      <c r="K22" s="119">
        <f t="shared" si="4"/>
        <v>278.97645275391613</v>
      </c>
      <c r="L22" s="119">
        <f t="shared" si="4"/>
        <v>278.97645275391613</v>
      </c>
      <c r="M22" s="119">
        <f t="shared" si="4"/>
        <v>278.97645275391613</v>
      </c>
      <c r="N22" s="119">
        <f t="shared" si="4"/>
        <v>278.97645275391613</v>
      </c>
      <c r="O22" s="119">
        <f t="shared" si="4"/>
        <v>278.97645275391613</v>
      </c>
      <c r="P22" s="119">
        <f t="shared" si="4"/>
        <v>278.97645275391613</v>
      </c>
      <c r="Q22" s="119">
        <f t="shared" si="4"/>
        <v>253.61495704901461</v>
      </c>
      <c r="R22" s="119">
        <f t="shared" si="4"/>
        <v>253.61495704901461</v>
      </c>
      <c r="S22" s="119">
        <f t="shared" si="4"/>
        <v>253.61495704901461</v>
      </c>
      <c r="T22" s="119">
        <f t="shared" si="4"/>
        <v>253.61495704901461</v>
      </c>
      <c r="U22" s="119">
        <f t="shared" si="4"/>
        <v>228.25346134411316</v>
      </c>
      <c r="V22" s="119">
        <f t="shared" si="4"/>
        <v>228.25346134411316</v>
      </c>
      <c r="W22" s="119">
        <f t="shared" si="4"/>
        <v>228.25346134411316</v>
      </c>
      <c r="X22" s="119">
        <f t="shared" si="4"/>
        <v>228.25346134411316</v>
      </c>
      <c r="Y22" s="119">
        <f t="shared" si="4"/>
        <v>228.25346134411316</v>
      </c>
      <c r="Z22" s="119">
        <f t="shared" si="4"/>
        <v>228.25346134411316</v>
      </c>
      <c r="AA22" s="119">
        <f t="shared" si="4"/>
        <v>228.25346134411316</v>
      </c>
      <c r="AB22" s="119">
        <f t="shared" si="4"/>
        <v>228.25346134411316</v>
      </c>
      <c r="AC22" s="119">
        <f t="shared" si="4"/>
        <v>228.25346134411316</v>
      </c>
      <c r="AD22" s="119">
        <f t="shared" si="4"/>
        <v>228.25346134411316</v>
      </c>
      <c r="AE22" s="119">
        <f t="shared" si="4"/>
        <v>228.25346134411316</v>
      </c>
      <c r="AF22" s="119">
        <f t="shared" si="4"/>
        <v>228.25346134411316</v>
      </c>
      <c r="AG22" s="119">
        <f t="shared" si="4"/>
        <v>278.97645275391613</v>
      </c>
      <c r="AH22" s="119">
        <f t="shared" si="4"/>
        <v>278.97645275391613</v>
      </c>
      <c r="AI22" s="119">
        <f t="shared" si="4"/>
        <v>278.97645275391613</v>
      </c>
      <c r="AJ22" s="119">
        <f t="shared" si="4"/>
        <v>278.97645275391613</v>
      </c>
      <c r="AK22" s="119">
        <f t="shared" si="4"/>
        <v>278.97645275391613</v>
      </c>
      <c r="AL22" s="119">
        <f t="shared" si="4"/>
        <v>278.97645275391613</v>
      </c>
      <c r="AM22" s="119">
        <f t="shared" si="4"/>
        <v>278.97645275391613</v>
      </c>
      <c r="AN22" s="119">
        <f t="shared" si="4"/>
        <v>278.97645275391613</v>
      </c>
      <c r="AO22" s="119">
        <f t="shared" si="4"/>
        <v>278.97645275391613</v>
      </c>
      <c r="AP22" s="119">
        <f t="shared" si="4"/>
        <v>278.97645275391613</v>
      </c>
      <c r="AQ22" s="119">
        <f t="shared" si="4"/>
        <v>278.97645275391613</v>
      </c>
      <c r="AR22" s="119">
        <f t="shared" si="4"/>
        <v>278.97645275391613</v>
      </c>
      <c r="AS22" s="119">
        <f t="shared" si="4"/>
        <v>253.61495704901461</v>
      </c>
      <c r="AT22" s="119">
        <f t="shared" si="4"/>
        <v>253.61495704901461</v>
      </c>
      <c r="AU22" s="119">
        <f t="shared" si="4"/>
        <v>253.61495704901461</v>
      </c>
      <c r="AV22" s="119">
        <f t="shared" si="4"/>
        <v>253.61495704901461</v>
      </c>
      <c r="AW22" s="119">
        <f t="shared" si="4"/>
        <v>228.25346134411316</v>
      </c>
      <c r="AX22" s="119">
        <f t="shared" si="4"/>
        <v>228.25346134411316</v>
      </c>
      <c r="AY22" s="119">
        <f t="shared" si="4"/>
        <v>228.25346134411316</v>
      </c>
      <c r="AZ22" s="146">
        <f t="shared" ref="AZ22:AZ30" si="5">SUM($D22:$AY22)</f>
        <v>12046.710459828188</v>
      </c>
    </row>
    <row r="23" spans="1:52" x14ac:dyDescent="0.2">
      <c r="A23" s="165" t="s">
        <v>309</v>
      </c>
      <c r="B23" s="129">
        <v>2000</v>
      </c>
      <c r="C23" s="105" t="s">
        <v>295</v>
      </c>
      <c r="D23" s="105">
        <f>D$21*$B$23</f>
        <v>0</v>
      </c>
      <c r="E23" s="105">
        <f t="shared" ref="E23:AY23" si="6">E$21*$B$23</f>
        <v>768832.74381000502</v>
      </c>
      <c r="F23" s="105">
        <f t="shared" si="6"/>
        <v>768832.74381000502</v>
      </c>
      <c r="G23" s="105">
        <f t="shared" si="6"/>
        <v>768832.74381000502</v>
      </c>
      <c r="H23" s="105">
        <f t="shared" si="6"/>
        <v>768832.74381000502</v>
      </c>
      <c r="I23" s="105">
        <f t="shared" si="6"/>
        <v>845716.01819100569</v>
      </c>
      <c r="J23" s="105">
        <f t="shared" si="6"/>
        <v>845716.01819100569</v>
      </c>
      <c r="K23" s="105">
        <f t="shared" si="6"/>
        <v>845716.01819100569</v>
      </c>
      <c r="L23" s="105">
        <f t="shared" si="6"/>
        <v>845716.01819100569</v>
      </c>
      <c r="M23" s="105">
        <f t="shared" si="6"/>
        <v>845716.01819100569</v>
      </c>
      <c r="N23" s="105">
        <f t="shared" si="6"/>
        <v>845716.01819100569</v>
      </c>
      <c r="O23" s="105">
        <f t="shared" si="6"/>
        <v>845716.01819100569</v>
      </c>
      <c r="P23" s="105">
        <f t="shared" si="6"/>
        <v>845716.01819100569</v>
      </c>
      <c r="Q23" s="105">
        <f t="shared" si="6"/>
        <v>768832.74381000502</v>
      </c>
      <c r="R23" s="105">
        <f t="shared" si="6"/>
        <v>768832.74381000502</v>
      </c>
      <c r="S23" s="105">
        <f t="shared" si="6"/>
        <v>768832.74381000502</v>
      </c>
      <c r="T23" s="105">
        <f t="shared" si="6"/>
        <v>768832.74381000502</v>
      </c>
      <c r="U23" s="105">
        <f t="shared" si="6"/>
        <v>691949.46942900459</v>
      </c>
      <c r="V23" s="105">
        <f t="shared" si="6"/>
        <v>691949.46942900459</v>
      </c>
      <c r="W23" s="105">
        <f t="shared" si="6"/>
        <v>691949.46942900459</v>
      </c>
      <c r="X23" s="105">
        <f t="shared" si="6"/>
        <v>691949.46942900459</v>
      </c>
      <c r="Y23" s="105">
        <f t="shared" si="6"/>
        <v>691949.46942900459</v>
      </c>
      <c r="Z23" s="105">
        <f t="shared" si="6"/>
        <v>691949.46942900459</v>
      </c>
      <c r="AA23" s="105">
        <f t="shared" si="6"/>
        <v>691949.46942900459</v>
      </c>
      <c r="AB23" s="105">
        <f t="shared" si="6"/>
        <v>691949.46942900459</v>
      </c>
      <c r="AC23" s="105">
        <f t="shared" si="6"/>
        <v>691949.46942900459</v>
      </c>
      <c r="AD23" s="105">
        <f t="shared" si="6"/>
        <v>691949.46942900459</v>
      </c>
      <c r="AE23" s="105">
        <f t="shared" si="6"/>
        <v>691949.46942900459</v>
      </c>
      <c r="AF23" s="105">
        <f t="shared" si="6"/>
        <v>691949.46942900459</v>
      </c>
      <c r="AG23" s="105">
        <f t="shared" si="6"/>
        <v>845716.01819100569</v>
      </c>
      <c r="AH23" s="105">
        <f t="shared" si="6"/>
        <v>845716.01819100569</v>
      </c>
      <c r="AI23" s="105">
        <f t="shared" si="6"/>
        <v>845716.01819100569</v>
      </c>
      <c r="AJ23" s="105">
        <f t="shared" si="6"/>
        <v>845716.01819100569</v>
      </c>
      <c r="AK23" s="105">
        <f t="shared" si="6"/>
        <v>845716.01819100569</v>
      </c>
      <c r="AL23" s="105">
        <f t="shared" si="6"/>
        <v>845716.01819100569</v>
      </c>
      <c r="AM23" s="105">
        <f t="shared" si="6"/>
        <v>845716.01819100569</v>
      </c>
      <c r="AN23" s="105">
        <f t="shared" si="6"/>
        <v>845716.01819100569</v>
      </c>
      <c r="AO23" s="105">
        <f t="shared" si="6"/>
        <v>845716.01819100569</v>
      </c>
      <c r="AP23" s="105">
        <f t="shared" si="6"/>
        <v>845716.01819100569</v>
      </c>
      <c r="AQ23" s="105">
        <f t="shared" si="6"/>
        <v>845716.01819100569</v>
      </c>
      <c r="AR23" s="105">
        <f t="shared" si="6"/>
        <v>845716.01819100569</v>
      </c>
      <c r="AS23" s="105">
        <f t="shared" si="6"/>
        <v>768832.74381000502</v>
      </c>
      <c r="AT23" s="105">
        <f t="shared" si="6"/>
        <v>768832.74381000502</v>
      </c>
      <c r="AU23" s="105">
        <f t="shared" si="6"/>
        <v>768832.74381000502</v>
      </c>
      <c r="AV23" s="105">
        <f t="shared" si="6"/>
        <v>768832.74381000502</v>
      </c>
      <c r="AW23" s="105">
        <f t="shared" si="6"/>
        <v>691949.46942900459</v>
      </c>
      <c r="AX23" s="105">
        <f t="shared" si="6"/>
        <v>691949.46942900459</v>
      </c>
      <c r="AY23" s="105">
        <f t="shared" si="6"/>
        <v>691949.46942900459</v>
      </c>
      <c r="AZ23" s="144">
        <f t="shared" si="5"/>
        <v>36519555.330975242</v>
      </c>
    </row>
    <row r="24" spans="1:52" s="115" customFormat="1" x14ac:dyDescent="0.2">
      <c r="A24" s="166" t="s">
        <v>310</v>
      </c>
      <c r="B24" s="167">
        <v>1000</v>
      </c>
      <c r="C24" s="161" t="s">
        <v>295</v>
      </c>
      <c r="D24" s="111">
        <f>D$22*$B$24</f>
        <v>0</v>
      </c>
      <c r="E24" s="111">
        <f t="shared" ref="E24:AY24" si="7">E$22*$B$24</f>
        <v>253614.9570490146</v>
      </c>
      <c r="F24" s="111">
        <f t="shared" si="7"/>
        <v>253614.9570490146</v>
      </c>
      <c r="G24" s="111">
        <f t="shared" si="7"/>
        <v>253614.9570490146</v>
      </c>
      <c r="H24" s="111">
        <f t="shared" si="7"/>
        <v>253614.9570490146</v>
      </c>
      <c r="I24" s="111">
        <f t="shared" si="7"/>
        <v>278976.45275391615</v>
      </c>
      <c r="J24" s="111">
        <f t="shared" si="7"/>
        <v>278976.45275391615</v>
      </c>
      <c r="K24" s="111">
        <f t="shared" si="7"/>
        <v>278976.45275391615</v>
      </c>
      <c r="L24" s="111">
        <f t="shared" si="7"/>
        <v>278976.45275391615</v>
      </c>
      <c r="M24" s="111">
        <f t="shared" si="7"/>
        <v>278976.45275391615</v>
      </c>
      <c r="N24" s="111">
        <f t="shared" si="7"/>
        <v>278976.45275391615</v>
      </c>
      <c r="O24" s="111">
        <f t="shared" si="7"/>
        <v>278976.45275391615</v>
      </c>
      <c r="P24" s="111">
        <f t="shared" si="7"/>
        <v>278976.45275391615</v>
      </c>
      <c r="Q24" s="111">
        <f t="shared" si="7"/>
        <v>253614.9570490146</v>
      </c>
      <c r="R24" s="111">
        <f t="shared" si="7"/>
        <v>253614.9570490146</v>
      </c>
      <c r="S24" s="111">
        <f t="shared" si="7"/>
        <v>253614.9570490146</v>
      </c>
      <c r="T24" s="111">
        <f t="shared" si="7"/>
        <v>253614.9570490146</v>
      </c>
      <c r="U24" s="111">
        <f t="shared" si="7"/>
        <v>228253.46134411317</v>
      </c>
      <c r="V24" s="111">
        <f t="shared" si="7"/>
        <v>228253.46134411317</v>
      </c>
      <c r="W24" s="111">
        <f t="shared" si="7"/>
        <v>228253.46134411317</v>
      </c>
      <c r="X24" s="111">
        <f t="shared" si="7"/>
        <v>228253.46134411317</v>
      </c>
      <c r="Y24" s="111">
        <f t="shared" si="7"/>
        <v>228253.46134411317</v>
      </c>
      <c r="Z24" s="111">
        <f t="shared" si="7"/>
        <v>228253.46134411317</v>
      </c>
      <c r="AA24" s="111">
        <f t="shared" si="7"/>
        <v>228253.46134411317</v>
      </c>
      <c r="AB24" s="111">
        <f t="shared" si="7"/>
        <v>228253.46134411317</v>
      </c>
      <c r="AC24" s="111">
        <f t="shared" si="7"/>
        <v>228253.46134411317</v>
      </c>
      <c r="AD24" s="111">
        <f t="shared" si="7"/>
        <v>228253.46134411317</v>
      </c>
      <c r="AE24" s="111">
        <f t="shared" si="7"/>
        <v>228253.46134411317</v>
      </c>
      <c r="AF24" s="111">
        <f t="shared" si="7"/>
        <v>228253.46134411317</v>
      </c>
      <c r="AG24" s="111">
        <f t="shared" si="7"/>
        <v>278976.45275391615</v>
      </c>
      <c r="AH24" s="111">
        <f t="shared" si="7"/>
        <v>278976.45275391615</v>
      </c>
      <c r="AI24" s="111">
        <f t="shared" si="7"/>
        <v>278976.45275391615</v>
      </c>
      <c r="AJ24" s="111">
        <f t="shared" si="7"/>
        <v>278976.45275391615</v>
      </c>
      <c r="AK24" s="111">
        <f t="shared" si="7"/>
        <v>278976.45275391615</v>
      </c>
      <c r="AL24" s="111">
        <f t="shared" si="7"/>
        <v>278976.45275391615</v>
      </c>
      <c r="AM24" s="111">
        <f t="shared" si="7"/>
        <v>278976.45275391615</v>
      </c>
      <c r="AN24" s="111">
        <f t="shared" si="7"/>
        <v>278976.45275391615</v>
      </c>
      <c r="AO24" s="111">
        <f t="shared" si="7"/>
        <v>278976.45275391615</v>
      </c>
      <c r="AP24" s="111">
        <f t="shared" si="7"/>
        <v>278976.45275391615</v>
      </c>
      <c r="AQ24" s="111">
        <f t="shared" si="7"/>
        <v>278976.45275391615</v>
      </c>
      <c r="AR24" s="111">
        <f t="shared" si="7"/>
        <v>278976.45275391615</v>
      </c>
      <c r="AS24" s="111">
        <f t="shared" si="7"/>
        <v>253614.9570490146</v>
      </c>
      <c r="AT24" s="111">
        <f t="shared" si="7"/>
        <v>253614.9570490146</v>
      </c>
      <c r="AU24" s="111">
        <f t="shared" si="7"/>
        <v>253614.9570490146</v>
      </c>
      <c r="AV24" s="111">
        <f t="shared" si="7"/>
        <v>253614.9570490146</v>
      </c>
      <c r="AW24" s="111">
        <f t="shared" si="7"/>
        <v>228253.46134411317</v>
      </c>
      <c r="AX24" s="111">
        <f t="shared" si="7"/>
        <v>228253.46134411317</v>
      </c>
      <c r="AY24" s="111">
        <f t="shared" si="7"/>
        <v>228253.46134411317</v>
      </c>
      <c r="AZ24" s="146">
        <f t="shared" si="5"/>
        <v>12046710.459828202</v>
      </c>
    </row>
    <row r="25" spans="1:52" x14ac:dyDescent="0.2"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11"/>
    </row>
    <row r="26" spans="1:52" x14ac:dyDescent="0.2">
      <c r="A26" s="168" t="s">
        <v>18</v>
      </c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11"/>
      <c r="AT26" s="111"/>
      <c r="AU26" s="111"/>
      <c r="AV26" s="111"/>
      <c r="AW26" s="111"/>
      <c r="AX26" s="111"/>
      <c r="AY26" s="111"/>
      <c r="AZ26" s="111"/>
    </row>
    <row r="27" spans="1:52" x14ac:dyDescent="0.2">
      <c r="B27" s="140" t="s">
        <v>311</v>
      </c>
      <c r="C27" s="129">
        <v>182</v>
      </c>
      <c r="D27" s="129">
        <f>C$27-C$28+C$29</f>
        <v>182</v>
      </c>
      <c r="E27" s="129">
        <f t="shared" ref="E27:AY27" si="8">D27-D28+D29</f>
        <v>182</v>
      </c>
      <c r="F27" s="129">
        <f t="shared" si="8"/>
        <v>160</v>
      </c>
      <c r="G27" s="129">
        <f t="shared" si="8"/>
        <v>160</v>
      </c>
      <c r="H27" s="129">
        <f t="shared" si="8"/>
        <v>160</v>
      </c>
      <c r="I27" s="129">
        <f t="shared" si="8"/>
        <v>160</v>
      </c>
      <c r="J27" s="129">
        <f t="shared" si="8"/>
        <v>158</v>
      </c>
      <c r="K27" s="129">
        <f t="shared" si="8"/>
        <v>158</v>
      </c>
      <c r="L27" s="129">
        <f t="shared" si="8"/>
        <v>158</v>
      </c>
      <c r="M27" s="129">
        <f t="shared" si="8"/>
        <v>158</v>
      </c>
      <c r="N27" s="129">
        <f t="shared" si="8"/>
        <v>158</v>
      </c>
      <c r="O27" s="129">
        <f t="shared" si="8"/>
        <v>158</v>
      </c>
      <c r="P27" s="129">
        <f t="shared" si="8"/>
        <v>158</v>
      </c>
      <c r="Q27" s="129">
        <f t="shared" si="8"/>
        <v>158</v>
      </c>
      <c r="R27" s="129">
        <f t="shared" si="8"/>
        <v>160</v>
      </c>
      <c r="S27" s="129">
        <f t="shared" si="8"/>
        <v>160</v>
      </c>
      <c r="T27" s="129">
        <f t="shared" si="8"/>
        <v>160</v>
      </c>
      <c r="U27" s="129">
        <f t="shared" si="8"/>
        <v>160</v>
      </c>
      <c r="V27" s="129">
        <f t="shared" si="8"/>
        <v>162</v>
      </c>
      <c r="W27" s="129">
        <f t="shared" si="8"/>
        <v>162</v>
      </c>
      <c r="X27" s="129">
        <f t="shared" si="8"/>
        <v>162</v>
      </c>
      <c r="Y27" s="129">
        <f t="shared" si="8"/>
        <v>162</v>
      </c>
      <c r="Z27" s="129">
        <f t="shared" si="8"/>
        <v>162</v>
      </c>
      <c r="AA27" s="129">
        <f t="shared" si="8"/>
        <v>162</v>
      </c>
      <c r="AB27" s="129">
        <f t="shared" si="8"/>
        <v>162</v>
      </c>
      <c r="AC27" s="129">
        <f t="shared" si="8"/>
        <v>162</v>
      </c>
      <c r="AD27" s="129">
        <f t="shared" si="8"/>
        <v>162</v>
      </c>
      <c r="AE27" s="129">
        <f t="shared" si="8"/>
        <v>162</v>
      </c>
      <c r="AF27" s="129">
        <f t="shared" si="8"/>
        <v>162</v>
      </c>
      <c r="AG27" s="129">
        <f t="shared" si="8"/>
        <v>162</v>
      </c>
      <c r="AH27" s="129">
        <f t="shared" si="8"/>
        <v>158</v>
      </c>
      <c r="AI27" s="129">
        <f t="shared" si="8"/>
        <v>158</v>
      </c>
      <c r="AJ27" s="129">
        <f t="shared" si="8"/>
        <v>158</v>
      </c>
      <c r="AK27" s="129">
        <f t="shared" si="8"/>
        <v>158</v>
      </c>
      <c r="AL27" s="129">
        <f t="shared" si="8"/>
        <v>158</v>
      </c>
      <c r="AM27" s="129">
        <f t="shared" si="8"/>
        <v>158</v>
      </c>
      <c r="AN27" s="129">
        <f t="shared" si="8"/>
        <v>158</v>
      </c>
      <c r="AO27" s="129">
        <f t="shared" si="8"/>
        <v>158</v>
      </c>
      <c r="AP27" s="129">
        <f t="shared" si="8"/>
        <v>158</v>
      </c>
      <c r="AQ27" s="129">
        <f t="shared" si="8"/>
        <v>158</v>
      </c>
      <c r="AR27" s="129">
        <f t="shared" si="8"/>
        <v>158</v>
      </c>
      <c r="AS27" s="129">
        <f t="shared" si="8"/>
        <v>158</v>
      </c>
      <c r="AT27" s="129">
        <f t="shared" si="8"/>
        <v>160</v>
      </c>
      <c r="AU27" s="129">
        <f t="shared" si="8"/>
        <v>160</v>
      </c>
      <c r="AV27" s="129">
        <f t="shared" si="8"/>
        <v>160</v>
      </c>
      <c r="AW27" s="129">
        <f t="shared" si="8"/>
        <v>160</v>
      </c>
      <c r="AX27" s="129">
        <f t="shared" si="8"/>
        <v>162</v>
      </c>
      <c r="AY27" s="169">
        <f t="shared" si="8"/>
        <v>162</v>
      </c>
      <c r="AZ27" s="111"/>
    </row>
    <row r="28" spans="1:52" x14ac:dyDescent="0.2">
      <c r="B28" s="170" t="s">
        <v>312</v>
      </c>
      <c r="C28" s="115"/>
      <c r="D28" s="115">
        <v>0</v>
      </c>
      <c r="E28" s="115">
        <v>22</v>
      </c>
      <c r="F28" s="115">
        <v>22</v>
      </c>
      <c r="G28" s="115">
        <v>22</v>
      </c>
      <c r="H28" s="115">
        <v>22</v>
      </c>
      <c r="I28" s="115">
        <v>24</v>
      </c>
      <c r="J28" s="115">
        <v>24</v>
      </c>
      <c r="K28" s="115">
        <v>24</v>
      </c>
      <c r="L28" s="115">
        <v>24</v>
      </c>
      <c r="M28" s="115">
        <v>24</v>
      </c>
      <c r="N28" s="115">
        <v>24</v>
      </c>
      <c r="O28" s="115">
        <v>24</v>
      </c>
      <c r="P28" s="115">
        <v>24</v>
      </c>
      <c r="Q28" s="115">
        <v>22</v>
      </c>
      <c r="R28" s="115">
        <v>22</v>
      </c>
      <c r="S28" s="115">
        <v>22</v>
      </c>
      <c r="T28" s="115">
        <v>22</v>
      </c>
      <c r="U28" s="115">
        <v>20</v>
      </c>
      <c r="V28" s="115">
        <v>20</v>
      </c>
      <c r="W28" s="115">
        <v>20</v>
      </c>
      <c r="X28" s="115">
        <v>20</v>
      </c>
      <c r="Y28" s="115">
        <v>20</v>
      </c>
      <c r="Z28" s="115">
        <v>20</v>
      </c>
      <c r="AA28" s="115">
        <v>20</v>
      </c>
      <c r="AB28" s="115">
        <v>20</v>
      </c>
      <c r="AC28" s="115">
        <v>20</v>
      </c>
      <c r="AD28" s="115">
        <v>20</v>
      </c>
      <c r="AE28" s="115">
        <v>20</v>
      </c>
      <c r="AF28" s="115">
        <v>20</v>
      </c>
      <c r="AG28" s="115">
        <v>24</v>
      </c>
      <c r="AH28" s="115">
        <v>24</v>
      </c>
      <c r="AI28" s="115">
        <v>24</v>
      </c>
      <c r="AJ28" s="115">
        <v>24</v>
      </c>
      <c r="AK28" s="115">
        <v>24</v>
      </c>
      <c r="AL28" s="115">
        <v>24</v>
      </c>
      <c r="AM28" s="115">
        <v>24</v>
      </c>
      <c r="AN28" s="115">
        <v>24</v>
      </c>
      <c r="AO28" s="115">
        <v>24</v>
      </c>
      <c r="AP28" s="115">
        <v>24</v>
      </c>
      <c r="AQ28" s="115">
        <v>24</v>
      </c>
      <c r="AR28" s="115">
        <v>24</v>
      </c>
      <c r="AS28" s="115">
        <v>22</v>
      </c>
      <c r="AT28" s="115">
        <v>22</v>
      </c>
      <c r="AU28" s="115">
        <v>22</v>
      </c>
      <c r="AV28" s="115">
        <v>22</v>
      </c>
      <c r="AW28" s="115">
        <v>20</v>
      </c>
      <c r="AX28" s="115">
        <v>20</v>
      </c>
      <c r="AY28" s="171">
        <v>20</v>
      </c>
      <c r="AZ28" s="111"/>
    </row>
    <row r="29" spans="1:52" x14ac:dyDescent="0.2">
      <c r="B29" s="141" t="s">
        <v>313</v>
      </c>
      <c r="C29" s="130"/>
      <c r="D29" s="130">
        <f>C$28</f>
        <v>0</v>
      </c>
      <c r="E29" s="130">
        <f t="shared" ref="E29:AY29" si="9">D$28</f>
        <v>0</v>
      </c>
      <c r="F29" s="130">
        <f t="shared" si="9"/>
        <v>22</v>
      </c>
      <c r="G29" s="130">
        <f t="shared" si="9"/>
        <v>22</v>
      </c>
      <c r="H29" s="130">
        <f t="shared" si="9"/>
        <v>22</v>
      </c>
      <c r="I29" s="130">
        <f t="shared" si="9"/>
        <v>22</v>
      </c>
      <c r="J29" s="130">
        <f t="shared" si="9"/>
        <v>24</v>
      </c>
      <c r="K29" s="130">
        <f t="shared" si="9"/>
        <v>24</v>
      </c>
      <c r="L29" s="130">
        <f t="shared" si="9"/>
        <v>24</v>
      </c>
      <c r="M29" s="130">
        <f t="shared" si="9"/>
        <v>24</v>
      </c>
      <c r="N29" s="130">
        <f t="shared" si="9"/>
        <v>24</v>
      </c>
      <c r="O29" s="130">
        <f t="shared" si="9"/>
        <v>24</v>
      </c>
      <c r="P29" s="130">
        <f t="shared" si="9"/>
        <v>24</v>
      </c>
      <c r="Q29" s="130">
        <f t="shared" si="9"/>
        <v>24</v>
      </c>
      <c r="R29" s="130">
        <f t="shared" si="9"/>
        <v>22</v>
      </c>
      <c r="S29" s="130">
        <f t="shared" si="9"/>
        <v>22</v>
      </c>
      <c r="T29" s="130">
        <f t="shared" si="9"/>
        <v>22</v>
      </c>
      <c r="U29" s="130">
        <f t="shared" si="9"/>
        <v>22</v>
      </c>
      <c r="V29" s="130">
        <f t="shared" si="9"/>
        <v>20</v>
      </c>
      <c r="W29" s="130">
        <f t="shared" si="9"/>
        <v>20</v>
      </c>
      <c r="X29" s="130">
        <f t="shared" si="9"/>
        <v>20</v>
      </c>
      <c r="Y29" s="130">
        <f t="shared" si="9"/>
        <v>20</v>
      </c>
      <c r="Z29" s="130">
        <f t="shared" si="9"/>
        <v>20</v>
      </c>
      <c r="AA29" s="130">
        <f t="shared" si="9"/>
        <v>20</v>
      </c>
      <c r="AB29" s="130">
        <f t="shared" si="9"/>
        <v>20</v>
      </c>
      <c r="AC29" s="130">
        <f t="shared" si="9"/>
        <v>20</v>
      </c>
      <c r="AD29" s="130">
        <f t="shared" si="9"/>
        <v>20</v>
      </c>
      <c r="AE29" s="130">
        <f t="shared" si="9"/>
        <v>20</v>
      </c>
      <c r="AF29" s="130">
        <f t="shared" si="9"/>
        <v>20</v>
      </c>
      <c r="AG29" s="130">
        <f t="shared" si="9"/>
        <v>20</v>
      </c>
      <c r="AH29" s="130">
        <f t="shared" si="9"/>
        <v>24</v>
      </c>
      <c r="AI29" s="130">
        <f t="shared" si="9"/>
        <v>24</v>
      </c>
      <c r="AJ29" s="130">
        <f t="shared" si="9"/>
        <v>24</v>
      </c>
      <c r="AK29" s="130">
        <f t="shared" si="9"/>
        <v>24</v>
      </c>
      <c r="AL29" s="130">
        <f t="shared" si="9"/>
        <v>24</v>
      </c>
      <c r="AM29" s="130">
        <f t="shared" si="9"/>
        <v>24</v>
      </c>
      <c r="AN29" s="130">
        <f t="shared" si="9"/>
        <v>24</v>
      </c>
      <c r="AO29" s="130">
        <f t="shared" si="9"/>
        <v>24</v>
      </c>
      <c r="AP29" s="130">
        <f t="shared" si="9"/>
        <v>24</v>
      </c>
      <c r="AQ29" s="130">
        <f t="shared" si="9"/>
        <v>24</v>
      </c>
      <c r="AR29" s="130">
        <f t="shared" si="9"/>
        <v>24</v>
      </c>
      <c r="AS29" s="130">
        <f t="shared" si="9"/>
        <v>24</v>
      </c>
      <c r="AT29" s="130">
        <f t="shared" si="9"/>
        <v>22</v>
      </c>
      <c r="AU29" s="130">
        <f t="shared" si="9"/>
        <v>22</v>
      </c>
      <c r="AV29" s="130">
        <f t="shared" si="9"/>
        <v>22</v>
      </c>
      <c r="AW29" s="130">
        <f t="shared" si="9"/>
        <v>22</v>
      </c>
      <c r="AX29" s="130">
        <f t="shared" si="9"/>
        <v>20</v>
      </c>
      <c r="AY29" s="172">
        <f t="shared" si="9"/>
        <v>20</v>
      </c>
      <c r="AZ29" s="173"/>
    </row>
    <row r="30" spans="1:52" x14ac:dyDescent="0.2">
      <c r="A30" s="174" t="s">
        <v>314</v>
      </c>
      <c r="B30" s="149">
        <v>10</v>
      </c>
      <c r="C30" s="122" t="s">
        <v>295</v>
      </c>
      <c r="D30" s="122">
        <f>D$27*$B$30</f>
        <v>1820</v>
      </c>
      <c r="E30" s="122">
        <f t="shared" ref="E30:AY30" si="10">E$27*$B$30</f>
        <v>1820</v>
      </c>
      <c r="F30" s="122">
        <f t="shared" si="10"/>
        <v>1600</v>
      </c>
      <c r="G30" s="122">
        <f t="shared" si="10"/>
        <v>1600</v>
      </c>
      <c r="H30" s="122">
        <f t="shared" si="10"/>
        <v>1600</v>
      </c>
      <c r="I30" s="122">
        <f t="shared" si="10"/>
        <v>1600</v>
      </c>
      <c r="J30" s="122">
        <f t="shared" si="10"/>
        <v>1580</v>
      </c>
      <c r="K30" s="122">
        <f t="shared" si="10"/>
        <v>1580</v>
      </c>
      <c r="L30" s="122">
        <f t="shared" si="10"/>
        <v>1580</v>
      </c>
      <c r="M30" s="122">
        <f t="shared" si="10"/>
        <v>1580</v>
      </c>
      <c r="N30" s="122">
        <f t="shared" si="10"/>
        <v>1580</v>
      </c>
      <c r="O30" s="122">
        <f t="shared" si="10"/>
        <v>1580</v>
      </c>
      <c r="P30" s="122">
        <f t="shared" si="10"/>
        <v>1580</v>
      </c>
      <c r="Q30" s="122">
        <f t="shared" si="10"/>
        <v>1580</v>
      </c>
      <c r="R30" s="122">
        <f>R$27*$B$30</f>
        <v>1600</v>
      </c>
      <c r="S30" s="122">
        <f t="shared" si="10"/>
        <v>1600</v>
      </c>
      <c r="T30" s="122">
        <f t="shared" si="10"/>
        <v>1600</v>
      </c>
      <c r="U30" s="122">
        <f t="shared" si="10"/>
        <v>1600</v>
      </c>
      <c r="V30" s="122">
        <f t="shared" si="10"/>
        <v>1620</v>
      </c>
      <c r="W30" s="122">
        <f t="shared" si="10"/>
        <v>1620</v>
      </c>
      <c r="X30" s="122">
        <f t="shared" si="10"/>
        <v>1620</v>
      </c>
      <c r="Y30" s="122">
        <f t="shared" si="10"/>
        <v>1620</v>
      </c>
      <c r="Z30" s="122">
        <f t="shared" si="10"/>
        <v>1620</v>
      </c>
      <c r="AA30" s="122">
        <f t="shared" si="10"/>
        <v>1620</v>
      </c>
      <c r="AB30" s="122">
        <f t="shared" si="10"/>
        <v>1620</v>
      </c>
      <c r="AC30" s="122">
        <f t="shared" si="10"/>
        <v>1620</v>
      </c>
      <c r="AD30" s="122">
        <f t="shared" si="10"/>
        <v>1620</v>
      </c>
      <c r="AE30" s="122">
        <f>AE$27*$B$30</f>
        <v>1620</v>
      </c>
      <c r="AF30" s="122">
        <f t="shared" si="10"/>
        <v>1620</v>
      </c>
      <c r="AG30" s="122">
        <f t="shared" si="10"/>
        <v>1620</v>
      </c>
      <c r="AH30" s="122">
        <f t="shared" si="10"/>
        <v>1580</v>
      </c>
      <c r="AI30" s="122">
        <f t="shared" si="10"/>
        <v>1580</v>
      </c>
      <c r="AJ30" s="122">
        <f t="shared" si="10"/>
        <v>1580</v>
      </c>
      <c r="AK30" s="122">
        <f t="shared" si="10"/>
        <v>1580</v>
      </c>
      <c r="AL30" s="122">
        <f t="shared" si="10"/>
        <v>1580</v>
      </c>
      <c r="AM30" s="122">
        <f t="shared" si="10"/>
        <v>1580</v>
      </c>
      <c r="AN30" s="122">
        <f t="shared" si="10"/>
        <v>1580</v>
      </c>
      <c r="AO30" s="122">
        <f t="shared" si="10"/>
        <v>1580</v>
      </c>
      <c r="AP30" s="122">
        <f t="shared" si="10"/>
        <v>1580</v>
      </c>
      <c r="AQ30" s="122">
        <f t="shared" si="10"/>
        <v>1580</v>
      </c>
      <c r="AR30" s="122">
        <f t="shared" si="10"/>
        <v>1580</v>
      </c>
      <c r="AS30" s="122">
        <f t="shared" si="10"/>
        <v>1580</v>
      </c>
      <c r="AT30" s="122">
        <f t="shared" si="10"/>
        <v>1600</v>
      </c>
      <c r="AU30" s="122">
        <f t="shared" si="10"/>
        <v>1600</v>
      </c>
      <c r="AV30" s="122">
        <f t="shared" si="10"/>
        <v>1600</v>
      </c>
      <c r="AW30" s="122">
        <f t="shared" si="10"/>
        <v>1600</v>
      </c>
      <c r="AX30" s="122">
        <f t="shared" si="10"/>
        <v>1620</v>
      </c>
      <c r="AY30" s="122">
        <f t="shared" si="10"/>
        <v>1620</v>
      </c>
      <c r="AZ30" s="146">
        <f t="shared" si="5"/>
        <v>77120</v>
      </c>
    </row>
    <row r="32" spans="1:52" x14ac:dyDescent="0.2">
      <c r="A32" s="107" t="s">
        <v>302</v>
      </c>
    </row>
    <row r="33" spans="1:52" x14ac:dyDescent="0.2">
      <c r="A33" s="140" t="s">
        <v>34</v>
      </c>
      <c r="B33" s="140" t="s">
        <v>343</v>
      </c>
      <c r="C33" s="129"/>
      <c r="D33" s="129">
        <f>D$21*shipping_manufacturing!$F$27/100</f>
        <v>0</v>
      </c>
      <c r="E33" s="129">
        <f>E$21*shipping_manufacturing!$F$27/100</f>
        <v>0</v>
      </c>
      <c r="F33" s="129">
        <f>F$21*shipping_manufacturing!$F$27/100</f>
        <v>0</v>
      </c>
      <c r="G33" s="129">
        <f>G$21*shipping_manufacturing!$F$27/100</f>
        <v>0</v>
      </c>
      <c r="H33" s="129">
        <f>H$21*shipping_manufacturing!$F$27/100</f>
        <v>0</v>
      </c>
      <c r="I33" s="129">
        <f>I$21*shipping_manufacturing!$F$27/100</f>
        <v>0</v>
      </c>
      <c r="J33" s="129">
        <f>J$21*shipping_manufacturing!$F$27/100</f>
        <v>0</v>
      </c>
      <c r="K33" s="129">
        <f>K$21*shipping_manufacturing!$F$27/100</f>
        <v>0</v>
      </c>
      <c r="L33" s="129">
        <f>L$21*shipping_manufacturing!$F$27/100</f>
        <v>0</v>
      </c>
      <c r="M33" s="129">
        <f>M$21*shipping_manufacturing!$F$27/100</f>
        <v>0</v>
      </c>
      <c r="N33" s="129">
        <f>N$21*shipping_manufacturing!$F$27/100</f>
        <v>0</v>
      </c>
      <c r="O33" s="129">
        <f>O$21*shipping_manufacturing!$F$27/100</f>
        <v>0</v>
      </c>
      <c r="P33" s="129">
        <f>P$21*shipping_manufacturing!$F$27/100</f>
        <v>0</v>
      </c>
      <c r="Q33" s="129">
        <f>Q$21*shipping_manufacturing!$F$27/100</f>
        <v>0</v>
      </c>
      <c r="R33" s="129">
        <f>R$21*shipping_manufacturing!$F$27/100</f>
        <v>0</v>
      </c>
      <c r="S33" s="129">
        <f>S$21*shipping_manufacturing!$F$27/100</f>
        <v>0</v>
      </c>
      <c r="T33" s="129">
        <f>T$21*shipping_manufacturing!$F$27/100</f>
        <v>0</v>
      </c>
      <c r="U33" s="129">
        <f>U$21*shipping_manufacturing!$F$27/100</f>
        <v>0</v>
      </c>
      <c r="V33" s="129">
        <f>V$21*shipping_manufacturing!$F$27/100</f>
        <v>0</v>
      </c>
      <c r="W33" s="129">
        <f>W$21*shipping_manufacturing!$F$27/100</f>
        <v>0</v>
      </c>
      <c r="X33" s="129">
        <f>X$21*shipping_manufacturing!$F$27/100</f>
        <v>0</v>
      </c>
      <c r="Y33" s="129">
        <f>Y$21*shipping_manufacturing!$F$27/100</f>
        <v>0</v>
      </c>
      <c r="Z33" s="129">
        <f>Z$21*shipping_manufacturing!$F$27/100</f>
        <v>0</v>
      </c>
      <c r="AA33" s="129">
        <f>AA$21*shipping_manufacturing!$F$27/100</f>
        <v>0</v>
      </c>
      <c r="AB33" s="129">
        <f>AB$21*shipping_manufacturing!$F$27/100</f>
        <v>0</v>
      </c>
      <c r="AC33" s="129">
        <f>AC$21*shipping_manufacturing!$F$27/100</f>
        <v>0</v>
      </c>
      <c r="AD33" s="129">
        <f>AD$21*shipping_manufacturing!$F$27/100</f>
        <v>0</v>
      </c>
      <c r="AE33" s="129">
        <f>AE$21*shipping_manufacturing!$F$27/100</f>
        <v>0</v>
      </c>
      <c r="AF33" s="129">
        <f>AF$21*shipping_manufacturing!$F$27/100</f>
        <v>0</v>
      </c>
      <c r="AG33" s="129">
        <f>AG$21*shipping_manufacturing!$F$27/100</f>
        <v>0</v>
      </c>
      <c r="AH33" s="129">
        <f>AH$21*shipping_manufacturing!$F$27/100</f>
        <v>0</v>
      </c>
      <c r="AI33" s="129">
        <f>AI$21*shipping_manufacturing!$F$27/100</f>
        <v>0</v>
      </c>
      <c r="AJ33" s="129">
        <f>AJ$21*shipping_manufacturing!$F$27/100</f>
        <v>0</v>
      </c>
      <c r="AK33" s="129">
        <f>AK$21*shipping_manufacturing!$F$27/100</f>
        <v>0</v>
      </c>
      <c r="AL33" s="129">
        <f>AL$21*shipping_manufacturing!$F$27/100</f>
        <v>0</v>
      </c>
      <c r="AM33" s="129">
        <f>AM$21*shipping_manufacturing!$F$27/100</f>
        <v>0</v>
      </c>
      <c r="AN33" s="129">
        <f>AN$21*shipping_manufacturing!$F$27/100</f>
        <v>0</v>
      </c>
      <c r="AO33" s="129">
        <f>AO$21*shipping_manufacturing!$F$27/100</f>
        <v>0</v>
      </c>
      <c r="AP33" s="129">
        <f>AP$21*shipping_manufacturing!$F$27/100</f>
        <v>0</v>
      </c>
      <c r="AQ33" s="129">
        <f>AQ$21*shipping_manufacturing!$F$27/100</f>
        <v>0</v>
      </c>
      <c r="AR33" s="129">
        <f>AR$21*shipping_manufacturing!$F$27/100</f>
        <v>0</v>
      </c>
      <c r="AS33" s="129">
        <f>AS$21*shipping_manufacturing!$F$27/100</f>
        <v>0</v>
      </c>
      <c r="AT33" s="129">
        <f>AT$21*shipping_manufacturing!$F$27/100</f>
        <v>0</v>
      </c>
      <c r="AU33" s="129">
        <f>AU$21*shipping_manufacturing!$F$27/100</f>
        <v>0</v>
      </c>
      <c r="AV33" s="129">
        <f>AV$21*shipping_manufacturing!$F$27/100</f>
        <v>0</v>
      </c>
      <c r="AW33" s="129">
        <f>AW$21*shipping_manufacturing!$F$27/100</f>
        <v>0</v>
      </c>
      <c r="AX33" s="129">
        <f>AX$21*shipping_manufacturing!$F$27/100</f>
        <v>0</v>
      </c>
      <c r="AY33" s="129">
        <f>AY$21*shipping_manufacturing!$F$27/100</f>
        <v>0</v>
      </c>
    </row>
    <row r="34" spans="1:52" x14ac:dyDescent="0.2">
      <c r="A34" s="118" t="s">
        <v>342</v>
      </c>
      <c r="B34" s="170" t="s">
        <v>344</v>
      </c>
      <c r="C34" s="115"/>
      <c r="D34" s="115">
        <f>D$22*shipping_manufacturing!$G$27/100</f>
        <v>0</v>
      </c>
      <c r="E34" s="115">
        <f>E$22*shipping_manufacturing!$G$27/100</f>
        <v>0</v>
      </c>
      <c r="F34" s="115">
        <f>F$22*shipping_manufacturing!$G$27/100</f>
        <v>0</v>
      </c>
      <c r="G34" s="115">
        <f>G$22*shipping_manufacturing!$G$27/100</f>
        <v>0</v>
      </c>
      <c r="H34" s="115">
        <f>H$22*shipping_manufacturing!$G$27/100</f>
        <v>0</v>
      </c>
      <c r="I34" s="115">
        <f>I$22*shipping_manufacturing!$G$27/100</f>
        <v>0</v>
      </c>
      <c r="J34" s="115">
        <f>J$22*shipping_manufacturing!$G$27/100</f>
        <v>0</v>
      </c>
      <c r="K34" s="115">
        <f>K$22*shipping_manufacturing!$G$27/100</f>
        <v>0</v>
      </c>
      <c r="L34" s="115">
        <f>L$22*shipping_manufacturing!$G$27/100</f>
        <v>0</v>
      </c>
      <c r="M34" s="115">
        <f>M$22*shipping_manufacturing!$G$27/100</f>
        <v>0</v>
      </c>
      <c r="N34" s="115">
        <f>N$22*shipping_manufacturing!$G$27/100</f>
        <v>0</v>
      </c>
      <c r="O34" s="115">
        <f>O$22*shipping_manufacturing!$G$27/100</f>
        <v>0</v>
      </c>
      <c r="P34" s="115">
        <f>P$22*shipping_manufacturing!$G$27/100</f>
        <v>0</v>
      </c>
      <c r="Q34" s="115">
        <f>Q$22*shipping_manufacturing!$G$27/100</f>
        <v>0</v>
      </c>
      <c r="R34" s="115">
        <f>R$22*shipping_manufacturing!$G$27/100</f>
        <v>0</v>
      </c>
      <c r="S34" s="115">
        <f>S$22*shipping_manufacturing!$G$27/100</f>
        <v>0</v>
      </c>
      <c r="T34" s="115">
        <f>T$22*shipping_manufacturing!$G$27/100</f>
        <v>0</v>
      </c>
      <c r="U34" s="115">
        <f>U$22*shipping_manufacturing!$G$27/100</f>
        <v>0</v>
      </c>
      <c r="V34" s="115">
        <f>V$22*shipping_manufacturing!$G$27/100</f>
        <v>0</v>
      </c>
      <c r="W34" s="115">
        <f>W$22*shipping_manufacturing!$G$27/100</f>
        <v>0</v>
      </c>
      <c r="X34" s="115">
        <f>X$22*shipping_manufacturing!$G$27/100</f>
        <v>0</v>
      </c>
      <c r="Y34" s="115">
        <f>Y$22*shipping_manufacturing!$G$27/100</f>
        <v>0</v>
      </c>
      <c r="Z34" s="115">
        <f>Z$22*shipping_manufacturing!$G$27/100</f>
        <v>0</v>
      </c>
      <c r="AA34" s="115">
        <f>AA$22*shipping_manufacturing!$G$27/100</f>
        <v>0</v>
      </c>
      <c r="AB34" s="115">
        <f>AB$22*shipping_manufacturing!$G$27/100</f>
        <v>0</v>
      </c>
      <c r="AC34" s="115">
        <f>AC$22*shipping_manufacturing!$G$27/100</f>
        <v>0</v>
      </c>
      <c r="AD34" s="115">
        <f>AD$22*shipping_manufacturing!$G$27/100</f>
        <v>0</v>
      </c>
      <c r="AE34" s="115">
        <f>AE$22*shipping_manufacturing!$G$27/100</f>
        <v>0</v>
      </c>
      <c r="AF34" s="115">
        <f>AF$22*shipping_manufacturing!$G$27/100</f>
        <v>0</v>
      </c>
      <c r="AG34" s="115">
        <f>AG$22*shipping_manufacturing!$G$27/100</f>
        <v>0</v>
      </c>
      <c r="AH34" s="115">
        <f>AH$22*shipping_manufacturing!$G$27/100</f>
        <v>0</v>
      </c>
      <c r="AI34" s="115">
        <f>AI$22*shipping_manufacturing!$G$27/100</f>
        <v>0</v>
      </c>
      <c r="AJ34" s="115">
        <f>AJ$22*shipping_manufacturing!$G$27/100</f>
        <v>0</v>
      </c>
      <c r="AK34" s="115">
        <f>AK$22*shipping_manufacturing!$G$27/100</f>
        <v>0</v>
      </c>
      <c r="AL34" s="115">
        <f>AL$22*shipping_manufacturing!$G$27/100</f>
        <v>0</v>
      </c>
      <c r="AM34" s="115">
        <f>AM$22*shipping_manufacturing!$G$27/100</f>
        <v>0</v>
      </c>
      <c r="AN34" s="115">
        <f>AN$22*shipping_manufacturing!$G$27/100</f>
        <v>0</v>
      </c>
      <c r="AO34" s="115">
        <f>AO$22*shipping_manufacturing!$G$27/100</f>
        <v>0</v>
      </c>
      <c r="AP34" s="115">
        <f>AP$22*shipping_manufacturing!$G$27/100</f>
        <v>0</v>
      </c>
      <c r="AQ34" s="115">
        <f>AQ$22*shipping_manufacturing!$G$27/100</f>
        <v>0</v>
      </c>
      <c r="AR34" s="115">
        <f>AR$22*shipping_manufacturing!$G$27/100</f>
        <v>0</v>
      </c>
      <c r="AS34" s="115">
        <f>AS$22*shipping_manufacturing!$G$27/100</f>
        <v>0</v>
      </c>
      <c r="AT34" s="115">
        <f>AT$22*shipping_manufacturing!$G$27/100</f>
        <v>0</v>
      </c>
      <c r="AU34" s="115">
        <f>AU$22*shipping_manufacturing!$G$27/100</f>
        <v>0</v>
      </c>
      <c r="AV34" s="115">
        <f>AV$22*shipping_manufacturing!$G$27/100</f>
        <v>0</v>
      </c>
      <c r="AW34" s="115">
        <f>AW$22*shipping_manufacturing!$G$27/100</f>
        <v>0</v>
      </c>
      <c r="AX34" s="115">
        <f>AX$22*shipping_manufacturing!$G$27/100</f>
        <v>0</v>
      </c>
      <c r="AY34" s="115">
        <f>AY$22*shipping_manufacturing!$G$27/100</f>
        <v>0</v>
      </c>
    </row>
    <row r="35" spans="1:52" x14ac:dyDescent="0.2">
      <c r="A35" s="115">
        <v>1188</v>
      </c>
      <c r="B35" s="170" t="s">
        <v>345</v>
      </c>
      <c r="C35" s="115"/>
      <c r="D35" s="115">
        <f>SUM(D33:D34)</f>
        <v>0</v>
      </c>
      <c r="E35" s="115">
        <f t="shared" ref="E35:AY35" si="11">SUM(E33:E34)</f>
        <v>0</v>
      </c>
      <c r="F35" s="115">
        <f t="shared" si="11"/>
        <v>0</v>
      </c>
      <c r="G35" s="115">
        <f t="shared" si="11"/>
        <v>0</v>
      </c>
      <c r="H35" s="115">
        <f t="shared" si="11"/>
        <v>0</v>
      </c>
      <c r="I35" s="115">
        <f t="shared" si="11"/>
        <v>0</v>
      </c>
      <c r="J35" s="115">
        <f t="shared" si="11"/>
        <v>0</v>
      </c>
      <c r="K35" s="115">
        <f t="shared" si="11"/>
        <v>0</v>
      </c>
      <c r="L35" s="115">
        <f t="shared" si="11"/>
        <v>0</v>
      </c>
      <c r="M35" s="115">
        <f t="shared" si="11"/>
        <v>0</v>
      </c>
      <c r="N35" s="115">
        <f t="shared" si="11"/>
        <v>0</v>
      </c>
      <c r="O35" s="115">
        <f t="shared" si="11"/>
        <v>0</v>
      </c>
      <c r="P35" s="115">
        <f t="shared" si="11"/>
        <v>0</v>
      </c>
      <c r="Q35" s="115">
        <f t="shared" si="11"/>
        <v>0</v>
      </c>
      <c r="R35" s="115">
        <f t="shared" si="11"/>
        <v>0</v>
      </c>
      <c r="S35" s="115">
        <f t="shared" si="11"/>
        <v>0</v>
      </c>
      <c r="T35" s="115">
        <f t="shared" si="11"/>
        <v>0</v>
      </c>
      <c r="U35" s="115">
        <f t="shared" si="11"/>
        <v>0</v>
      </c>
      <c r="V35" s="115">
        <f t="shared" si="11"/>
        <v>0</v>
      </c>
      <c r="W35" s="115">
        <f t="shared" si="11"/>
        <v>0</v>
      </c>
      <c r="X35" s="115">
        <f t="shared" si="11"/>
        <v>0</v>
      </c>
      <c r="Y35" s="115">
        <f t="shared" si="11"/>
        <v>0</v>
      </c>
      <c r="Z35" s="115">
        <f t="shared" si="11"/>
        <v>0</v>
      </c>
      <c r="AA35" s="115">
        <f t="shared" si="11"/>
        <v>0</v>
      </c>
      <c r="AB35" s="115">
        <f t="shared" si="11"/>
        <v>0</v>
      </c>
      <c r="AC35" s="115">
        <f t="shared" si="11"/>
        <v>0</v>
      </c>
      <c r="AD35" s="115">
        <f t="shared" si="11"/>
        <v>0</v>
      </c>
      <c r="AE35" s="115">
        <f t="shared" si="11"/>
        <v>0</v>
      </c>
      <c r="AF35" s="115">
        <f t="shared" si="11"/>
        <v>0</v>
      </c>
      <c r="AG35" s="115">
        <f t="shared" si="11"/>
        <v>0</v>
      </c>
      <c r="AH35" s="115">
        <f t="shared" si="11"/>
        <v>0</v>
      </c>
      <c r="AI35" s="115">
        <f t="shared" si="11"/>
        <v>0</v>
      </c>
      <c r="AJ35" s="115">
        <f t="shared" si="11"/>
        <v>0</v>
      </c>
      <c r="AK35" s="115">
        <f t="shared" si="11"/>
        <v>0</v>
      </c>
      <c r="AL35" s="115">
        <f t="shared" si="11"/>
        <v>0</v>
      </c>
      <c r="AM35" s="115">
        <f t="shared" si="11"/>
        <v>0</v>
      </c>
      <c r="AN35" s="115">
        <f t="shared" si="11"/>
        <v>0</v>
      </c>
      <c r="AO35" s="115">
        <f t="shared" si="11"/>
        <v>0</v>
      </c>
      <c r="AP35" s="115">
        <f t="shared" si="11"/>
        <v>0</v>
      </c>
      <c r="AQ35" s="115">
        <f t="shared" si="11"/>
        <v>0</v>
      </c>
      <c r="AR35" s="115">
        <f t="shared" si="11"/>
        <v>0</v>
      </c>
      <c r="AS35" s="115">
        <f t="shared" si="11"/>
        <v>0</v>
      </c>
      <c r="AT35" s="115">
        <f t="shared" si="11"/>
        <v>0</v>
      </c>
      <c r="AU35" s="115">
        <f t="shared" si="11"/>
        <v>0</v>
      </c>
      <c r="AV35" s="115">
        <f t="shared" si="11"/>
        <v>0</v>
      </c>
      <c r="AW35" s="115">
        <f t="shared" si="11"/>
        <v>0</v>
      </c>
      <c r="AX35" s="115">
        <f t="shared" si="11"/>
        <v>0</v>
      </c>
      <c r="AY35" s="115">
        <f t="shared" si="11"/>
        <v>0</v>
      </c>
    </row>
    <row r="36" spans="1:52" x14ac:dyDescent="0.2">
      <c r="A36" s="115"/>
      <c r="B36" s="170" t="s">
        <v>346</v>
      </c>
      <c r="C36" s="115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</row>
    <row r="37" spans="1:52" x14ac:dyDescent="0.2">
      <c r="A37" s="115"/>
      <c r="B37" s="170" t="s">
        <v>347</v>
      </c>
      <c r="C37" s="115"/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115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</row>
    <row r="38" spans="1:52" x14ac:dyDescent="0.2">
      <c r="A38" s="115"/>
      <c r="B38" s="170" t="s">
        <v>348</v>
      </c>
      <c r="C38" s="115"/>
      <c r="D38" s="115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</row>
    <row r="39" spans="1:52" x14ac:dyDescent="0.2">
      <c r="A39" s="115"/>
      <c r="B39" s="170" t="s">
        <v>349</v>
      </c>
      <c r="C39" s="115"/>
      <c r="D39" s="115">
        <f>D33-D36</f>
        <v>0</v>
      </c>
      <c r="E39" s="115">
        <f t="shared" ref="E39:AY39" si="12">E33-E36</f>
        <v>0</v>
      </c>
      <c r="F39" s="115">
        <f t="shared" si="12"/>
        <v>0</v>
      </c>
      <c r="G39" s="115">
        <f t="shared" si="12"/>
        <v>0</v>
      </c>
      <c r="H39" s="115">
        <f t="shared" si="12"/>
        <v>0</v>
      </c>
      <c r="I39" s="115">
        <f t="shared" si="12"/>
        <v>0</v>
      </c>
      <c r="J39" s="115">
        <f t="shared" si="12"/>
        <v>0</v>
      </c>
      <c r="K39" s="115">
        <f t="shared" si="12"/>
        <v>0</v>
      </c>
      <c r="L39" s="115">
        <f t="shared" si="12"/>
        <v>0</v>
      </c>
      <c r="M39" s="115">
        <f t="shared" si="12"/>
        <v>0</v>
      </c>
      <c r="N39" s="115">
        <f t="shared" si="12"/>
        <v>0</v>
      </c>
      <c r="O39" s="115">
        <f t="shared" si="12"/>
        <v>0</v>
      </c>
      <c r="P39" s="115">
        <f t="shared" si="12"/>
        <v>0</v>
      </c>
      <c r="Q39" s="115">
        <f t="shared" si="12"/>
        <v>0</v>
      </c>
      <c r="R39" s="115">
        <f t="shared" si="12"/>
        <v>0</v>
      </c>
      <c r="S39" s="115">
        <f t="shared" si="12"/>
        <v>0</v>
      </c>
      <c r="T39" s="115">
        <f t="shared" si="12"/>
        <v>0</v>
      </c>
      <c r="U39" s="115">
        <f t="shared" si="12"/>
        <v>0</v>
      </c>
      <c r="V39" s="115">
        <f t="shared" si="12"/>
        <v>0</v>
      </c>
      <c r="W39" s="115">
        <f t="shared" si="12"/>
        <v>0</v>
      </c>
      <c r="X39" s="115">
        <f t="shared" si="12"/>
        <v>0</v>
      </c>
      <c r="Y39" s="115">
        <f t="shared" si="12"/>
        <v>0</v>
      </c>
      <c r="Z39" s="115">
        <f t="shared" si="12"/>
        <v>0</v>
      </c>
      <c r="AA39" s="115">
        <f t="shared" si="12"/>
        <v>0</v>
      </c>
      <c r="AB39" s="115">
        <f t="shared" si="12"/>
        <v>0</v>
      </c>
      <c r="AC39" s="115">
        <f t="shared" si="12"/>
        <v>0</v>
      </c>
      <c r="AD39" s="115">
        <f t="shared" si="12"/>
        <v>0</v>
      </c>
      <c r="AE39" s="115">
        <f t="shared" si="12"/>
        <v>0</v>
      </c>
      <c r="AF39" s="115">
        <f t="shared" si="12"/>
        <v>0</v>
      </c>
      <c r="AG39" s="115">
        <f t="shared" si="12"/>
        <v>0</v>
      </c>
      <c r="AH39" s="115">
        <f t="shared" si="12"/>
        <v>0</v>
      </c>
      <c r="AI39" s="115">
        <f t="shared" si="12"/>
        <v>0</v>
      </c>
      <c r="AJ39" s="115">
        <f t="shared" si="12"/>
        <v>0</v>
      </c>
      <c r="AK39" s="115">
        <f t="shared" si="12"/>
        <v>0</v>
      </c>
      <c r="AL39" s="115">
        <f t="shared" si="12"/>
        <v>0</v>
      </c>
      <c r="AM39" s="115">
        <f t="shared" si="12"/>
        <v>0</v>
      </c>
      <c r="AN39" s="115">
        <f t="shared" si="12"/>
        <v>0</v>
      </c>
      <c r="AO39" s="115">
        <f t="shared" si="12"/>
        <v>0</v>
      </c>
      <c r="AP39" s="115">
        <f t="shared" si="12"/>
        <v>0</v>
      </c>
      <c r="AQ39" s="115">
        <f t="shared" si="12"/>
        <v>0</v>
      </c>
      <c r="AR39" s="115">
        <f t="shared" si="12"/>
        <v>0</v>
      </c>
      <c r="AS39" s="115">
        <f t="shared" si="12"/>
        <v>0</v>
      </c>
      <c r="AT39" s="115">
        <f t="shared" si="12"/>
        <v>0</v>
      </c>
      <c r="AU39" s="115">
        <f t="shared" si="12"/>
        <v>0</v>
      </c>
      <c r="AV39" s="115">
        <f t="shared" si="12"/>
        <v>0</v>
      </c>
      <c r="AW39" s="115">
        <f t="shared" si="12"/>
        <v>0</v>
      </c>
      <c r="AX39" s="115">
        <f t="shared" si="12"/>
        <v>0</v>
      </c>
      <c r="AY39" s="115">
        <f t="shared" si="12"/>
        <v>0</v>
      </c>
    </row>
    <row r="40" spans="1:52" x14ac:dyDescent="0.2">
      <c r="A40" s="115"/>
      <c r="B40" s="170" t="s">
        <v>350</v>
      </c>
      <c r="C40" s="115"/>
      <c r="D40" s="115">
        <f>D34-D37</f>
        <v>0</v>
      </c>
      <c r="E40" s="115">
        <f t="shared" ref="E40:AY40" si="13">E34-E37</f>
        <v>0</v>
      </c>
      <c r="F40" s="115">
        <f t="shared" si="13"/>
        <v>0</v>
      </c>
      <c r="G40" s="115">
        <f t="shared" si="13"/>
        <v>0</v>
      </c>
      <c r="H40" s="115">
        <f t="shared" si="13"/>
        <v>0</v>
      </c>
      <c r="I40" s="115">
        <f t="shared" si="13"/>
        <v>0</v>
      </c>
      <c r="J40" s="115">
        <f t="shared" si="13"/>
        <v>0</v>
      </c>
      <c r="K40" s="115">
        <f t="shared" si="13"/>
        <v>0</v>
      </c>
      <c r="L40" s="115">
        <f t="shared" si="13"/>
        <v>0</v>
      </c>
      <c r="M40" s="115">
        <f t="shared" si="13"/>
        <v>0</v>
      </c>
      <c r="N40" s="115">
        <f t="shared" si="13"/>
        <v>0</v>
      </c>
      <c r="O40" s="115">
        <f t="shared" si="13"/>
        <v>0</v>
      </c>
      <c r="P40" s="115">
        <f t="shared" si="13"/>
        <v>0</v>
      </c>
      <c r="Q40" s="115">
        <f t="shared" si="13"/>
        <v>0</v>
      </c>
      <c r="R40" s="115">
        <f t="shared" si="13"/>
        <v>0</v>
      </c>
      <c r="S40" s="115">
        <f t="shared" si="13"/>
        <v>0</v>
      </c>
      <c r="T40" s="115">
        <f t="shared" si="13"/>
        <v>0</v>
      </c>
      <c r="U40" s="115">
        <f t="shared" si="13"/>
        <v>0</v>
      </c>
      <c r="V40" s="115">
        <f t="shared" si="13"/>
        <v>0</v>
      </c>
      <c r="W40" s="115">
        <f t="shared" si="13"/>
        <v>0</v>
      </c>
      <c r="X40" s="115">
        <f t="shared" si="13"/>
        <v>0</v>
      </c>
      <c r="Y40" s="115">
        <f t="shared" si="13"/>
        <v>0</v>
      </c>
      <c r="Z40" s="115">
        <f t="shared" si="13"/>
        <v>0</v>
      </c>
      <c r="AA40" s="115">
        <f t="shared" si="13"/>
        <v>0</v>
      </c>
      <c r="AB40" s="115">
        <f t="shared" si="13"/>
        <v>0</v>
      </c>
      <c r="AC40" s="115">
        <f t="shared" si="13"/>
        <v>0</v>
      </c>
      <c r="AD40" s="115">
        <f t="shared" si="13"/>
        <v>0</v>
      </c>
      <c r="AE40" s="115">
        <f t="shared" si="13"/>
        <v>0</v>
      </c>
      <c r="AF40" s="115">
        <f t="shared" si="13"/>
        <v>0</v>
      </c>
      <c r="AG40" s="115">
        <f t="shared" si="13"/>
        <v>0</v>
      </c>
      <c r="AH40" s="115">
        <f t="shared" si="13"/>
        <v>0</v>
      </c>
      <c r="AI40" s="115">
        <f t="shared" si="13"/>
        <v>0</v>
      </c>
      <c r="AJ40" s="115">
        <f t="shared" si="13"/>
        <v>0</v>
      </c>
      <c r="AK40" s="115">
        <f t="shared" si="13"/>
        <v>0</v>
      </c>
      <c r="AL40" s="115">
        <f t="shared" si="13"/>
        <v>0</v>
      </c>
      <c r="AM40" s="115">
        <f t="shared" si="13"/>
        <v>0</v>
      </c>
      <c r="AN40" s="115">
        <f t="shared" si="13"/>
        <v>0</v>
      </c>
      <c r="AO40" s="115">
        <f t="shared" si="13"/>
        <v>0</v>
      </c>
      <c r="AP40" s="115">
        <f t="shared" si="13"/>
        <v>0</v>
      </c>
      <c r="AQ40" s="115">
        <f t="shared" si="13"/>
        <v>0</v>
      </c>
      <c r="AR40" s="115">
        <f t="shared" si="13"/>
        <v>0</v>
      </c>
      <c r="AS40" s="115">
        <f t="shared" si="13"/>
        <v>0</v>
      </c>
      <c r="AT40" s="115">
        <f t="shared" si="13"/>
        <v>0</v>
      </c>
      <c r="AU40" s="115">
        <f t="shared" si="13"/>
        <v>0</v>
      </c>
      <c r="AV40" s="115">
        <f t="shared" si="13"/>
        <v>0</v>
      </c>
      <c r="AW40" s="115">
        <f t="shared" si="13"/>
        <v>0</v>
      </c>
      <c r="AX40" s="115">
        <f t="shared" si="13"/>
        <v>0</v>
      </c>
      <c r="AY40" s="115">
        <f t="shared" si="13"/>
        <v>0</v>
      </c>
    </row>
    <row r="41" spans="1:52" x14ac:dyDescent="0.2">
      <c r="A41" s="115"/>
      <c r="B41" s="170" t="s">
        <v>351</v>
      </c>
      <c r="C41" s="115"/>
      <c r="D41" s="115">
        <v>2</v>
      </c>
      <c r="E41" s="115">
        <v>2</v>
      </c>
      <c r="F41" s="115">
        <v>1</v>
      </c>
      <c r="G41" s="115">
        <v>1</v>
      </c>
      <c r="H41" s="115">
        <v>1</v>
      </c>
      <c r="I41" s="115">
        <v>1</v>
      </c>
      <c r="J41" s="115">
        <v>1</v>
      </c>
      <c r="K41" s="115">
        <v>1</v>
      </c>
      <c r="L41" s="115">
        <v>1</v>
      </c>
      <c r="M41" s="115">
        <v>1</v>
      </c>
      <c r="N41" s="115">
        <v>2</v>
      </c>
      <c r="O41" s="115">
        <v>2</v>
      </c>
      <c r="P41" s="115">
        <v>1</v>
      </c>
      <c r="Q41" s="115">
        <v>3</v>
      </c>
      <c r="R41" s="115">
        <v>1</v>
      </c>
      <c r="S41" s="115">
        <v>1</v>
      </c>
      <c r="T41" s="115">
        <v>2</v>
      </c>
      <c r="U41" s="115">
        <v>1</v>
      </c>
      <c r="V41" s="115">
        <v>3</v>
      </c>
      <c r="W41" s="115">
        <v>1</v>
      </c>
      <c r="X41" s="115">
        <v>1</v>
      </c>
      <c r="Y41" s="115">
        <v>2</v>
      </c>
      <c r="Z41" s="115">
        <v>1</v>
      </c>
      <c r="AA41" s="115">
        <v>1</v>
      </c>
      <c r="AB41" s="115">
        <v>1</v>
      </c>
      <c r="AC41" s="115">
        <v>1</v>
      </c>
      <c r="AD41" s="115">
        <v>2</v>
      </c>
      <c r="AE41" s="115">
        <v>2</v>
      </c>
      <c r="AF41" s="115">
        <v>1</v>
      </c>
      <c r="AG41" s="115">
        <v>2</v>
      </c>
      <c r="AH41" s="115">
        <v>1</v>
      </c>
      <c r="AI41" s="115">
        <v>1</v>
      </c>
      <c r="AJ41" s="115">
        <v>1</v>
      </c>
      <c r="AK41" s="115">
        <v>1</v>
      </c>
      <c r="AL41" s="115">
        <v>2</v>
      </c>
      <c r="AM41" s="115">
        <v>1</v>
      </c>
      <c r="AN41" s="115">
        <v>1</v>
      </c>
      <c r="AO41" s="115">
        <v>1</v>
      </c>
      <c r="AP41" s="115">
        <v>1</v>
      </c>
      <c r="AQ41" s="115">
        <v>1</v>
      </c>
      <c r="AR41" s="115">
        <v>1</v>
      </c>
      <c r="AS41" s="115">
        <v>1</v>
      </c>
      <c r="AT41" s="115">
        <v>2</v>
      </c>
      <c r="AU41" s="115">
        <v>1</v>
      </c>
      <c r="AV41" s="115">
        <v>2</v>
      </c>
      <c r="AW41" s="115">
        <v>2</v>
      </c>
      <c r="AX41" s="115">
        <v>2</v>
      </c>
      <c r="AY41" s="115">
        <v>2</v>
      </c>
    </row>
    <row r="42" spans="1:52" x14ac:dyDescent="0.2">
      <c r="A42" s="115"/>
      <c r="B42" s="183" t="s">
        <v>352</v>
      </c>
      <c r="C42" s="115"/>
      <c r="D42" s="115">
        <v>0</v>
      </c>
      <c r="E42" s="115">
        <v>0</v>
      </c>
      <c r="F42" s="115">
        <v>0</v>
      </c>
      <c r="G42" s="115">
        <v>0</v>
      </c>
      <c r="H42" s="115">
        <v>0</v>
      </c>
      <c r="I42" s="115">
        <v>0</v>
      </c>
      <c r="J42" s="115">
        <v>0</v>
      </c>
      <c r="K42" s="115">
        <v>0</v>
      </c>
      <c r="L42" s="115">
        <v>0</v>
      </c>
      <c r="M42" s="115">
        <v>0</v>
      </c>
      <c r="N42" s="115">
        <v>0</v>
      </c>
      <c r="O42" s="115">
        <v>0</v>
      </c>
      <c r="P42" s="115">
        <v>0</v>
      </c>
      <c r="Q42" s="115">
        <v>0</v>
      </c>
      <c r="R42" s="115">
        <v>0</v>
      </c>
      <c r="S42" s="115">
        <v>0</v>
      </c>
      <c r="T42" s="115">
        <v>0</v>
      </c>
      <c r="U42" s="115">
        <v>0</v>
      </c>
      <c r="V42" s="115">
        <v>0</v>
      </c>
      <c r="W42" s="115">
        <v>0</v>
      </c>
      <c r="X42" s="115">
        <v>0</v>
      </c>
      <c r="Y42" s="115">
        <v>0</v>
      </c>
      <c r="Z42" s="115">
        <v>0</v>
      </c>
      <c r="AA42" s="115">
        <v>0</v>
      </c>
      <c r="AB42" s="115">
        <v>0</v>
      </c>
      <c r="AC42" s="115">
        <v>0</v>
      </c>
      <c r="AD42" s="115">
        <v>0</v>
      </c>
      <c r="AE42" s="115">
        <v>0</v>
      </c>
      <c r="AF42" s="115">
        <v>0</v>
      </c>
      <c r="AG42" s="115">
        <v>0</v>
      </c>
      <c r="AH42" s="115">
        <v>0</v>
      </c>
      <c r="AI42" s="115">
        <v>0</v>
      </c>
      <c r="AJ42" s="115">
        <v>0</v>
      </c>
      <c r="AK42" s="115">
        <v>0</v>
      </c>
      <c r="AL42" s="115">
        <v>0</v>
      </c>
      <c r="AM42" s="115">
        <v>0</v>
      </c>
      <c r="AN42" s="115">
        <v>0</v>
      </c>
      <c r="AO42" s="115">
        <v>0</v>
      </c>
      <c r="AP42" s="115">
        <v>0</v>
      </c>
      <c r="AQ42" s="115">
        <v>0</v>
      </c>
      <c r="AR42" s="115">
        <v>0</v>
      </c>
      <c r="AS42" s="115">
        <v>0</v>
      </c>
      <c r="AT42" s="115">
        <v>0</v>
      </c>
      <c r="AU42" s="115">
        <v>0</v>
      </c>
      <c r="AV42" s="115">
        <v>0</v>
      </c>
      <c r="AW42" s="115">
        <v>0</v>
      </c>
      <c r="AX42" s="115">
        <v>0</v>
      </c>
      <c r="AY42" s="115">
        <v>0</v>
      </c>
      <c r="AZ42" s="105">
        <f>SUM($D$42:$AY$42)</f>
        <v>0</v>
      </c>
    </row>
    <row r="43" spans="1:52" x14ac:dyDescent="0.2">
      <c r="A43" s="115"/>
      <c r="B43" s="183" t="s">
        <v>353</v>
      </c>
      <c r="C43" s="115"/>
      <c r="D43" s="115">
        <v>0</v>
      </c>
      <c r="E43" s="115">
        <v>0</v>
      </c>
      <c r="F43" s="115">
        <v>0</v>
      </c>
      <c r="G43" s="115">
        <v>0</v>
      </c>
      <c r="H43" s="115">
        <v>0</v>
      </c>
      <c r="I43" s="115">
        <v>0</v>
      </c>
      <c r="J43" s="115">
        <v>0</v>
      </c>
      <c r="K43" s="115">
        <v>0</v>
      </c>
      <c r="L43" s="115">
        <v>0</v>
      </c>
      <c r="M43" s="115">
        <v>0</v>
      </c>
      <c r="N43" s="115">
        <v>0</v>
      </c>
      <c r="O43" s="115">
        <v>0</v>
      </c>
      <c r="P43" s="115">
        <v>0</v>
      </c>
      <c r="Q43" s="115">
        <v>0</v>
      </c>
      <c r="R43" s="115">
        <v>0</v>
      </c>
      <c r="S43" s="115">
        <v>0</v>
      </c>
      <c r="T43" s="115">
        <v>0</v>
      </c>
      <c r="U43" s="115">
        <v>0</v>
      </c>
      <c r="V43" s="115">
        <v>0</v>
      </c>
      <c r="W43" s="115">
        <v>0</v>
      </c>
      <c r="X43" s="115">
        <v>0</v>
      </c>
      <c r="Y43" s="115">
        <v>0</v>
      </c>
      <c r="Z43" s="115">
        <v>0</v>
      </c>
      <c r="AA43" s="115">
        <v>0</v>
      </c>
      <c r="AB43" s="115">
        <v>0</v>
      </c>
      <c r="AC43" s="115">
        <v>0</v>
      </c>
      <c r="AD43" s="115">
        <v>0</v>
      </c>
      <c r="AE43" s="115">
        <v>0</v>
      </c>
      <c r="AF43" s="115">
        <v>0</v>
      </c>
      <c r="AG43" s="115">
        <v>0</v>
      </c>
      <c r="AH43" s="115">
        <v>0</v>
      </c>
      <c r="AI43" s="115">
        <v>0</v>
      </c>
      <c r="AJ43" s="115">
        <v>0</v>
      </c>
      <c r="AK43" s="115">
        <v>0</v>
      </c>
      <c r="AL43" s="115">
        <v>0</v>
      </c>
      <c r="AM43" s="115">
        <v>0</v>
      </c>
      <c r="AN43" s="115">
        <v>0</v>
      </c>
      <c r="AO43" s="115">
        <v>0</v>
      </c>
      <c r="AP43" s="115">
        <v>0</v>
      </c>
      <c r="AQ43" s="115">
        <v>0</v>
      </c>
      <c r="AR43" s="115">
        <v>0</v>
      </c>
      <c r="AS43" s="115">
        <v>0</v>
      </c>
      <c r="AT43" s="115">
        <v>0</v>
      </c>
      <c r="AU43" s="115">
        <v>0</v>
      </c>
      <c r="AV43" s="115">
        <v>0</v>
      </c>
      <c r="AW43" s="115">
        <v>0</v>
      </c>
      <c r="AX43" s="115">
        <v>0</v>
      </c>
      <c r="AY43" s="115">
        <v>0</v>
      </c>
      <c r="AZ43" s="105">
        <f>SUM($D$43:$AY$43)</f>
        <v>0</v>
      </c>
    </row>
    <row r="44" spans="1:52" x14ac:dyDescent="0.2">
      <c r="A44" s="140" t="s">
        <v>49</v>
      </c>
      <c r="B44" s="140" t="s">
        <v>343</v>
      </c>
      <c r="C44" s="129"/>
      <c r="D44" s="129">
        <f>D$21*shipping_manufacturing!$F$28/100</f>
        <v>0</v>
      </c>
      <c r="E44" s="129">
        <f>E$21*shipping_manufacturing!$F$28/100</f>
        <v>384.41637190500251</v>
      </c>
      <c r="F44" s="129">
        <f>F$21*shipping_manufacturing!$F$28/100</f>
        <v>384.41637190500251</v>
      </c>
      <c r="G44" s="129">
        <f>G$21*shipping_manufacturing!$F$28/100</f>
        <v>384.41637190500251</v>
      </c>
      <c r="H44" s="129">
        <f>H$21*shipping_manufacturing!$F$28/100</f>
        <v>384.41637190500251</v>
      </c>
      <c r="I44" s="129">
        <f>I$21*shipping_manufacturing!$F$28/100</f>
        <v>422.85800909550284</v>
      </c>
      <c r="J44" s="129">
        <f>J$21*shipping_manufacturing!$F$28/100</f>
        <v>422.85800909550284</v>
      </c>
      <c r="K44" s="129">
        <f>K$21*shipping_manufacturing!$F$28/100</f>
        <v>422.85800909550284</v>
      </c>
      <c r="L44" s="129">
        <f>L$21*shipping_manufacturing!$F$28/100</f>
        <v>422.85800909550284</v>
      </c>
      <c r="M44" s="129">
        <f>M$21*shipping_manufacturing!$F$28/100</f>
        <v>422.85800909550284</v>
      </c>
      <c r="N44" s="129">
        <f>N$21*shipping_manufacturing!$F$28/100</f>
        <v>422.85800909550284</v>
      </c>
      <c r="O44" s="129">
        <f>O$21*shipping_manufacturing!$F$28/100</f>
        <v>422.85800909550284</v>
      </c>
      <c r="P44" s="129">
        <f>P$21*shipping_manufacturing!$F$28/100</f>
        <v>422.85800909550284</v>
      </c>
      <c r="Q44" s="129">
        <f>Q$21*shipping_manufacturing!$F$28/100</f>
        <v>384.41637190500251</v>
      </c>
      <c r="R44" s="129">
        <f>R$21*shipping_manufacturing!$F$28/100</f>
        <v>384.41637190500251</v>
      </c>
      <c r="S44" s="129">
        <f>S$21*shipping_manufacturing!$F$28/100</f>
        <v>384.41637190500251</v>
      </c>
      <c r="T44" s="129">
        <f>T$21*shipping_manufacturing!$F$28/100</f>
        <v>384.41637190500251</v>
      </c>
      <c r="U44" s="129">
        <f>U$21*shipping_manufacturing!$F$28/100</f>
        <v>345.97473471450229</v>
      </c>
      <c r="V44" s="129">
        <f>V$21*shipping_manufacturing!$F$28/100</f>
        <v>345.97473471450229</v>
      </c>
      <c r="W44" s="129">
        <f>W$21*shipping_manufacturing!$F$28/100</f>
        <v>345.97473471450229</v>
      </c>
      <c r="X44" s="129">
        <f>X$21*shipping_manufacturing!$F$28/100</f>
        <v>345.97473471450229</v>
      </c>
      <c r="Y44" s="129">
        <f>Y$21*shipping_manufacturing!$F$28/100</f>
        <v>345.97473471450229</v>
      </c>
      <c r="Z44" s="129">
        <f>Z$21*shipping_manufacturing!$F$28/100</f>
        <v>345.97473471450229</v>
      </c>
      <c r="AA44" s="129">
        <f>AA$21*shipping_manufacturing!$F$28/100</f>
        <v>345.97473471450229</v>
      </c>
      <c r="AB44" s="129">
        <f>AB$21*shipping_manufacturing!$F$28/100</f>
        <v>345.97473471450229</v>
      </c>
      <c r="AC44" s="129">
        <f>AC$21*shipping_manufacturing!$F$28/100</f>
        <v>345.97473471450229</v>
      </c>
      <c r="AD44" s="129">
        <f>AD$21*shipping_manufacturing!$F$28/100</f>
        <v>345.97473471450229</v>
      </c>
      <c r="AE44" s="129">
        <f>AE$21*shipping_manufacturing!$F$28/100</f>
        <v>345.97473471450229</v>
      </c>
      <c r="AF44" s="129">
        <f>AF$21*shipping_manufacturing!$F$28/100</f>
        <v>345.97473471450229</v>
      </c>
      <c r="AG44" s="129">
        <f>AG$21*shipping_manufacturing!$F$28/100</f>
        <v>422.85800909550284</v>
      </c>
      <c r="AH44" s="129">
        <f>AH$21*shipping_manufacturing!$F$28/100</f>
        <v>422.85800909550284</v>
      </c>
      <c r="AI44" s="129">
        <f>AI$21*shipping_manufacturing!$F$28/100</f>
        <v>422.85800909550284</v>
      </c>
      <c r="AJ44" s="129">
        <f>AJ$21*shipping_manufacturing!$F$28/100</f>
        <v>422.85800909550284</v>
      </c>
      <c r="AK44" s="129">
        <f>AK$21*shipping_manufacturing!$F$28/100</f>
        <v>422.85800909550284</v>
      </c>
      <c r="AL44" s="129">
        <f>AL$21*shipping_manufacturing!$F$28/100</f>
        <v>422.85800909550284</v>
      </c>
      <c r="AM44" s="129">
        <f>AM$21*shipping_manufacturing!$F$28/100</f>
        <v>422.85800909550284</v>
      </c>
      <c r="AN44" s="129">
        <f>AN$21*shipping_manufacturing!$F$28/100</f>
        <v>422.85800909550284</v>
      </c>
      <c r="AO44" s="129">
        <f>AO$21*shipping_manufacturing!$F$28/100</f>
        <v>422.85800909550284</v>
      </c>
      <c r="AP44" s="129">
        <f>AP$21*shipping_manufacturing!$F$28/100</f>
        <v>422.85800909550284</v>
      </c>
      <c r="AQ44" s="129">
        <f>AQ$21*shipping_manufacturing!$F$28/100</f>
        <v>422.85800909550284</v>
      </c>
      <c r="AR44" s="129">
        <f>AR$21*shipping_manufacturing!$F$28/100</f>
        <v>422.85800909550284</v>
      </c>
      <c r="AS44" s="129">
        <f>AS$21*shipping_manufacturing!$F$28/100</f>
        <v>384.41637190500251</v>
      </c>
      <c r="AT44" s="129">
        <f>AT$21*shipping_manufacturing!$F$28/100</f>
        <v>384.41637190500251</v>
      </c>
      <c r="AU44" s="129">
        <f>AU$21*shipping_manufacturing!$F$28/100</f>
        <v>384.41637190500251</v>
      </c>
      <c r="AV44" s="129">
        <f>AV$21*shipping_manufacturing!$F$28/100</f>
        <v>384.41637190500251</v>
      </c>
      <c r="AW44" s="129">
        <f>AW$21*shipping_manufacturing!$F$28/100</f>
        <v>345.97473471450229</v>
      </c>
      <c r="AX44" s="129">
        <f>AX$21*shipping_manufacturing!$F$28/100</f>
        <v>345.97473471450229</v>
      </c>
      <c r="AY44" s="129">
        <f>AY$21*shipping_manufacturing!$F$28/100</f>
        <v>345.97473471450229</v>
      </c>
    </row>
    <row r="45" spans="1:52" x14ac:dyDescent="0.2">
      <c r="A45" s="118" t="s">
        <v>342</v>
      </c>
      <c r="B45" s="170" t="s">
        <v>344</v>
      </c>
      <c r="C45" s="115"/>
      <c r="D45" s="115">
        <f>D$22*shipping_manufacturing!$G$28/100</f>
        <v>0</v>
      </c>
      <c r="E45" s="115">
        <f>E$22*shipping_manufacturing!$G$28/100</f>
        <v>253.61495704901461</v>
      </c>
      <c r="F45" s="115">
        <f>F$22*shipping_manufacturing!$G$28/100</f>
        <v>253.61495704901461</v>
      </c>
      <c r="G45" s="115">
        <f>G$22*shipping_manufacturing!$G$28/100</f>
        <v>253.61495704901461</v>
      </c>
      <c r="H45" s="115">
        <f>H$22*shipping_manufacturing!$G$28/100</f>
        <v>253.61495704901461</v>
      </c>
      <c r="I45" s="115">
        <f>I$22*shipping_manufacturing!$G$28/100</f>
        <v>278.97645275391613</v>
      </c>
      <c r="J45" s="115">
        <f>J$22*shipping_manufacturing!$G$28/100</f>
        <v>278.97645275391613</v>
      </c>
      <c r="K45" s="115">
        <f>K$22*shipping_manufacturing!$G$28/100</f>
        <v>278.97645275391613</v>
      </c>
      <c r="L45" s="115">
        <f>L$22*shipping_manufacturing!$G$28/100</f>
        <v>278.97645275391613</v>
      </c>
      <c r="M45" s="115">
        <f>M$22*shipping_manufacturing!$G$28/100</f>
        <v>278.97645275391613</v>
      </c>
      <c r="N45" s="115">
        <f>N$22*shipping_manufacturing!$G$28/100</f>
        <v>278.97645275391613</v>
      </c>
      <c r="O45" s="115">
        <f>O$22*shipping_manufacturing!$G$28/100</f>
        <v>278.97645275391613</v>
      </c>
      <c r="P45" s="115">
        <f>P$22*shipping_manufacturing!$G$28/100</f>
        <v>278.97645275391613</v>
      </c>
      <c r="Q45" s="115">
        <f>Q$22*shipping_manufacturing!$G$28/100</f>
        <v>253.61495704901461</v>
      </c>
      <c r="R45" s="115">
        <f>R$22*shipping_manufacturing!$G$28/100</f>
        <v>253.61495704901461</v>
      </c>
      <c r="S45" s="115">
        <f>S$22*shipping_manufacturing!$G$28/100</f>
        <v>253.61495704901461</v>
      </c>
      <c r="T45" s="115">
        <f>T$22*shipping_manufacturing!$G$28/100</f>
        <v>253.61495704901461</v>
      </c>
      <c r="U45" s="115">
        <f>U$22*shipping_manufacturing!$G$28/100</f>
        <v>228.25346134411316</v>
      </c>
      <c r="V45" s="115">
        <f>V$22*shipping_manufacturing!$G$28/100</f>
        <v>228.25346134411316</v>
      </c>
      <c r="W45" s="115">
        <f>W$22*shipping_manufacturing!$G$28/100</f>
        <v>228.25346134411316</v>
      </c>
      <c r="X45" s="115">
        <f>X$22*shipping_manufacturing!$G$28/100</f>
        <v>228.25346134411316</v>
      </c>
      <c r="Y45" s="115">
        <f>Y$22*shipping_manufacturing!$G$28/100</f>
        <v>228.25346134411316</v>
      </c>
      <c r="Z45" s="115">
        <f>Z$22*shipping_manufacturing!$G$28/100</f>
        <v>228.25346134411316</v>
      </c>
      <c r="AA45" s="115">
        <f>AA$22*shipping_manufacturing!$G$28/100</f>
        <v>228.25346134411316</v>
      </c>
      <c r="AB45" s="115">
        <f>AB$22*shipping_manufacturing!$G$28/100</f>
        <v>228.25346134411316</v>
      </c>
      <c r="AC45" s="115">
        <f>AC$22*shipping_manufacturing!$G$28/100</f>
        <v>228.25346134411316</v>
      </c>
      <c r="AD45" s="115">
        <f>AD$22*shipping_manufacturing!$G$28/100</f>
        <v>228.25346134411316</v>
      </c>
      <c r="AE45" s="115">
        <f>AE$22*shipping_manufacturing!$G$28/100</f>
        <v>228.25346134411316</v>
      </c>
      <c r="AF45" s="115">
        <f>AF$22*shipping_manufacturing!$G$28/100</f>
        <v>228.25346134411316</v>
      </c>
      <c r="AG45" s="115">
        <f>AG$22*shipping_manufacturing!$G$28/100</f>
        <v>278.97645275391613</v>
      </c>
      <c r="AH45" s="115">
        <f>AH$22*shipping_manufacturing!$G$28/100</f>
        <v>278.97645275391613</v>
      </c>
      <c r="AI45" s="115">
        <f>AI$22*shipping_manufacturing!$G$28/100</f>
        <v>278.97645275391613</v>
      </c>
      <c r="AJ45" s="115">
        <f>AJ$22*shipping_manufacturing!$G$28/100</f>
        <v>278.97645275391613</v>
      </c>
      <c r="AK45" s="115">
        <f>AK$22*shipping_manufacturing!$G$28/100</f>
        <v>278.97645275391613</v>
      </c>
      <c r="AL45" s="115">
        <f>AL$22*shipping_manufacturing!$G$28/100</f>
        <v>278.97645275391613</v>
      </c>
      <c r="AM45" s="115">
        <f>AM$22*shipping_manufacturing!$G$28/100</f>
        <v>278.97645275391613</v>
      </c>
      <c r="AN45" s="115">
        <f>AN$22*shipping_manufacturing!$G$28/100</f>
        <v>278.97645275391613</v>
      </c>
      <c r="AO45" s="115">
        <f>AO$22*shipping_manufacturing!$G$28/100</f>
        <v>278.97645275391613</v>
      </c>
      <c r="AP45" s="115">
        <f>AP$22*shipping_manufacturing!$G$28/100</f>
        <v>278.97645275391613</v>
      </c>
      <c r="AQ45" s="115">
        <f>AQ$22*shipping_manufacturing!$G$28/100</f>
        <v>278.97645275391613</v>
      </c>
      <c r="AR45" s="115">
        <f>AR$22*shipping_manufacturing!$G$28/100</f>
        <v>278.97645275391613</v>
      </c>
      <c r="AS45" s="115">
        <f>AS$22*shipping_manufacturing!$G$28/100</f>
        <v>253.61495704901461</v>
      </c>
      <c r="AT45" s="115">
        <f>AT$22*shipping_manufacturing!$G$28/100</f>
        <v>253.61495704901461</v>
      </c>
      <c r="AU45" s="115">
        <f>AU$22*shipping_manufacturing!$G$28/100</f>
        <v>253.61495704901461</v>
      </c>
      <c r="AV45" s="115">
        <f>AV$22*shipping_manufacturing!$G$28/100</f>
        <v>253.61495704901461</v>
      </c>
      <c r="AW45" s="115">
        <f>AW$22*shipping_manufacturing!$G$28/100</f>
        <v>228.25346134411316</v>
      </c>
      <c r="AX45" s="115">
        <f>AX$22*shipping_manufacturing!$G$28/100</f>
        <v>228.25346134411316</v>
      </c>
      <c r="AY45" s="115">
        <f>AY$22*shipping_manufacturing!$G$28/100</f>
        <v>228.25346134411316</v>
      </c>
    </row>
    <row r="46" spans="1:52" x14ac:dyDescent="0.2">
      <c r="A46" s="115">
        <v>317</v>
      </c>
      <c r="B46" s="170" t="s">
        <v>345</v>
      </c>
      <c r="C46" s="115"/>
      <c r="D46" s="115">
        <f>SUM(D44:D45)</f>
        <v>0</v>
      </c>
      <c r="E46" s="115">
        <f t="shared" ref="E46:AY46" si="14">SUM(E44:E45)</f>
        <v>638.03132895401711</v>
      </c>
      <c r="F46" s="115">
        <f t="shared" si="14"/>
        <v>638.03132895401711</v>
      </c>
      <c r="G46" s="115">
        <f t="shared" si="14"/>
        <v>638.03132895401711</v>
      </c>
      <c r="H46" s="115">
        <f t="shared" si="14"/>
        <v>638.03132895401711</v>
      </c>
      <c r="I46" s="115">
        <f t="shared" si="14"/>
        <v>701.83446184941897</v>
      </c>
      <c r="J46" s="115">
        <f t="shared" si="14"/>
        <v>701.83446184941897</v>
      </c>
      <c r="K46" s="115">
        <f t="shared" si="14"/>
        <v>701.83446184941897</v>
      </c>
      <c r="L46" s="115">
        <f t="shared" si="14"/>
        <v>701.83446184941897</v>
      </c>
      <c r="M46" s="115">
        <f t="shared" si="14"/>
        <v>701.83446184941897</v>
      </c>
      <c r="N46" s="115">
        <f t="shared" si="14"/>
        <v>701.83446184941897</v>
      </c>
      <c r="O46" s="115">
        <f t="shared" si="14"/>
        <v>701.83446184941897</v>
      </c>
      <c r="P46" s="115">
        <f t="shared" si="14"/>
        <v>701.83446184941897</v>
      </c>
      <c r="Q46" s="115">
        <f t="shared" si="14"/>
        <v>638.03132895401711</v>
      </c>
      <c r="R46" s="115">
        <f t="shared" si="14"/>
        <v>638.03132895401711</v>
      </c>
      <c r="S46" s="115">
        <f t="shared" si="14"/>
        <v>638.03132895401711</v>
      </c>
      <c r="T46" s="115">
        <f t="shared" si="14"/>
        <v>638.03132895401711</v>
      </c>
      <c r="U46" s="115">
        <f t="shared" si="14"/>
        <v>574.22819605861548</v>
      </c>
      <c r="V46" s="115">
        <f t="shared" si="14"/>
        <v>574.22819605861548</v>
      </c>
      <c r="W46" s="115">
        <f t="shared" si="14"/>
        <v>574.22819605861548</v>
      </c>
      <c r="X46" s="115">
        <f t="shared" si="14"/>
        <v>574.22819605861548</v>
      </c>
      <c r="Y46" s="115">
        <f t="shared" si="14"/>
        <v>574.22819605861548</v>
      </c>
      <c r="Z46" s="115">
        <f t="shared" si="14"/>
        <v>574.22819605861548</v>
      </c>
      <c r="AA46" s="115">
        <f t="shared" si="14"/>
        <v>574.22819605861548</v>
      </c>
      <c r="AB46" s="115">
        <f t="shared" si="14"/>
        <v>574.22819605861548</v>
      </c>
      <c r="AC46" s="115">
        <f t="shared" si="14"/>
        <v>574.22819605861548</v>
      </c>
      <c r="AD46" s="115">
        <f t="shared" si="14"/>
        <v>574.22819605861548</v>
      </c>
      <c r="AE46" s="115">
        <f t="shared" si="14"/>
        <v>574.22819605861548</v>
      </c>
      <c r="AF46" s="115">
        <f t="shared" si="14"/>
        <v>574.22819605861548</v>
      </c>
      <c r="AG46" s="115">
        <f t="shared" si="14"/>
        <v>701.83446184941897</v>
      </c>
      <c r="AH46" s="115">
        <f t="shared" si="14"/>
        <v>701.83446184941897</v>
      </c>
      <c r="AI46" s="115">
        <f t="shared" si="14"/>
        <v>701.83446184941897</v>
      </c>
      <c r="AJ46" s="115">
        <f t="shared" si="14"/>
        <v>701.83446184941897</v>
      </c>
      <c r="AK46" s="115">
        <f t="shared" si="14"/>
        <v>701.83446184941897</v>
      </c>
      <c r="AL46" s="115">
        <f t="shared" si="14"/>
        <v>701.83446184941897</v>
      </c>
      <c r="AM46" s="115">
        <f t="shared" si="14"/>
        <v>701.83446184941897</v>
      </c>
      <c r="AN46" s="115">
        <f t="shared" si="14"/>
        <v>701.83446184941897</v>
      </c>
      <c r="AO46" s="115">
        <f t="shared" si="14"/>
        <v>701.83446184941897</v>
      </c>
      <c r="AP46" s="115">
        <f t="shared" si="14"/>
        <v>701.83446184941897</v>
      </c>
      <c r="AQ46" s="115">
        <f t="shared" si="14"/>
        <v>701.83446184941897</v>
      </c>
      <c r="AR46" s="115">
        <f t="shared" si="14"/>
        <v>701.83446184941897</v>
      </c>
      <c r="AS46" s="115">
        <f t="shared" si="14"/>
        <v>638.03132895401711</v>
      </c>
      <c r="AT46" s="115">
        <f t="shared" si="14"/>
        <v>638.03132895401711</v>
      </c>
      <c r="AU46" s="115">
        <f t="shared" si="14"/>
        <v>638.03132895401711</v>
      </c>
      <c r="AV46" s="115">
        <f t="shared" si="14"/>
        <v>638.03132895401711</v>
      </c>
      <c r="AW46" s="115">
        <f t="shared" si="14"/>
        <v>574.22819605861548</v>
      </c>
      <c r="AX46" s="115">
        <f t="shared" si="14"/>
        <v>574.22819605861548</v>
      </c>
      <c r="AY46" s="115">
        <f t="shared" si="14"/>
        <v>574.22819605861548</v>
      </c>
    </row>
    <row r="47" spans="1:52" x14ac:dyDescent="0.2">
      <c r="A47" s="115"/>
      <c r="B47" s="170" t="s">
        <v>346</v>
      </c>
      <c r="C47" s="115"/>
      <c r="D47" s="115"/>
      <c r="E47" s="115">
        <v>384.41637190500262</v>
      </c>
      <c r="F47" s="115">
        <v>384.41637190500262</v>
      </c>
      <c r="G47" s="115">
        <v>384.41637190500262</v>
      </c>
      <c r="H47" s="115">
        <v>384.41637190500262</v>
      </c>
      <c r="I47" s="115">
        <v>422.85800909550284</v>
      </c>
      <c r="J47" s="115">
        <v>422.85800909550284</v>
      </c>
      <c r="K47" s="115">
        <v>422.85800909550284</v>
      </c>
      <c r="L47" s="115">
        <v>422.85800909550284</v>
      </c>
      <c r="M47" s="115">
        <v>422.85800909550284</v>
      </c>
      <c r="N47" s="115">
        <v>422.85800909550284</v>
      </c>
      <c r="O47" s="115">
        <v>422.85800909550284</v>
      </c>
      <c r="P47" s="115">
        <v>422.85800909550284</v>
      </c>
      <c r="Q47" s="115">
        <v>384.41637190500262</v>
      </c>
      <c r="R47" s="115">
        <v>384.41637190500262</v>
      </c>
      <c r="S47" s="115">
        <v>384.41637190500262</v>
      </c>
      <c r="T47" s="115">
        <v>384.41637190500262</v>
      </c>
      <c r="U47" s="115">
        <v>345.9747347145024</v>
      </c>
      <c r="V47" s="115">
        <v>345.9747347145024</v>
      </c>
      <c r="W47" s="115">
        <v>345.9747347145024</v>
      </c>
      <c r="X47" s="115">
        <v>345.9747347145024</v>
      </c>
      <c r="Y47" s="115">
        <v>345.9747347145024</v>
      </c>
      <c r="Z47" s="115">
        <v>345.9747347145024</v>
      </c>
      <c r="AA47" s="115">
        <v>345.9747347145024</v>
      </c>
      <c r="AB47" s="115">
        <v>345.9747347145024</v>
      </c>
      <c r="AC47" s="115">
        <v>345.9747347145024</v>
      </c>
      <c r="AD47" s="115">
        <v>345.9747347145024</v>
      </c>
      <c r="AE47" s="115">
        <v>345.9747347145024</v>
      </c>
      <c r="AF47" s="115">
        <v>345.9747347145024</v>
      </c>
      <c r="AG47" s="115">
        <v>422.85800909550284</v>
      </c>
      <c r="AH47" s="115">
        <v>422.85800909550284</v>
      </c>
      <c r="AI47" s="115">
        <v>422.85800909550284</v>
      </c>
      <c r="AJ47" s="115">
        <v>422.85800909550284</v>
      </c>
      <c r="AK47" s="115">
        <v>422.85800909550284</v>
      </c>
      <c r="AL47" s="115">
        <v>422.85800909550284</v>
      </c>
      <c r="AM47" s="115">
        <v>422.85800909550284</v>
      </c>
      <c r="AN47" s="115">
        <v>422.85800909550284</v>
      </c>
      <c r="AO47" s="115">
        <v>422.85800909550284</v>
      </c>
      <c r="AP47" s="115">
        <v>422.85800909550284</v>
      </c>
      <c r="AQ47" s="115">
        <v>422.85800909550284</v>
      </c>
      <c r="AR47" s="115">
        <v>422.85800909550284</v>
      </c>
      <c r="AS47" s="115">
        <v>384.41637190500262</v>
      </c>
      <c r="AT47" s="115">
        <v>384.41637190500262</v>
      </c>
      <c r="AU47" s="115">
        <v>384.41637190500262</v>
      </c>
      <c r="AV47" s="115">
        <v>384.41637190500262</v>
      </c>
      <c r="AW47" s="115">
        <v>345.9747347145024</v>
      </c>
      <c r="AX47" s="115">
        <v>345.9747347145024</v>
      </c>
      <c r="AY47" s="115">
        <v>345.9747347145024</v>
      </c>
    </row>
    <row r="48" spans="1:52" x14ac:dyDescent="0.2">
      <c r="A48" s="115"/>
      <c r="B48" s="170" t="s">
        <v>347</v>
      </c>
      <c r="C48" s="115"/>
      <c r="D48" s="115"/>
      <c r="E48" s="115">
        <v>253.61495704901483</v>
      </c>
      <c r="F48" s="115">
        <v>253.61495704901483</v>
      </c>
      <c r="G48" s="115">
        <v>253.61495704901483</v>
      </c>
      <c r="H48" s="115">
        <v>253.61495704901483</v>
      </c>
      <c r="I48" s="115">
        <v>278.97645275391636</v>
      </c>
      <c r="J48" s="115">
        <v>278.97645275391636</v>
      </c>
      <c r="K48" s="115">
        <v>278.97645275391636</v>
      </c>
      <c r="L48" s="115">
        <v>278.97645275391636</v>
      </c>
      <c r="M48" s="115">
        <v>278.97645275391636</v>
      </c>
      <c r="N48" s="115">
        <v>278.97645275391636</v>
      </c>
      <c r="O48" s="115">
        <v>278.97645275391636</v>
      </c>
      <c r="P48" s="115">
        <v>278.97645275391636</v>
      </c>
      <c r="Q48" s="115">
        <v>253.61495704901483</v>
      </c>
      <c r="R48" s="115">
        <v>253.61495704901483</v>
      </c>
      <c r="S48" s="115">
        <v>253.61495704901483</v>
      </c>
      <c r="T48" s="115">
        <v>253.61495704901483</v>
      </c>
      <c r="U48" s="115">
        <v>228.25346134411328</v>
      </c>
      <c r="V48" s="115">
        <v>228.25346134411328</v>
      </c>
      <c r="W48" s="115">
        <v>228.25346134411328</v>
      </c>
      <c r="X48" s="115">
        <v>228.25346134411328</v>
      </c>
      <c r="Y48" s="115">
        <v>228.25346134411328</v>
      </c>
      <c r="Z48" s="115">
        <v>228.25346134411328</v>
      </c>
      <c r="AA48" s="115">
        <v>228.25346134411328</v>
      </c>
      <c r="AB48" s="115">
        <v>228.25346134411328</v>
      </c>
      <c r="AC48" s="115">
        <v>228.25346134411328</v>
      </c>
      <c r="AD48" s="115">
        <v>228.25346134411328</v>
      </c>
      <c r="AE48" s="115">
        <v>228.25346134411328</v>
      </c>
      <c r="AF48" s="115">
        <v>228.25346134411328</v>
      </c>
      <c r="AG48" s="115">
        <v>278.97645275391636</v>
      </c>
      <c r="AH48" s="115">
        <v>278.97645275391636</v>
      </c>
      <c r="AI48" s="115">
        <v>278.97645275391636</v>
      </c>
      <c r="AJ48" s="115">
        <v>278.97645275391636</v>
      </c>
      <c r="AK48" s="115">
        <v>278.97645275391636</v>
      </c>
      <c r="AL48" s="115">
        <v>278.97645275391636</v>
      </c>
      <c r="AM48" s="115">
        <v>278.97645275391636</v>
      </c>
      <c r="AN48" s="115">
        <v>278.97645275391636</v>
      </c>
      <c r="AO48" s="115">
        <v>278.97645275391636</v>
      </c>
      <c r="AP48" s="115">
        <v>278.97645275391636</v>
      </c>
      <c r="AQ48" s="115">
        <v>278.97645275391636</v>
      </c>
      <c r="AR48" s="115">
        <v>278.97645275391636</v>
      </c>
      <c r="AS48" s="115">
        <v>253.61495704901483</v>
      </c>
      <c r="AT48" s="115">
        <v>253.61495704901483</v>
      </c>
      <c r="AU48" s="115">
        <v>253.61495704901483</v>
      </c>
      <c r="AV48" s="115">
        <v>253.61495704901483</v>
      </c>
      <c r="AW48" s="115">
        <v>228.25346134411328</v>
      </c>
      <c r="AX48" s="115">
        <v>228.25346134411328</v>
      </c>
      <c r="AY48" s="115">
        <v>228.25346134411328</v>
      </c>
    </row>
    <row r="49" spans="1:52" x14ac:dyDescent="0.2">
      <c r="A49" s="115"/>
      <c r="B49" s="170" t="s">
        <v>348</v>
      </c>
      <c r="C49" s="115"/>
      <c r="D49" s="115"/>
      <c r="E49" s="115">
        <v>22</v>
      </c>
      <c r="F49" s="115">
        <v>22</v>
      </c>
      <c r="G49" s="115">
        <v>22</v>
      </c>
      <c r="H49" s="115">
        <v>22</v>
      </c>
      <c r="I49" s="115">
        <v>24</v>
      </c>
      <c r="J49" s="115">
        <v>24</v>
      </c>
      <c r="K49" s="115">
        <v>24</v>
      </c>
      <c r="L49" s="115">
        <v>24</v>
      </c>
      <c r="M49" s="115">
        <v>24</v>
      </c>
      <c r="N49" s="115">
        <v>24</v>
      </c>
      <c r="O49" s="115">
        <v>24</v>
      </c>
      <c r="P49" s="115">
        <v>24</v>
      </c>
      <c r="Q49" s="115">
        <v>22</v>
      </c>
      <c r="R49" s="115">
        <v>22</v>
      </c>
      <c r="S49" s="115">
        <v>22</v>
      </c>
      <c r="T49" s="115">
        <v>22</v>
      </c>
      <c r="U49" s="115">
        <v>20</v>
      </c>
      <c r="V49" s="115">
        <v>20</v>
      </c>
      <c r="W49" s="115">
        <v>20</v>
      </c>
      <c r="X49" s="115">
        <v>20</v>
      </c>
      <c r="Y49" s="115">
        <v>20</v>
      </c>
      <c r="Z49" s="115">
        <v>20</v>
      </c>
      <c r="AA49" s="115">
        <v>20</v>
      </c>
      <c r="AB49" s="115">
        <v>20</v>
      </c>
      <c r="AC49" s="115">
        <v>20</v>
      </c>
      <c r="AD49" s="115">
        <v>20</v>
      </c>
      <c r="AE49" s="115">
        <v>20</v>
      </c>
      <c r="AF49" s="115">
        <v>20</v>
      </c>
      <c r="AG49" s="115">
        <v>24</v>
      </c>
      <c r="AH49" s="115">
        <v>24</v>
      </c>
      <c r="AI49" s="115">
        <v>24</v>
      </c>
      <c r="AJ49" s="115">
        <v>24</v>
      </c>
      <c r="AK49" s="115">
        <v>24</v>
      </c>
      <c r="AL49" s="115">
        <v>24</v>
      </c>
      <c r="AM49" s="115">
        <v>24</v>
      </c>
      <c r="AN49" s="115">
        <v>24</v>
      </c>
      <c r="AO49" s="115">
        <v>24</v>
      </c>
      <c r="AP49" s="115">
        <v>24</v>
      </c>
      <c r="AQ49" s="115">
        <v>24</v>
      </c>
      <c r="AR49" s="115">
        <v>24</v>
      </c>
      <c r="AS49" s="115">
        <v>22</v>
      </c>
      <c r="AT49" s="115">
        <v>22</v>
      </c>
      <c r="AU49" s="115">
        <v>22</v>
      </c>
      <c r="AV49" s="115">
        <v>22</v>
      </c>
      <c r="AW49" s="115">
        <v>20</v>
      </c>
      <c r="AX49" s="115">
        <v>20</v>
      </c>
      <c r="AY49" s="115">
        <v>20</v>
      </c>
    </row>
    <row r="50" spans="1:52" x14ac:dyDescent="0.2">
      <c r="A50" s="115"/>
      <c r="B50" s="170" t="s">
        <v>349</v>
      </c>
      <c r="C50" s="115"/>
      <c r="D50" s="115">
        <f>D44-D47</f>
        <v>0</v>
      </c>
      <c r="E50" s="115">
        <f t="shared" ref="E50:AY50" si="15">E44-E47</f>
        <v>0</v>
      </c>
      <c r="F50" s="115">
        <f t="shared" si="15"/>
        <v>0</v>
      </c>
      <c r="G50" s="115">
        <f t="shared" si="15"/>
        <v>0</v>
      </c>
      <c r="H50" s="115">
        <f t="shared" si="15"/>
        <v>0</v>
      </c>
      <c r="I50" s="115">
        <f t="shared" si="15"/>
        <v>0</v>
      </c>
      <c r="J50" s="115">
        <f t="shared" si="15"/>
        <v>0</v>
      </c>
      <c r="K50" s="115">
        <f t="shared" si="15"/>
        <v>0</v>
      </c>
      <c r="L50" s="115">
        <f t="shared" si="15"/>
        <v>0</v>
      </c>
      <c r="M50" s="115">
        <f t="shared" si="15"/>
        <v>0</v>
      </c>
      <c r="N50" s="115">
        <f t="shared" si="15"/>
        <v>0</v>
      </c>
      <c r="O50" s="115">
        <f t="shared" si="15"/>
        <v>0</v>
      </c>
      <c r="P50" s="115">
        <f t="shared" si="15"/>
        <v>0</v>
      </c>
      <c r="Q50" s="115">
        <f t="shared" si="15"/>
        <v>0</v>
      </c>
      <c r="R50" s="115">
        <f t="shared" si="15"/>
        <v>0</v>
      </c>
      <c r="S50" s="115">
        <f t="shared" si="15"/>
        <v>0</v>
      </c>
      <c r="T50" s="115">
        <f t="shared" si="15"/>
        <v>0</v>
      </c>
      <c r="U50" s="115">
        <f t="shared" si="15"/>
        <v>0</v>
      </c>
      <c r="V50" s="115">
        <f t="shared" si="15"/>
        <v>0</v>
      </c>
      <c r="W50" s="115">
        <f t="shared" si="15"/>
        <v>0</v>
      </c>
      <c r="X50" s="115">
        <f t="shared" si="15"/>
        <v>0</v>
      </c>
      <c r="Y50" s="115">
        <f t="shared" si="15"/>
        <v>0</v>
      </c>
      <c r="Z50" s="115">
        <f t="shared" si="15"/>
        <v>0</v>
      </c>
      <c r="AA50" s="115">
        <f t="shared" si="15"/>
        <v>0</v>
      </c>
      <c r="AB50" s="115">
        <f t="shared" si="15"/>
        <v>0</v>
      </c>
      <c r="AC50" s="115">
        <f t="shared" si="15"/>
        <v>0</v>
      </c>
      <c r="AD50" s="115">
        <f t="shared" si="15"/>
        <v>0</v>
      </c>
      <c r="AE50" s="115">
        <f t="shared" si="15"/>
        <v>0</v>
      </c>
      <c r="AF50" s="115">
        <f t="shared" si="15"/>
        <v>0</v>
      </c>
      <c r="AG50" s="115">
        <f t="shared" si="15"/>
        <v>0</v>
      </c>
      <c r="AH50" s="115">
        <f t="shared" si="15"/>
        <v>0</v>
      </c>
      <c r="AI50" s="115">
        <f t="shared" si="15"/>
        <v>0</v>
      </c>
      <c r="AJ50" s="115">
        <f t="shared" si="15"/>
        <v>0</v>
      </c>
      <c r="AK50" s="115">
        <f t="shared" si="15"/>
        <v>0</v>
      </c>
      <c r="AL50" s="115">
        <f t="shared" si="15"/>
        <v>0</v>
      </c>
      <c r="AM50" s="115">
        <f t="shared" si="15"/>
        <v>0</v>
      </c>
      <c r="AN50" s="115">
        <f t="shared" si="15"/>
        <v>0</v>
      </c>
      <c r="AO50" s="115">
        <f t="shared" si="15"/>
        <v>0</v>
      </c>
      <c r="AP50" s="115">
        <f t="shared" si="15"/>
        <v>0</v>
      </c>
      <c r="AQ50" s="115">
        <f t="shared" si="15"/>
        <v>0</v>
      </c>
      <c r="AR50" s="115">
        <f t="shared" si="15"/>
        <v>0</v>
      </c>
      <c r="AS50" s="115">
        <f t="shared" si="15"/>
        <v>0</v>
      </c>
      <c r="AT50" s="115">
        <f t="shared" si="15"/>
        <v>0</v>
      </c>
      <c r="AU50" s="115">
        <f t="shared" si="15"/>
        <v>0</v>
      </c>
      <c r="AV50" s="115">
        <f t="shared" si="15"/>
        <v>0</v>
      </c>
      <c r="AW50" s="115">
        <f t="shared" si="15"/>
        <v>0</v>
      </c>
      <c r="AX50" s="115">
        <f t="shared" si="15"/>
        <v>0</v>
      </c>
      <c r="AY50" s="115">
        <f t="shared" si="15"/>
        <v>0</v>
      </c>
    </row>
    <row r="51" spans="1:52" x14ac:dyDescent="0.2">
      <c r="A51" s="115"/>
      <c r="B51" s="170" t="s">
        <v>350</v>
      </c>
      <c r="C51" s="115"/>
      <c r="D51" s="115">
        <f>D45-D48</f>
        <v>0</v>
      </c>
      <c r="E51" s="115">
        <f t="shared" ref="E51:AY51" si="16">E45-E48</f>
        <v>-2.2737367544323206E-13</v>
      </c>
      <c r="F51" s="115">
        <f t="shared" si="16"/>
        <v>-2.2737367544323206E-13</v>
      </c>
      <c r="G51" s="115">
        <f t="shared" si="16"/>
        <v>-2.2737367544323206E-13</v>
      </c>
      <c r="H51" s="115">
        <f t="shared" si="16"/>
        <v>-2.2737367544323206E-13</v>
      </c>
      <c r="I51" s="115">
        <f t="shared" si="16"/>
        <v>0</v>
      </c>
      <c r="J51" s="115">
        <f t="shared" si="16"/>
        <v>0</v>
      </c>
      <c r="K51" s="115">
        <f t="shared" si="16"/>
        <v>0</v>
      </c>
      <c r="L51" s="115">
        <f t="shared" si="16"/>
        <v>0</v>
      </c>
      <c r="M51" s="115">
        <f t="shared" si="16"/>
        <v>0</v>
      </c>
      <c r="N51" s="115">
        <f t="shared" si="16"/>
        <v>0</v>
      </c>
      <c r="O51" s="115">
        <f t="shared" si="16"/>
        <v>0</v>
      </c>
      <c r="P51" s="115">
        <f t="shared" si="16"/>
        <v>0</v>
      </c>
      <c r="Q51" s="115">
        <f t="shared" si="16"/>
        <v>-2.2737367544323206E-13</v>
      </c>
      <c r="R51" s="115">
        <f t="shared" si="16"/>
        <v>-2.2737367544323206E-13</v>
      </c>
      <c r="S51" s="115">
        <f t="shared" si="16"/>
        <v>-2.2737367544323206E-13</v>
      </c>
      <c r="T51" s="115">
        <f t="shared" si="16"/>
        <v>-2.2737367544323206E-13</v>
      </c>
      <c r="U51" s="115">
        <f t="shared" si="16"/>
        <v>0</v>
      </c>
      <c r="V51" s="115">
        <f t="shared" si="16"/>
        <v>0</v>
      </c>
      <c r="W51" s="115">
        <f t="shared" si="16"/>
        <v>0</v>
      </c>
      <c r="X51" s="115">
        <f t="shared" si="16"/>
        <v>0</v>
      </c>
      <c r="Y51" s="115">
        <f t="shared" si="16"/>
        <v>0</v>
      </c>
      <c r="Z51" s="115">
        <f t="shared" si="16"/>
        <v>0</v>
      </c>
      <c r="AA51" s="115">
        <f t="shared" si="16"/>
        <v>0</v>
      </c>
      <c r="AB51" s="115">
        <f t="shared" si="16"/>
        <v>0</v>
      </c>
      <c r="AC51" s="115">
        <f t="shared" si="16"/>
        <v>0</v>
      </c>
      <c r="AD51" s="115">
        <f t="shared" si="16"/>
        <v>0</v>
      </c>
      <c r="AE51" s="115">
        <f t="shared" si="16"/>
        <v>0</v>
      </c>
      <c r="AF51" s="115">
        <f t="shared" si="16"/>
        <v>0</v>
      </c>
      <c r="AG51" s="115">
        <f t="shared" si="16"/>
        <v>0</v>
      </c>
      <c r="AH51" s="115">
        <f t="shared" si="16"/>
        <v>0</v>
      </c>
      <c r="AI51" s="115">
        <f t="shared" si="16"/>
        <v>0</v>
      </c>
      <c r="AJ51" s="115">
        <f t="shared" si="16"/>
        <v>0</v>
      </c>
      <c r="AK51" s="115">
        <f t="shared" si="16"/>
        <v>0</v>
      </c>
      <c r="AL51" s="115">
        <f t="shared" si="16"/>
        <v>0</v>
      </c>
      <c r="AM51" s="115">
        <f t="shared" si="16"/>
        <v>0</v>
      </c>
      <c r="AN51" s="115">
        <f t="shared" si="16"/>
        <v>0</v>
      </c>
      <c r="AO51" s="115">
        <f t="shared" si="16"/>
        <v>0</v>
      </c>
      <c r="AP51" s="115">
        <f t="shared" si="16"/>
        <v>0</v>
      </c>
      <c r="AQ51" s="115">
        <f t="shared" si="16"/>
        <v>0</v>
      </c>
      <c r="AR51" s="115">
        <f t="shared" si="16"/>
        <v>0</v>
      </c>
      <c r="AS51" s="115">
        <f t="shared" si="16"/>
        <v>-2.2737367544323206E-13</v>
      </c>
      <c r="AT51" s="115">
        <f t="shared" si="16"/>
        <v>-2.2737367544323206E-13</v>
      </c>
      <c r="AU51" s="115">
        <f t="shared" si="16"/>
        <v>-2.2737367544323206E-13</v>
      </c>
      <c r="AV51" s="115">
        <f t="shared" si="16"/>
        <v>-2.2737367544323206E-13</v>
      </c>
      <c r="AW51" s="115">
        <f t="shared" si="16"/>
        <v>0</v>
      </c>
      <c r="AX51" s="115">
        <f t="shared" si="16"/>
        <v>0</v>
      </c>
      <c r="AY51" s="115">
        <f t="shared" si="16"/>
        <v>0</v>
      </c>
    </row>
    <row r="52" spans="1:52" x14ac:dyDescent="0.2">
      <c r="A52" s="115"/>
      <c r="B52" s="170" t="s">
        <v>351</v>
      </c>
      <c r="C52" s="115"/>
      <c r="D52" s="115">
        <v>3</v>
      </c>
      <c r="E52" s="115">
        <v>1</v>
      </c>
      <c r="F52" s="115">
        <v>2</v>
      </c>
      <c r="G52" s="115">
        <v>1</v>
      </c>
      <c r="H52" s="115">
        <v>1</v>
      </c>
      <c r="I52" s="115">
        <v>3</v>
      </c>
      <c r="J52" s="115">
        <v>1</v>
      </c>
      <c r="K52" s="115">
        <v>1</v>
      </c>
      <c r="L52" s="115">
        <v>1</v>
      </c>
      <c r="M52" s="115">
        <v>2</v>
      </c>
      <c r="N52" s="115">
        <v>1</v>
      </c>
      <c r="O52" s="115">
        <v>1</v>
      </c>
      <c r="P52" s="115">
        <v>1</v>
      </c>
      <c r="Q52" s="115">
        <v>1</v>
      </c>
      <c r="R52" s="115">
        <v>1</v>
      </c>
      <c r="S52" s="115">
        <v>1</v>
      </c>
      <c r="T52" s="115">
        <v>2</v>
      </c>
      <c r="U52" s="115">
        <v>1</v>
      </c>
      <c r="V52" s="115">
        <v>2</v>
      </c>
      <c r="W52" s="115">
        <v>3</v>
      </c>
      <c r="X52" s="115">
        <v>1</v>
      </c>
      <c r="Y52" s="115">
        <v>1</v>
      </c>
      <c r="Z52" s="115">
        <v>2</v>
      </c>
      <c r="AA52" s="115">
        <v>1</v>
      </c>
      <c r="AB52" s="115">
        <v>1</v>
      </c>
      <c r="AC52" s="115">
        <v>1</v>
      </c>
      <c r="AD52" s="115">
        <v>1</v>
      </c>
      <c r="AE52" s="115">
        <v>1</v>
      </c>
      <c r="AF52" s="115">
        <v>1</v>
      </c>
      <c r="AG52" s="115">
        <v>2</v>
      </c>
      <c r="AH52" s="115">
        <v>1</v>
      </c>
      <c r="AI52" s="115">
        <v>1</v>
      </c>
      <c r="AJ52" s="115">
        <v>1</v>
      </c>
      <c r="AK52" s="115">
        <v>3</v>
      </c>
      <c r="AL52" s="115">
        <v>1</v>
      </c>
      <c r="AM52" s="115">
        <v>2</v>
      </c>
      <c r="AN52" s="115">
        <v>1</v>
      </c>
      <c r="AO52" s="115">
        <v>3</v>
      </c>
      <c r="AP52" s="115">
        <v>3</v>
      </c>
      <c r="AQ52" s="115">
        <v>2</v>
      </c>
      <c r="AR52" s="115">
        <v>1</v>
      </c>
      <c r="AS52" s="115">
        <v>3</v>
      </c>
      <c r="AT52" s="115">
        <v>1</v>
      </c>
      <c r="AU52" s="115">
        <v>1</v>
      </c>
      <c r="AV52" s="115">
        <v>1</v>
      </c>
      <c r="AW52" s="115">
        <v>1</v>
      </c>
      <c r="AX52" s="115">
        <v>2</v>
      </c>
      <c r="AY52" s="115">
        <v>1</v>
      </c>
    </row>
    <row r="53" spans="1:52" x14ac:dyDescent="0.2">
      <c r="A53" s="115"/>
      <c r="B53" s="183" t="s">
        <v>352</v>
      </c>
      <c r="C53" s="115"/>
      <c r="D53" s="115">
        <v>0</v>
      </c>
      <c r="E53" s="115">
        <v>251064</v>
      </c>
      <c r="F53" s="115">
        <v>251064</v>
      </c>
      <c r="G53" s="115">
        <v>251064</v>
      </c>
      <c r="H53" s="115">
        <v>251064</v>
      </c>
      <c r="I53" s="115">
        <v>273888</v>
      </c>
      <c r="J53" s="115">
        <v>273888</v>
      </c>
      <c r="K53" s="115">
        <v>273888</v>
      </c>
      <c r="L53" s="115">
        <v>273888</v>
      </c>
      <c r="M53" s="115">
        <v>273888</v>
      </c>
      <c r="N53" s="115">
        <v>273888</v>
      </c>
      <c r="O53" s="115">
        <v>273888</v>
      </c>
      <c r="P53" s="115">
        <v>273888</v>
      </c>
      <c r="Q53" s="115">
        <v>251064</v>
      </c>
      <c r="R53" s="115">
        <v>251064</v>
      </c>
      <c r="S53" s="115">
        <v>251064</v>
      </c>
      <c r="T53" s="115">
        <v>251064</v>
      </c>
      <c r="U53" s="115">
        <v>228240</v>
      </c>
      <c r="V53" s="115">
        <v>228240</v>
      </c>
      <c r="W53" s="115">
        <v>228240</v>
      </c>
      <c r="X53" s="115">
        <v>228240</v>
      </c>
      <c r="Y53" s="115">
        <v>228240</v>
      </c>
      <c r="Z53" s="115">
        <v>228240</v>
      </c>
      <c r="AA53" s="115">
        <v>228240</v>
      </c>
      <c r="AB53" s="115">
        <v>228240</v>
      </c>
      <c r="AC53" s="115">
        <v>228240</v>
      </c>
      <c r="AD53" s="115">
        <v>228240</v>
      </c>
      <c r="AE53" s="115">
        <v>228240</v>
      </c>
      <c r="AF53" s="115">
        <v>228240</v>
      </c>
      <c r="AG53" s="115">
        <v>273888</v>
      </c>
      <c r="AH53" s="115">
        <v>273888</v>
      </c>
      <c r="AI53" s="115">
        <v>273888</v>
      </c>
      <c r="AJ53" s="115">
        <v>273888</v>
      </c>
      <c r="AK53" s="115">
        <v>273888</v>
      </c>
      <c r="AL53" s="115">
        <v>273888</v>
      </c>
      <c r="AM53" s="115">
        <v>273888</v>
      </c>
      <c r="AN53" s="115">
        <v>273888</v>
      </c>
      <c r="AO53" s="115">
        <v>273888</v>
      </c>
      <c r="AP53" s="115">
        <v>273888</v>
      </c>
      <c r="AQ53" s="115">
        <v>273888</v>
      </c>
      <c r="AR53" s="115">
        <v>273888</v>
      </c>
      <c r="AS53" s="115">
        <v>251064</v>
      </c>
      <c r="AT53" s="115">
        <v>251064</v>
      </c>
      <c r="AU53" s="115">
        <v>251064</v>
      </c>
      <c r="AV53" s="115">
        <v>251064</v>
      </c>
      <c r="AW53" s="115">
        <v>228240</v>
      </c>
      <c r="AX53" s="115">
        <v>228240</v>
      </c>
      <c r="AY53" s="115">
        <v>228240</v>
      </c>
      <c r="AZ53" s="105">
        <f>SUM($D$53:$AY$53)</f>
        <v>11914128</v>
      </c>
    </row>
    <row r="54" spans="1:52" x14ac:dyDescent="0.2">
      <c r="A54" s="115"/>
      <c r="B54" s="183" t="s">
        <v>353</v>
      </c>
      <c r="C54" s="115"/>
      <c r="D54" s="115">
        <v>0</v>
      </c>
      <c r="E54" s="115">
        <v>-4.6850345825077968E-11</v>
      </c>
      <c r="F54" s="115">
        <v>-4.6850345825077968E-11</v>
      </c>
      <c r="G54" s="115">
        <v>-4.6850345825077968E-11</v>
      </c>
      <c r="H54" s="115">
        <v>-4.6850345825077968E-11</v>
      </c>
      <c r="I54" s="115">
        <v>0</v>
      </c>
      <c r="J54" s="115">
        <v>0</v>
      </c>
      <c r="K54" s="115">
        <v>0</v>
      </c>
      <c r="L54" s="115">
        <v>0</v>
      </c>
      <c r="M54" s="115">
        <v>0</v>
      </c>
      <c r="N54" s="115">
        <v>0</v>
      </c>
      <c r="O54" s="115">
        <v>0</v>
      </c>
      <c r="P54" s="115">
        <v>0</v>
      </c>
      <c r="Q54" s="115">
        <v>-4.6850345825077968E-11</v>
      </c>
      <c r="R54" s="115">
        <v>-4.6850345825077968E-11</v>
      </c>
      <c r="S54" s="115">
        <v>-4.6850345825077968E-11</v>
      </c>
      <c r="T54" s="115">
        <v>-4.6850345825077968E-11</v>
      </c>
      <c r="U54" s="115">
        <v>0</v>
      </c>
      <c r="V54" s="115">
        <v>0</v>
      </c>
      <c r="W54" s="115">
        <v>0</v>
      </c>
      <c r="X54" s="115">
        <v>0</v>
      </c>
      <c r="Y54" s="115">
        <v>0</v>
      </c>
      <c r="Z54" s="115">
        <v>0</v>
      </c>
      <c r="AA54" s="115">
        <v>0</v>
      </c>
      <c r="AB54" s="115">
        <v>0</v>
      </c>
      <c r="AC54" s="115">
        <v>0</v>
      </c>
      <c r="AD54" s="115">
        <v>0</v>
      </c>
      <c r="AE54" s="115">
        <v>0</v>
      </c>
      <c r="AF54" s="115">
        <v>0</v>
      </c>
      <c r="AG54" s="115">
        <v>0</v>
      </c>
      <c r="AH54" s="115">
        <v>0</v>
      </c>
      <c r="AI54" s="115">
        <v>0</v>
      </c>
      <c r="AJ54" s="115">
        <v>0</v>
      </c>
      <c r="AK54" s="115">
        <v>0</v>
      </c>
      <c r="AL54" s="115">
        <v>0</v>
      </c>
      <c r="AM54" s="115">
        <v>0</v>
      </c>
      <c r="AN54" s="115">
        <v>0</v>
      </c>
      <c r="AO54" s="115">
        <v>0</v>
      </c>
      <c r="AP54" s="115">
        <v>0</v>
      </c>
      <c r="AQ54" s="115">
        <v>0</v>
      </c>
      <c r="AR54" s="115">
        <v>0</v>
      </c>
      <c r="AS54" s="115">
        <v>-4.6850345825077968E-11</v>
      </c>
      <c r="AT54" s="115">
        <v>-4.6850345825077968E-11</v>
      </c>
      <c r="AU54" s="115">
        <v>-4.6850345825077968E-11</v>
      </c>
      <c r="AV54" s="115">
        <v>-4.6850345825077968E-11</v>
      </c>
      <c r="AW54" s="115">
        <v>0</v>
      </c>
      <c r="AX54" s="115">
        <v>0</v>
      </c>
      <c r="AY54" s="115">
        <v>0</v>
      </c>
      <c r="AZ54" s="105">
        <f>SUM($D$54:$AY$54)</f>
        <v>-5.6220414990093567E-10</v>
      </c>
    </row>
    <row r="55" spans="1:52" x14ac:dyDescent="0.2">
      <c r="A55" s="140" t="s">
        <v>57</v>
      </c>
      <c r="B55" s="140" t="s">
        <v>343</v>
      </c>
      <c r="C55" s="129"/>
      <c r="D55" s="129">
        <f>D$21*shipping_manufacturing!$F$29/100</f>
        <v>0</v>
      </c>
      <c r="E55" s="129">
        <f>E$21*shipping_manufacturing!$F$29/100</f>
        <v>0</v>
      </c>
      <c r="F55" s="129">
        <f>F$21*shipping_manufacturing!$F$29/100</f>
        <v>0</v>
      </c>
      <c r="G55" s="129">
        <f>G$21*shipping_manufacturing!$F$29/100</f>
        <v>0</v>
      </c>
      <c r="H55" s="129">
        <f>H$21*shipping_manufacturing!$F$29/100</f>
        <v>0</v>
      </c>
      <c r="I55" s="129">
        <f>I$21*shipping_manufacturing!$F$29/100</f>
        <v>0</v>
      </c>
      <c r="J55" s="129">
        <f>J$21*shipping_manufacturing!$F$29/100</f>
        <v>0</v>
      </c>
      <c r="K55" s="129">
        <f>K$21*shipping_manufacturing!$F$29/100</f>
        <v>0</v>
      </c>
      <c r="L55" s="129">
        <f>L$21*shipping_manufacturing!$F$29/100</f>
        <v>0</v>
      </c>
      <c r="M55" s="129">
        <f>M$21*shipping_manufacturing!$F$29/100</f>
        <v>0</v>
      </c>
      <c r="N55" s="129">
        <f>N$21*shipping_manufacturing!$F$29/100</f>
        <v>0</v>
      </c>
      <c r="O55" s="129">
        <f>O$21*shipping_manufacturing!$F$29/100</f>
        <v>0</v>
      </c>
      <c r="P55" s="129">
        <f>P$21*shipping_manufacturing!$F$29/100</f>
        <v>0</v>
      </c>
      <c r="Q55" s="129">
        <f>Q$21*shipping_manufacturing!$F$29/100</f>
        <v>0</v>
      </c>
      <c r="R55" s="129">
        <f>R$21*shipping_manufacturing!$F$29/100</f>
        <v>0</v>
      </c>
      <c r="S55" s="129">
        <f>S$21*shipping_manufacturing!$F$29/100</f>
        <v>0</v>
      </c>
      <c r="T55" s="129">
        <f>T$21*shipping_manufacturing!$F$29/100</f>
        <v>0</v>
      </c>
      <c r="U55" s="129">
        <f>U$21*shipping_manufacturing!$F$29/100</f>
        <v>0</v>
      </c>
      <c r="V55" s="129">
        <f>V$21*shipping_manufacturing!$F$29/100</f>
        <v>0</v>
      </c>
      <c r="W55" s="129">
        <f>W$21*shipping_manufacturing!$F$29/100</f>
        <v>0</v>
      </c>
      <c r="X55" s="129">
        <f>X$21*shipping_manufacturing!$F$29/100</f>
        <v>0</v>
      </c>
      <c r="Y55" s="129">
        <f>Y$21*shipping_manufacturing!$F$29/100</f>
        <v>0</v>
      </c>
      <c r="Z55" s="129">
        <f>Z$21*shipping_manufacturing!$F$29/100</f>
        <v>0</v>
      </c>
      <c r="AA55" s="129">
        <f>AA$21*shipping_manufacturing!$F$29/100</f>
        <v>0</v>
      </c>
      <c r="AB55" s="129">
        <f>AB$21*shipping_manufacturing!$F$29/100</f>
        <v>0</v>
      </c>
      <c r="AC55" s="129">
        <f>AC$21*shipping_manufacturing!$F$29/100</f>
        <v>0</v>
      </c>
      <c r="AD55" s="129">
        <f>AD$21*shipping_manufacturing!$F$29/100</f>
        <v>0</v>
      </c>
      <c r="AE55" s="129">
        <f>AE$21*shipping_manufacturing!$F$29/100</f>
        <v>0</v>
      </c>
      <c r="AF55" s="129">
        <f>AF$21*shipping_manufacturing!$F$29/100</f>
        <v>0</v>
      </c>
      <c r="AG55" s="129">
        <f>AG$21*shipping_manufacturing!$F$29/100</f>
        <v>0</v>
      </c>
      <c r="AH55" s="129">
        <f>AH$21*shipping_manufacturing!$F$29/100</f>
        <v>0</v>
      </c>
      <c r="AI55" s="129">
        <f>AI$21*shipping_manufacturing!$F$29/100</f>
        <v>0</v>
      </c>
      <c r="AJ55" s="129">
        <f>AJ$21*shipping_manufacturing!$F$29/100</f>
        <v>0</v>
      </c>
      <c r="AK55" s="129">
        <f>AK$21*shipping_manufacturing!$F$29/100</f>
        <v>0</v>
      </c>
      <c r="AL55" s="129">
        <f>AL$21*shipping_manufacturing!$F$29/100</f>
        <v>0</v>
      </c>
      <c r="AM55" s="129">
        <f>AM$21*shipping_manufacturing!$F$29/100</f>
        <v>0</v>
      </c>
      <c r="AN55" s="129">
        <f>AN$21*shipping_manufacturing!$F$29/100</f>
        <v>0</v>
      </c>
      <c r="AO55" s="129">
        <f>AO$21*shipping_manufacturing!$F$29/100</f>
        <v>0</v>
      </c>
      <c r="AP55" s="129">
        <f>AP$21*shipping_manufacturing!$F$29/100</f>
        <v>0</v>
      </c>
      <c r="AQ55" s="129">
        <f>AQ$21*shipping_manufacturing!$F$29/100</f>
        <v>0</v>
      </c>
      <c r="AR55" s="129">
        <f>AR$21*shipping_manufacturing!$F$29/100</f>
        <v>0</v>
      </c>
      <c r="AS55" s="129">
        <f>AS$21*shipping_manufacturing!$F$29/100</f>
        <v>0</v>
      </c>
      <c r="AT55" s="129">
        <f>AT$21*shipping_manufacturing!$F$29/100</f>
        <v>0</v>
      </c>
      <c r="AU55" s="129">
        <f>AU$21*shipping_manufacturing!$F$29/100</f>
        <v>0</v>
      </c>
      <c r="AV55" s="129">
        <f>AV$21*shipping_manufacturing!$F$29/100</f>
        <v>0</v>
      </c>
      <c r="AW55" s="129">
        <f>AW$21*shipping_manufacturing!$F$29/100</f>
        <v>0</v>
      </c>
      <c r="AX55" s="129">
        <f>AX$21*shipping_manufacturing!$F$29/100</f>
        <v>0</v>
      </c>
      <c r="AY55" s="129">
        <f>AY$21*shipping_manufacturing!$F$29/100</f>
        <v>0</v>
      </c>
    </row>
    <row r="56" spans="1:52" x14ac:dyDescent="0.2">
      <c r="A56" s="118" t="s">
        <v>342</v>
      </c>
      <c r="B56" s="170" t="s">
        <v>344</v>
      </c>
      <c r="C56" s="115"/>
      <c r="D56" s="115">
        <f>D$22*shipping_manufacturing!$G$29/100</f>
        <v>0</v>
      </c>
      <c r="E56" s="115">
        <f>E$22*shipping_manufacturing!$G$29/100</f>
        <v>0</v>
      </c>
      <c r="F56" s="115">
        <f>F$22*shipping_manufacturing!$G$29/100</f>
        <v>0</v>
      </c>
      <c r="G56" s="115">
        <f>G$22*shipping_manufacturing!$G$29/100</f>
        <v>0</v>
      </c>
      <c r="H56" s="115">
        <f>H$22*shipping_manufacturing!$G$29/100</f>
        <v>0</v>
      </c>
      <c r="I56" s="115">
        <f>I$22*shipping_manufacturing!$G$29/100</f>
        <v>0</v>
      </c>
      <c r="J56" s="115">
        <f>J$22*shipping_manufacturing!$G$29/100</f>
        <v>0</v>
      </c>
      <c r="K56" s="115">
        <f>K$22*shipping_manufacturing!$G$29/100</f>
        <v>0</v>
      </c>
      <c r="L56" s="115">
        <f>L$22*shipping_manufacturing!$G$29/100</f>
        <v>0</v>
      </c>
      <c r="M56" s="115">
        <f>M$22*shipping_manufacturing!$G$29/100</f>
        <v>0</v>
      </c>
      <c r="N56" s="115">
        <f>N$22*shipping_manufacturing!$G$29/100</f>
        <v>0</v>
      </c>
      <c r="O56" s="115">
        <f>O$22*shipping_manufacturing!$G$29/100</f>
        <v>0</v>
      </c>
      <c r="P56" s="115">
        <f>P$22*shipping_manufacturing!$G$29/100</f>
        <v>0</v>
      </c>
      <c r="Q56" s="115">
        <f>Q$22*shipping_manufacturing!$G$29/100</f>
        <v>0</v>
      </c>
      <c r="R56" s="115">
        <f>R$22*shipping_manufacturing!$G$29/100</f>
        <v>0</v>
      </c>
      <c r="S56" s="115">
        <f>S$22*shipping_manufacturing!$G$29/100</f>
        <v>0</v>
      </c>
      <c r="T56" s="115">
        <f>T$22*shipping_manufacturing!$G$29/100</f>
        <v>0</v>
      </c>
      <c r="U56" s="115">
        <f>U$22*shipping_manufacturing!$G$29/100</f>
        <v>0</v>
      </c>
      <c r="V56" s="115">
        <f>V$22*shipping_manufacturing!$G$29/100</f>
        <v>0</v>
      </c>
      <c r="W56" s="115">
        <f>W$22*shipping_manufacturing!$G$29/100</f>
        <v>0</v>
      </c>
      <c r="X56" s="115">
        <f>X$22*shipping_manufacturing!$G$29/100</f>
        <v>0</v>
      </c>
      <c r="Y56" s="115">
        <f>Y$22*shipping_manufacturing!$G$29/100</f>
        <v>0</v>
      </c>
      <c r="Z56" s="115">
        <f>Z$22*shipping_manufacturing!$G$29/100</f>
        <v>0</v>
      </c>
      <c r="AA56" s="115">
        <f>AA$22*shipping_manufacturing!$G$29/100</f>
        <v>0</v>
      </c>
      <c r="AB56" s="115">
        <f>AB$22*shipping_manufacturing!$G$29/100</f>
        <v>0</v>
      </c>
      <c r="AC56" s="115">
        <f>AC$22*shipping_manufacturing!$G$29/100</f>
        <v>0</v>
      </c>
      <c r="AD56" s="115">
        <f>AD$22*shipping_manufacturing!$G$29/100</f>
        <v>0</v>
      </c>
      <c r="AE56" s="115">
        <f>AE$22*shipping_manufacturing!$G$29/100</f>
        <v>0</v>
      </c>
      <c r="AF56" s="115">
        <f>AF$22*shipping_manufacturing!$G$29/100</f>
        <v>0</v>
      </c>
      <c r="AG56" s="115">
        <f>AG$22*shipping_manufacturing!$G$29/100</f>
        <v>0</v>
      </c>
      <c r="AH56" s="115">
        <f>AH$22*shipping_manufacturing!$G$29/100</f>
        <v>0</v>
      </c>
      <c r="AI56" s="115">
        <f>AI$22*shipping_manufacturing!$G$29/100</f>
        <v>0</v>
      </c>
      <c r="AJ56" s="115">
        <f>AJ$22*shipping_manufacturing!$G$29/100</f>
        <v>0</v>
      </c>
      <c r="AK56" s="115">
        <f>AK$22*shipping_manufacturing!$G$29/100</f>
        <v>0</v>
      </c>
      <c r="AL56" s="115">
        <f>AL$22*shipping_manufacturing!$G$29/100</f>
        <v>0</v>
      </c>
      <c r="AM56" s="115">
        <f>AM$22*shipping_manufacturing!$G$29/100</f>
        <v>0</v>
      </c>
      <c r="AN56" s="115">
        <f>AN$22*shipping_manufacturing!$G$29/100</f>
        <v>0</v>
      </c>
      <c r="AO56" s="115">
        <f>AO$22*shipping_manufacturing!$G$29/100</f>
        <v>0</v>
      </c>
      <c r="AP56" s="115">
        <f>AP$22*shipping_manufacturing!$G$29/100</f>
        <v>0</v>
      </c>
      <c r="AQ56" s="115">
        <f>AQ$22*shipping_manufacturing!$G$29/100</f>
        <v>0</v>
      </c>
      <c r="AR56" s="115">
        <f>AR$22*shipping_manufacturing!$G$29/100</f>
        <v>0</v>
      </c>
      <c r="AS56" s="115">
        <f>AS$22*shipping_manufacturing!$G$29/100</f>
        <v>0</v>
      </c>
      <c r="AT56" s="115">
        <f>AT$22*shipping_manufacturing!$G$29/100</f>
        <v>0</v>
      </c>
      <c r="AU56" s="115">
        <f>AU$22*shipping_manufacturing!$G$29/100</f>
        <v>0</v>
      </c>
      <c r="AV56" s="115">
        <f>AV$22*shipping_manufacturing!$G$29/100</f>
        <v>0</v>
      </c>
      <c r="AW56" s="115">
        <f>AW$22*shipping_manufacturing!$G$29/100</f>
        <v>0</v>
      </c>
      <c r="AX56" s="115">
        <f>AX$22*shipping_manufacturing!$G$29/100</f>
        <v>0</v>
      </c>
      <c r="AY56" s="115">
        <f>AY$22*shipping_manufacturing!$G$29/100</f>
        <v>0</v>
      </c>
    </row>
    <row r="57" spans="1:52" x14ac:dyDescent="0.2">
      <c r="A57" s="115">
        <v>2486</v>
      </c>
      <c r="B57" s="170" t="s">
        <v>345</v>
      </c>
      <c r="C57" s="115"/>
      <c r="D57" s="115">
        <f>SUM(D55:D56)</f>
        <v>0</v>
      </c>
      <c r="E57" s="115">
        <f t="shared" ref="E57:AY57" si="17">SUM(E55:E56)</f>
        <v>0</v>
      </c>
      <c r="F57" s="115">
        <f t="shared" si="17"/>
        <v>0</v>
      </c>
      <c r="G57" s="115">
        <f t="shared" si="17"/>
        <v>0</v>
      </c>
      <c r="H57" s="115">
        <f t="shared" si="17"/>
        <v>0</v>
      </c>
      <c r="I57" s="115">
        <f t="shared" si="17"/>
        <v>0</v>
      </c>
      <c r="J57" s="115">
        <f t="shared" si="17"/>
        <v>0</v>
      </c>
      <c r="K57" s="115">
        <f t="shared" si="17"/>
        <v>0</v>
      </c>
      <c r="L57" s="115">
        <f t="shared" si="17"/>
        <v>0</v>
      </c>
      <c r="M57" s="115">
        <f t="shared" si="17"/>
        <v>0</v>
      </c>
      <c r="N57" s="115">
        <f t="shared" si="17"/>
        <v>0</v>
      </c>
      <c r="O57" s="115">
        <f t="shared" si="17"/>
        <v>0</v>
      </c>
      <c r="P57" s="115">
        <f t="shared" si="17"/>
        <v>0</v>
      </c>
      <c r="Q57" s="115">
        <f t="shared" si="17"/>
        <v>0</v>
      </c>
      <c r="R57" s="115">
        <f t="shared" si="17"/>
        <v>0</v>
      </c>
      <c r="S57" s="115">
        <f t="shared" si="17"/>
        <v>0</v>
      </c>
      <c r="T57" s="115">
        <f t="shared" si="17"/>
        <v>0</v>
      </c>
      <c r="U57" s="115">
        <f t="shared" si="17"/>
        <v>0</v>
      </c>
      <c r="V57" s="115">
        <f t="shared" si="17"/>
        <v>0</v>
      </c>
      <c r="W57" s="115">
        <f t="shared" si="17"/>
        <v>0</v>
      </c>
      <c r="X57" s="115">
        <f t="shared" si="17"/>
        <v>0</v>
      </c>
      <c r="Y57" s="115">
        <f t="shared" si="17"/>
        <v>0</v>
      </c>
      <c r="Z57" s="115">
        <f t="shared" si="17"/>
        <v>0</v>
      </c>
      <c r="AA57" s="115">
        <f t="shared" si="17"/>
        <v>0</v>
      </c>
      <c r="AB57" s="115">
        <f t="shared" si="17"/>
        <v>0</v>
      </c>
      <c r="AC57" s="115">
        <f t="shared" si="17"/>
        <v>0</v>
      </c>
      <c r="AD57" s="115">
        <f t="shared" si="17"/>
        <v>0</v>
      </c>
      <c r="AE57" s="115">
        <f t="shared" si="17"/>
        <v>0</v>
      </c>
      <c r="AF57" s="115">
        <f t="shared" si="17"/>
        <v>0</v>
      </c>
      <c r="AG57" s="115">
        <f t="shared" si="17"/>
        <v>0</v>
      </c>
      <c r="AH57" s="115">
        <f t="shared" si="17"/>
        <v>0</v>
      </c>
      <c r="AI57" s="115">
        <f t="shared" si="17"/>
        <v>0</v>
      </c>
      <c r="AJ57" s="115">
        <f t="shared" si="17"/>
        <v>0</v>
      </c>
      <c r="AK57" s="115">
        <f t="shared" si="17"/>
        <v>0</v>
      </c>
      <c r="AL57" s="115">
        <f t="shared" si="17"/>
        <v>0</v>
      </c>
      <c r="AM57" s="115">
        <f t="shared" si="17"/>
        <v>0</v>
      </c>
      <c r="AN57" s="115">
        <f t="shared" si="17"/>
        <v>0</v>
      </c>
      <c r="AO57" s="115">
        <f t="shared" si="17"/>
        <v>0</v>
      </c>
      <c r="AP57" s="115">
        <f t="shared" si="17"/>
        <v>0</v>
      </c>
      <c r="AQ57" s="115">
        <f t="shared" si="17"/>
        <v>0</v>
      </c>
      <c r="AR57" s="115">
        <f t="shared" si="17"/>
        <v>0</v>
      </c>
      <c r="AS57" s="115">
        <f t="shared" si="17"/>
        <v>0</v>
      </c>
      <c r="AT57" s="115">
        <f t="shared" si="17"/>
        <v>0</v>
      </c>
      <c r="AU57" s="115">
        <f t="shared" si="17"/>
        <v>0</v>
      </c>
      <c r="AV57" s="115">
        <f t="shared" si="17"/>
        <v>0</v>
      </c>
      <c r="AW57" s="115">
        <f t="shared" si="17"/>
        <v>0</v>
      </c>
      <c r="AX57" s="115">
        <f t="shared" si="17"/>
        <v>0</v>
      </c>
      <c r="AY57" s="115">
        <f t="shared" si="17"/>
        <v>0</v>
      </c>
    </row>
    <row r="58" spans="1:52" x14ac:dyDescent="0.2">
      <c r="A58" s="115"/>
      <c r="B58" s="170" t="s">
        <v>346</v>
      </c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</row>
    <row r="59" spans="1:52" x14ac:dyDescent="0.2">
      <c r="A59" s="115"/>
      <c r="B59" s="170" t="s">
        <v>347</v>
      </c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</row>
    <row r="60" spans="1:52" x14ac:dyDescent="0.2">
      <c r="A60" s="115"/>
      <c r="B60" s="170" t="s">
        <v>348</v>
      </c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</row>
    <row r="61" spans="1:52" x14ac:dyDescent="0.2">
      <c r="A61" s="115"/>
      <c r="B61" s="170" t="s">
        <v>349</v>
      </c>
      <c r="C61" s="115"/>
      <c r="D61" s="115">
        <f>D55-D58</f>
        <v>0</v>
      </c>
      <c r="E61" s="115">
        <f t="shared" ref="E61:AY61" si="18">E55-E58</f>
        <v>0</v>
      </c>
      <c r="F61" s="115">
        <f t="shared" si="18"/>
        <v>0</v>
      </c>
      <c r="G61" s="115">
        <f t="shared" si="18"/>
        <v>0</v>
      </c>
      <c r="H61" s="115">
        <f t="shared" si="18"/>
        <v>0</v>
      </c>
      <c r="I61" s="115">
        <f t="shared" si="18"/>
        <v>0</v>
      </c>
      <c r="J61" s="115">
        <f t="shared" si="18"/>
        <v>0</v>
      </c>
      <c r="K61" s="115">
        <f t="shared" si="18"/>
        <v>0</v>
      </c>
      <c r="L61" s="115">
        <f t="shared" si="18"/>
        <v>0</v>
      </c>
      <c r="M61" s="115">
        <f t="shared" si="18"/>
        <v>0</v>
      </c>
      <c r="N61" s="115">
        <f t="shared" si="18"/>
        <v>0</v>
      </c>
      <c r="O61" s="115">
        <f t="shared" si="18"/>
        <v>0</v>
      </c>
      <c r="P61" s="115">
        <f t="shared" si="18"/>
        <v>0</v>
      </c>
      <c r="Q61" s="115">
        <f t="shared" si="18"/>
        <v>0</v>
      </c>
      <c r="R61" s="115">
        <f t="shared" si="18"/>
        <v>0</v>
      </c>
      <c r="S61" s="115">
        <f t="shared" si="18"/>
        <v>0</v>
      </c>
      <c r="T61" s="115">
        <f t="shared" si="18"/>
        <v>0</v>
      </c>
      <c r="U61" s="115">
        <f t="shared" si="18"/>
        <v>0</v>
      </c>
      <c r="V61" s="115">
        <f t="shared" si="18"/>
        <v>0</v>
      </c>
      <c r="W61" s="115">
        <f t="shared" si="18"/>
        <v>0</v>
      </c>
      <c r="X61" s="115">
        <f t="shared" si="18"/>
        <v>0</v>
      </c>
      <c r="Y61" s="115">
        <f t="shared" si="18"/>
        <v>0</v>
      </c>
      <c r="Z61" s="115">
        <f t="shared" si="18"/>
        <v>0</v>
      </c>
      <c r="AA61" s="115">
        <f t="shared" si="18"/>
        <v>0</v>
      </c>
      <c r="AB61" s="115">
        <f t="shared" si="18"/>
        <v>0</v>
      </c>
      <c r="AC61" s="115">
        <f t="shared" si="18"/>
        <v>0</v>
      </c>
      <c r="AD61" s="115">
        <f t="shared" si="18"/>
        <v>0</v>
      </c>
      <c r="AE61" s="115">
        <f t="shared" si="18"/>
        <v>0</v>
      </c>
      <c r="AF61" s="115">
        <f t="shared" si="18"/>
        <v>0</v>
      </c>
      <c r="AG61" s="115">
        <f t="shared" si="18"/>
        <v>0</v>
      </c>
      <c r="AH61" s="115">
        <f t="shared" si="18"/>
        <v>0</v>
      </c>
      <c r="AI61" s="115">
        <f t="shared" si="18"/>
        <v>0</v>
      </c>
      <c r="AJ61" s="115">
        <f t="shared" si="18"/>
        <v>0</v>
      </c>
      <c r="AK61" s="115">
        <f t="shared" si="18"/>
        <v>0</v>
      </c>
      <c r="AL61" s="115">
        <f t="shared" si="18"/>
        <v>0</v>
      </c>
      <c r="AM61" s="115">
        <f t="shared" si="18"/>
        <v>0</v>
      </c>
      <c r="AN61" s="115">
        <f t="shared" si="18"/>
        <v>0</v>
      </c>
      <c r="AO61" s="115">
        <f t="shared" si="18"/>
        <v>0</v>
      </c>
      <c r="AP61" s="115">
        <f t="shared" si="18"/>
        <v>0</v>
      </c>
      <c r="AQ61" s="115">
        <f t="shared" si="18"/>
        <v>0</v>
      </c>
      <c r="AR61" s="115">
        <f t="shared" si="18"/>
        <v>0</v>
      </c>
      <c r="AS61" s="115">
        <f t="shared" si="18"/>
        <v>0</v>
      </c>
      <c r="AT61" s="115">
        <f t="shared" si="18"/>
        <v>0</v>
      </c>
      <c r="AU61" s="115">
        <f t="shared" si="18"/>
        <v>0</v>
      </c>
      <c r="AV61" s="115">
        <f t="shared" si="18"/>
        <v>0</v>
      </c>
      <c r="AW61" s="115">
        <f t="shared" si="18"/>
        <v>0</v>
      </c>
      <c r="AX61" s="115">
        <f t="shared" si="18"/>
        <v>0</v>
      </c>
      <c r="AY61" s="115">
        <f t="shared" si="18"/>
        <v>0</v>
      </c>
    </row>
    <row r="62" spans="1:52" x14ac:dyDescent="0.2">
      <c r="A62" s="115"/>
      <c r="B62" s="170" t="s">
        <v>350</v>
      </c>
      <c r="C62" s="115"/>
      <c r="D62" s="115">
        <f>D56-D59</f>
        <v>0</v>
      </c>
      <c r="E62" s="115">
        <f t="shared" ref="E62:AY62" si="19">E56-E59</f>
        <v>0</v>
      </c>
      <c r="F62" s="115">
        <f t="shared" si="19"/>
        <v>0</v>
      </c>
      <c r="G62" s="115">
        <f t="shared" si="19"/>
        <v>0</v>
      </c>
      <c r="H62" s="115">
        <f t="shared" si="19"/>
        <v>0</v>
      </c>
      <c r="I62" s="115">
        <f t="shared" si="19"/>
        <v>0</v>
      </c>
      <c r="J62" s="115">
        <f t="shared" si="19"/>
        <v>0</v>
      </c>
      <c r="K62" s="115">
        <f t="shared" si="19"/>
        <v>0</v>
      </c>
      <c r="L62" s="115">
        <f t="shared" si="19"/>
        <v>0</v>
      </c>
      <c r="M62" s="115">
        <f t="shared" si="19"/>
        <v>0</v>
      </c>
      <c r="N62" s="115">
        <f t="shared" si="19"/>
        <v>0</v>
      </c>
      <c r="O62" s="115">
        <f t="shared" si="19"/>
        <v>0</v>
      </c>
      <c r="P62" s="115">
        <f t="shared" si="19"/>
        <v>0</v>
      </c>
      <c r="Q62" s="115">
        <f t="shared" si="19"/>
        <v>0</v>
      </c>
      <c r="R62" s="115">
        <f t="shared" si="19"/>
        <v>0</v>
      </c>
      <c r="S62" s="115">
        <f t="shared" si="19"/>
        <v>0</v>
      </c>
      <c r="T62" s="115">
        <f t="shared" si="19"/>
        <v>0</v>
      </c>
      <c r="U62" s="115">
        <f t="shared" si="19"/>
        <v>0</v>
      </c>
      <c r="V62" s="115">
        <f t="shared" si="19"/>
        <v>0</v>
      </c>
      <c r="W62" s="115">
        <f t="shared" si="19"/>
        <v>0</v>
      </c>
      <c r="X62" s="115">
        <f t="shared" si="19"/>
        <v>0</v>
      </c>
      <c r="Y62" s="115">
        <f t="shared" si="19"/>
        <v>0</v>
      </c>
      <c r="Z62" s="115">
        <f t="shared" si="19"/>
        <v>0</v>
      </c>
      <c r="AA62" s="115">
        <f t="shared" si="19"/>
        <v>0</v>
      </c>
      <c r="AB62" s="115">
        <f t="shared" si="19"/>
        <v>0</v>
      </c>
      <c r="AC62" s="115">
        <f t="shared" si="19"/>
        <v>0</v>
      </c>
      <c r="AD62" s="115">
        <f t="shared" si="19"/>
        <v>0</v>
      </c>
      <c r="AE62" s="115">
        <f t="shared" si="19"/>
        <v>0</v>
      </c>
      <c r="AF62" s="115">
        <f t="shared" si="19"/>
        <v>0</v>
      </c>
      <c r="AG62" s="115">
        <f t="shared" si="19"/>
        <v>0</v>
      </c>
      <c r="AH62" s="115">
        <f t="shared" si="19"/>
        <v>0</v>
      </c>
      <c r="AI62" s="115">
        <f t="shared" si="19"/>
        <v>0</v>
      </c>
      <c r="AJ62" s="115">
        <f t="shared" si="19"/>
        <v>0</v>
      </c>
      <c r="AK62" s="115">
        <f t="shared" si="19"/>
        <v>0</v>
      </c>
      <c r="AL62" s="115">
        <f t="shared" si="19"/>
        <v>0</v>
      </c>
      <c r="AM62" s="115">
        <f t="shared" si="19"/>
        <v>0</v>
      </c>
      <c r="AN62" s="115">
        <f t="shared" si="19"/>
        <v>0</v>
      </c>
      <c r="AO62" s="115">
        <f t="shared" si="19"/>
        <v>0</v>
      </c>
      <c r="AP62" s="115">
        <f t="shared" si="19"/>
        <v>0</v>
      </c>
      <c r="AQ62" s="115">
        <f t="shared" si="19"/>
        <v>0</v>
      </c>
      <c r="AR62" s="115">
        <f t="shared" si="19"/>
        <v>0</v>
      </c>
      <c r="AS62" s="115">
        <f t="shared" si="19"/>
        <v>0</v>
      </c>
      <c r="AT62" s="115">
        <f t="shared" si="19"/>
        <v>0</v>
      </c>
      <c r="AU62" s="115">
        <f t="shared" si="19"/>
        <v>0</v>
      </c>
      <c r="AV62" s="115">
        <f t="shared" si="19"/>
        <v>0</v>
      </c>
      <c r="AW62" s="115">
        <f t="shared" si="19"/>
        <v>0</v>
      </c>
      <c r="AX62" s="115">
        <f t="shared" si="19"/>
        <v>0</v>
      </c>
      <c r="AY62" s="115">
        <f t="shared" si="19"/>
        <v>0</v>
      </c>
    </row>
    <row r="63" spans="1:52" x14ac:dyDescent="0.2">
      <c r="A63" s="115"/>
      <c r="B63" s="170" t="s">
        <v>351</v>
      </c>
      <c r="C63" s="115"/>
      <c r="D63" s="115">
        <v>3</v>
      </c>
      <c r="E63" s="115">
        <v>2</v>
      </c>
      <c r="F63" s="115">
        <v>2</v>
      </c>
      <c r="G63" s="115">
        <v>3</v>
      </c>
      <c r="H63" s="115">
        <v>3</v>
      </c>
      <c r="I63" s="115">
        <v>2</v>
      </c>
      <c r="J63" s="115">
        <v>2</v>
      </c>
      <c r="K63" s="115">
        <v>2</v>
      </c>
      <c r="L63" s="115">
        <v>2</v>
      </c>
      <c r="M63" s="115">
        <v>2</v>
      </c>
      <c r="N63" s="115">
        <v>4</v>
      </c>
      <c r="O63" s="115">
        <v>3</v>
      </c>
      <c r="P63" s="115">
        <v>3</v>
      </c>
      <c r="Q63" s="115">
        <v>2</v>
      </c>
      <c r="R63" s="115">
        <v>3</v>
      </c>
      <c r="S63" s="115">
        <v>4</v>
      </c>
      <c r="T63" s="115">
        <v>2</v>
      </c>
      <c r="U63" s="115">
        <v>4</v>
      </c>
      <c r="V63" s="115">
        <v>2</v>
      </c>
      <c r="W63" s="115">
        <v>4</v>
      </c>
      <c r="X63" s="115">
        <v>2</v>
      </c>
      <c r="Y63" s="115">
        <v>2</v>
      </c>
      <c r="Z63" s="115">
        <v>3</v>
      </c>
      <c r="AA63" s="115">
        <v>4</v>
      </c>
      <c r="AB63" s="115">
        <v>2</v>
      </c>
      <c r="AC63" s="115">
        <v>2</v>
      </c>
      <c r="AD63" s="115">
        <v>2</v>
      </c>
      <c r="AE63" s="115">
        <v>2</v>
      </c>
      <c r="AF63" s="115">
        <v>2</v>
      </c>
      <c r="AG63" s="115">
        <v>3</v>
      </c>
      <c r="AH63" s="115">
        <v>3</v>
      </c>
      <c r="AI63" s="115">
        <v>3</v>
      </c>
      <c r="AJ63" s="115">
        <v>2</v>
      </c>
      <c r="AK63" s="115">
        <v>2</v>
      </c>
      <c r="AL63" s="115">
        <v>3</v>
      </c>
      <c r="AM63" s="115">
        <v>2</v>
      </c>
      <c r="AN63" s="115">
        <v>2</v>
      </c>
      <c r="AO63" s="115">
        <v>4</v>
      </c>
      <c r="AP63" s="115">
        <v>2</v>
      </c>
      <c r="AQ63" s="115">
        <v>3</v>
      </c>
      <c r="AR63" s="115">
        <v>3</v>
      </c>
      <c r="AS63" s="115">
        <v>2</v>
      </c>
      <c r="AT63" s="115">
        <v>3</v>
      </c>
      <c r="AU63" s="115">
        <v>3</v>
      </c>
      <c r="AV63" s="115">
        <v>2</v>
      </c>
      <c r="AW63" s="115">
        <v>4</v>
      </c>
      <c r="AX63" s="115">
        <v>2</v>
      </c>
      <c r="AY63" s="115">
        <v>4</v>
      </c>
    </row>
    <row r="64" spans="1:52" x14ac:dyDescent="0.2">
      <c r="A64" s="115"/>
      <c r="B64" s="183" t="s">
        <v>352</v>
      </c>
      <c r="C64" s="115"/>
      <c r="D64" s="115">
        <v>0</v>
      </c>
      <c r="E64" s="115">
        <v>0</v>
      </c>
      <c r="F64" s="115">
        <v>0</v>
      </c>
      <c r="G64" s="115">
        <v>0</v>
      </c>
      <c r="H64" s="115">
        <v>0</v>
      </c>
      <c r="I64" s="115">
        <v>0</v>
      </c>
      <c r="J64" s="115">
        <v>0</v>
      </c>
      <c r="K64" s="115">
        <v>0</v>
      </c>
      <c r="L64" s="115">
        <v>0</v>
      </c>
      <c r="M64" s="115">
        <v>0</v>
      </c>
      <c r="N64" s="115">
        <v>0</v>
      </c>
      <c r="O64" s="115">
        <v>0</v>
      </c>
      <c r="P64" s="115">
        <v>0</v>
      </c>
      <c r="Q64" s="115">
        <v>0</v>
      </c>
      <c r="R64" s="115">
        <v>0</v>
      </c>
      <c r="S64" s="115">
        <v>0</v>
      </c>
      <c r="T64" s="115">
        <v>0</v>
      </c>
      <c r="U64" s="115">
        <v>0</v>
      </c>
      <c r="V64" s="115">
        <v>0</v>
      </c>
      <c r="W64" s="115">
        <v>0</v>
      </c>
      <c r="X64" s="115">
        <v>0</v>
      </c>
      <c r="Y64" s="115">
        <v>0</v>
      </c>
      <c r="Z64" s="115">
        <v>0</v>
      </c>
      <c r="AA64" s="115">
        <v>0</v>
      </c>
      <c r="AB64" s="115">
        <v>0</v>
      </c>
      <c r="AC64" s="115">
        <v>0</v>
      </c>
      <c r="AD64" s="115">
        <v>0</v>
      </c>
      <c r="AE64" s="115">
        <v>0</v>
      </c>
      <c r="AF64" s="115">
        <v>0</v>
      </c>
      <c r="AG64" s="115">
        <v>0</v>
      </c>
      <c r="AH64" s="115">
        <v>0</v>
      </c>
      <c r="AI64" s="115">
        <v>0</v>
      </c>
      <c r="AJ64" s="115">
        <v>0</v>
      </c>
      <c r="AK64" s="115">
        <v>0</v>
      </c>
      <c r="AL64" s="115">
        <v>0</v>
      </c>
      <c r="AM64" s="115">
        <v>0</v>
      </c>
      <c r="AN64" s="115">
        <v>0</v>
      </c>
      <c r="AO64" s="115">
        <v>0</v>
      </c>
      <c r="AP64" s="115">
        <v>0</v>
      </c>
      <c r="AQ64" s="115">
        <v>0</v>
      </c>
      <c r="AR64" s="115">
        <v>0</v>
      </c>
      <c r="AS64" s="115">
        <v>0</v>
      </c>
      <c r="AT64" s="115">
        <v>0</v>
      </c>
      <c r="AU64" s="115">
        <v>0</v>
      </c>
      <c r="AV64" s="115">
        <v>0</v>
      </c>
      <c r="AW64" s="115">
        <v>0</v>
      </c>
      <c r="AX64" s="115">
        <v>0</v>
      </c>
      <c r="AY64" s="115">
        <v>0</v>
      </c>
      <c r="AZ64" s="105">
        <f>SUM($D$64:$AY$64)</f>
        <v>0</v>
      </c>
    </row>
    <row r="65" spans="1:52" x14ac:dyDescent="0.2">
      <c r="A65" s="115"/>
      <c r="B65" s="183" t="s">
        <v>353</v>
      </c>
      <c r="C65" s="115"/>
      <c r="D65" s="115">
        <v>0</v>
      </c>
      <c r="E65" s="115">
        <v>0</v>
      </c>
      <c r="F65" s="115">
        <v>0</v>
      </c>
      <c r="G65" s="115">
        <v>0</v>
      </c>
      <c r="H65" s="115">
        <v>0</v>
      </c>
      <c r="I65" s="115">
        <v>0</v>
      </c>
      <c r="J65" s="115">
        <v>0</v>
      </c>
      <c r="K65" s="115">
        <v>0</v>
      </c>
      <c r="L65" s="115">
        <v>0</v>
      </c>
      <c r="M65" s="115">
        <v>0</v>
      </c>
      <c r="N65" s="115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15">
        <v>0</v>
      </c>
      <c r="AA65" s="115">
        <v>0</v>
      </c>
      <c r="AB65" s="115">
        <v>0</v>
      </c>
      <c r="AC65" s="115">
        <v>0</v>
      </c>
      <c r="AD65" s="115">
        <v>0</v>
      </c>
      <c r="AE65" s="115">
        <v>0</v>
      </c>
      <c r="AF65" s="115">
        <v>0</v>
      </c>
      <c r="AG65" s="115">
        <v>0</v>
      </c>
      <c r="AH65" s="115">
        <v>0</v>
      </c>
      <c r="AI65" s="115">
        <v>0</v>
      </c>
      <c r="AJ65" s="115">
        <v>0</v>
      </c>
      <c r="AK65" s="115">
        <v>0</v>
      </c>
      <c r="AL65" s="115">
        <v>0</v>
      </c>
      <c r="AM65" s="115">
        <v>0</v>
      </c>
      <c r="AN65" s="115">
        <v>0</v>
      </c>
      <c r="AO65" s="115">
        <v>0</v>
      </c>
      <c r="AP65" s="115">
        <v>0</v>
      </c>
      <c r="AQ65" s="115">
        <v>0</v>
      </c>
      <c r="AR65" s="115">
        <v>0</v>
      </c>
      <c r="AS65" s="115">
        <v>0</v>
      </c>
      <c r="AT65" s="115">
        <v>0</v>
      </c>
      <c r="AU65" s="115">
        <v>0</v>
      </c>
      <c r="AV65" s="115">
        <v>0</v>
      </c>
      <c r="AW65" s="115">
        <v>0</v>
      </c>
      <c r="AX65" s="115">
        <v>0</v>
      </c>
      <c r="AY65" s="115">
        <v>0</v>
      </c>
      <c r="AZ65" s="105">
        <f>SUM($D$65:$AY$65)</f>
        <v>0</v>
      </c>
    </row>
    <row r="66" spans="1:52" x14ac:dyDescent="0.2">
      <c r="A66" s="140" t="s">
        <v>70</v>
      </c>
      <c r="B66" s="140" t="s">
        <v>343</v>
      </c>
      <c r="C66" s="129"/>
      <c r="D66" s="129">
        <f>D$21*shipping_manufacturing!$F$30/100</f>
        <v>0</v>
      </c>
      <c r="E66" s="129">
        <f>E$21*shipping_manufacturing!$F$30/100</f>
        <v>0</v>
      </c>
      <c r="F66" s="129">
        <f>F$21*shipping_manufacturing!$F$30/100</f>
        <v>0</v>
      </c>
      <c r="G66" s="129">
        <f>G$21*shipping_manufacturing!$F$30/100</f>
        <v>0</v>
      </c>
      <c r="H66" s="129">
        <f>H$21*shipping_manufacturing!$F$30/100</f>
        <v>0</v>
      </c>
      <c r="I66" s="129">
        <f>I$21*shipping_manufacturing!$F$30/100</f>
        <v>0</v>
      </c>
      <c r="J66" s="129">
        <f>J$21*shipping_manufacturing!$F$30/100</f>
        <v>0</v>
      </c>
      <c r="K66" s="129">
        <f>K$21*shipping_manufacturing!$F$30/100</f>
        <v>0</v>
      </c>
      <c r="L66" s="129">
        <f>L$21*shipping_manufacturing!$F$30/100</f>
        <v>0</v>
      </c>
      <c r="M66" s="129">
        <f>M$21*shipping_manufacturing!$F$30/100</f>
        <v>0</v>
      </c>
      <c r="N66" s="129">
        <f>N$21*shipping_manufacturing!$F$30/100</f>
        <v>0</v>
      </c>
      <c r="O66" s="129">
        <f>O$21*shipping_manufacturing!$F$30/100</f>
        <v>0</v>
      </c>
      <c r="P66" s="129">
        <f>P$21*shipping_manufacturing!$F$30/100</f>
        <v>0</v>
      </c>
      <c r="Q66" s="129">
        <f>Q$21*shipping_manufacturing!$F$30/100</f>
        <v>0</v>
      </c>
      <c r="R66" s="129">
        <f>R$21*shipping_manufacturing!$F$30/100</f>
        <v>0</v>
      </c>
      <c r="S66" s="129">
        <f>S$21*shipping_manufacturing!$F$30/100</f>
        <v>0</v>
      </c>
      <c r="T66" s="129">
        <f>T$21*shipping_manufacturing!$F$30/100</f>
        <v>0</v>
      </c>
      <c r="U66" s="129">
        <f>U$21*shipping_manufacturing!$F$30/100</f>
        <v>0</v>
      </c>
      <c r="V66" s="129">
        <f>V$21*shipping_manufacturing!$F$30/100</f>
        <v>0</v>
      </c>
      <c r="W66" s="129">
        <f>W$21*shipping_manufacturing!$F$30/100</f>
        <v>0</v>
      </c>
      <c r="X66" s="129">
        <f>X$21*shipping_manufacturing!$F$30/100</f>
        <v>0</v>
      </c>
      <c r="Y66" s="129">
        <f>Y$21*shipping_manufacturing!$F$30/100</f>
        <v>0</v>
      </c>
      <c r="Z66" s="129">
        <f>Z$21*shipping_manufacturing!$F$30/100</f>
        <v>0</v>
      </c>
      <c r="AA66" s="129">
        <f>AA$21*shipping_manufacturing!$F$30/100</f>
        <v>0</v>
      </c>
      <c r="AB66" s="129">
        <f>AB$21*shipping_manufacturing!$F$30/100</f>
        <v>0</v>
      </c>
      <c r="AC66" s="129">
        <f>AC$21*shipping_manufacturing!$F$30/100</f>
        <v>0</v>
      </c>
      <c r="AD66" s="129">
        <f>AD$21*shipping_manufacturing!$F$30/100</f>
        <v>0</v>
      </c>
      <c r="AE66" s="129">
        <f>AE$21*shipping_manufacturing!$F$30/100</f>
        <v>0</v>
      </c>
      <c r="AF66" s="129">
        <f>AF$21*shipping_manufacturing!$F$30/100</f>
        <v>0</v>
      </c>
      <c r="AG66" s="129">
        <f>AG$21*shipping_manufacturing!$F$30/100</f>
        <v>0</v>
      </c>
      <c r="AH66" s="129">
        <f>AH$21*shipping_manufacturing!$F$30/100</f>
        <v>0</v>
      </c>
      <c r="AI66" s="129">
        <f>AI$21*shipping_manufacturing!$F$30/100</f>
        <v>0</v>
      </c>
      <c r="AJ66" s="129">
        <f>AJ$21*shipping_manufacturing!$F$30/100</f>
        <v>0</v>
      </c>
      <c r="AK66" s="129">
        <f>AK$21*shipping_manufacturing!$F$30/100</f>
        <v>0</v>
      </c>
      <c r="AL66" s="129">
        <f>AL$21*shipping_manufacturing!$F$30/100</f>
        <v>0</v>
      </c>
      <c r="AM66" s="129">
        <f>AM$21*shipping_manufacturing!$F$30/100</f>
        <v>0</v>
      </c>
      <c r="AN66" s="129">
        <f>AN$21*shipping_manufacturing!$F$30/100</f>
        <v>0</v>
      </c>
      <c r="AO66" s="129">
        <f>AO$21*shipping_manufacturing!$F$30/100</f>
        <v>0</v>
      </c>
      <c r="AP66" s="129">
        <f>AP$21*shipping_manufacturing!$F$30/100</f>
        <v>0</v>
      </c>
      <c r="AQ66" s="129">
        <f>AQ$21*shipping_manufacturing!$F$30/100</f>
        <v>0</v>
      </c>
      <c r="AR66" s="129">
        <f>AR$21*shipping_manufacturing!$F$30/100</f>
        <v>0</v>
      </c>
      <c r="AS66" s="129">
        <f>AS$21*shipping_manufacturing!$F$30/100</f>
        <v>0</v>
      </c>
      <c r="AT66" s="129">
        <f>AT$21*shipping_manufacturing!$F$30/100</f>
        <v>0</v>
      </c>
      <c r="AU66" s="129">
        <f>AU$21*shipping_manufacturing!$F$30/100</f>
        <v>0</v>
      </c>
      <c r="AV66" s="129">
        <f>AV$21*shipping_manufacturing!$F$30/100</f>
        <v>0</v>
      </c>
      <c r="AW66" s="129">
        <f>AW$21*shipping_manufacturing!$F$30/100</f>
        <v>0</v>
      </c>
      <c r="AX66" s="129">
        <f>AX$21*shipping_manufacturing!$F$30/100</f>
        <v>0</v>
      </c>
      <c r="AY66" s="129">
        <f>AY$21*shipping_manufacturing!$F$30/100</f>
        <v>0</v>
      </c>
    </row>
    <row r="67" spans="1:52" x14ac:dyDescent="0.2">
      <c r="A67" s="118" t="s">
        <v>342</v>
      </c>
      <c r="B67" s="170" t="s">
        <v>344</v>
      </c>
      <c r="C67" s="115"/>
      <c r="D67" s="115">
        <f>D$22*shipping_manufacturing!$G$30/100</f>
        <v>0</v>
      </c>
      <c r="E67" s="115">
        <f>E$22*shipping_manufacturing!$G$30/100</f>
        <v>0</v>
      </c>
      <c r="F67" s="115">
        <f>F$22*shipping_manufacturing!$G$30/100</f>
        <v>0</v>
      </c>
      <c r="G67" s="115">
        <f>G$22*shipping_manufacturing!$G$30/100</f>
        <v>0</v>
      </c>
      <c r="H67" s="115">
        <f>H$22*shipping_manufacturing!$G$30/100</f>
        <v>0</v>
      </c>
      <c r="I67" s="115">
        <f>I$22*shipping_manufacturing!$G$30/100</f>
        <v>0</v>
      </c>
      <c r="J67" s="115">
        <f>J$22*shipping_manufacturing!$G$30/100</f>
        <v>0</v>
      </c>
      <c r="K67" s="115">
        <f>K$22*shipping_manufacturing!$G$30/100</f>
        <v>0</v>
      </c>
      <c r="L67" s="115">
        <f>L$22*shipping_manufacturing!$G$30/100</f>
        <v>0</v>
      </c>
      <c r="M67" s="115">
        <f>M$22*shipping_manufacturing!$G$30/100</f>
        <v>0</v>
      </c>
      <c r="N67" s="115">
        <f>N$22*shipping_manufacturing!$G$30/100</f>
        <v>0</v>
      </c>
      <c r="O67" s="115">
        <f>O$22*shipping_manufacturing!$G$30/100</f>
        <v>0</v>
      </c>
      <c r="P67" s="115">
        <f>P$22*shipping_manufacturing!$G$30/100</f>
        <v>0</v>
      </c>
      <c r="Q67" s="115">
        <f>Q$22*shipping_manufacturing!$G$30/100</f>
        <v>0</v>
      </c>
      <c r="R67" s="115">
        <f>R$22*shipping_manufacturing!$G$30/100</f>
        <v>0</v>
      </c>
      <c r="S67" s="115">
        <f>S$22*shipping_manufacturing!$G$30/100</f>
        <v>0</v>
      </c>
      <c r="T67" s="115">
        <f>T$22*shipping_manufacturing!$G$30/100</f>
        <v>0</v>
      </c>
      <c r="U67" s="115">
        <f>U$22*shipping_manufacturing!$G$30/100</f>
        <v>0</v>
      </c>
      <c r="V67" s="115">
        <f>V$22*shipping_manufacturing!$G$30/100</f>
        <v>0</v>
      </c>
      <c r="W67" s="115">
        <f>W$22*shipping_manufacturing!$G$30/100</f>
        <v>0</v>
      </c>
      <c r="X67" s="115">
        <f>X$22*shipping_manufacturing!$G$30/100</f>
        <v>0</v>
      </c>
      <c r="Y67" s="115">
        <f>Y$22*shipping_manufacturing!$G$30/100</f>
        <v>0</v>
      </c>
      <c r="Z67" s="115">
        <f>Z$22*shipping_manufacturing!$G$30/100</f>
        <v>0</v>
      </c>
      <c r="AA67" s="115">
        <f>AA$22*shipping_manufacturing!$G$30/100</f>
        <v>0</v>
      </c>
      <c r="AB67" s="115">
        <f>AB$22*shipping_manufacturing!$G$30/100</f>
        <v>0</v>
      </c>
      <c r="AC67" s="115">
        <f>AC$22*shipping_manufacturing!$G$30/100</f>
        <v>0</v>
      </c>
      <c r="AD67" s="115">
        <f>AD$22*shipping_manufacturing!$G$30/100</f>
        <v>0</v>
      </c>
      <c r="AE67" s="115">
        <f>AE$22*shipping_manufacturing!$G$30/100</f>
        <v>0</v>
      </c>
      <c r="AF67" s="115">
        <f>AF$22*shipping_manufacturing!$G$30/100</f>
        <v>0</v>
      </c>
      <c r="AG67" s="115">
        <f>AG$22*shipping_manufacturing!$G$30/100</f>
        <v>0</v>
      </c>
      <c r="AH67" s="115">
        <f>AH$22*shipping_manufacturing!$G$30/100</f>
        <v>0</v>
      </c>
      <c r="AI67" s="115">
        <f>AI$22*shipping_manufacturing!$G$30/100</f>
        <v>0</v>
      </c>
      <c r="AJ67" s="115">
        <f>AJ$22*shipping_manufacturing!$G$30/100</f>
        <v>0</v>
      </c>
      <c r="AK67" s="115">
        <f>AK$22*shipping_manufacturing!$G$30/100</f>
        <v>0</v>
      </c>
      <c r="AL67" s="115">
        <f>AL$22*shipping_manufacturing!$G$30/100</f>
        <v>0</v>
      </c>
      <c r="AM67" s="115">
        <f>AM$22*shipping_manufacturing!$G$30/100</f>
        <v>0</v>
      </c>
      <c r="AN67" s="115">
        <f>AN$22*shipping_manufacturing!$G$30/100</f>
        <v>0</v>
      </c>
      <c r="AO67" s="115">
        <f>AO$22*shipping_manufacturing!$G$30/100</f>
        <v>0</v>
      </c>
      <c r="AP67" s="115">
        <f>AP$22*shipping_manufacturing!$G$30/100</f>
        <v>0</v>
      </c>
      <c r="AQ67" s="115">
        <f>AQ$22*shipping_manufacturing!$G$30/100</f>
        <v>0</v>
      </c>
      <c r="AR67" s="115">
        <f>AR$22*shipping_manufacturing!$G$30/100</f>
        <v>0</v>
      </c>
      <c r="AS67" s="115">
        <f>AS$22*shipping_manufacturing!$G$30/100</f>
        <v>0</v>
      </c>
      <c r="AT67" s="115">
        <f>AT$22*shipping_manufacturing!$G$30/100</f>
        <v>0</v>
      </c>
      <c r="AU67" s="115">
        <f>AU$22*shipping_manufacturing!$G$30/100</f>
        <v>0</v>
      </c>
      <c r="AV67" s="115">
        <f>AV$22*shipping_manufacturing!$G$30/100</f>
        <v>0</v>
      </c>
      <c r="AW67" s="115">
        <f>AW$22*shipping_manufacturing!$G$30/100</f>
        <v>0</v>
      </c>
      <c r="AX67" s="115">
        <f>AX$22*shipping_manufacturing!$G$30/100</f>
        <v>0</v>
      </c>
      <c r="AY67" s="115">
        <f>AY$22*shipping_manufacturing!$G$30/100</f>
        <v>0</v>
      </c>
    </row>
    <row r="68" spans="1:52" x14ac:dyDescent="0.2">
      <c r="A68" s="115">
        <v>719</v>
      </c>
      <c r="B68" s="170" t="s">
        <v>345</v>
      </c>
      <c r="C68" s="115"/>
      <c r="D68" s="115">
        <f>SUM(D66:D67)</f>
        <v>0</v>
      </c>
      <c r="E68" s="115">
        <f t="shared" ref="E68:AY68" si="20">SUM(E66:E67)</f>
        <v>0</v>
      </c>
      <c r="F68" s="115">
        <f t="shared" si="20"/>
        <v>0</v>
      </c>
      <c r="G68" s="115">
        <f t="shared" si="20"/>
        <v>0</v>
      </c>
      <c r="H68" s="115">
        <f t="shared" si="20"/>
        <v>0</v>
      </c>
      <c r="I68" s="115">
        <f t="shared" si="20"/>
        <v>0</v>
      </c>
      <c r="J68" s="115">
        <f t="shared" si="20"/>
        <v>0</v>
      </c>
      <c r="K68" s="115">
        <f t="shared" si="20"/>
        <v>0</v>
      </c>
      <c r="L68" s="115">
        <f t="shared" si="20"/>
        <v>0</v>
      </c>
      <c r="M68" s="115">
        <f t="shared" si="20"/>
        <v>0</v>
      </c>
      <c r="N68" s="115">
        <f t="shared" si="20"/>
        <v>0</v>
      </c>
      <c r="O68" s="115">
        <f t="shared" si="20"/>
        <v>0</v>
      </c>
      <c r="P68" s="115">
        <f t="shared" si="20"/>
        <v>0</v>
      </c>
      <c r="Q68" s="115">
        <f t="shared" si="20"/>
        <v>0</v>
      </c>
      <c r="R68" s="115">
        <f t="shared" si="20"/>
        <v>0</v>
      </c>
      <c r="S68" s="115">
        <f t="shared" si="20"/>
        <v>0</v>
      </c>
      <c r="T68" s="115">
        <f t="shared" si="20"/>
        <v>0</v>
      </c>
      <c r="U68" s="115">
        <f t="shared" si="20"/>
        <v>0</v>
      </c>
      <c r="V68" s="115">
        <f t="shared" si="20"/>
        <v>0</v>
      </c>
      <c r="W68" s="115">
        <f t="shared" si="20"/>
        <v>0</v>
      </c>
      <c r="X68" s="115">
        <f t="shared" si="20"/>
        <v>0</v>
      </c>
      <c r="Y68" s="115">
        <f t="shared" si="20"/>
        <v>0</v>
      </c>
      <c r="Z68" s="115">
        <f t="shared" si="20"/>
        <v>0</v>
      </c>
      <c r="AA68" s="115">
        <f t="shared" si="20"/>
        <v>0</v>
      </c>
      <c r="AB68" s="115">
        <f t="shared" si="20"/>
        <v>0</v>
      </c>
      <c r="AC68" s="115">
        <f t="shared" si="20"/>
        <v>0</v>
      </c>
      <c r="AD68" s="115">
        <f t="shared" si="20"/>
        <v>0</v>
      </c>
      <c r="AE68" s="115">
        <f t="shared" si="20"/>
        <v>0</v>
      </c>
      <c r="AF68" s="115">
        <f t="shared" si="20"/>
        <v>0</v>
      </c>
      <c r="AG68" s="115">
        <f t="shared" si="20"/>
        <v>0</v>
      </c>
      <c r="AH68" s="115">
        <f t="shared" si="20"/>
        <v>0</v>
      </c>
      <c r="AI68" s="115">
        <f t="shared" si="20"/>
        <v>0</v>
      </c>
      <c r="AJ68" s="115">
        <f t="shared" si="20"/>
        <v>0</v>
      </c>
      <c r="AK68" s="115">
        <f t="shared" si="20"/>
        <v>0</v>
      </c>
      <c r="AL68" s="115">
        <f t="shared" si="20"/>
        <v>0</v>
      </c>
      <c r="AM68" s="115">
        <f t="shared" si="20"/>
        <v>0</v>
      </c>
      <c r="AN68" s="115">
        <f t="shared" si="20"/>
        <v>0</v>
      </c>
      <c r="AO68" s="115">
        <f t="shared" si="20"/>
        <v>0</v>
      </c>
      <c r="AP68" s="115">
        <f t="shared" si="20"/>
        <v>0</v>
      </c>
      <c r="AQ68" s="115">
        <f t="shared" si="20"/>
        <v>0</v>
      </c>
      <c r="AR68" s="115">
        <f t="shared" si="20"/>
        <v>0</v>
      </c>
      <c r="AS68" s="115">
        <f t="shared" si="20"/>
        <v>0</v>
      </c>
      <c r="AT68" s="115">
        <f t="shared" si="20"/>
        <v>0</v>
      </c>
      <c r="AU68" s="115">
        <f t="shared" si="20"/>
        <v>0</v>
      </c>
      <c r="AV68" s="115">
        <f t="shared" si="20"/>
        <v>0</v>
      </c>
      <c r="AW68" s="115">
        <f t="shared" si="20"/>
        <v>0</v>
      </c>
      <c r="AX68" s="115">
        <f t="shared" si="20"/>
        <v>0</v>
      </c>
      <c r="AY68" s="115">
        <f t="shared" si="20"/>
        <v>0</v>
      </c>
    </row>
    <row r="69" spans="1:52" x14ac:dyDescent="0.2">
      <c r="A69" s="115"/>
      <c r="B69" s="170" t="s">
        <v>346</v>
      </c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</row>
    <row r="70" spans="1:52" x14ac:dyDescent="0.2">
      <c r="A70" s="115"/>
      <c r="B70" s="170" t="s">
        <v>347</v>
      </c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</row>
    <row r="71" spans="1:52" x14ac:dyDescent="0.2">
      <c r="A71" s="115"/>
      <c r="B71" s="170" t="s">
        <v>348</v>
      </c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</row>
    <row r="72" spans="1:52" x14ac:dyDescent="0.2">
      <c r="A72" s="115"/>
      <c r="B72" s="170" t="s">
        <v>349</v>
      </c>
      <c r="C72" s="115"/>
      <c r="D72" s="115">
        <f>D66-D69</f>
        <v>0</v>
      </c>
      <c r="E72" s="115">
        <f t="shared" ref="E72:AY72" si="21">E66-E69</f>
        <v>0</v>
      </c>
      <c r="F72" s="115">
        <f t="shared" si="21"/>
        <v>0</v>
      </c>
      <c r="G72" s="115">
        <f t="shared" si="21"/>
        <v>0</v>
      </c>
      <c r="H72" s="115">
        <f t="shared" si="21"/>
        <v>0</v>
      </c>
      <c r="I72" s="115">
        <f t="shared" si="21"/>
        <v>0</v>
      </c>
      <c r="J72" s="115">
        <f t="shared" si="21"/>
        <v>0</v>
      </c>
      <c r="K72" s="115">
        <f t="shared" si="21"/>
        <v>0</v>
      </c>
      <c r="L72" s="115">
        <f t="shared" si="21"/>
        <v>0</v>
      </c>
      <c r="M72" s="115">
        <f t="shared" si="21"/>
        <v>0</v>
      </c>
      <c r="N72" s="115">
        <f t="shared" si="21"/>
        <v>0</v>
      </c>
      <c r="O72" s="115">
        <f t="shared" si="21"/>
        <v>0</v>
      </c>
      <c r="P72" s="115">
        <f t="shared" si="21"/>
        <v>0</v>
      </c>
      <c r="Q72" s="115">
        <f t="shared" si="21"/>
        <v>0</v>
      </c>
      <c r="R72" s="115">
        <f t="shared" si="21"/>
        <v>0</v>
      </c>
      <c r="S72" s="115">
        <f t="shared" si="21"/>
        <v>0</v>
      </c>
      <c r="T72" s="115">
        <f t="shared" si="21"/>
        <v>0</v>
      </c>
      <c r="U72" s="115">
        <f t="shared" si="21"/>
        <v>0</v>
      </c>
      <c r="V72" s="115">
        <f t="shared" si="21"/>
        <v>0</v>
      </c>
      <c r="W72" s="115">
        <f t="shared" si="21"/>
        <v>0</v>
      </c>
      <c r="X72" s="115">
        <f t="shared" si="21"/>
        <v>0</v>
      </c>
      <c r="Y72" s="115">
        <f t="shared" si="21"/>
        <v>0</v>
      </c>
      <c r="Z72" s="115">
        <f t="shared" si="21"/>
        <v>0</v>
      </c>
      <c r="AA72" s="115">
        <f t="shared" si="21"/>
        <v>0</v>
      </c>
      <c r="AB72" s="115">
        <f t="shared" si="21"/>
        <v>0</v>
      </c>
      <c r="AC72" s="115">
        <f t="shared" si="21"/>
        <v>0</v>
      </c>
      <c r="AD72" s="115">
        <f t="shared" si="21"/>
        <v>0</v>
      </c>
      <c r="AE72" s="115">
        <f t="shared" si="21"/>
        <v>0</v>
      </c>
      <c r="AF72" s="115">
        <f t="shared" si="21"/>
        <v>0</v>
      </c>
      <c r="AG72" s="115">
        <f t="shared" si="21"/>
        <v>0</v>
      </c>
      <c r="AH72" s="115">
        <f t="shared" si="21"/>
        <v>0</v>
      </c>
      <c r="AI72" s="115">
        <f t="shared" si="21"/>
        <v>0</v>
      </c>
      <c r="AJ72" s="115">
        <f t="shared" si="21"/>
        <v>0</v>
      </c>
      <c r="AK72" s="115">
        <f t="shared" si="21"/>
        <v>0</v>
      </c>
      <c r="AL72" s="115">
        <f t="shared" si="21"/>
        <v>0</v>
      </c>
      <c r="AM72" s="115">
        <f t="shared" si="21"/>
        <v>0</v>
      </c>
      <c r="AN72" s="115">
        <f t="shared" si="21"/>
        <v>0</v>
      </c>
      <c r="AO72" s="115">
        <f t="shared" si="21"/>
        <v>0</v>
      </c>
      <c r="AP72" s="115">
        <f t="shared" si="21"/>
        <v>0</v>
      </c>
      <c r="AQ72" s="115">
        <f t="shared" si="21"/>
        <v>0</v>
      </c>
      <c r="AR72" s="115">
        <f t="shared" si="21"/>
        <v>0</v>
      </c>
      <c r="AS72" s="115">
        <f t="shared" si="21"/>
        <v>0</v>
      </c>
      <c r="AT72" s="115">
        <f t="shared" si="21"/>
        <v>0</v>
      </c>
      <c r="AU72" s="115">
        <f t="shared" si="21"/>
        <v>0</v>
      </c>
      <c r="AV72" s="115">
        <f t="shared" si="21"/>
        <v>0</v>
      </c>
      <c r="AW72" s="115">
        <f t="shared" si="21"/>
        <v>0</v>
      </c>
      <c r="AX72" s="115">
        <f t="shared" si="21"/>
        <v>0</v>
      </c>
      <c r="AY72" s="115">
        <f t="shared" si="21"/>
        <v>0</v>
      </c>
    </row>
    <row r="73" spans="1:52" x14ac:dyDescent="0.2">
      <c r="A73" s="115"/>
      <c r="B73" s="170" t="s">
        <v>350</v>
      </c>
      <c r="C73" s="115"/>
      <c r="D73" s="115">
        <f>D67-D70</f>
        <v>0</v>
      </c>
      <c r="E73" s="115">
        <f t="shared" ref="E73:AY73" si="22">E67-E70</f>
        <v>0</v>
      </c>
      <c r="F73" s="115">
        <f t="shared" si="22"/>
        <v>0</v>
      </c>
      <c r="G73" s="115">
        <f t="shared" si="22"/>
        <v>0</v>
      </c>
      <c r="H73" s="115">
        <f t="shared" si="22"/>
        <v>0</v>
      </c>
      <c r="I73" s="115">
        <f t="shared" si="22"/>
        <v>0</v>
      </c>
      <c r="J73" s="115">
        <f t="shared" si="22"/>
        <v>0</v>
      </c>
      <c r="K73" s="115">
        <f t="shared" si="22"/>
        <v>0</v>
      </c>
      <c r="L73" s="115">
        <f t="shared" si="22"/>
        <v>0</v>
      </c>
      <c r="M73" s="115">
        <f t="shared" si="22"/>
        <v>0</v>
      </c>
      <c r="N73" s="115">
        <f t="shared" si="22"/>
        <v>0</v>
      </c>
      <c r="O73" s="115">
        <f t="shared" si="22"/>
        <v>0</v>
      </c>
      <c r="P73" s="115">
        <f t="shared" si="22"/>
        <v>0</v>
      </c>
      <c r="Q73" s="115">
        <f t="shared" si="22"/>
        <v>0</v>
      </c>
      <c r="R73" s="115">
        <f t="shared" si="22"/>
        <v>0</v>
      </c>
      <c r="S73" s="115">
        <f t="shared" si="22"/>
        <v>0</v>
      </c>
      <c r="T73" s="115">
        <f t="shared" si="22"/>
        <v>0</v>
      </c>
      <c r="U73" s="115">
        <f t="shared" si="22"/>
        <v>0</v>
      </c>
      <c r="V73" s="115">
        <f t="shared" si="22"/>
        <v>0</v>
      </c>
      <c r="W73" s="115">
        <f t="shared" si="22"/>
        <v>0</v>
      </c>
      <c r="X73" s="115">
        <f t="shared" si="22"/>
        <v>0</v>
      </c>
      <c r="Y73" s="115">
        <f t="shared" si="22"/>
        <v>0</v>
      </c>
      <c r="Z73" s="115">
        <f t="shared" si="22"/>
        <v>0</v>
      </c>
      <c r="AA73" s="115">
        <f t="shared" si="22"/>
        <v>0</v>
      </c>
      <c r="AB73" s="115">
        <f t="shared" si="22"/>
        <v>0</v>
      </c>
      <c r="AC73" s="115">
        <f t="shared" si="22"/>
        <v>0</v>
      </c>
      <c r="AD73" s="115">
        <f t="shared" si="22"/>
        <v>0</v>
      </c>
      <c r="AE73" s="115">
        <f t="shared" si="22"/>
        <v>0</v>
      </c>
      <c r="AF73" s="115">
        <f t="shared" si="22"/>
        <v>0</v>
      </c>
      <c r="AG73" s="115">
        <f t="shared" si="22"/>
        <v>0</v>
      </c>
      <c r="AH73" s="115">
        <f t="shared" si="22"/>
        <v>0</v>
      </c>
      <c r="AI73" s="115">
        <f t="shared" si="22"/>
        <v>0</v>
      </c>
      <c r="AJ73" s="115">
        <f t="shared" si="22"/>
        <v>0</v>
      </c>
      <c r="AK73" s="115">
        <f t="shared" si="22"/>
        <v>0</v>
      </c>
      <c r="AL73" s="115">
        <f t="shared" si="22"/>
        <v>0</v>
      </c>
      <c r="AM73" s="115">
        <f t="shared" si="22"/>
        <v>0</v>
      </c>
      <c r="AN73" s="115">
        <f t="shared" si="22"/>
        <v>0</v>
      </c>
      <c r="AO73" s="115">
        <f t="shared" si="22"/>
        <v>0</v>
      </c>
      <c r="AP73" s="115">
        <f t="shared" si="22"/>
        <v>0</v>
      </c>
      <c r="AQ73" s="115">
        <f t="shared" si="22"/>
        <v>0</v>
      </c>
      <c r="AR73" s="115">
        <f t="shared" si="22"/>
        <v>0</v>
      </c>
      <c r="AS73" s="115">
        <f t="shared" si="22"/>
        <v>0</v>
      </c>
      <c r="AT73" s="115">
        <f t="shared" si="22"/>
        <v>0</v>
      </c>
      <c r="AU73" s="115">
        <f t="shared" si="22"/>
        <v>0</v>
      </c>
      <c r="AV73" s="115">
        <f t="shared" si="22"/>
        <v>0</v>
      </c>
      <c r="AW73" s="115">
        <f t="shared" si="22"/>
        <v>0</v>
      </c>
      <c r="AX73" s="115">
        <f t="shared" si="22"/>
        <v>0</v>
      </c>
      <c r="AY73" s="115">
        <f t="shared" si="22"/>
        <v>0</v>
      </c>
    </row>
    <row r="74" spans="1:52" x14ac:dyDescent="0.2">
      <c r="A74" s="115"/>
      <c r="B74" s="170" t="s">
        <v>351</v>
      </c>
      <c r="C74" s="115"/>
      <c r="D74" s="115">
        <v>2</v>
      </c>
      <c r="E74" s="115">
        <v>1</v>
      </c>
      <c r="F74" s="115">
        <v>1</v>
      </c>
      <c r="G74" s="115">
        <v>1</v>
      </c>
      <c r="H74" s="115">
        <v>1</v>
      </c>
      <c r="I74" s="115">
        <v>1</v>
      </c>
      <c r="J74" s="115">
        <v>2</v>
      </c>
      <c r="K74" s="115">
        <v>2</v>
      </c>
      <c r="L74" s="115">
        <v>1</v>
      </c>
      <c r="M74" s="115">
        <v>1</v>
      </c>
      <c r="N74" s="115">
        <v>1</v>
      </c>
      <c r="O74" s="115">
        <v>3</v>
      </c>
      <c r="P74" s="115">
        <v>2</v>
      </c>
      <c r="Q74" s="115">
        <v>1</v>
      </c>
      <c r="R74" s="115">
        <v>2</v>
      </c>
      <c r="S74" s="115">
        <v>1</v>
      </c>
      <c r="T74" s="115">
        <v>1</v>
      </c>
      <c r="U74" s="115">
        <v>1</v>
      </c>
      <c r="V74" s="115">
        <v>1</v>
      </c>
      <c r="W74" s="115">
        <v>1</v>
      </c>
      <c r="X74" s="115">
        <v>2</v>
      </c>
      <c r="Y74" s="115">
        <v>1</v>
      </c>
      <c r="Z74" s="115">
        <v>1</v>
      </c>
      <c r="AA74" s="115">
        <v>2</v>
      </c>
      <c r="AB74" s="115">
        <v>2</v>
      </c>
      <c r="AC74" s="115">
        <v>1</v>
      </c>
      <c r="AD74" s="115">
        <v>1</v>
      </c>
      <c r="AE74" s="115">
        <v>2</v>
      </c>
      <c r="AF74" s="115">
        <v>1</v>
      </c>
      <c r="AG74" s="115">
        <v>2</v>
      </c>
      <c r="AH74" s="115">
        <v>1</v>
      </c>
      <c r="AI74" s="115">
        <v>2</v>
      </c>
      <c r="AJ74" s="115">
        <v>1</v>
      </c>
      <c r="AK74" s="115">
        <v>3</v>
      </c>
      <c r="AL74" s="115">
        <v>2</v>
      </c>
      <c r="AM74" s="115">
        <v>2</v>
      </c>
      <c r="AN74" s="115">
        <v>1</v>
      </c>
      <c r="AO74" s="115">
        <v>1</v>
      </c>
      <c r="AP74" s="115">
        <v>1</v>
      </c>
      <c r="AQ74" s="115">
        <v>1</v>
      </c>
      <c r="AR74" s="115">
        <v>3</v>
      </c>
      <c r="AS74" s="115">
        <v>1</v>
      </c>
      <c r="AT74" s="115">
        <v>2</v>
      </c>
      <c r="AU74" s="115">
        <v>1</v>
      </c>
      <c r="AV74" s="115">
        <v>3</v>
      </c>
      <c r="AW74" s="115">
        <v>1</v>
      </c>
      <c r="AX74" s="115">
        <v>1</v>
      </c>
      <c r="AY74" s="115">
        <v>2</v>
      </c>
    </row>
    <row r="75" spans="1:52" x14ac:dyDescent="0.2">
      <c r="A75" s="115"/>
      <c r="B75" s="183" t="s">
        <v>352</v>
      </c>
      <c r="C75" s="115"/>
      <c r="D75" s="115">
        <v>0</v>
      </c>
      <c r="E75" s="115">
        <v>0</v>
      </c>
      <c r="F75" s="115">
        <v>0</v>
      </c>
      <c r="G75" s="115">
        <v>0</v>
      </c>
      <c r="H75" s="115">
        <v>0</v>
      </c>
      <c r="I75" s="115">
        <v>0</v>
      </c>
      <c r="J75" s="115">
        <v>0</v>
      </c>
      <c r="K75" s="115">
        <v>0</v>
      </c>
      <c r="L75" s="115">
        <v>0</v>
      </c>
      <c r="M75" s="115">
        <v>0</v>
      </c>
      <c r="N75" s="115">
        <v>0</v>
      </c>
      <c r="O75" s="115">
        <v>0</v>
      </c>
      <c r="P75" s="115">
        <v>0</v>
      </c>
      <c r="Q75" s="115">
        <v>0</v>
      </c>
      <c r="R75" s="115">
        <v>0</v>
      </c>
      <c r="S75" s="115">
        <v>0</v>
      </c>
      <c r="T75" s="115">
        <v>0</v>
      </c>
      <c r="U75" s="115">
        <v>0</v>
      </c>
      <c r="V75" s="115">
        <v>0</v>
      </c>
      <c r="W75" s="115">
        <v>0</v>
      </c>
      <c r="X75" s="115">
        <v>0</v>
      </c>
      <c r="Y75" s="115">
        <v>0</v>
      </c>
      <c r="Z75" s="115">
        <v>0</v>
      </c>
      <c r="AA75" s="115">
        <v>0</v>
      </c>
      <c r="AB75" s="115">
        <v>0</v>
      </c>
      <c r="AC75" s="115">
        <v>0</v>
      </c>
      <c r="AD75" s="115">
        <v>0</v>
      </c>
      <c r="AE75" s="115">
        <v>0</v>
      </c>
      <c r="AF75" s="115">
        <v>0</v>
      </c>
      <c r="AG75" s="115">
        <v>0</v>
      </c>
      <c r="AH75" s="115">
        <v>0</v>
      </c>
      <c r="AI75" s="115">
        <v>0</v>
      </c>
      <c r="AJ75" s="115">
        <v>0</v>
      </c>
      <c r="AK75" s="115">
        <v>0</v>
      </c>
      <c r="AL75" s="115">
        <v>0</v>
      </c>
      <c r="AM75" s="115">
        <v>0</v>
      </c>
      <c r="AN75" s="115">
        <v>0</v>
      </c>
      <c r="AO75" s="115">
        <v>0</v>
      </c>
      <c r="AP75" s="115">
        <v>0</v>
      </c>
      <c r="AQ75" s="115">
        <v>0</v>
      </c>
      <c r="AR75" s="115">
        <v>0</v>
      </c>
      <c r="AS75" s="115">
        <v>0</v>
      </c>
      <c r="AT75" s="115">
        <v>0</v>
      </c>
      <c r="AU75" s="115">
        <v>0</v>
      </c>
      <c r="AV75" s="115">
        <v>0</v>
      </c>
      <c r="AW75" s="115">
        <v>0</v>
      </c>
      <c r="AX75" s="115">
        <v>0</v>
      </c>
      <c r="AY75" s="115">
        <v>0</v>
      </c>
      <c r="AZ75" s="105">
        <f>SUM($D$75:$AY$75)</f>
        <v>0</v>
      </c>
    </row>
    <row r="76" spans="1:52" x14ac:dyDescent="0.2">
      <c r="A76" s="130"/>
      <c r="B76" s="145" t="s">
        <v>353</v>
      </c>
      <c r="C76" s="130"/>
      <c r="D76" s="130">
        <v>0</v>
      </c>
      <c r="E76" s="130">
        <v>0</v>
      </c>
      <c r="F76" s="130">
        <v>0</v>
      </c>
      <c r="G76" s="130">
        <v>0</v>
      </c>
      <c r="H76" s="130">
        <v>0</v>
      </c>
      <c r="I76" s="130">
        <v>0</v>
      </c>
      <c r="J76" s="130">
        <v>0</v>
      </c>
      <c r="K76" s="130">
        <v>0</v>
      </c>
      <c r="L76" s="130">
        <v>0</v>
      </c>
      <c r="M76" s="130">
        <v>0</v>
      </c>
      <c r="N76" s="130">
        <v>0</v>
      </c>
      <c r="O76" s="130">
        <v>0</v>
      </c>
      <c r="P76" s="130">
        <v>0</v>
      </c>
      <c r="Q76" s="130">
        <v>0</v>
      </c>
      <c r="R76" s="130">
        <v>0</v>
      </c>
      <c r="S76" s="130">
        <v>0</v>
      </c>
      <c r="T76" s="130">
        <v>0</v>
      </c>
      <c r="U76" s="130">
        <v>0</v>
      </c>
      <c r="V76" s="130">
        <v>0</v>
      </c>
      <c r="W76" s="130">
        <v>0</v>
      </c>
      <c r="X76" s="130">
        <v>0</v>
      </c>
      <c r="Y76" s="130">
        <v>0</v>
      </c>
      <c r="Z76" s="130">
        <v>0</v>
      </c>
      <c r="AA76" s="130">
        <v>0</v>
      </c>
      <c r="AB76" s="130">
        <v>0</v>
      </c>
      <c r="AC76" s="130">
        <v>0</v>
      </c>
      <c r="AD76" s="130">
        <v>0</v>
      </c>
      <c r="AE76" s="130">
        <v>0</v>
      </c>
      <c r="AF76" s="130">
        <v>0</v>
      </c>
      <c r="AG76" s="130">
        <v>0</v>
      </c>
      <c r="AH76" s="130">
        <v>0</v>
      </c>
      <c r="AI76" s="130">
        <v>0</v>
      </c>
      <c r="AJ76" s="130">
        <v>0</v>
      </c>
      <c r="AK76" s="130">
        <v>0</v>
      </c>
      <c r="AL76" s="130">
        <v>0</v>
      </c>
      <c r="AM76" s="130">
        <v>0</v>
      </c>
      <c r="AN76" s="130">
        <v>0</v>
      </c>
      <c r="AO76" s="130">
        <v>0</v>
      </c>
      <c r="AP76" s="130">
        <v>0</v>
      </c>
      <c r="AQ76" s="130">
        <v>0</v>
      </c>
      <c r="AR76" s="130">
        <v>0</v>
      </c>
      <c r="AS76" s="130">
        <v>0</v>
      </c>
      <c r="AT76" s="130">
        <v>0</v>
      </c>
      <c r="AU76" s="130">
        <v>0</v>
      </c>
      <c r="AV76" s="130">
        <v>0</v>
      </c>
      <c r="AW76" s="130">
        <v>0</v>
      </c>
      <c r="AX76" s="130">
        <v>0</v>
      </c>
      <c r="AY76" s="130">
        <v>0</v>
      </c>
      <c r="AZ76" s="105">
        <f>SUM($D$76:$AY$76)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76"/>
  <sheetViews>
    <sheetView workbookViewId="0">
      <pane xSplit="2" ySplit="6" topLeftCell="C18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5" customWidth="1"/>
    <col min="2" max="2" width="17.7109375" style="105" customWidth="1"/>
    <col min="3" max="51" width="9.140625" style="105"/>
    <col min="52" max="52" width="10.7109375" style="105" customWidth="1"/>
    <col min="53" max="16384" width="9.140625" style="105"/>
  </cols>
  <sheetData>
    <row r="1" spans="1:52" x14ac:dyDescent="0.2">
      <c r="A1" s="107" t="s">
        <v>118</v>
      </c>
    </row>
    <row r="2" spans="1:52" x14ac:dyDescent="0.2">
      <c r="A2" s="105" t="s">
        <v>305</v>
      </c>
      <c r="B2" s="112" t="s">
        <v>10</v>
      </c>
      <c r="E2" s="115"/>
    </row>
    <row r="3" spans="1:52" x14ac:dyDescent="0.2">
      <c r="A3" s="105" t="s">
        <v>288</v>
      </c>
      <c r="B3" s="112">
        <v>2300</v>
      </c>
      <c r="E3" s="115"/>
    </row>
    <row r="4" spans="1:52" x14ac:dyDescent="0.2">
      <c r="A4" s="107"/>
      <c r="C4" s="116" t="s">
        <v>289</v>
      </c>
    </row>
    <row r="5" spans="1:52" x14ac:dyDescent="0.2">
      <c r="B5" s="111"/>
      <c r="C5" s="117">
        <v>0</v>
      </c>
      <c r="D5" s="117">
        <v>1</v>
      </c>
      <c r="E5" s="117">
        <v>2</v>
      </c>
      <c r="F5" s="117">
        <v>3</v>
      </c>
      <c r="G5" s="117">
        <v>4</v>
      </c>
      <c r="H5" s="117">
        <v>5</v>
      </c>
      <c r="I5" s="117">
        <v>6</v>
      </c>
      <c r="J5" s="117">
        <v>7</v>
      </c>
      <c r="K5" s="117">
        <v>8</v>
      </c>
      <c r="L5" s="117">
        <v>9</v>
      </c>
      <c r="M5" s="117">
        <v>10</v>
      </c>
      <c r="N5" s="117">
        <v>11</v>
      </c>
      <c r="O5" s="117">
        <v>12</v>
      </c>
      <c r="P5" s="117">
        <v>13</v>
      </c>
      <c r="Q5" s="117">
        <v>14</v>
      </c>
      <c r="R5" s="117">
        <v>15</v>
      </c>
      <c r="S5" s="117">
        <v>16</v>
      </c>
      <c r="T5" s="117">
        <v>17</v>
      </c>
      <c r="U5" s="117">
        <v>18</v>
      </c>
      <c r="V5" s="117">
        <v>19</v>
      </c>
      <c r="W5" s="117">
        <v>20</v>
      </c>
      <c r="X5" s="117">
        <v>21</v>
      </c>
      <c r="Y5" s="117">
        <v>22</v>
      </c>
      <c r="Z5" s="117">
        <v>23</v>
      </c>
      <c r="AA5" s="117">
        <v>24</v>
      </c>
      <c r="AB5" s="117">
        <v>25</v>
      </c>
      <c r="AC5" s="117">
        <v>26</v>
      </c>
      <c r="AD5" s="117">
        <v>27</v>
      </c>
      <c r="AE5" s="117">
        <v>28</v>
      </c>
      <c r="AF5" s="117">
        <v>29</v>
      </c>
      <c r="AG5" s="117">
        <v>30</v>
      </c>
      <c r="AH5" s="117">
        <v>31</v>
      </c>
      <c r="AI5" s="117">
        <v>32</v>
      </c>
      <c r="AJ5" s="117">
        <v>33</v>
      </c>
      <c r="AK5" s="117">
        <v>34</v>
      </c>
      <c r="AL5" s="117">
        <v>35</v>
      </c>
      <c r="AM5" s="117">
        <v>36</v>
      </c>
      <c r="AN5" s="117">
        <v>37</v>
      </c>
      <c r="AO5" s="117">
        <v>38</v>
      </c>
      <c r="AP5" s="117">
        <v>39</v>
      </c>
      <c r="AQ5" s="117">
        <v>40</v>
      </c>
      <c r="AR5" s="117">
        <v>41</v>
      </c>
      <c r="AS5" s="117">
        <v>42</v>
      </c>
      <c r="AT5" s="117">
        <v>43</v>
      </c>
      <c r="AU5" s="117">
        <v>44</v>
      </c>
      <c r="AV5" s="117">
        <v>45</v>
      </c>
      <c r="AW5" s="117">
        <v>46</v>
      </c>
      <c r="AX5" s="117">
        <v>47</v>
      </c>
      <c r="AY5" s="117">
        <v>48</v>
      </c>
    </row>
    <row r="6" spans="1:52" x14ac:dyDescent="0.2">
      <c r="A6" s="107" t="s">
        <v>306</v>
      </c>
      <c r="B6" s="119"/>
      <c r="C6" s="118" t="s">
        <v>290</v>
      </c>
      <c r="D6" s="117" t="s">
        <v>291</v>
      </c>
      <c r="E6" s="117" t="s">
        <v>291</v>
      </c>
      <c r="F6" s="117" t="s">
        <v>291</v>
      </c>
      <c r="G6" s="117" t="s">
        <v>291</v>
      </c>
      <c r="H6" s="117" t="s">
        <v>291</v>
      </c>
      <c r="I6" s="117" t="s">
        <v>291</v>
      </c>
      <c r="J6" s="117" t="s">
        <v>291</v>
      </c>
      <c r="K6" s="117" t="s">
        <v>291</v>
      </c>
      <c r="L6" s="117" t="s">
        <v>291</v>
      </c>
      <c r="M6" s="117" t="s">
        <v>291</v>
      </c>
      <c r="N6" s="117" t="s">
        <v>291</v>
      </c>
      <c r="O6" s="117" t="s">
        <v>291</v>
      </c>
      <c r="P6" s="117" t="s">
        <v>291</v>
      </c>
      <c r="Q6" s="117" t="s">
        <v>291</v>
      </c>
      <c r="R6" s="117" t="s">
        <v>291</v>
      </c>
      <c r="S6" s="117" t="s">
        <v>291</v>
      </c>
      <c r="T6" s="117" t="s">
        <v>291</v>
      </c>
      <c r="U6" s="117" t="s">
        <v>291</v>
      </c>
      <c r="V6" s="117" t="s">
        <v>291</v>
      </c>
      <c r="W6" s="117" t="s">
        <v>291</v>
      </c>
      <c r="X6" s="117" t="s">
        <v>291</v>
      </c>
      <c r="Y6" s="117" t="s">
        <v>291</v>
      </c>
      <c r="Z6" s="117" t="s">
        <v>291</v>
      </c>
      <c r="AA6" s="117" t="s">
        <v>291</v>
      </c>
      <c r="AB6" s="117" t="s">
        <v>291</v>
      </c>
      <c r="AC6" s="117" t="s">
        <v>291</v>
      </c>
      <c r="AD6" s="117" t="s">
        <v>291</v>
      </c>
      <c r="AE6" s="117" t="s">
        <v>291</v>
      </c>
      <c r="AF6" s="117" t="s">
        <v>291</v>
      </c>
      <c r="AG6" s="117" t="s">
        <v>291</v>
      </c>
      <c r="AH6" s="117" t="s">
        <v>291</v>
      </c>
      <c r="AI6" s="117" t="s">
        <v>291</v>
      </c>
      <c r="AJ6" s="117" t="s">
        <v>291</v>
      </c>
      <c r="AK6" s="117" t="s">
        <v>291</v>
      </c>
      <c r="AL6" s="117" t="s">
        <v>291</v>
      </c>
      <c r="AM6" s="117" t="s">
        <v>291</v>
      </c>
      <c r="AN6" s="117" t="s">
        <v>291</v>
      </c>
      <c r="AO6" s="117" t="s">
        <v>291</v>
      </c>
      <c r="AP6" s="117" t="s">
        <v>291</v>
      </c>
      <c r="AQ6" s="117" t="s">
        <v>291</v>
      </c>
      <c r="AR6" s="117" t="s">
        <v>291</v>
      </c>
      <c r="AS6" s="117" t="s">
        <v>291</v>
      </c>
      <c r="AT6" s="117" t="s">
        <v>291</v>
      </c>
      <c r="AU6" s="117" t="s">
        <v>291</v>
      </c>
      <c r="AV6" s="117" t="s">
        <v>291</v>
      </c>
      <c r="AW6" s="117" t="s">
        <v>291</v>
      </c>
      <c r="AX6" s="117" t="s">
        <v>291</v>
      </c>
      <c r="AY6" s="116" t="s">
        <v>292</v>
      </c>
      <c r="AZ6" s="147" t="s">
        <v>150</v>
      </c>
    </row>
    <row r="7" spans="1:52" x14ac:dyDescent="0.2">
      <c r="A7" s="120" t="s">
        <v>125</v>
      </c>
      <c r="B7" s="148">
        <v>1</v>
      </c>
      <c r="C7" s="149" t="s">
        <v>295</v>
      </c>
      <c r="D7" s="149">
        <v>181.84177215189874</v>
      </c>
      <c r="E7" s="149">
        <v>181.84177215189874</v>
      </c>
      <c r="F7" s="149">
        <v>181.84177215189874</v>
      </c>
      <c r="G7" s="149">
        <v>181.84177215189874</v>
      </c>
      <c r="H7" s="149">
        <v>181.84177215189874</v>
      </c>
      <c r="I7" s="149">
        <v>181.84177215189874</v>
      </c>
      <c r="J7" s="149">
        <v>181.84177215189874</v>
      </c>
      <c r="K7" s="149">
        <v>181.84177215189874</v>
      </c>
      <c r="L7" s="149">
        <v>163.65759493670888</v>
      </c>
      <c r="M7" s="149">
        <v>163.65759493670888</v>
      </c>
      <c r="N7" s="149">
        <v>163.65759493670888</v>
      </c>
      <c r="O7" s="149">
        <v>163.65759493670888</v>
      </c>
      <c r="P7" s="149">
        <v>181.84177215189874</v>
      </c>
      <c r="Q7" s="149">
        <v>181.84177215189874</v>
      </c>
      <c r="R7" s="149">
        <v>181.84177215189874</v>
      </c>
      <c r="S7" s="149">
        <v>181.84177215189874</v>
      </c>
      <c r="T7" s="149">
        <v>181.84177215189874</v>
      </c>
      <c r="U7" s="149">
        <v>181.84177215189874</v>
      </c>
      <c r="V7" s="149">
        <v>181.84177215189874</v>
      </c>
      <c r="W7" s="149">
        <v>181.84177215189874</v>
      </c>
      <c r="X7" s="149">
        <v>181.84177215189874</v>
      </c>
      <c r="Y7" s="149">
        <v>181.84177215189874</v>
      </c>
      <c r="Z7" s="149">
        <v>181.84177215189874</v>
      </c>
      <c r="AA7" s="149">
        <v>181.84177215189874</v>
      </c>
      <c r="AB7" s="149">
        <v>181.84177215189874</v>
      </c>
      <c r="AC7" s="149">
        <v>181.84177215189874</v>
      </c>
      <c r="AD7" s="149">
        <v>181.84177215189874</v>
      </c>
      <c r="AE7" s="149">
        <v>181.84177215189874</v>
      </c>
      <c r="AF7" s="149">
        <v>181.84177215189874</v>
      </c>
      <c r="AG7" s="149">
        <v>181.84177215189874</v>
      </c>
      <c r="AH7" s="149">
        <v>181.84177215189874</v>
      </c>
      <c r="AI7" s="149">
        <v>181.84177215189874</v>
      </c>
      <c r="AJ7" s="149">
        <v>200.02594936708863</v>
      </c>
      <c r="AK7" s="149">
        <v>200.02594936708863</v>
      </c>
      <c r="AL7" s="149">
        <v>200.02594936708863</v>
      </c>
      <c r="AM7" s="149">
        <v>200.02594936708863</v>
      </c>
      <c r="AN7" s="149">
        <v>181.84177215189874</v>
      </c>
      <c r="AO7" s="149">
        <v>181.84177215189874</v>
      </c>
      <c r="AP7" s="149">
        <v>181.84177215189874</v>
      </c>
      <c r="AQ7" s="149">
        <v>181.84177215189874</v>
      </c>
      <c r="AR7" s="149">
        <v>200.02594936708863</v>
      </c>
      <c r="AS7" s="149">
        <v>200.02594936708863</v>
      </c>
      <c r="AT7" s="149">
        <v>200.02594936708863</v>
      </c>
      <c r="AU7" s="149">
        <v>200.02594936708863</v>
      </c>
      <c r="AV7" s="149">
        <v>181.84177215189874</v>
      </c>
      <c r="AW7" s="149">
        <v>181.84177215189874</v>
      </c>
      <c r="AX7" s="149">
        <v>181.84177215189874</v>
      </c>
      <c r="AY7" s="149">
        <v>181.84177215189874</v>
      </c>
      <c r="AZ7" s="111"/>
    </row>
    <row r="8" spans="1:52" x14ac:dyDescent="0.2">
      <c r="A8" s="150"/>
      <c r="B8" s="151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2"/>
    </row>
    <row r="9" spans="1:52" x14ac:dyDescent="0.2">
      <c r="A9" s="107" t="s">
        <v>296</v>
      </c>
      <c r="B9" s="153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  <c r="AU9" s="111"/>
      <c r="AV9" s="111"/>
      <c r="AW9" s="111"/>
      <c r="AX9" s="111"/>
      <c r="AY9" s="111"/>
      <c r="AZ9" s="111"/>
    </row>
    <row r="10" spans="1:52" x14ac:dyDescent="0.2">
      <c r="A10" s="154" t="s">
        <v>125</v>
      </c>
      <c r="B10" s="155">
        <v>1</v>
      </c>
      <c r="C10" s="149" t="s">
        <v>295</v>
      </c>
      <c r="D10" s="149">
        <f t="shared" ref="D10:AY10" si="0">MAX(SUM(D$14:D$16)+D$7-$B$3,0)</f>
        <v>0</v>
      </c>
      <c r="E10" s="149">
        <f t="shared" si="0"/>
        <v>0</v>
      </c>
      <c r="F10" s="149">
        <f t="shared" si="0"/>
        <v>0</v>
      </c>
      <c r="G10" s="149">
        <f t="shared" si="0"/>
        <v>0</v>
      </c>
      <c r="H10" s="149">
        <f t="shared" si="0"/>
        <v>0</v>
      </c>
      <c r="I10" s="149">
        <f t="shared" si="0"/>
        <v>0</v>
      </c>
      <c r="J10" s="149">
        <f t="shared" si="0"/>
        <v>0</v>
      </c>
      <c r="K10" s="149">
        <f t="shared" si="0"/>
        <v>0</v>
      </c>
      <c r="L10" s="149">
        <f t="shared" si="0"/>
        <v>0</v>
      </c>
      <c r="M10" s="149">
        <f t="shared" si="0"/>
        <v>0</v>
      </c>
      <c r="N10" s="149">
        <f t="shared" si="0"/>
        <v>0</v>
      </c>
      <c r="O10" s="149">
        <f t="shared" si="0"/>
        <v>0</v>
      </c>
      <c r="P10" s="149">
        <f t="shared" si="0"/>
        <v>0</v>
      </c>
      <c r="Q10" s="149">
        <f t="shared" si="0"/>
        <v>0</v>
      </c>
      <c r="R10" s="149">
        <f t="shared" si="0"/>
        <v>0</v>
      </c>
      <c r="S10" s="149">
        <f t="shared" si="0"/>
        <v>0</v>
      </c>
      <c r="T10" s="149">
        <f t="shared" si="0"/>
        <v>0</v>
      </c>
      <c r="U10" s="149">
        <f t="shared" si="0"/>
        <v>0</v>
      </c>
      <c r="V10" s="149">
        <f t="shared" si="0"/>
        <v>0</v>
      </c>
      <c r="W10" s="149">
        <f t="shared" si="0"/>
        <v>0</v>
      </c>
      <c r="X10" s="149">
        <f t="shared" si="0"/>
        <v>0</v>
      </c>
      <c r="Y10" s="149">
        <f t="shared" si="0"/>
        <v>0</v>
      </c>
      <c r="Z10" s="149">
        <f t="shared" si="0"/>
        <v>0</v>
      </c>
      <c r="AA10" s="149">
        <f t="shared" si="0"/>
        <v>0</v>
      </c>
      <c r="AB10" s="149">
        <f t="shared" si="0"/>
        <v>0</v>
      </c>
      <c r="AC10" s="149">
        <f t="shared" si="0"/>
        <v>0</v>
      </c>
      <c r="AD10" s="149">
        <f t="shared" si="0"/>
        <v>0</v>
      </c>
      <c r="AE10" s="149">
        <f t="shared" si="0"/>
        <v>0</v>
      </c>
      <c r="AF10" s="149">
        <f t="shared" si="0"/>
        <v>0</v>
      </c>
      <c r="AG10" s="149">
        <f t="shared" si="0"/>
        <v>0</v>
      </c>
      <c r="AH10" s="149">
        <f t="shared" si="0"/>
        <v>0</v>
      </c>
      <c r="AI10" s="149">
        <f t="shared" si="0"/>
        <v>0</v>
      </c>
      <c r="AJ10" s="149">
        <f t="shared" si="0"/>
        <v>0</v>
      </c>
      <c r="AK10" s="149">
        <f t="shared" si="0"/>
        <v>0</v>
      </c>
      <c r="AL10" s="149">
        <f t="shared" si="0"/>
        <v>0</v>
      </c>
      <c r="AM10" s="149">
        <f t="shared" si="0"/>
        <v>0</v>
      </c>
      <c r="AN10" s="149">
        <f t="shared" si="0"/>
        <v>0</v>
      </c>
      <c r="AO10" s="149">
        <f t="shared" si="0"/>
        <v>0</v>
      </c>
      <c r="AP10" s="149">
        <f t="shared" si="0"/>
        <v>0</v>
      </c>
      <c r="AQ10" s="149">
        <f t="shared" si="0"/>
        <v>0</v>
      </c>
      <c r="AR10" s="149">
        <f t="shared" si="0"/>
        <v>0</v>
      </c>
      <c r="AS10" s="149">
        <f t="shared" si="0"/>
        <v>0</v>
      </c>
      <c r="AT10" s="149">
        <f t="shared" si="0"/>
        <v>0</v>
      </c>
      <c r="AU10" s="149">
        <f t="shared" si="0"/>
        <v>0</v>
      </c>
      <c r="AV10" s="149">
        <f t="shared" si="0"/>
        <v>0</v>
      </c>
      <c r="AW10" s="149">
        <f t="shared" si="0"/>
        <v>0</v>
      </c>
      <c r="AX10" s="149">
        <f t="shared" si="0"/>
        <v>0</v>
      </c>
      <c r="AY10" s="149">
        <f t="shared" si="0"/>
        <v>0</v>
      </c>
      <c r="AZ10" s="156">
        <f>SUM($D10:$AY10)</f>
        <v>0</v>
      </c>
    </row>
    <row r="11" spans="1:52" x14ac:dyDescent="0.2">
      <c r="C11" s="115"/>
    </row>
    <row r="12" spans="1:52" x14ac:dyDescent="0.2">
      <c r="A12" s="157" t="s">
        <v>297</v>
      </c>
      <c r="B12" s="151"/>
      <c r="C12" s="115"/>
    </row>
    <row r="13" spans="1:52" x14ac:dyDescent="0.2">
      <c r="A13" s="127" t="s">
        <v>125</v>
      </c>
      <c r="B13" s="128">
        <v>1</v>
      </c>
      <c r="C13" s="129">
        <v>500</v>
      </c>
      <c r="D13" s="143">
        <f t="shared" ref="D13:AY13" si="1">D$7-D$10</f>
        <v>181.84177215189874</v>
      </c>
      <c r="E13" s="143">
        <f t="shared" si="1"/>
        <v>181.84177215189874</v>
      </c>
      <c r="F13" s="143">
        <f t="shared" si="1"/>
        <v>181.84177215189874</v>
      </c>
      <c r="G13" s="143">
        <f t="shared" si="1"/>
        <v>181.84177215189874</v>
      </c>
      <c r="H13" s="143">
        <f t="shared" si="1"/>
        <v>181.84177215189874</v>
      </c>
      <c r="I13" s="143">
        <f t="shared" si="1"/>
        <v>181.84177215189874</v>
      </c>
      <c r="J13" s="143">
        <f t="shared" si="1"/>
        <v>181.84177215189874</v>
      </c>
      <c r="K13" s="143">
        <f t="shared" si="1"/>
        <v>181.84177215189874</v>
      </c>
      <c r="L13" s="143">
        <f t="shared" si="1"/>
        <v>163.65759493670888</v>
      </c>
      <c r="M13" s="143">
        <f t="shared" si="1"/>
        <v>163.65759493670888</v>
      </c>
      <c r="N13" s="143">
        <f t="shared" si="1"/>
        <v>163.65759493670888</v>
      </c>
      <c r="O13" s="143">
        <f t="shared" si="1"/>
        <v>163.65759493670888</v>
      </c>
      <c r="P13" s="143">
        <f t="shared" si="1"/>
        <v>181.84177215189874</v>
      </c>
      <c r="Q13" s="143">
        <f t="shared" si="1"/>
        <v>181.84177215189874</v>
      </c>
      <c r="R13" s="143">
        <f t="shared" si="1"/>
        <v>181.84177215189874</v>
      </c>
      <c r="S13" s="143">
        <f t="shared" si="1"/>
        <v>181.84177215189874</v>
      </c>
      <c r="T13" s="143">
        <f t="shared" si="1"/>
        <v>181.84177215189874</v>
      </c>
      <c r="U13" s="143">
        <f t="shared" si="1"/>
        <v>181.84177215189874</v>
      </c>
      <c r="V13" s="143">
        <f t="shared" si="1"/>
        <v>181.84177215189874</v>
      </c>
      <c r="W13" s="143">
        <f t="shared" si="1"/>
        <v>181.84177215189874</v>
      </c>
      <c r="X13" s="143">
        <f t="shared" si="1"/>
        <v>181.84177215189874</v>
      </c>
      <c r="Y13" s="143">
        <f t="shared" si="1"/>
        <v>181.84177215189874</v>
      </c>
      <c r="Z13" s="143">
        <f t="shared" si="1"/>
        <v>181.84177215189874</v>
      </c>
      <c r="AA13" s="143">
        <f t="shared" si="1"/>
        <v>181.84177215189874</v>
      </c>
      <c r="AB13" s="143">
        <f t="shared" si="1"/>
        <v>181.84177215189874</v>
      </c>
      <c r="AC13" s="143">
        <f t="shared" si="1"/>
        <v>181.84177215189874</v>
      </c>
      <c r="AD13" s="143">
        <f t="shared" si="1"/>
        <v>181.84177215189874</v>
      </c>
      <c r="AE13" s="143">
        <f t="shared" si="1"/>
        <v>181.84177215189874</v>
      </c>
      <c r="AF13" s="143">
        <f t="shared" si="1"/>
        <v>181.84177215189874</v>
      </c>
      <c r="AG13" s="143">
        <f t="shared" si="1"/>
        <v>181.84177215189874</v>
      </c>
      <c r="AH13" s="143">
        <f t="shared" si="1"/>
        <v>181.84177215189874</v>
      </c>
      <c r="AI13" s="143">
        <f t="shared" si="1"/>
        <v>181.84177215189874</v>
      </c>
      <c r="AJ13" s="143">
        <f t="shared" si="1"/>
        <v>200.02594936708863</v>
      </c>
      <c r="AK13" s="143">
        <f t="shared" si="1"/>
        <v>200.02594936708863</v>
      </c>
      <c r="AL13" s="143">
        <f t="shared" si="1"/>
        <v>200.02594936708863</v>
      </c>
      <c r="AM13" s="143">
        <f t="shared" si="1"/>
        <v>200.02594936708863</v>
      </c>
      <c r="AN13" s="143">
        <f t="shared" si="1"/>
        <v>181.84177215189874</v>
      </c>
      <c r="AO13" s="143">
        <f t="shared" si="1"/>
        <v>181.84177215189874</v>
      </c>
      <c r="AP13" s="143">
        <f t="shared" si="1"/>
        <v>181.84177215189874</v>
      </c>
      <c r="AQ13" s="143">
        <f t="shared" si="1"/>
        <v>181.84177215189874</v>
      </c>
      <c r="AR13" s="143">
        <f t="shared" si="1"/>
        <v>200.02594936708863</v>
      </c>
      <c r="AS13" s="143">
        <f t="shared" si="1"/>
        <v>200.02594936708863</v>
      </c>
      <c r="AT13" s="143">
        <f t="shared" si="1"/>
        <v>200.02594936708863</v>
      </c>
      <c r="AU13" s="143">
        <f t="shared" si="1"/>
        <v>200.02594936708863</v>
      </c>
      <c r="AV13" s="143">
        <f t="shared" si="1"/>
        <v>181.84177215189874</v>
      </c>
      <c r="AW13" s="143">
        <f t="shared" si="1"/>
        <v>181.84177215189874</v>
      </c>
      <c r="AX13" s="143">
        <f t="shared" si="1"/>
        <v>181.84177215189874</v>
      </c>
      <c r="AY13" s="143">
        <f t="shared" si="1"/>
        <v>181.84177215189874</v>
      </c>
      <c r="AZ13" s="114"/>
    </row>
    <row r="14" spans="1:52" x14ac:dyDescent="0.2">
      <c r="A14" s="115"/>
      <c r="B14" s="125">
        <v>2</v>
      </c>
      <c r="C14" s="115">
        <v>0</v>
      </c>
      <c r="D14" s="111">
        <f>IF(C$20="Yes",C13,0)</f>
        <v>0</v>
      </c>
      <c r="E14" s="111">
        <f t="shared" ref="E14:AY17" si="2">IF(D$20="Yes",D13,0)</f>
        <v>0</v>
      </c>
      <c r="F14" s="111">
        <f t="shared" si="2"/>
        <v>0</v>
      </c>
      <c r="G14" s="111">
        <f t="shared" si="2"/>
        <v>0</v>
      </c>
      <c r="H14" s="111">
        <f t="shared" si="2"/>
        <v>0</v>
      </c>
      <c r="I14" s="111">
        <f t="shared" si="2"/>
        <v>0</v>
      </c>
      <c r="J14" s="111">
        <f t="shared" si="2"/>
        <v>0</v>
      </c>
      <c r="K14" s="111">
        <f t="shared" si="2"/>
        <v>0</v>
      </c>
      <c r="L14" s="111">
        <f t="shared" si="2"/>
        <v>0</v>
      </c>
      <c r="M14" s="111">
        <f t="shared" si="2"/>
        <v>0</v>
      </c>
      <c r="N14" s="111">
        <f t="shared" si="2"/>
        <v>0</v>
      </c>
      <c r="O14" s="111">
        <f t="shared" si="2"/>
        <v>0</v>
      </c>
      <c r="P14" s="111">
        <f t="shared" si="2"/>
        <v>0</v>
      </c>
      <c r="Q14" s="111">
        <f t="shared" si="2"/>
        <v>0</v>
      </c>
      <c r="R14" s="111">
        <f t="shared" si="2"/>
        <v>0</v>
      </c>
      <c r="S14" s="111">
        <f t="shared" si="2"/>
        <v>181.84177215189874</v>
      </c>
      <c r="T14" s="111">
        <f t="shared" si="2"/>
        <v>0</v>
      </c>
      <c r="U14" s="111">
        <f t="shared" si="2"/>
        <v>0</v>
      </c>
      <c r="V14" s="111">
        <f t="shared" si="2"/>
        <v>0</v>
      </c>
      <c r="W14" s="111">
        <f t="shared" si="2"/>
        <v>0</v>
      </c>
      <c r="X14" s="111">
        <f t="shared" si="2"/>
        <v>0</v>
      </c>
      <c r="Y14" s="111">
        <f t="shared" si="2"/>
        <v>0</v>
      </c>
      <c r="Z14" s="111">
        <f t="shared" si="2"/>
        <v>0</v>
      </c>
      <c r="AA14" s="111">
        <f t="shared" si="2"/>
        <v>0</v>
      </c>
      <c r="AB14" s="111">
        <f t="shared" si="2"/>
        <v>0</v>
      </c>
      <c r="AC14" s="111">
        <f t="shared" si="2"/>
        <v>0</v>
      </c>
      <c r="AD14" s="111">
        <f t="shared" si="2"/>
        <v>0</v>
      </c>
      <c r="AE14" s="111">
        <f t="shared" si="2"/>
        <v>0</v>
      </c>
      <c r="AF14" s="111">
        <f t="shared" si="2"/>
        <v>0</v>
      </c>
      <c r="AG14" s="111">
        <f t="shared" si="2"/>
        <v>0</v>
      </c>
      <c r="AH14" s="111">
        <f t="shared" si="2"/>
        <v>0</v>
      </c>
      <c r="AI14" s="111">
        <f t="shared" si="2"/>
        <v>0</v>
      </c>
      <c r="AJ14" s="111">
        <f t="shared" si="2"/>
        <v>0</v>
      </c>
      <c r="AK14" s="111">
        <f t="shared" si="2"/>
        <v>0</v>
      </c>
      <c r="AL14" s="111">
        <f t="shared" si="2"/>
        <v>0</v>
      </c>
      <c r="AM14" s="111">
        <f t="shared" si="2"/>
        <v>0</v>
      </c>
      <c r="AN14" s="111">
        <f t="shared" si="2"/>
        <v>0</v>
      </c>
      <c r="AO14" s="111">
        <f t="shared" si="2"/>
        <v>0</v>
      </c>
      <c r="AP14" s="111">
        <f t="shared" si="2"/>
        <v>0</v>
      </c>
      <c r="AQ14" s="111">
        <f t="shared" si="2"/>
        <v>0</v>
      </c>
      <c r="AR14" s="111">
        <f t="shared" si="2"/>
        <v>0</v>
      </c>
      <c r="AS14" s="111">
        <f t="shared" si="2"/>
        <v>0</v>
      </c>
      <c r="AT14" s="111">
        <f t="shared" si="2"/>
        <v>0</v>
      </c>
      <c r="AU14" s="111">
        <f t="shared" si="2"/>
        <v>0</v>
      </c>
      <c r="AV14" s="111">
        <f t="shared" si="2"/>
        <v>0</v>
      </c>
      <c r="AW14" s="111">
        <f t="shared" si="2"/>
        <v>0</v>
      </c>
      <c r="AX14" s="111">
        <f t="shared" si="2"/>
        <v>0</v>
      </c>
      <c r="AY14" s="111">
        <f t="shared" si="2"/>
        <v>0</v>
      </c>
      <c r="AZ14" s="114"/>
    </row>
    <row r="15" spans="1:52" x14ac:dyDescent="0.2">
      <c r="A15" s="115"/>
      <c r="B15" s="132">
        <v>3</v>
      </c>
      <c r="C15" s="115">
        <v>0</v>
      </c>
      <c r="D15" s="111">
        <f>IF(C$20="Yes",C14,0)</f>
        <v>0</v>
      </c>
      <c r="E15" s="111">
        <f t="shared" si="2"/>
        <v>0</v>
      </c>
      <c r="F15" s="111">
        <f t="shared" si="2"/>
        <v>0</v>
      </c>
      <c r="G15" s="111">
        <f t="shared" si="2"/>
        <v>0</v>
      </c>
      <c r="H15" s="111">
        <f t="shared" si="2"/>
        <v>0</v>
      </c>
      <c r="I15" s="111">
        <f t="shared" si="2"/>
        <v>0</v>
      </c>
      <c r="J15" s="111">
        <f t="shared" si="2"/>
        <v>0</v>
      </c>
      <c r="K15" s="111">
        <f t="shared" si="2"/>
        <v>0</v>
      </c>
      <c r="L15" s="111">
        <f t="shared" si="2"/>
        <v>0</v>
      </c>
      <c r="M15" s="111">
        <f t="shared" si="2"/>
        <v>0</v>
      </c>
      <c r="N15" s="111">
        <f t="shared" si="2"/>
        <v>0</v>
      </c>
      <c r="O15" s="111">
        <f t="shared" si="2"/>
        <v>0</v>
      </c>
      <c r="P15" s="111">
        <f t="shared" si="2"/>
        <v>0</v>
      </c>
      <c r="Q15" s="111">
        <f t="shared" si="2"/>
        <v>0</v>
      </c>
      <c r="R15" s="111">
        <f t="shared" si="2"/>
        <v>0</v>
      </c>
      <c r="S15" s="111">
        <f t="shared" si="2"/>
        <v>0</v>
      </c>
      <c r="T15" s="111">
        <f t="shared" si="2"/>
        <v>0</v>
      </c>
      <c r="U15" s="111">
        <f t="shared" si="2"/>
        <v>0</v>
      </c>
      <c r="V15" s="111">
        <f t="shared" si="2"/>
        <v>0</v>
      </c>
      <c r="W15" s="111">
        <f t="shared" si="2"/>
        <v>0</v>
      </c>
      <c r="X15" s="111">
        <f t="shared" si="2"/>
        <v>0</v>
      </c>
      <c r="Y15" s="111">
        <f t="shared" si="2"/>
        <v>0</v>
      </c>
      <c r="Z15" s="111">
        <f t="shared" si="2"/>
        <v>0</v>
      </c>
      <c r="AA15" s="111">
        <f t="shared" si="2"/>
        <v>0</v>
      </c>
      <c r="AB15" s="111">
        <f t="shared" si="2"/>
        <v>0</v>
      </c>
      <c r="AC15" s="111">
        <f t="shared" si="2"/>
        <v>0</v>
      </c>
      <c r="AD15" s="111">
        <f t="shared" si="2"/>
        <v>0</v>
      </c>
      <c r="AE15" s="111">
        <f t="shared" si="2"/>
        <v>0</v>
      </c>
      <c r="AF15" s="111">
        <f t="shared" si="2"/>
        <v>0</v>
      </c>
      <c r="AG15" s="111">
        <f t="shared" si="2"/>
        <v>0</v>
      </c>
      <c r="AH15" s="111">
        <f t="shared" si="2"/>
        <v>0</v>
      </c>
      <c r="AI15" s="111">
        <f t="shared" si="2"/>
        <v>0</v>
      </c>
      <c r="AJ15" s="111">
        <f t="shared" si="2"/>
        <v>0</v>
      </c>
      <c r="AK15" s="111">
        <f t="shared" si="2"/>
        <v>0</v>
      </c>
      <c r="AL15" s="111">
        <f t="shared" si="2"/>
        <v>0</v>
      </c>
      <c r="AM15" s="111">
        <f t="shared" si="2"/>
        <v>0</v>
      </c>
      <c r="AN15" s="111">
        <f t="shared" si="2"/>
        <v>0</v>
      </c>
      <c r="AO15" s="111">
        <f t="shared" si="2"/>
        <v>0</v>
      </c>
      <c r="AP15" s="111">
        <f t="shared" si="2"/>
        <v>0</v>
      </c>
      <c r="AQ15" s="111">
        <f t="shared" si="2"/>
        <v>0</v>
      </c>
      <c r="AR15" s="111">
        <f t="shared" si="2"/>
        <v>0</v>
      </c>
      <c r="AS15" s="111">
        <f t="shared" si="2"/>
        <v>0</v>
      </c>
      <c r="AT15" s="111">
        <f t="shared" si="2"/>
        <v>0</v>
      </c>
      <c r="AU15" s="111">
        <f t="shared" si="2"/>
        <v>0</v>
      </c>
      <c r="AV15" s="111">
        <f t="shared" si="2"/>
        <v>0</v>
      </c>
      <c r="AW15" s="111">
        <f t="shared" si="2"/>
        <v>0</v>
      </c>
      <c r="AX15" s="111">
        <f t="shared" si="2"/>
        <v>0</v>
      </c>
      <c r="AY15" s="111">
        <f t="shared" si="2"/>
        <v>0</v>
      </c>
      <c r="AZ15" s="114"/>
    </row>
    <row r="16" spans="1:52" x14ac:dyDescent="0.2">
      <c r="A16" s="115"/>
      <c r="B16" s="135">
        <v>4</v>
      </c>
      <c r="C16" s="115">
        <v>0</v>
      </c>
      <c r="D16" s="111">
        <f>IF(C$20="Yes",C15,0)</f>
        <v>0</v>
      </c>
      <c r="E16" s="111">
        <f t="shared" si="2"/>
        <v>0</v>
      </c>
      <c r="F16" s="111">
        <f t="shared" si="2"/>
        <v>0</v>
      </c>
      <c r="G16" s="111">
        <f t="shared" si="2"/>
        <v>0</v>
      </c>
      <c r="H16" s="111">
        <f t="shared" si="2"/>
        <v>0</v>
      </c>
      <c r="I16" s="111">
        <f t="shared" si="2"/>
        <v>0</v>
      </c>
      <c r="J16" s="111">
        <f t="shared" si="2"/>
        <v>0</v>
      </c>
      <c r="K16" s="111">
        <f t="shared" si="2"/>
        <v>0</v>
      </c>
      <c r="L16" s="111">
        <f t="shared" si="2"/>
        <v>0</v>
      </c>
      <c r="M16" s="111">
        <f t="shared" si="2"/>
        <v>0</v>
      </c>
      <c r="N16" s="111">
        <f t="shared" si="2"/>
        <v>0</v>
      </c>
      <c r="O16" s="111">
        <f t="shared" si="2"/>
        <v>0</v>
      </c>
      <c r="P16" s="111">
        <f t="shared" si="2"/>
        <v>0</v>
      </c>
      <c r="Q16" s="111">
        <f t="shared" si="2"/>
        <v>0</v>
      </c>
      <c r="R16" s="111">
        <f t="shared" si="2"/>
        <v>0</v>
      </c>
      <c r="S16" s="111">
        <f t="shared" si="2"/>
        <v>0</v>
      </c>
      <c r="T16" s="111">
        <f t="shared" si="2"/>
        <v>0</v>
      </c>
      <c r="U16" s="111">
        <f t="shared" si="2"/>
        <v>0</v>
      </c>
      <c r="V16" s="111">
        <f t="shared" si="2"/>
        <v>0</v>
      </c>
      <c r="W16" s="111">
        <f t="shared" si="2"/>
        <v>0</v>
      </c>
      <c r="X16" s="111">
        <f t="shared" si="2"/>
        <v>0</v>
      </c>
      <c r="Y16" s="111">
        <f t="shared" si="2"/>
        <v>0</v>
      </c>
      <c r="Z16" s="111">
        <f t="shared" si="2"/>
        <v>0</v>
      </c>
      <c r="AA16" s="111">
        <f t="shared" si="2"/>
        <v>0</v>
      </c>
      <c r="AB16" s="111">
        <f t="shared" si="2"/>
        <v>0</v>
      </c>
      <c r="AC16" s="111">
        <f t="shared" si="2"/>
        <v>0</v>
      </c>
      <c r="AD16" s="111">
        <f t="shared" si="2"/>
        <v>0</v>
      </c>
      <c r="AE16" s="111">
        <f t="shared" si="2"/>
        <v>0</v>
      </c>
      <c r="AF16" s="111">
        <f t="shared" si="2"/>
        <v>0</v>
      </c>
      <c r="AG16" s="111">
        <f t="shared" si="2"/>
        <v>0</v>
      </c>
      <c r="AH16" s="111">
        <f t="shared" si="2"/>
        <v>0</v>
      </c>
      <c r="AI16" s="111">
        <f t="shared" si="2"/>
        <v>0</v>
      </c>
      <c r="AJ16" s="111">
        <f t="shared" si="2"/>
        <v>0</v>
      </c>
      <c r="AK16" s="111">
        <f t="shared" si="2"/>
        <v>0</v>
      </c>
      <c r="AL16" s="111">
        <f t="shared" si="2"/>
        <v>0</v>
      </c>
      <c r="AM16" s="111">
        <f t="shared" si="2"/>
        <v>0</v>
      </c>
      <c r="AN16" s="111">
        <f t="shared" si="2"/>
        <v>0</v>
      </c>
      <c r="AO16" s="111">
        <f t="shared" si="2"/>
        <v>0</v>
      </c>
      <c r="AP16" s="111">
        <f t="shared" si="2"/>
        <v>0</v>
      </c>
      <c r="AQ16" s="111">
        <f t="shared" si="2"/>
        <v>0</v>
      </c>
      <c r="AR16" s="111">
        <f t="shared" si="2"/>
        <v>0</v>
      </c>
      <c r="AS16" s="111">
        <f t="shared" si="2"/>
        <v>0</v>
      </c>
      <c r="AT16" s="111">
        <f t="shared" si="2"/>
        <v>0</v>
      </c>
      <c r="AU16" s="111">
        <f t="shared" si="2"/>
        <v>0</v>
      </c>
      <c r="AV16" s="111">
        <f t="shared" si="2"/>
        <v>0</v>
      </c>
      <c r="AW16" s="111">
        <f t="shared" si="2"/>
        <v>0</v>
      </c>
      <c r="AX16" s="111">
        <f t="shared" si="2"/>
        <v>0</v>
      </c>
      <c r="AY16" s="111">
        <f t="shared" si="2"/>
        <v>0</v>
      </c>
      <c r="AZ16" s="133"/>
    </row>
    <row r="17" spans="1:52" x14ac:dyDescent="0.2">
      <c r="A17" s="130"/>
      <c r="B17" s="137" t="s">
        <v>298</v>
      </c>
      <c r="C17" s="130">
        <v>0</v>
      </c>
      <c r="D17" s="119">
        <f>IF(C$20="Yes",C16,0)</f>
        <v>0</v>
      </c>
      <c r="E17" s="119">
        <f t="shared" si="2"/>
        <v>0</v>
      </c>
      <c r="F17" s="119">
        <f t="shared" si="2"/>
        <v>0</v>
      </c>
      <c r="G17" s="119">
        <f t="shared" si="2"/>
        <v>0</v>
      </c>
      <c r="H17" s="119">
        <f t="shared" si="2"/>
        <v>0</v>
      </c>
      <c r="I17" s="119">
        <f t="shared" si="2"/>
        <v>0</v>
      </c>
      <c r="J17" s="119">
        <f t="shared" si="2"/>
        <v>0</v>
      </c>
      <c r="K17" s="119">
        <f t="shared" si="2"/>
        <v>0</v>
      </c>
      <c r="L17" s="119">
        <f t="shared" si="2"/>
        <v>0</v>
      </c>
      <c r="M17" s="119">
        <f t="shared" si="2"/>
        <v>0</v>
      </c>
      <c r="N17" s="119">
        <f t="shared" si="2"/>
        <v>0</v>
      </c>
      <c r="O17" s="119">
        <f t="shared" si="2"/>
        <v>0</v>
      </c>
      <c r="P17" s="119">
        <f t="shared" si="2"/>
        <v>0</v>
      </c>
      <c r="Q17" s="119">
        <f t="shared" si="2"/>
        <v>0</v>
      </c>
      <c r="R17" s="119">
        <f t="shared" si="2"/>
        <v>0</v>
      </c>
      <c r="S17" s="119">
        <f t="shared" si="2"/>
        <v>0</v>
      </c>
      <c r="T17" s="119">
        <f t="shared" si="2"/>
        <v>0</v>
      </c>
      <c r="U17" s="119">
        <f t="shared" si="2"/>
        <v>0</v>
      </c>
      <c r="V17" s="119">
        <f t="shared" si="2"/>
        <v>0</v>
      </c>
      <c r="W17" s="119">
        <f t="shared" si="2"/>
        <v>0</v>
      </c>
      <c r="X17" s="119">
        <f t="shared" si="2"/>
        <v>0</v>
      </c>
      <c r="Y17" s="119">
        <f t="shared" si="2"/>
        <v>0</v>
      </c>
      <c r="Z17" s="119">
        <f t="shared" si="2"/>
        <v>0</v>
      </c>
      <c r="AA17" s="119">
        <f t="shared" si="2"/>
        <v>0</v>
      </c>
      <c r="AB17" s="119">
        <f t="shared" si="2"/>
        <v>0</v>
      </c>
      <c r="AC17" s="119">
        <f t="shared" si="2"/>
        <v>0</v>
      </c>
      <c r="AD17" s="119">
        <f t="shared" si="2"/>
        <v>0</v>
      </c>
      <c r="AE17" s="119">
        <f t="shared" si="2"/>
        <v>0</v>
      </c>
      <c r="AF17" s="119">
        <f t="shared" si="2"/>
        <v>0</v>
      </c>
      <c r="AG17" s="119">
        <f t="shared" si="2"/>
        <v>0</v>
      </c>
      <c r="AH17" s="119">
        <f t="shared" si="2"/>
        <v>0</v>
      </c>
      <c r="AI17" s="119">
        <f t="shared" si="2"/>
        <v>0</v>
      </c>
      <c r="AJ17" s="119">
        <f t="shared" si="2"/>
        <v>0</v>
      </c>
      <c r="AK17" s="119">
        <f t="shared" si="2"/>
        <v>0</v>
      </c>
      <c r="AL17" s="119">
        <f t="shared" si="2"/>
        <v>0</v>
      </c>
      <c r="AM17" s="119">
        <f t="shared" si="2"/>
        <v>0</v>
      </c>
      <c r="AN17" s="119">
        <f t="shared" si="2"/>
        <v>0</v>
      </c>
      <c r="AO17" s="119">
        <f t="shared" si="2"/>
        <v>0</v>
      </c>
      <c r="AP17" s="119">
        <f t="shared" si="2"/>
        <v>0</v>
      </c>
      <c r="AQ17" s="119">
        <f t="shared" si="2"/>
        <v>0</v>
      </c>
      <c r="AR17" s="119">
        <f t="shared" si="2"/>
        <v>0</v>
      </c>
      <c r="AS17" s="119">
        <f t="shared" si="2"/>
        <v>0</v>
      </c>
      <c r="AT17" s="119">
        <f t="shared" si="2"/>
        <v>0</v>
      </c>
      <c r="AU17" s="119">
        <f t="shared" si="2"/>
        <v>0</v>
      </c>
      <c r="AV17" s="119">
        <f t="shared" si="2"/>
        <v>0</v>
      </c>
      <c r="AW17" s="119">
        <f t="shared" si="2"/>
        <v>0</v>
      </c>
      <c r="AX17" s="119">
        <f t="shared" si="2"/>
        <v>0</v>
      </c>
      <c r="AY17" s="119">
        <f t="shared" si="2"/>
        <v>0</v>
      </c>
      <c r="AZ17" s="156">
        <f>SUM($D$17:$AY$17)</f>
        <v>0</v>
      </c>
    </row>
    <row r="18" spans="1:52" x14ac:dyDescent="0.2">
      <c r="A18" s="111"/>
      <c r="B18" s="158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11"/>
    </row>
    <row r="19" spans="1:52" x14ac:dyDescent="0.2">
      <c r="A19" s="107" t="s">
        <v>116</v>
      </c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</row>
    <row r="20" spans="1:52" s="115" customFormat="1" x14ac:dyDescent="0.2">
      <c r="A20" s="120" t="s">
        <v>307</v>
      </c>
      <c r="B20" s="159" t="s">
        <v>308</v>
      </c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 t="s">
        <v>341</v>
      </c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22"/>
      <c r="AL20" s="122"/>
      <c r="AM20" s="122"/>
      <c r="AN20" s="122"/>
      <c r="AO20" s="122"/>
      <c r="AP20" s="122"/>
      <c r="AQ20" s="122"/>
      <c r="AR20" s="122"/>
      <c r="AS20" s="122"/>
      <c r="AT20" s="122"/>
      <c r="AU20" s="122"/>
      <c r="AV20" s="122"/>
      <c r="AW20" s="122"/>
      <c r="AX20" s="122"/>
      <c r="AY20" s="122"/>
      <c r="AZ20" s="112"/>
    </row>
    <row r="21" spans="1:52" s="115" customFormat="1" x14ac:dyDescent="0.2">
      <c r="A21" s="160" t="s">
        <v>133</v>
      </c>
      <c r="B21" s="161">
        <f>shipping_manufacturing!$G$19/100</f>
        <v>0.56830601092896171</v>
      </c>
      <c r="C21" s="161" t="s">
        <v>295</v>
      </c>
      <c r="D21" s="111">
        <f>IF(C$20="Yes",0,SUM(C$13:C$16)*$B$21)</f>
        <v>284.15300546448088</v>
      </c>
      <c r="E21" s="111">
        <f t="shared" ref="E21:AY21" si="3">IF(D$20="Yes",0,SUM(D$13:D$16)*$B$21)</f>
        <v>103.34177215189872</v>
      </c>
      <c r="F21" s="111">
        <f t="shared" si="3"/>
        <v>103.34177215189872</v>
      </c>
      <c r="G21" s="111">
        <f t="shared" si="3"/>
        <v>103.34177215189872</v>
      </c>
      <c r="H21" s="111">
        <f t="shared" si="3"/>
        <v>103.34177215189872</v>
      </c>
      <c r="I21" s="111">
        <f t="shared" si="3"/>
        <v>103.34177215189872</v>
      </c>
      <c r="J21" s="111">
        <f t="shared" si="3"/>
        <v>103.34177215189872</v>
      </c>
      <c r="K21" s="111">
        <f t="shared" si="3"/>
        <v>103.34177215189872</v>
      </c>
      <c r="L21" s="111">
        <f t="shared" si="3"/>
        <v>103.34177215189872</v>
      </c>
      <c r="M21" s="111">
        <f t="shared" si="3"/>
        <v>93.00759493670887</v>
      </c>
      <c r="N21" s="111">
        <f t="shared" si="3"/>
        <v>93.00759493670887</v>
      </c>
      <c r="O21" s="111">
        <f t="shared" si="3"/>
        <v>93.00759493670887</v>
      </c>
      <c r="P21" s="111">
        <f t="shared" si="3"/>
        <v>93.00759493670887</v>
      </c>
      <c r="Q21" s="111">
        <f t="shared" si="3"/>
        <v>103.34177215189872</v>
      </c>
      <c r="R21" s="111">
        <f t="shared" si="3"/>
        <v>103.34177215189872</v>
      </c>
      <c r="S21" s="111">
        <f t="shared" si="3"/>
        <v>0</v>
      </c>
      <c r="T21" s="111">
        <f t="shared" si="3"/>
        <v>206.68354430379745</v>
      </c>
      <c r="U21" s="111">
        <f t="shared" si="3"/>
        <v>103.34177215189872</v>
      </c>
      <c r="V21" s="111">
        <f t="shared" si="3"/>
        <v>103.34177215189872</v>
      </c>
      <c r="W21" s="111">
        <f t="shared" si="3"/>
        <v>103.34177215189872</v>
      </c>
      <c r="X21" s="111">
        <f t="shared" si="3"/>
        <v>103.34177215189872</v>
      </c>
      <c r="Y21" s="111">
        <f t="shared" si="3"/>
        <v>103.34177215189872</v>
      </c>
      <c r="Z21" s="111">
        <f t="shared" si="3"/>
        <v>103.34177215189872</v>
      </c>
      <c r="AA21" s="111">
        <f t="shared" si="3"/>
        <v>103.34177215189872</v>
      </c>
      <c r="AB21" s="111">
        <f t="shared" si="3"/>
        <v>103.34177215189872</v>
      </c>
      <c r="AC21" s="111">
        <f t="shared" si="3"/>
        <v>103.34177215189872</v>
      </c>
      <c r="AD21" s="111">
        <f t="shared" si="3"/>
        <v>103.34177215189872</v>
      </c>
      <c r="AE21" s="111">
        <f t="shared" si="3"/>
        <v>103.34177215189872</v>
      </c>
      <c r="AF21" s="111">
        <f t="shared" si="3"/>
        <v>103.34177215189872</v>
      </c>
      <c r="AG21" s="111">
        <f t="shared" si="3"/>
        <v>103.34177215189872</v>
      </c>
      <c r="AH21" s="111">
        <f t="shared" si="3"/>
        <v>103.34177215189872</v>
      </c>
      <c r="AI21" s="111">
        <f t="shared" si="3"/>
        <v>103.34177215189872</v>
      </c>
      <c r="AJ21" s="111">
        <f t="shared" si="3"/>
        <v>103.34177215189872</v>
      </c>
      <c r="AK21" s="111">
        <f t="shared" si="3"/>
        <v>113.67594936708861</v>
      </c>
      <c r="AL21" s="111">
        <f t="shared" si="3"/>
        <v>113.67594936708861</v>
      </c>
      <c r="AM21" s="111">
        <f t="shared" si="3"/>
        <v>113.67594936708861</v>
      </c>
      <c r="AN21" s="111">
        <f t="shared" si="3"/>
        <v>113.67594936708861</v>
      </c>
      <c r="AO21" s="111">
        <f t="shared" si="3"/>
        <v>103.34177215189872</v>
      </c>
      <c r="AP21" s="111">
        <f t="shared" si="3"/>
        <v>103.34177215189872</v>
      </c>
      <c r="AQ21" s="111">
        <f t="shared" si="3"/>
        <v>103.34177215189872</v>
      </c>
      <c r="AR21" s="111">
        <f t="shared" si="3"/>
        <v>103.34177215189872</v>
      </c>
      <c r="AS21" s="111">
        <f t="shared" si="3"/>
        <v>113.67594936708861</v>
      </c>
      <c r="AT21" s="111">
        <f t="shared" si="3"/>
        <v>113.67594936708861</v>
      </c>
      <c r="AU21" s="111">
        <f t="shared" si="3"/>
        <v>113.67594936708861</v>
      </c>
      <c r="AV21" s="111">
        <f t="shared" si="3"/>
        <v>113.67594936708861</v>
      </c>
      <c r="AW21" s="111">
        <f t="shared" si="3"/>
        <v>103.34177215189872</v>
      </c>
      <c r="AX21" s="111">
        <f t="shared" si="3"/>
        <v>103.34177215189872</v>
      </c>
      <c r="AY21" s="111">
        <f t="shared" si="3"/>
        <v>103.34177215189872</v>
      </c>
      <c r="AZ21" s="162">
        <f>SUM($D21:$AY21)</f>
        <v>5182.5530054644814</v>
      </c>
    </row>
    <row r="22" spans="1:52" s="115" customFormat="1" x14ac:dyDescent="0.2">
      <c r="A22" s="163" t="s">
        <v>123</v>
      </c>
      <c r="B22" s="164">
        <f>1-$B$21</f>
        <v>0.43169398907103829</v>
      </c>
      <c r="C22" s="164" t="s">
        <v>295</v>
      </c>
      <c r="D22" s="119">
        <f>IF(C$20="Yes",0,SUM(C$13:C$16)*$B$22)</f>
        <v>215.84699453551914</v>
      </c>
      <c r="E22" s="119">
        <f t="shared" ref="E22:AY22" si="4">IF(D$20="Yes",0,SUM(D$13:D$16)*$B$22)</f>
        <v>78.500000000000014</v>
      </c>
      <c r="F22" s="119">
        <f t="shared" si="4"/>
        <v>78.500000000000014</v>
      </c>
      <c r="G22" s="119">
        <f t="shared" si="4"/>
        <v>78.500000000000014</v>
      </c>
      <c r="H22" s="119">
        <f t="shared" si="4"/>
        <v>78.500000000000014</v>
      </c>
      <c r="I22" s="119">
        <f t="shared" si="4"/>
        <v>78.500000000000014</v>
      </c>
      <c r="J22" s="119">
        <f t="shared" si="4"/>
        <v>78.500000000000014</v>
      </c>
      <c r="K22" s="119">
        <f t="shared" si="4"/>
        <v>78.500000000000014</v>
      </c>
      <c r="L22" s="119">
        <f t="shared" si="4"/>
        <v>78.500000000000014</v>
      </c>
      <c r="M22" s="119">
        <f t="shared" si="4"/>
        <v>70.650000000000006</v>
      </c>
      <c r="N22" s="119">
        <f t="shared" si="4"/>
        <v>70.650000000000006</v>
      </c>
      <c r="O22" s="119">
        <f t="shared" si="4"/>
        <v>70.650000000000006</v>
      </c>
      <c r="P22" s="119">
        <f t="shared" si="4"/>
        <v>70.650000000000006</v>
      </c>
      <c r="Q22" s="119">
        <f t="shared" si="4"/>
        <v>78.500000000000014</v>
      </c>
      <c r="R22" s="119">
        <f t="shared" si="4"/>
        <v>78.500000000000014</v>
      </c>
      <c r="S22" s="119">
        <f t="shared" si="4"/>
        <v>0</v>
      </c>
      <c r="T22" s="119">
        <f t="shared" si="4"/>
        <v>157.00000000000003</v>
      </c>
      <c r="U22" s="119">
        <f t="shared" si="4"/>
        <v>78.500000000000014</v>
      </c>
      <c r="V22" s="119">
        <f t="shared" si="4"/>
        <v>78.500000000000014</v>
      </c>
      <c r="W22" s="119">
        <f t="shared" si="4"/>
        <v>78.500000000000014</v>
      </c>
      <c r="X22" s="119">
        <f t="shared" si="4"/>
        <v>78.500000000000014</v>
      </c>
      <c r="Y22" s="119">
        <f t="shared" si="4"/>
        <v>78.500000000000014</v>
      </c>
      <c r="Z22" s="119">
        <f t="shared" si="4"/>
        <v>78.500000000000014</v>
      </c>
      <c r="AA22" s="119">
        <f t="shared" si="4"/>
        <v>78.500000000000014</v>
      </c>
      <c r="AB22" s="119">
        <f t="shared" si="4"/>
        <v>78.500000000000014</v>
      </c>
      <c r="AC22" s="119">
        <f t="shared" si="4"/>
        <v>78.500000000000014</v>
      </c>
      <c r="AD22" s="119">
        <f t="shared" si="4"/>
        <v>78.500000000000014</v>
      </c>
      <c r="AE22" s="119">
        <f t="shared" si="4"/>
        <v>78.500000000000014</v>
      </c>
      <c r="AF22" s="119">
        <f t="shared" si="4"/>
        <v>78.500000000000014</v>
      </c>
      <c r="AG22" s="119">
        <f t="shared" si="4"/>
        <v>78.500000000000014</v>
      </c>
      <c r="AH22" s="119">
        <f t="shared" si="4"/>
        <v>78.500000000000014</v>
      </c>
      <c r="AI22" s="119">
        <f t="shared" si="4"/>
        <v>78.500000000000014</v>
      </c>
      <c r="AJ22" s="119">
        <f t="shared" si="4"/>
        <v>78.500000000000014</v>
      </c>
      <c r="AK22" s="119">
        <f t="shared" si="4"/>
        <v>86.350000000000023</v>
      </c>
      <c r="AL22" s="119">
        <f t="shared" si="4"/>
        <v>86.350000000000023</v>
      </c>
      <c r="AM22" s="119">
        <f t="shared" si="4"/>
        <v>86.350000000000023</v>
      </c>
      <c r="AN22" s="119">
        <f t="shared" si="4"/>
        <v>86.350000000000023</v>
      </c>
      <c r="AO22" s="119">
        <f t="shared" si="4"/>
        <v>78.500000000000014</v>
      </c>
      <c r="AP22" s="119">
        <f t="shared" si="4"/>
        <v>78.500000000000014</v>
      </c>
      <c r="AQ22" s="119">
        <f t="shared" si="4"/>
        <v>78.500000000000014</v>
      </c>
      <c r="AR22" s="119">
        <f t="shared" si="4"/>
        <v>78.500000000000014</v>
      </c>
      <c r="AS22" s="119">
        <f t="shared" si="4"/>
        <v>86.350000000000023</v>
      </c>
      <c r="AT22" s="119">
        <f t="shared" si="4"/>
        <v>86.350000000000023</v>
      </c>
      <c r="AU22" s="119">
        <f t="shared" si="4"/>
        <v>86.350000000000023</v>
      </c>
      <c r="AV22" s="119">
        <f t="shared" si="4"/>
        <v>86.350000000000023</v>
      </c>
      <c r="AW22" s="119">
        <f t="shared" si="4"/>
        <v>78.500000000000014</v>
      </c>
      <c r="AX22" s="119">
        <f t="shared" si="4"/>
        <v>78.500000000000014</v>
      </c>
      <c r="AY22" s="119">
        <f t="shared" si="4"/>
        <v>78.500000000000014</v>
      </c>
      <c r="AZ22" s="146">
        <f t="shared" ref="AZ22:AZ30" si="5">SUM($D22:$AY22)</f>
        <v>3936.7469945355188</v>
      </c>
    </row>
    <row r="23" spans="1:52" x14ac:dyDescent="0.2">
      <c r="A23" s="165" t="s">
        <v>309</v>
      </c>
      <c r="B23" s="129">
        <v>2000</v>
      </c>
      <c r="C23" s="105" t="s">
        <v>295</v>
      </c>
      <c r="D23" s="105">
        <f>D$21*$B$23</f>
        <v>568306.0109289618</v>
      </c>
      <c r="E23" s="105">
        <f t="shared" ref="E23:AY23" si="6">E$21*$B$23</f>
        <v>206683.54430379745</v>
      </c>
      <c r="F23" s="105">
        <f t="shared" si="6"/>
        <v>206683.54430379745</v>
      </c>
      <c r="G23" s="105">
        <f t="shared" si="6"/>
        <v>206683.54430379745</v>
      </c>
      <c r="H23" s="105">
        <f t="shared" si="6"/>
        <v>206683.54430379745</v>
      </c>
      <c r="I23" s="105">
        <f t="shared" si="6"/>
        <v>206683.54430379745</v>
      </c>
      <c r="J23" s="105">
        <f t="shared" si="6"/>
        <v>206683.54430379745</v>
      </c>
      <c r="K23" s="105">
        <f t="shared" si="6"/>
        <v>206683.54430379745</v>
      </c>
      <c r="L23" s="105">
        <f t="shared" si="6"/>
        <v>206683.54430379745</v>
      </c>
      <c r="M23" s="105">
        <f t="shared" si="6"/>
        <v>186015.18987341775</v>
      </c>
      <c r="N23" s="105">
        <f t="shared" si="6"/>
        <v>186015.18987341775</v>
      </c>
      <c r="O23" s="105">
        <f t="shared" si="6"/>
        <v>186015.18987341775</v>
      </c>
      <c r="P23" s="105">
        <f t="shared" si="6"/>
        <v>186015.18987341775</v>
      </c>
      <c r="Q23" s="105">
        <f t="shared" si="6"/>
        <v>206683.54430379745</v>
      </c>
      <c r="R23" s="105">
        <f t="shared" si="6"/>
        <v>206683.54430379745</v>
      </c>
      <c r="S23" s="105">
        <f t="shared" si="6"/>
        <v>0</v>
      </c>
      <c r="T23" s="105">
        <f t="shared" si="6"/>
        <v>413367.08860759489</v>
      </c>
      <c r="U23" s="105">
        <f t="shared" si="6"/>
        <v>206683.54430379745</v>
      </c>
      <c r="V23" s="105">
        <f t="shared" si="6"/>
        <v>206683.54430379745</v>
      </c>
      <c r="W23" s="105">
        <f t="shared" si="6"/>
        <v>206683.54430379745</v>
      </c>
      <c r="X23" s="105">
        <f t="shared" si="6"/>
        <v>206683.54430379745</v>
      </c>
      <c r="Y23" s="105">
        <f t="shared" si="6"/>
        <v>206683.54430379745</v>
      </c>
      <c r="Z23" s="105">
        <f t="shared" si="6"/>
        <v>206683.54430379745</v>
      </c>
      <c r="AA23" s="105">
        <f t="shared" si="6"/>
        <v>206683.54430379745</v>
      </c>
      <c r="AB23" s="105">
        <f t="shared" si="6"/>
        <v>206683.54430379745</v>
      </c>
      <c r="AC23" s="105">
        <f t="shared" si="6"/>
        <v>206683.54430379745</v>
      </c>
      <c r="AD23" s="105">
        <f t="shared" si="6"/>
        <v>206683.54430379745</v>
      </c>
      <c r="AE23" s="105">
        <f t="shared" si="6"/>
        <v>206683.54430379745</v>
      </c>
      <c r="AF23" s="105">
        <f t="shared" si="6"/>
        <v>206683.54430379745</v>
      </c>
      <c r="AG23" s="105">
        <f t="shared" si="6"/>
        <v>206683.54430379745</v>
      </c>
      <c r="AH23" s="105">
        <f t="shared" si="6"/>
        <v>206683.54430379745</v>
      </c>
      <c r="AI23" s="105">
        <f t="shared" si="6"/>
        <v>206683.54430379745</v>
      </c>
      <c r="AJ23" s="105">
        <f t="shared" si="6"/>
        <v>206683.54430379745</v>
      </c>
      <c r="AK23" s="105">
        <f t="shared" si="6"/>
        <v>227351.8987341772</v>
      </c>
      <c r="AL23" s="105">
        <f t="shared" si="6"/>
        <v>227351.8987341772</v>
      </c>
      <c r="AM23" s="105">
        <f t="shared" si="6"/>
        <v>227351.8987341772</v>
      </c>
      <c r="AN23" s="105">
        <f t="shared" si="6"/>
        <v>227351.8987341772</v>
      </c>
      <c r="AO23" s="105">
        <f t="shared" si="6"/>
        <v>206683.54430379745</v>
      </c>
      <c r="AP23" s="105">
        <f t="shared" si="6"/>
        <v>206683.54430379745</v>
      </c>
      <c r="AQ23" s="105">
        <f t="shared" si="6"/>
        <v>206683.54430379745</v>
      </c>
      <c r="AR23" s="105">
        <f t="shared" si="6"/>
        <v>206683.54430379745</v>
      </c>
      <c r="AS23" s="105">
        <f t="shared" si="6"/>
        <v>227351.8987341772</v>
      </c>
      <c r="AT23" s="105">
        <f t="shared" si="6"/>
        <v>227351.8987341772</v>
      </c>
      <c r="AU23" s="105">
        <f t="shared" si="6"/>
        <v>227351.8987341772</v>
      </c>
      <c r="AV23" s="105">
        <f t="shared" si="6"/>
        <v>227351.8987341772</v>
      </c>
      <c r="AW23" s="105">
        <f t="shared" si="6"/>
        <v>206683.54430379745</v>
      </c>
      <c r="AX23" s="105">
        <f t="shared" si="6"/>
        <v>206683.54430379745</v>
      </c>
      <c r="AY23" s="105">
        <f t="shared" si="6"/>
        <v>206683.54430379745</v>
      </c>
      <c r="AZ23" s="144">
        <f t="shared" si="5"/>
        <v>10365106.010928955</v>
      </c>
    </row>
    <row r="24" spans="1:52" s="115" customFormat="1" x14ac:dyDescent="0.2">
      <c r="A24" s="166" t="s">
        <v>310</v>
      </c>
      <c r="B24" s="167">
        <v>1000</v>
      </c>
      <c r="C24" s="161" t="s">
        <v>295</v>
      </c>
      <c r="D24" s="111">
        <f>D$22*$B$24</f>
        <v>215846.99453551913</v>
      </c>
      <c r="E24" s="111">
        <f t="shared" ref="E24:AY24" si="7">E$22*$B$24</f>
        <v>78500.000000000015</v>
      </c>
      <c r="F24" s="111">
        <f t="shared" si="7"/>
        <v>78500.000000000015</v>
      </c>
      <c r="G24" s="111">
        <f t="shared" si="7"/>
        <v>78500.000000000015</v>
      </c>
      <c r="H24" s="111">
        <f t="shared" si="7"/>
        <v>78500.000000000015</v>
      </c>
      <c r="I24" s="111">
        <f t="shared" si="7"/>
        <v>78500.000000000015</v>
      </c>
      <c r="J24" s="111">
        <f t="shared" si="7"/>
        <v>78500.000000000015</v>
      </c>
      <c r="K24" s="111">
        <f t="shared" si="7"/>
        <v>78500.000000000015</v>
      </c>
      <c r="L24" s="111">
        <f t="shared" si="7"/>
        <v>78500.000000000015</v>
      </c>
      <c r="M24" s="111">
        <f t="shared" si="7"/>
        <v>70650</v>
      </c>
      <c r="N24" s="111">
        <f t="shared" si="7"/>
        <v>70650</v>
      </c>
      <c r="O24" s="111">
        <f t="shared" si="7"/>
        <v>70650</v>
      </c>
      <c r="P24" s="111">
        <f t="shared" si="7"/>
        <v>70650</v>
      </c>
      <c r="Q24" s="111">
        <f t="shared" si="7"/>
        <v>78500.000000000015</v>
      </c>
      <c r="R24" s="111">
        <f t="shared" si="7"/>
        <v>78500.000000000015</v>
      </c>
      <c r="S24" s="111">
        <f t="shared" si="7"/>
        <v>0</v>
      </c>
      <c r="T24" s="111">
        <f t="shared" si="7"/>
        <v>157000.00000000003</v>
      </c>
      <c r="U24" s="111">
        <f t="shared" si="7"/>
        <v>78500.000000000015</v>
      </c>
      <c r="V24" s="111">
        <f t="shared" si="7"/>
        <v>78500.000000000015</v>
      </c>
      <c r="W24" s="111">
        <f t="shared" si="7"/>
        <v>78500.000000000015</v>
      </c>
      <c r="X24" s="111">
        <f t="shared" si="7"/>
        <v>78500.000000000015</v>
      </c>
      <c r="Y24" s="111">
        <f t="shared" si="7"/>
        <v>78500.000000000015</v>
      </c>
      <c r="Z24" s="111">
        <f t="shared" si="7"/>
        <v>78500.000000000015</v>
      </c>
      <c r="AA24" s="111">
        <f t="shared" si="7"/>
        <v>78500.000000000015</v>
      </c>
      <c r="AB24" s="111">
        <f t="shared" si="7"/>
        <v>78500.000000000015</v>
      </c>
      <c r="AC24" s="111">
        <f t="shared" si="7"/>
        <v>78500.000000000015</v>
      </c>
      <c r="AD24" s="111">
        <f t="shared" si="7"/>
        <v>78500.000000000015</v>
      </c>
      <c r="AE24" s="111">
        <f t="shared" si="7"/>
        <v>78500.000000000015</v>
      </c>
      <c r="AF24" s="111">
        <f t="shared" si="7"/>
        <v>78500.000000000015</v>
      </c>
      <c r="AG24" s="111">
        <f t="shared" si="7"/>
        <v>78500.000000000015</v>
      </c>
      <c r="AH24" s="111">
        <f t="shared" si="7"/>
        <v>78500.000000000015</v>
      </c>
      <c r="AI24" s="111">
        <f t="shared" si="7"/>
        <v>78500.000000000015</v>
      </c>
      <c r="AJ24" s="111">
        <f t="shared" si="7"/>
        <v>78500.000000000015</v>
      </c>
      <c r="AK24" s="111">
        <f t="shared" si="7"/>
        <v>86350.000000000029</v>
      </c>
      <c r="AL24" s="111">
        <f t="shared" si="7"/>
        <v>86350.000000000029</v>
      </c>
      <c r="AM24" s="111">
        <f t="shared" si="7"/>
        <v>86350.000000000029</v>
      </c>
      <c r="AN24" s="111">
        <f t="shared" si="7"/>
        <v>86350.000000000029</v>
      </c>
      <c r="AO24" s="111">
        <f t="shared" si="7"/>
        <v>78500.000000000015</v>
      </c>
      <c r="AP24" s="111">
        <f t="shared" si="7"/>
        <v>78500.000000000015</v>
      </c>
      <c r="AQ24" s="111">
        <f t="shared" si="7"/>
        <v>78500.000000000015</v>
      </c>
      <c r="AR24" s="111">
        <f t="shared" si="7"/>
        <v>78500.000000000015</v>
      </c>
      <c r="AS24" s="111">
        <f t="shared" si="7"/>
        <v>86350.000000000029</v>
      </c>
      <c r="AT24" s="111">
        <f t="shared" si="7"/>
        <v>86350.000000000029</v>
      </c>
      <c r="AU24" s="111">
        <f t="shared" si="7"/>
        <v>86350.000000000029</v>
      </c>
      <c r="AV24" s="111">
        <f t="shared" si="7"/>
        <v>86350.000000000029</v>
      </c>
      <c r="AW24" s="111">
        <f t="shared" si="7"/>
        <v>78500.000000000015</v>
      </c>
      <c r="AX24" s="111">
        <f t="shared" si="7"/>
        <v>78500.000000000015</v>
      </c>
      <c r="AY24" s="111">
        <f t="shared" si="7"/>
        <v>78500.000000000015</v>
      </c>
      <c r="AZ24" s="146">
        <f t="shared" si="5"/>
        <v>3936746.9945355193</v>
      </c>
    </row>
    <row r="25" spans="1:52" x14ac:dyDescent="0.2"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11"/>
    </row>
    <row r="26" spans="1:52" x14ac:dyDescent="0.2">
      <c r="A26" s="168" t="s">
        <v>18</v>
      </c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11"/>
      <c r="AT26" s="111"/>
      <c r="AU26" s="111"/>
      <c r="AV26" s="111"/>
      <c r="AW26" s="111"/>
      <c r="AX26" s="111"/>
      <c r="AY26" s="111"/>
      <c r="AZ26" s="111"/>
    </row>
    <row r="27" spans="1:52" x14ac:dyDescent="0.2">
      <c r="B27" s="140" t="s">
        <v>311</v>
      </c>
      <c r="C27" s="129">
        <v>42</v>
      </c>
      <c r="D27" s="129">
        <f>C$27-C$28+C$29</f>
        <v>54</v>
      </c>
      <c r="E27" s="129">
        <f t="shared" ref="E27:AY27" si="8">D27-D28+D29</f>
        <v>42</v>
      </c>
      <c r="F27" s="129">
        <f t="shared" si="8"/>
        <v>52</v>
      </c>
      <c r="G27" s="129">
        <f t="shared" si="8"/>
        <v>52</v>
      </c>
      <c r="H27" s="129">
        <f t="shared" si="8"/>
        <v>52</v>
      </c>
      <c r="I27" s="129">
        <f t="shared" si="8"/>
        <v>52</v>
      </c>
      <c r="J27" s="129">
        <f t="shared" si="8"/>
        <v>52</v>
      </c>
      <c r="K27" s="129">
        <f t="shared" si="8"/>
        <v>52</v>
      </c>
      <c r="L27" s="129">
        <f t="shared" si="8"/>
        <v>52</v>
      </c>
      <c r="M27" s="129">
        <f t="shared" si="8"/>
        <v>52</v>
      </c>
      <c r="N27" s="129">
        <f t="shared" si="8"/>
        <v>53</v>
      </c>
      <c r="O27" s="129">
        <f t="shared" si="8"/>
        <v>53</v>
      </c>
      <c r="P27" s="129">
        <f t="shared" si="8"/>
        <v>53</v>
      </c>
      <c r="Q27" s="129">
        <f t="shared" si="8"/>
        <v>53</v>
      </c>
      <c r="R27" s="129">
        <f t="shared" si="8"/>
        <v>52</v>
      </c>
      <c r="S27" s="129">
        <f t="shared" si="8"/>
        <v>52</v>
      </c>
      <c r="T27" s="129">
        <f t="shared" si="8"/>
        <v>59</v>
      </c>
      <c r="U27" s="129">
        <f t="shared" si="8"/>
        <v>46</v>
      </c>
      <c r="V27" s="129">
        <f t="shared" si="8"/>
        <v>52</v>
      </c>
      <c r="W27" s="129">
        <f t="shared" si="8"/>
        <v>52</v>
      </c>
      <c r="X27" s="129">
        <f t="shared" si="8"/>
        <v>52</v>
      </c>
      <c r="Y27" s="129">
        <f t="shared" si="8"/>
        <v>52</v>
      </c>
      <c r="Z27" s="129">
        <f t="shared" si="8"/>
        <v>52</v>
      </c>
      <c r="AA27" s="129">
        <f t="shared" si="8"/>
        <v>52</v>
      </c>
      <c r="AB27" s="129">
        <f t="shared" si="8"/>
        <v>52</v>
      </c>
      <c r="AC27" s="129">
        <f t="shared" si="8"/>
        <v>52</v>
      </c>
      <c r="AD27" s="129">
        <f t="shared" si="8"/>
        <v>52</v>
      </c>
      <c r="AE27" s="129">
        <f t="shared" si="8"/>
        <v>52</v>
      </c>
      <c r="AF27" s="129">
        <f t="shared" si="8"/>
        <v>52</v>
      </c>
      <c r="AG27" s="129">
        <f t="shared" si="8"/>
        <v>52</v>
      </c>
      <c r="AH27" s="129">
        <f t="shared" si="8"/>
        <v>52</v>
      </c>
      <c r="AI27" s="129">
        <f t="shared" si="8"/>
        <v>52</v>
      </c>
      <c r="AJ27" s="129">
        <f t="shared" si="8"/>
        <v>52</v>
      </c>
      <c r="AK27" s="129">
        <f t="shared" si="8"/>
        <v>52</v>
      </c>
      <c r="AL27" s="129">
        <f t="shared" si="8"/>
        <v>52</v>
      </c>
      <c r="AM27" s="129">
        <f t="shared" si="8"/>
        <v>52</v>
      </c>
      <c r="AN27" s="129">
        <f t="shared" si="8"/>
        <v>52</v>
      </c>
      <c r="AO27" s="129">
        <f t="shared" si="8"/>
        <v>52</v>
      </c>
      <c r="AP27" s="129">
        <f t="shared" si="8"/>
        <v>52</v>
      </c>
      <c r="AQ27" s="129">
        <f t="shared" si="8"/>
        <v>52</v>
      </c>
      <c r="AR27" s="129">
        <f t="shared" si="8"/>
        <v>52</v>
      </c>
      <c r="AS27" s="129">
        <f t="shared" si="8"/>
        <v>52</v>
      </c>
      <c r="AT27" s="129">
        <f t="shared" si="8"/>
        <v>52</v>
      </c>
      <c r="AU27" s="129">
        <f t="shared" si="8"/>
        <v>52</v>
      </c>
      <c r="AV27" s="129">
        <f t="shared" si="8"/>
        <v>52</v>
      </c>
      <c r="AW27" s="129">
        <f t="shared" si="8"/>
        <v>52</v>
      </c>
      <c r="AX27" s="129">
        <f t="shared" si="8"/>
        <v>52</v>
      </c>
      <c r="AY27" s="169">
        <f t="shared" si="8"/>
        <v>52</v>
      </c>
      <c r="AZ27" s="111"/>
    </row>
    <row r="28" spans="1:52" x14ac:dyDescent="0.2">
      <c r="B28" s="170" t="s">
        <v>312</v>
      </c>
      <c r="C28" s="115">
        <v>5</v>
      </c>
      <c r="D28" s="115">
        <v>17</v>
      </c>
      <c r="E28" s="115">
        <v>7</v>
      </c>
      <c r="F28" s="115">
        <v>7</v>
      </c>
      <c r="G28" s="115">
        <v>7</v>
      </c>
      <c r="H28" s="115">
        <v>7</v>
      </c>
      <c r="I28" s="115">
        <v>7</v>
      </c>
      <c r="J28" s="115">
        <v>7</v>
      </c>
      <c r="K28" s="115">
        <v>7</v>
      </c>
      <c r="L28" s="115">
        <v>7</v>
      </c>
      <c r="M28" s="115">
        <v>6</v>
      </c>
      <c r="N28" s="115">
        <v>6</v>
      </c>
      <c r="O28" s="115">
        <v>6</v>
      </c>
      <c r="P28" s="115">
        <v>6</v>
      </c>
      <c r="Q28" s="115">
        <v>7</v>
      </c>
      <c r="R28" s="115">
        <v>7</v>
      </c>
      <c r="S28" s="115">
        <v>0</v>
      </c>
      <c r="T28" s="115">
        <v>13</v>
      </c>
      <c r="U28" s="115">
        <v>7</v>
      </c>
      <c r="V28" s="115">
        <v>7</v>
      </c>
      <c r="W28" s="115">
        <v>7</v>
      </c>
      <c r="X28" s="115">
        <v>7</v>
      </c>
      <c r="Y28" s="115">
        <v>7</v>
      </c>
      <c r="Z28" s="115">
        <v>7</v>
      </c>
      <c r="AA28" s="115">
        <v>7</v>
      </c>
      <c r="AB28" s="115">
        <v>7</v>
      </c>
      <c r="AC28" s="115">
        <v>7</v>
      </c>
      <c r="AD28" s="115">
        <v>7</v>
      </c>
      <c r="AE28" s="115">
        <v>7</v>
      </c>
      <c r="AF28" s="115">
        <v>7</v>
      </c>
      <c r="AG28" s="115">
        <v>7</v>
      </c>
      <c r="AH28" s="115">
        <v>7</v>
      </c>
      <c r="AI28" s="115">
        <v>7</v>
      </c>
      <c r="AJ28" s="115">
        <v>7</v>
      </c>
      <c r="AK28" s="115">
        <v>7</v>
      </c>
      <c r="AL28" s="115">
        <v>7</v>
      </c>
      <c r="AM28" s="115">
        <v>7</v>
      </c>
      <c r="AN28" s="115">
        <v>7</v>
      </c>
      <c r="AO28" s="115">
        <v>7</v>
      </c>
      <c r="AP28" s="115">
        <v>7</v>
      </c>
      <c r="AQ28" s="115">
        <v>7</v>
      </c>
      <c r="AR28" s="115">
        <v>7</v>
      </c>
      <c r="AS28" s="115">
        <v>7</v>
      </c>
      <c r="AT28" s="115">
        <v>7</v>
      </c>
      <c r="AU28" s="115">
        <v>7</v>
      </c>
      <c r="AV28" s="115">
        <v>7</v>
      </c>
      <c r="AW28" s="115">
        <v>7</v>
      </c>
      <c r="AX28" s="115">
        <v>7</v>
      </c>
      <c r="AY28" s="171">
        <v>7</v>
      </c>
      <c r="AZ28" s="111"/>
    </row>
    <row r="29" spans="1:52" x14ac:dyDescent="0.2">
      <c r="B29" s="141" t="s">
        <v>313</v>
      </c>
      <c r="C29" s="130">
        <v>17</v>
      </c>
      <c r="D29" s="130">
        <f>C$28</f>
        <v>5</v>
      </c>
      <c r="E29" s="130">
        <f t="shared" ref="E29:AY29" si="9">D$28</f>
        <v>17</v>
      </c>
      <c r="F29" s="130">
        <f t="shared" si="9"/>
        <v>7</v>
      </c>
      <c r="G29" s="130">
        <f t="shared" si="9"/>
        <v>7</v>
      </c>
      <c r="H29" s="130">
        <f t="shared" si="9"/>
        <v>7</v>
      </c>
      <c r="I29" s="130">
        <f t="shared" si="9"/>
        <v>7</v>
      </c>
      <c r="J29" s="130">
        <f t="shared" si="9"/>
        <v>7</v>
      </c>
      <c r="K29" s="130">
        <f t="shared" si="9"/>
        <v>7</v>
      </c>
      <c r="L29" s="130">
        <f t="shared" si="9"/>
        <v>7</v>
      </c>
      <c r="M29" s="130">
        <f t="shared" si="9"/>
        <v>7</v>
      </c>
      <c r="N29" s="130">
        <f t="shared" si="9"/>
        <v>6</v>
      </c>
      <c r="O29" s="130">
        <f t="shared" si="9"/>
        <v>6</v>
      </c>
      <c r="P29" s="130">
        <f t="shared" si="9"/>
        <v>6</v>
      </c>
      <c r="Q29" s="130">
        <f t="shared" si="9"/>
        <v>6</v>
      </c>
      <c r="R29" s="130">
        <f t="shared" si="9"/>
        <v>7</v>
      </c>
      <c r="S29" s="130">
        <f t="shared" si="9"/>
        <v>7</v>
      </c>
      <c r="T29" s="130">
        <f t="shared" si="9"/>
        <v>0</v>
      </c>
      <c r="U29" s="130">
        <f t="shared" si="9"/>
        <v>13</v>
      </c>
      <c r="V29" s="130">
        <f t="shared" si="9"/>
        <v>7</v>
      </c>
      <c r="W29" s="130">
        <f t="shared" si="9"/>
        <v>7</v>
      </c>
      <c r="X29" s="130">
        <f t="shared" si="9"/>
        <v>7</v>
      </c>
      <c r="Y29" s="130">
        <f t="shared" si="9"/>
        <v>7</v>
      </c>
      <c r="Z29" s="130">
        <f t="shared" si="9"/>
        <v>7</v>
      </c>
      <c r="AA29" s="130">
        <f t="shared" si="9"/>
        <v>7</v>
      </c>
      <c r="AB29" s="130">
        <f t="shared" si="9"/>
        <v>7</v>
      </c>
      <c r="AC29" s="130">
        <f t="shared" si="9"/>
        <v>7</v>
      </c>
      <c r="AD29" s="130">
        <f t="shared" si="9"/>
        <v>7</v>
      </c>
      <c r="AE29" s="130">
        <f t="shared" si="9"/>
        <v>7</v>
      </c>
      <c r="AF29" s="130">
        <f t="shared" si="9"/>
        <v>7</v>
      </c>
      <c r="AG29" s="130">
        <f t="shared" si="9"/>
        <v>7</v>
      </c>
      <c r="AH29" s="130">
        <f t="shared" si="9"/>
        <v>7</v>
      </c>
      <c r="AI29" s="130">
        <f t="shared" si="9"/>
        <v>7</v>
      </c>
      <c r="AJ29" s="130">
        <f t="shared" si="9"/>
        <v>7</v>
      </c>
      <c r="AK29" s="130">
        <f t="shared" si="9"/>
        <v>7</v>
      </c>
      <c r="AL29" s="130">
        <f t="shared" si="9"/>
        <v>7</v>
      </c>
      <c r="AM29" s="130">
        <f t="shared" si="9"/>
        <v>7</v>
      </c>
      <c r="AN29" s="130">
        <f t="shared" si="9"/>
        <v>7</v>
      </c>
      <c r="AO29" s="130">
        <f t="shared" si="9"/>
        <v>7</v>
      </c>
      <c r="AP29" s="130">
        <f t="shared" si="9"/>
        <v>7</v>
      </c>
      <c r="AQ29" s="130">
        <f t="shared" si="9"/>
        <v>7</v>
      </c>
      <c r="AR29" s="130">
        <f t="shared" si="9"/>
        <v>7</v>
      </c>
      <c r="AS29" s="130">
        <f t="shared" si="9"/>
        <v>7</v>
      </c>
      <c r="AT29" s="130">
        <f t="shared" si="9"/>
        <v>7</v>
      </c>
      <c r="AU29" s="130">
        <f t="shared" si="9"/>
        <v>7</v>
      </c>
      <c r="AV29" s="130">
        <f t="shared" si="9"/>
        <v>7</v>
      </c>
      <c r="AW29" s="130">
        <f t="shared" si="9"/>
        <v>7</v>
      </c>
      <c r="AX29" s="130">
        <f t="shared" si="9"/>
        <v>7</v>
      </c>
      <c r="AY29" s="172">
        <f t="shared" si="9"/>
        <v>7</v>
      </c>
      <c r="AZ29" s="173"/>
    </row>
    <row r="30" spans="1:52" x14ac:dyDescent="0.2">
      <c r="A30" s="174" t="s">
        <v>314</v>
      </c>
      <c r="B30" s="149">
        <v>10</v>
      </c>
      <c r="C30" s="122" t="s">
        <v>295</v>
      </c>
      <c r="D30" s="122">
        <f>D$27*$B$30</f>
        <v>540</v>
      </c>
      <c r="E30" s="122">
        <f t="shared" ref="E30:AY30" si="10">E$27*$B$30</f>
        <v>420</v>
      </c>
      <c r="F30" s="122">
        <f t="shared" si="10"/>
        <v>520</v>
      </c>
      <c r="G30" s="122">
        <f t="shared" si="10"/>
        <v>520</v>
      </c>
      <c r="H30" s="122">
        <f t="shared" si="10"/>
        <v>520</v>
      </c>
      <c r="I30" s="122">
        <f t="shared" si="10"/>
        <v>520</v>
      </c>
      <c r="J30" s="122">
        <f t="shared" si="10"/>
        <v>520</v>
      </c>
      <c r="K30" s="122">
        <f t="shared" si="10"/>
        <v>520</v>
      </c>
      <c r="L30" s="122">
        <f t="shared" si="10"/>
        <v>520</v>
      </c>
      <c r="M30" s="122">
        <f t="shared" si="10"/>
        <v>520</v>
      </c>
      <c r="N30" s="122">
        <f t="shared" si="10"/>
        <v>530</v>
      </c>
      <c r="O30" s="122">
        <f t="shared" si="10"/>
        <v>530</v>
      </c>
      <c r="P30" s="122">
        <f t="shared" si="10"/>
        <v>530</v>
      </c>
      <c r="Q30" s="122">
        <f t="shared" si="10"/>
        <v>530</v>
      </c>
      <c r="R30" s="122">
        <f>R$27*$B$30</f>
        <v>520</v>
      </c>
      <c r="S30" s="122">
        <f t="shared" si="10"/>
        <v>520</v>
      </c>
      <c r="T30" s="122">
        <f t="shared" si="10"/>
        <v>590</v>
      </c>
      <c r="U30" s="122">
        <f t="shared" si="10"/>
        <v>460</v>
      </c>
      <c r="V30" s="122">
        <f t="shared" si="10"/>
        <v>520</v>
      </c>
      <c r="W30" s="122">
        <f t="shared" si="10"/>
        <v>520</v>
      </c>
      <c r="X30" s="122">
        <f t="shared" si="10"/>
        <v>520</v>
      </c>
      <c r="Y30" s="122">
        <f t="shared" si="10"/>
        <v>520</v>
      </c>
      <c r="Z30" s="122">
        <f t="shared" si="10"/>
        <v>520</v>
      </c>
      <c r="AA30" s="122">
        <f t="shared" si="10"/>
        <v>520</v>
      </c>
      <c r="AB30" s="122">
        <f t="shared" si="10"/>
        <v>520</v>
      </c>
      <c r="AC30" s="122">
        <f t="shared" si="10"/>
        <v>520</v>
      </c>
      <c r="AD30" s="122">
        <f t="shared" si="10"/>
        <v>520</v>
      </c>
      <c r="AE30" s="122">
        <f>AE$27*$B$30</f>
        <v>520</v>
      </c>
      <c r="AF30" s="122">
        <f t="shared" si="10"/>
        <v>520</v>
      </c>
      <c r="AG30" s="122">
        <f t="shared" si="10"/>
        <v>520</v>
      </c>
      <c r="AH30" s="122">
        <f t="shared" si="10"/>
        <v>520</v>
      </c>
      <c r="AI30" s="122">
        <f t="shared" si="10"/>
        <v>520</v>
      </c>
      <c r="AJ30" s="122">
        <f t="shared" si="10"/>
        <v>520</v>
      </c>
      <c r="AK30" s="122">
        <f t="shared" si="10"/>
        <v>520</v>
      </c>
      <c r="AL30" s="122">
        <f t="shared" si="10"/>
        <v>520</v>
      </c>
      <c r="AM30" s="122">
        <f t="shared" si="10"/>
        <v>520</v>
      </c>
      <c r="AN30" s="122">
        <f t="shared" si="10"/>
        <v>520</v>
      </c>
      <c r="AO30" s="122">
        <f t="shared" si="10"/>
        <v>520</v>
      </c>
      <c r="AP30" s="122">
        <f t="shared" si="10"/>
        <v>520</v>
      </c>
      <c r="AQ30" s="122">
        <f t="shared" si="10"/>
        <v>520</v>
      </c>
      <c r="AR30" s="122">
        <f t="shared" si="10"/>
        <v>520</v>
      </c>
      <c r="AS30" s="122">
        <f t="shared" si="10"/>
        <v>520</v>
      </c>
      <c r="AT30" s="122">
        <f t="shared" si="10"/>
        <v>520</v>
      </c>
      <c r="AU30" s="122">
        <f t="shared" si="10"/>
        <v>520</v>
      </c>
      <c r="AV30" s="122">
        <f t="shared" si="10"/>
        <v>520</v>
      </c>
      <c r="AW30" s="122">
        <f t="shared" si="10"/>
        <v>520</v>
      </c>
      <c r="AX30" s="122">
        <f t="shared" si="10"/>
        <v>520</v>
      </c>
      <c r="AY30" s="122">
        <f t="shared" si="10"/>
        <v>520</v>
      </c>
      <c r="AZ30" s="146">
        <f t="shared" si="5"/>
        <v>24930</v>
      </c>
    </row>
    <row r="32" spans="1:52" x14ac:dyDescent="0.2">
      <c r="A32" s="107" t="s">
        <v>302</v>
      </c>
    </row>
    <row r="33" spans="1:52" x14ac:dyDescent="0.2">
      <c r="A33" s="140" t="s">
        <v>34</v>
      </c>
      <c r="B33" s="140" t="s">
        <v>343</v>
      </c>
      <c r="C33" s="129"/>
      <c r="D33" s="129">
        <f>D$21*shipping_manufacturing!$H$27/100</f>
        <v>0</v>
      </c>
      <c r="E33" s="129">
        <f>E$21*shipping_manufacturing!$H$27/100</f>
        <v>0</v>
      </c>
      <c r="F33" s="129">
        <f>F$21*shipping_manufacturing!$H$27/100</f>
        <v>0</v>
      </c>
      <c r="G33" s="129">
        <f>G$21*shipping_manufacturing!$H$27/100</f>
        <v>0</v>
      </c>
      <c r="H33" s="129">
        <f>H$21*shipping_manufacturing!$H$27/100</f>
        <v>0</v>
      </c>
      <c r="I33" s="129">
        <f>I$21*shipping_manufacturing!$H$27/100</f>
        <v>0</v>
      </c>
      <c r="J33" s="129">
        <f>J$21*shipping_manufacturing!$H$27/100</f>
        <v>0</v>
      </c>
      <c r="K33" s="129">
        <f>K$21*shipping_manufacturing!$H$27/100</f>
        <v>0</v>
      </c>
      <c r="L33" s="129">
        <f>L$21*shipping_manufacturing!$H$27/100</f>
        <v>0</v>
      </c>
      <c r="M33" s="129">
        <f>M$21*shipping_manufacturing!$H$27/100</f>
        <v>0</v>
      </c>
      <c r="N33" s="129">
        <f>N$21*shipping_manufacturing!$H$27/100</f>
        <v>0</v>
      </c>
      <c r="O33" s="129">
        <f>O$21*shipping_manufacturing!$H$27/100</f>
        <v>0</v>
      </c>
      <c r="P33" s="129">
        <f>P$21*shipping_manufacturing!$H$27/100</f>
        <v>0</v>
      </c>
      <c r="Q33" s="129">
        <f>Q$21*shipping_manufacturing!$H$27/100</f>
        <v>0</v>
      </c>
      <c r="R33" s="129">
        <f>R$21*shipping_manufacturing!$H$27/100</f>
        <v>0</v>
      </c>
      <c r="S33" s="129">
        <f>S$21*shipping_manufacturing!$H$27/100</f>
        <v>0</v>
      </c>
      <c r="T33" s="129">
        <f>T$21*shipping_manufacturing!$H$27/100</f>
        <v>0</v>
      </c>
      <c r="U33" s="129">
        <f>U$21*shipping_manufacturing!$H$27/100</f>
        <v>0</v>
      </c>
      <c r="V33" s="129">
        <f>V$21*shipping_manufacturing!$H$27/100</f>
        <v>0</v>
      </c>
      <c r="W33" s="129">
        <f>W$21*shipping_manufacturing!$H$27/100</f>
        <v>0</v>
      </c>
      <c r="X33" s="129">
        <f>X$21*shipping_manufacturing!$H$27/100</f>
        <v>0</v>
      </c>
      <c r="Y33" s="129">
        <f>Y$21*shipping_manufacturing!$H$27/100</f>
        <v>0</v>
      </c>
      <c r="Z33" s="129">
        <f>Z$21*shipping_manufacturing!$H$27/100</f>
        <v>0</v>
      </c>
      <c r="AA33" s="129">
        <f>AA$21*shipping_manufacturing!$H$27/100</f>
        <v>0</v>
      </c>
      <c r="AB33" s="129">
        <f>AB$21*shipping_manufacturing!$H$27/100</f>
        <v>0</v>
      </c>
      <c r="AC33" s="129">
        <f>AC$21*shipping_manufacturing!$H$27/100</f>
        <v>0</v>
      </c>
      <c r="AD33" s="129">
        <f>AD$21*shipping_manufacturing!$H$27/100</f>
        <v>0</v>
      </c>
      <c r="AE33" s="129">
        <f>AE$21*shipping_manufacturing!$H$27/100</f>
        <v>0</v>
      </c>
      <c r="AF33" s="129">
        <f>AF$21*shipping_manufacturing!$H$27/100</f>
        <v>0</v>
      </c>
      <c r="AG33" s="129">
        <f>AG$21*shipping_manufacturing!$H$27/100</f>
        <v>0</v>
      </c>
      <c r="AH33" s="129">
        <f>AH$21*shipping_manufacturing!$H$27/100</f>
        <v>0</v>
      </c>
      <c r="AI33" s="129">
        <f>AI$21*shipping_manufacturing!$H$27/100</f>
        <v>0</v>
      </c>
      <c r="AJ33" s="129">
        <f>AJ$21*shipping_manufacturing!$H$27/100</f>
        <v>0</v>
      </c>
      <c r="AK33" s="129">
        <f>AK$21*shipping_manufacturing!$H$27/100</f>
        <v>0</v>
      </c>
      <c r="AL33" s="129">
        <f>AL$21*shipping_manufacturing!$H$27/100</f>
        <v>0</v>
      </c>
      <c r="AM33" s="129">
        <f>AM$21*shipping_manufacturing!$H$27/100</f>
        <v>0</v>
      </c>
      <c r="AN33" s="129">
        <f>AN$21*shipping_manufacturing!$H$27/100</f>
        <v>0</v>
      </c>
      <c r="AO33" s="129">
        <f>AO$21*shipping_manufacturing!$H$27/100</f>
        <v>0</v>
      </c>
      <c r="AP33" s="129">
        <f>AP$21*shipping_manufacturing!$H$27/100</f>
        <v>0</v>
      </c>
      <c r="AQ33" s="129">
        <f>AQ$21*shipping_manufacturing!$H$27/100</f>
        <v>0</v>
      </c>
      <c r="AR33" s="129">
        <f>AR$21*shipping_manufacturing!$H$27/100</f>
        <v>0</v>
      </c>
      <c r="AS33" s="129">
        <f>AS$21*shipping_manufacturing!$H$27/100</f>
        <v>0</v>
      </c>
      <c r="AT33" s="129">
        <f>AT$21*shipping_manufacturing!$H$27/100</f>
        <v>0</v>
      </c>
      <c r="AU33" s="129">
        <f>AU$21*shipping_manufacturing!$H$27/100</f>
        <v>0</v>
      </c>
      <c r="AV33" s="129">
        <f>AV$21*shipping_manufacturing!$H$27/100</f>
        <v>0</v>
      </c>
      <c r="AW33" s="129">
        <f>AW$21*shipping_manufacturing!$H$27/100</f>
        <v>0</v>
      </c>
      <c r="AX33" s="129">
        <f>AX$21*shipping_manufacturing!$H$27/100</f>
        <v>0</v>
      </c>
      <c r="AY33" s="129">
        <f>AY$21*shipping_manufacturing!$H$27/100</f>
        <v>0</v>
      </c>
    </row>
    <row r="34" spans="1:52" x14ac:dyDescent="0.2">
      <c r="A34" s="118" t="s">
        <v>342</v>
      </c>
      <c r="B34" s="170" t="s">
        <v>344</v>
      </c>
      <c r="C34" s="115"/>
      <c r="D34" s="115">
        <f>D$22*shipping_manufacturing!$I$27/100</f>
        <v>0</v>
      </c>
      <c r="E34" s="115">
        <f>E$22*shipping_manufacturing!$I$27/100</f>
        <v>0</v>
      </c>
      <c r="F34" s="115">
        <f>F$22*shipping_manufacturing!$I$27/100</f>
        <v>0</v>
      </c>
      <c r="G34" s="115">
        <f>G$22*shipping_manufacturing!$I$27/100</f>
        <v>0</v>
      </c>
      <c r="H34" s="115">
        <f>H$22*shipping_manufacturing!$I$27/100</f>
        <v>0</v>
      </c>
      <c r="I34" s="115">
        <f>I$22*shipping_manufacturing!$I$27/100</f>
        <v>0</v>
      </c>
      <c r="J34" s="115">
        <f>J$22*shipping_manufacturing!$I$27/100</f>
        <v>0</v>
      </c>
      <c r="K34" s="115">
        <f>K$22*shipping_manufacturing!$I$27/100</f>
        <v>0</v>
      </c>
      <c r="L34" s="115">
        <f>L$22*shipping_manufacturing!$I$27/100</f>
        <v>0</v>
      </c>
      <c r="M34" s="115">
        <f>M$22*shipping_manufacturing!$I$27/100</f>
        <v>0</v>
      </c>
      <c r="N34" s="115">
        <f>N$22*shipping_manufacturing!$I$27/100</f>
        <v>0</v>
      </c>
      <c r="O34" s="115">
        <f>O$22*shipping_manufacturing!$I$27/100</f>
        <v>0</v>
      </c>
      <c r="P34" s="115">
        <f>P$22*shipping_manufacturing!$I$27/100</f>
        <v>0</v>
      </c>
      <c r="Q34" s="115">
        <f>Q$22*shipping_manufacturing!$I$27/100</f>
        <v>0</v>
      </c>
      <c r="R34" s="115">
        <f>R$22*shipping_manufacturing!$I$27/100</f>
        <v>0</v>
      </c>
      <c r="S34" s="115">
        <f>S$22*shipping_manufacturing!$I$27/100</f>
        <v>0</v>
      </c>
      <c r="T34" s="115">
        <f>T$22*shipping_manufacturing!$I$27/100</f>
        <v>0</v>
      </c>
      <c r="U34" s="115">
        <f>U$22*shipping_manufacturing!$I$27/100</f>
        <v>0</v>
      </c>
      <c r="V34" s="115">
        <f>V$22*shipping_manufacturing!$I$27/100</f>
        <v>0</v>
      </c>
      <c r="W34" s="115">
        <f>W$22*shipping_manufacturing!$I$27/100</f>
        <v>0</v>
      </c>
      <c r="X34" s="115">
        <f>X$22*shipping_manufacturing!$I$27/100</f>
        <v>0</v>
      </c>
      <c r="Y34" s="115">
        <f>Y$22*shipping_manufacturing!$I$27/100</f>
        <v>0</v>
      </c>
      <c r="Z34" s="115">
        <f>Z$22*shipping_manufacturing!$I$27/100</f>
        <v>0</v>
      </c>
      <c r="AA34" s="115">
        <f>AA$22*shipping_manufacturing!$I$27/100</f>
        <v>0</v>
      </c>
      <c r="AB34" s="115">
        <f>AB$22*shipping_manufacturing!$I$27/100</f>
        <v>0</v>
      </c>
      <c r="AC34" s="115">
        <f>AC$22*shipping_manufacturing!$I$27/100</f>
        <v>0</v>
      </c>
      <c r="AD34" s="115">
        <f>AD$22*shipping_manufacturing!$I$27/100</f>
        <v>0</v>
      </c>
      <c r="AE34" s="115">
        <f>AE$22*shipping_manufacturing!$I$27/100</f>
        <v>0</v>
      </c>
      <c r="AF34" s="115">
        <f>AF$22*shipping_manufacturing!$I$27/100</f>
        <v>0</v>
      </c>
      <c r="AG34" s="115">
        <f>AG$22*shipping_manufacturing!$I$27/100</f>
        <v>0</v>
      </c>
      <c r="AH34" s="115">
        <f>AH$22*shipping_manufacturing!$I$27/100</f>
        <v>0</v>
      </c>
      <c r="AI34" s="115">
        <f>AI$22*shipping_manufacturing!$I$27/100</f>
        <v>0</v>
      </c>
      <c r="AJ34" s="115">
        <f>AJ$22*shipping_manufacturing!$I$27/100</f>
        <v>0</v>
      </c>
      <c r="AK34" s="115">
        <f>AK$22*shipping_manufacturing!$I$27/100</f>
        <v>0</v>
      </c>
      <c r="AL34" s="115">
        <f>AL$22*shipping_manufacturing!$I$27/100</f>
        <v>0</v>
      </c>
      <c r="AM34" s="115">
        <f>AM$22*shipping_manufacturing!$I$27/100</f>
        <v>0</v>
      </c>
      <c r="AN34" s="115">
        <f>AN$22*shipping_manufacturing!$I$27/100</f>
        <v>0</v>
      </c>
      <c r="AO34" s="115">
        <f>AO$22*shipping_manufacturing!$I$27/100</f>
        <v>0</v>
      </c>
      <c r="AP34" s="115">
        <f>AP$22*shipping_manufacturing!$I$27/100</f>
        <v>0</v>
      </c>
      <c r="AQ34" s="115">
        <f>AQ$22*shipping_manufacturing!$I$27/100</f>
        <v>0</v>
      </c>
      <c r="AR34" s="115">
        <f>AR$22*shipping_manufacturing!$I$27/100</f>
        <v>0</v>
      </c>
      <c r="AS34" s="115">
        <f>AS$22*shipping_manufacturing!$I$27/100</f>
        <v>0</v>
      </c>
      <c r="AT34" s="115">
        <f>AT$22*shipping_manufacturing!$I$27/100</f>
        <v>0</v>
      </c>
      <c r="AU34" s="115">
        <f>AU$22*shipping_manufacturing!$I$27/100</f>
        <v>0</v>
      </c>
      <c r="AV34" s="115">
        <f>AV$22*shipping_manufacturing!$I$27/100</f>
        <v>0</v>
      </c>
      <c r="AW34" s="115">
        <f>AW$22*shipping_manufacturing!$I$27/100</f>
        <v>0</v>
      </c>
      <c r="AX34" s="115">
        <f>AX$22*shipping_manufacturing!$I$27/100</f>
        <v>0</v>
      </c>
      <c r="AY34" s="115">
        <f>AY$22*shipping_manufacturing!$I$27/100</f>
        <v>0</v>
      </c>
    </row>
    <row r="35" spans="1:52" x14ac:dyDescent="0.2">
      <c r="A35" s="115">
        <v>1069</v>
      </c>
      <c r="B35" s="170" t="s">
        <v>345</v>
      </c>
      <c r="C35" s="115"/>
      <c r="D35" s="115">
        <f>SUM(D33:D34)</f>
        <v>0</v>
      </c>
      <c r="E35" s="115">
        <f t="shared" ref="E35:AY35" si="11">SUM(E33:E34)</f>
        <v>0</v>
      </c>
      <c r="F35" s="115">
        <f t="shared" si="11"/>
        <v>0</v>
      </c>
      <c r="G35" s="115">
        <f t="shared" si="11"/>
        <v>0</v>
      </c>
      <c r="H35" s="115">
        <f t="shared" si="11"/>
        <v>0</v>
      </c>
      <c r="I35" s="115">
        <f t="shared" si="11"/>
        <v>0</v>
      </c>
      <c r="J35" s="115">
        <f t="shared" si="11"/>
        <v>0</v>
      </c>
      <c r="K35" s="115">
        <f t="shared" si="11"/>
        <v>0</v>
      </c>
      <c r="L35" s="115">
        <f t="shared" si="11"/>
        <v>0</v>
      </c>
      <c r="M35" s="115">
        <f t="shared" si="11"/>
        <v>0</v>
      </c>
      <c r="N35" s="115">
        <f t="shared" si="11"/>
        <v>0</v>
      </c>
      <c r="O35" s="115">
        <f t="shared" si="11"/>
        <v>0</v>
      </c>
      <c r="P35" s="115">
        <f t="shared" si="11"/>
        <v>0</v>
      </c>
      <c r="Q35" s="115">
        <f t="shared" si="11"/>
        <v>0</v>
      </c>
      <c r="R35" s="115">
        <f t="shared" si="11"/>
        <v>0</v>
      </c>
      <c r="S35" s="115">
        <f t="shared" si="11"/>
        <v>0</v>
      </c>
      <c r="T35" s="115">
        <f t="shared" si="11"/>
        <v>0</v>
      </c>
      <c r="U35" s="115">
        <f t="shared" si="11"/>
        <v>0</v>
      </c>
      <c r="V35" s="115">
        <f t="shared" si="11"/>
        <v>0</v>
      </c>
      <c r="W35" s="115">
        <f t="shared" si="11"/>
        <v>0</v>
      </c>
      <c r="X35" s="115">
        <f t="shared" si="11"/>
        <v>0</v>
      </c>
      <c r="Y35" s="115">
        <f t="shared" si="11"/>
        <v>0</v>
      </c>
      <c r="Z35" s="115">
        <f t="shared" si="11"/>
        <v>0</v>
      </c>
      <c r="AA35" s="115">
        <f t="shared" si="11"/>
        <v>0</v>
      </c>
      <c r="AB35" s="115">
        <f t="shared" si="11"/>
        <v>0</v>
      </c>
      <c r="AC35" s="115">
        <f t="shared" si="11"/>
        <v>0</v>
      </c>
      <c r="AD35" s="115">
        <f t="shared" si="11"/>
        <v>0</v>
      </c>
      <c r="AE35" s="115">
        <f t="shared" si="11"/>
        <v>0</v>
      </c>
      <c r="AF35" s="115">
        <f t="shared" si="11"/>
        <v>0</v>
      </c>
      <c r="AG35" s="115">
        <f t="shared" si="11"/>
        <v>0</v>
      </c>
      <c r="AH35" s="115">
        <f t="shared" si="11"/>
        <v>0</v>
      </c>
      <c r="AI35" s="115">
        <f t="shared" si="11"/>
        <v>0</v>
      </c>
      <c r="AJ35" s="115">
        <f t="shared" si="11"/>
        <v>0</v>
      </c>
      <c r="AK35" s="115">
        <f t="shared" si="11"/>
        <v>0</v>
      </c>
      <c r="AL35" s="115">
        <f t="shared" si="11"/>
        <v>0</v>
      </c>
      <c r="AM35" s="115">
        <f t="shared" si="11"/>
        <v>0</v>
      </c>
      <c r="AN35" s="115">
        <f t="shared" si="11"/>
        <v>0</v>
      </c>
      <c r="AO35" s="115">
        <f t="shared" si="11"/>
        <v>0</v>
      </c>
      <c r="AP35" s="115">
        <f t="shared" si="11"/>
        <v>0</v>
      </c>
      <c r="AQ35" s="115">
        <f t="shared" si="11"/>
        <v>0</v>
      </c>
      <c r="AR35" s="115">
        <f t="shared" si="11"/>
        <v>0</v>
      </c>
      <c r="AS35" s="115">
        <f t="shared" si="11"/>
        <v>0</v>
      </c>
      <c r="AT35" s="115">
        <f t="shared" si="11"/>
        <v>0</v>
      </c>
      <c r="AU35" s="115">
        <f t="shared" si="11"/>
        <v>0</v>
      </c>
      <c r="AV35" s="115">
        <f t="shared" si="11"/>
        <v>0</v>
      </c>
      <c r="AW35" s="115">
        <f t="shared" si="11"/>
        <v>0</v>
      </c>
      <c r="AX35" s="115">
        <f t="shared" si="11"/>
        <v>0</v>
      </c>
      <c r="AY35" s="115">
        <f t="shared" si="11"/>
        <v>0</v>
      </c>
    </row>
    <row r="36" spans="1:52" x14ac:dyDescent="0.2">
      <c r="A36" s="115"/>
      <c r="B36" s="170" t="s">
        <v>346</v>
      </c>
      <c r="C36" s="115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</row>
    <row r="37" spans="1:52" x14ac:dyDescent="0.2">
      <c r="A37" s="115"/>
      <c r="B37" s="170" t="s">
        <v>347</v>
      </c>
      <c r="C37" s="115"/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115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</row>
    <row r="38" spans="1:52" x14ac:dyDescent="0.2">
      <c r="A38" s="115"/>
      <c r="B38" s="170" t="s">
        <v>348</v>
      </c>
      <c r="C38" s="115"/>
      <c r="D38" s="115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</row>
    <row r="39" spans="1:52" x14ac:dyDescent="0.2">
      <c r="A39" s="115"/>
      <c r="B39" s="170" t="s">
        <v>349</v>
      </c>
      <c r="C39" s="115"/>
      <c r="D39" s="115">
        <f>D33-D36</f>
        <v>0</v>
      </c>
      <c r="E39" s="115">
        <f t="shared" ref="E39:AY39" si="12">E33-E36</f>
        <v>0</v>
      </c>
      <c r="F39" s="115">
        <f t="shared" si="12"/>
        <v>0</v>
      </c>
      <c r="G39" s="115">
        <f t="shared" si="12"/>
        <v>0</v>
      </c>
      <c r="H39" s="115">
        <f t="shared" si="12"/>
        <v>0</v>
      </c>
      <c r="I39" s="115">
        <f t="shared" si="12"/>
        <v>0</v>
      </c>
      <c r="J39" s="115">
        <f t="shared" si="12"/>
        <v>0</v>
      </c>
      <c r="K39" s="115">
        <f t="shared" si="12"/>
        <v>0</v>
      </c>
      <c r="L39" s="115">
        <f t="shared" si="12"/>
        <v>0</v>
      </c>
      <c r="M39" s="115">
        <f t="shared" si="12"/>
        <v>0</v>
      </c>
      <c r="N39" s="115">
        <f t="shared" si="12"/>
        <v>0</v>
      </c>
      <c r="O39" s="115">
        <f t="shared" si="12"/>
        <v>0</v>
      </c>
      <c r="P39" s="115">
        <f t="shared" si="12"/>
        <v>0</v>
      </c>
      <c r="Q39" s="115">
        <f t="shared" si="12"/>
        <v>0</v>
      </c>
      <c r="R39" s="115">
        <f t="shared" si="12"/>
        <v>0</v>
      </c>
      <c r="S39" s="115">
        <f t="shared" si="12"/>
        <v>0</v>
      </c>
      <c r="T39" s="115">
        <f t="shared" si="12"/>
        <v>0</v>
      </c>
      <c r="U39" s="115">
        <f t="shared" si="12"/>
        <v>0</v>
      </c>
      <c r="V39" s="115">
        <f t="shared" si="12"/>
        <v>0</v>
      </c>
      <c r="W39" s="115">
        <f t="shared" si="12"/>
        <v>0</v>
      </c>
      <c r="X39" s="115">
        <f t="shared" si="12"/>
        <v>0</v>
      </c>
      <c r="Y39" s="115">
        <f t="shared" si="12"/>
        <v>0</v>
      </c>
      <c r="Z39" s="115">
        <f t="shared" si="12"/>
        <v>0</v>
      </c>
      <c r="AA39" s="115">
        <f t="shared" si="12"/>
        <v>0</v>
      </c>
      <c r="AB39" s="115">
        <f t="shared" si="12"/>
        <v>0</v>
      </c>
      <c r="AC39" s="115">
        <f t="shared" si="12"/>
        <v>0</v>
      </c>
      <c r="AD39" s="115">
        <f t="shared" si="12"/>
        <v>0</v>
      </c>
      <c r="AE39" s="115">
        <f t="shared" si="12"/>
        <v>0</v>
      </c>
      <c r="AF39" s="115">
        <f t="shared" si="12"/>
        <v>0</v>
      </c>
      <c r="AG39" s="115">
        <f t="shared" si="12"/>
        <v>0</v>
      </c>
      <c r="AH39" s="115">
        <f t="shared" si="12"/>
        <v>0</v>
      </c>
      <c r="AI39" s="115">
        <f t="shared" si="12"/>
        <v>0</v>
      </c>
      <c r="AJ39" s="115">
        <f t="shared" si="12"/>
        <v>0</v>
      </c>
      <c r="AK39" s="115">
        <f t="shared" si="12"/>
        <v>0</v>
      </c>
      <c r="AL39" s="115">
        <f t="shared" si="12"/>
        <v>0</v>
      </c>
      <c r="AM39" s="115">
        <f t="shared" si="12"/>
        <v>0</v>
      </c>
      <c r="AN39" s="115">
        <f t="shared" si="12"/>
        <v>0</v>
      </c>
      <c r="AO39" s="115">
        <f t="shared" si="12"/>
        <v>0</v>
      </c>
      <c r="AP39" s="115">
        <f t="shared" si="12"/>
        <v>0</v>
      </c>
      <c r="AQ39" s="115">
        <f t="shared" si="12"/>
        <v>0</v>
      </c>
      <c r="AR39" s="115">
        <f t="shared" si="12"/>
        <v>0</v>
      </c>
      <c r="AS39" s="115">
        <f t="shared" si="12"/>
        <v>0</v>
      </c>
      <c r="AT39" s="115">
        <f t="shared" si="12"/>
        <v>0</v>
      </c>
      <c r="AU39" s="115">
        <f t="shared" si="12"/>
        <v>0</v>
      </c>
      <c r="AV39" s="115">
        <f t="shared" si="12"/>
        <v>0</v>
      </c>
      <c r="AW39" s="115">
        <f t="shared" si="12"/>
        <v>0</v>
      </c>
      <c r="AX39" s="115">
        <f t="shared" si="12"/>
        <v>0</v>
      </c>
      <c r="AY39" s="115">
        <f t="shared" si="12"/>
        <v>0</v>
      </c>
    </row>
    <row r="40" spans="1:52" x14ac:dyDescent="0.2">
      <c r="A40" s="115"/>
      <c r="B40" s="170" t="s">
        <v>350</v>
      </c>
      <c r="C40" s="115"/>
      <c r="D40" s="115">
        <f>D34-D37</f>
        <v>0</v>
      </c>
      <c r="E40" s="115">
        <f t="shared" ref="E40:AY40" si="13">E34-E37</f>
        <v>0</v>
      </c>
      <c r="F40" s="115">
        <f t="shared" si="13"/>
        <v>0</v>
      </c>
      <c r="G40" s="115">
        <f t="shared" si="13"/>
        <v>0</v>
      </c>
      <c r="H40" s="115">
        <f t="shared" si="13"/>
        <v>0</v>
      </c>
      <c r="I40" s="115">
        <f t="shared" si="13"/>
        <v>0</v>
      </c>
      <c r="J40" s="115">
        <f t="shared" si="13"/>
        <v>0</v>
      </c>
      <c r="K40" s="115">
        <f t="shared" si="13"/>
        <v>0</v>
      </c>
      <c r="L40" s="115">
        <f t="shared" si="13"/>
        <v>0</v>
      </c>
      <c r="M40" s="115">
        <f t="shared" si="13"/>
        <v>0</v>
      </c>
      <c r="N40" s="115">
        <f t="shared" si="13"/>
        <v>0</v>
      </c>
      <c r="O40" s="115">
        <f t="shared" si="13"/>
        <v>0</v>
      </c>
      <c r="P40" s="115">
        <f t="shared" si="13"/>
        <v>0</v>
      </c>
      <c r="Q40" s="115">
        <f t="shared" si="13"/>
        <v>0</v>
      </c>
      <c r="R40" s="115">
        <f t="shared" si="13"/>
        <v>0</v>
      </c>
      <c r="S40" s="115">
        <f t="shared" si="13"/>
        <v>0</v>
      </c>
      <c r="T40" s="115">
        <f t="shared" si="13"/>
        <v>0</v>
      </c>
      <c r="U40" s="115">
        <f t="shared" si="13"/>
        <v>0</v>
      </c>
      <c r="V40" s="115">
        <f t="shared" si="13"/>
        <v>0</v>
      </c>
      <c r="W40" s="115">
        <f t="shared" si="13"/>
        <v>0</v>
      </c>
      <c r="X40" s="115">
        <f t="shared" si="13"/>
        <v>0</v>
      </c>
      <c r="Y40" s="115">
        <f t="shared" si="13"/>
        <v>0</v>
      </c>
      <c r="Z40" s="115">
        <f t="shared" si="13"/>
        <v>0</v>
      </c>
      <c r="AA40" s="115">
        <f t="shared" si="13"/>
        <v>0</v>
      </c>
      <c r="AB40" s="115">
        <f t="shared" si="13"/>
        <v>0</v>
      </c>
      <c r="AC40" s="115">
        <f t="shared" si="13"/>
        <v>0</v>
      </c>
      <c r="AD40" s="115">
        <f t="shared" si="13"/>
        <v>0</v>
      </c>
      <c r="AE40" s="115">
        <f t="shared" si="13"/>
        <v>0</v>
      </c>
      <c r="AF40" s="115">
        <f t="shared" si="13"/>
        <v>0</v>
      </c>
      <c r="AG40" s="115">
        <f t="shared" si="13"/>
        <v>0</v>
      </c>
      <c r="AH40" s="115">
        <f t="shared" si="13"/>
        <v>0</v>
      </c>
      <c r="AI40" s="115">
        <f t="shared" si="13"/>
        <v>0</v>
      </c>
      <c r="AJ40" s="115">
        <f t="shared" si="13"/>
        <v>0</v>
      </c>
      <c r="AK40" s="115">
        <f t="shared" si="13"/>
        <v>0</v>
      </c>
      <c r="AL40" s="115">
        <f t="shared" si="13"/>
        <v>0</v>
      </c>
      <c r="AM40" s="115">
        <f t="shared" si="13"/>
        <v>0</v>
      </c>
      <c r="AN40" s="115">
        <f t="shared" si="13"/>
        <v>0</v>
      </c>
      <c r="AO40" s="115">
        <f t="shared" si="13"/>
        <v>0</v>
      </c>
      <c r="AP40" s="115">
        <f t="shared" si="13"/>
        <v>0</v>
      </c>
      <c r="AQ40" s="115">
        <f t="shared" si="13"/>
        <v>0</v>
      </c>
      <c r="AR40" s="115">
        <f t="shared" si="13"/>
        <v>0</v>
      </c>
      <c r="AS40" s="115">
        <f t="shared" si="13"/>
        <v>0</v>
      </c>
      <c r="AT40" s="115">
        <f t="shared" si="13"/>
        <v>0</v>
      </c>
      <c r="AU40" s="115">
        <f t="shared" si="13"/>
        <v>0</v>
      </c>
      <c r="AV40" s="115">
        <f t="shared" si="13"/>
        <v>0</v>
      </c>
      <c r="AW40" s="115">
        <f t="shared" si="13"/>
        <v>0</v>
      </c>
      <c r="AX40" s="115">
        <f t="shared" si="13"/>
        <v>0</v>
      </c>
      <c r="AY40" s="115">
        <f t="shared" si="13"/>
        <v>0</v>
      </c>
    </row>
    <row r="41" spans="1:52" x14ac:dyDescent="0.2">
      <c r="A41" s="115"/>
      <c r="B41" s="170" t="s">
        <v>351</v>
      </c>
      <c r="C41" s="115"/>
      <c r="D41" s="115">
        <v>1</v>
      </c>
      <c r="E41" s="115">
        <v>1</v>
      </c>
      <c r="F41" s="115">
        <v>3</v>
      </c>
      <c r="G41" s="115">
        <v>1</v>
      </c>
      <c r="H41" s="115">
        <v>1</v>
      </c>
      <c r="I41" s="115">
        <v>1</v>
      </c>
      <c r="J41" s="115">
        <v>1</v>
      </c>
      <c r="K41" s="115">
        <v>1</v>
      </c>
      <c r="L41" s="115">
        <v>1</v>
      </c>
      <c r="M41" s="115">
        <v>1</v>
      </c>
      <c r="N41" s="115">
        <v>1</v>
      </c>
      <c r="O41" s="115">
        <v>2</v>
      </c>
      <c r="P41" s="115">
        <v>1</v>
      </c>
      <c r="Q41" s="115">
        <v>1</v>
      </c>
      <c r="R41" s="115">
        <v>2</v>
      </c>
      <c r="S41" s="115">
        <v>2</v>
      </c>
      <c r="T41" s="115">
        <v>1</v>
      </c>
      <c r="U41" s="115">
        <v>3</v>
      </c>
      <c r="V41" s="115">
        <v>3</v>
      </c>
      <c r="W41" s="115">
        <v>1</v>
      </c>
      <c r="X41" s="115">
        <v>3</v>
      </c>
      <c r="Y41" s="115">
        <v>1</v>
      </c>
      <c r="Z41" s="115">
        <v>2</v>
      </c>
      <c r="AA41" s="115">
        <v>2</v>
      </c>
      <c r="AB41" s="115">
        <v>2</v>
      </c>
      <c r="AC41" s="115">
        <v>1</v>
      </c>
      <c r="AD41" s="115">
        <v>2</v>
      </c>
      <c r="AE41" s="115">
        <v>1</v>
      </c>
      <c r="AF41" s="115">
        <v>2</v>
      </c>
      <c r="AG41" s="115">
        <v>3</v>
      </c>
      <c r="AH41" s="115">
        <v>1</v>
      </c>
      <c r="AI41" s="115">
        <v>1</v>
      </c>
      <c r="AJ41" s="115">
        <v>1</v>
      </c>
      <c r="AK41" s="115">
        <v>2</v>
      </c>
      <c r="AL41" s="115">
        <v>1</v>
      </c>
      <c r="AM41" s="115">
        <v>1</v>
      </c>
      <c r="AN41" s="115">
        <v>1</v>
      </c>
      <c r="AO41" s="115">
        <v>2</v>
      </c>
      <c r="AP41" s="115">
        <v>2</v>
      </c>
      <c r="AQ41" s="115">
        <v>2</v>
      </c>
      <c r="AR41" s="115">
        <v>3</v>
      </c>
      <c r="AS41" s="115">
        <v>3</v>
      </c>
      <c r="AT41" s="115">
        <v>2</v>
      </c>
      <c r="AU41" s="115">
        <v>1</v>
      </c>
      <c r="AV41" s="115">
        <v>2</v>
      </c>
      <c r="AW41" s="115">
        <v>1</v>
      </c>
      <c r="AX41" s="115">
        <v>1</v>
      </c>
      <c r="AY41" s="115">
        <v>1</v>
      </c>
    </row>
    <row r="42" spans="1:52" x14ac:dyDescent="0.2">
      <c r="A42" s="115"/>
      <c r="B42" s="183" t="s">
        <v>352</v>
      </c>
      <c r="C42" s="115"/>
      <c r="D42" s="115">
        <v>0</v>
      </c>
      <c r="E42" s="115">
        <v>0</v>
      </c>
      <c r="F42" s="115">
        <v>0</v>
      </c>
      <c r="G42" s="115">
        <v>0</v>
      </c>
      <c r="H42" s="115">
        <v>0</v>
      </c>
      <c r="I42" s="115">
        <v>0</v>
      </c>
      <c r="J42" s="115">
        <v>0</v>
      </c>
      <c r="K42" s="115">
        <v>0</v>
      </c>
      <c r="L42" s="115">
        <v>0</v>
      </c>
      <c r="M42" s="115">
        <v>0</v>
      </c>
      <c r="N42" s="115">
        <v>0</v>
      </c>
      <c r="O42" s="115">
        <v>0</v>
      </c>
      <c r="P42" s="115">
        <v>0</v>
      </c>
      <c r="Q42" s="115">
        <v>0</v>
      </c>
      <c r="R42" s="115">
        <v>0</v>
      </c>
      <c r="S42" s="115">
        <v>0</v>
      </c>
      <c r="T42" s="115">
        <v>0</v>
      </c>
      <c r="U42" s="115">
        <v>0</v>
      </c>
      <c r="V42" s="115">
        <v>0</v>
      </c>
      <c r="W42" s="115">
        <v>0</v>
      </c>
      <c r="X42" s="115">
        <v>0</v>
      </c>
      <c r="Y42" s="115">
        <v>0</v>
      </c>
      <c r="Z42" s="115">
        <v>0</v>
      </c>
      <c r="AA42" s="115">
        <v>0</v>
      </c>
      <c r="AB42" s="115">
        <v>0</v>
      </c>
      <c r="AC42" s="115">
        <v>0</v>
      </c>
      <c r="AD42" s="115">
        <v>0</v>
      </c>
      <c r="AE42" s="115">
        <v>0</v>
      </c>
      <c r="AF42" s="115">
        <v>0</v>
      </c>
      <c r="AG42" s="115">
        <v>0</v>
      </c>
      <c r="AH42" s="115">
        <v>0</v>
      </c>
      <c r="AI42" s="115">
        <v>0</v>
      </c>
      <c r="AJ42" s="115">
        <v>0</v>
      </c>
      <c r="AK42" s="115">
        <v>0</v>
      </c>
      <c r="AL42" s="115">
        <v>0</v>
      </c>
      <c r="AM42" s="115">
        <v>0</v>
      </c>
      <c r="AN42" s="115">
        <v>0</v>
      </c>
      <c r="AO42" s="115">
        <v>0</v>
      </c>
      <c r="AP42" s="115">
        <v>0</v>
      </c>
      <c r="AQ42" s="115">
        <v>0</v>
      </c>
      <c r="AR42" s="115">
        <v>0</v>
      </c>
      <c r="AS42" s="115">
        <v>0</v>
      </c>
      <c r="AT42" s="115">
        <v>0</v>
      </c>
      <c r="AU42" s="115">
        <v>0</v>
      </c>
      <c r="AV42" s="115">
        <v>0</v>
      </c>
      <c r="AW42" s="115">
        <v>0</v>
      </c>
      <c r="AX42" s="115">
        <v>0</v>
      </c>
      <c r="AY42" s="115">
        <v>0</v>
      </c>
      <c r="AZ42" s="105">
        <f>SUM($D$42:$AY$42)</f>
        <v>0</v>
      </c>
    </row>
    <row r="43" spans="1:52" x14ac:dyDescent="0.2">
      <c r="A43" s="115"/>
      <c r="B43" s="183" t="s">
        <v>353</v>
      </c>
      <c r="C43" s="115"/>
      <c r="D43" s="115">
        <v>0</v>
      </c>
      <c r="E43" s="115">
        <v>0</v>
      </c>
      <c r="F43" s="115">
        <v>0</v>
      </c>
      <c r="G43" s="115">
        <v>0</v>
      </c>
      <c r="H43" s="115">
        <v>0</v>
      </c>
      <c r="I43" s="115">
        <v>0</v>
      </c>
      <c r="J43" s="115">
        <v>0</v>
      </c>
      <c r="K43" s="115">
        <v>0</v>
      </c>
      <c r="L43" s="115">
        <v>0</v>
      </c>
      <c r="M43" s="115">
        <v>0</v>
      </c>
      <c r="N43" s="115">
        <v>0</v>
      </c>
      <c r="O43" s="115">
        <v>0</v>
      </c>
      <c r="P43" s="115">
        <v>0</v>
      </c>
      <c r="Q43" s="115">
        <v>0</v>
      </c>
      <c r="R43" s="115">
        <v>0</v>
      </c>
      <c r="S43" s="115">
        <v>0</v>
      </c>
      <c r="T43" s="115">
        <v>0</v>
      </c>
      <c r="U43" s="115">
        <v>0</v>
      </c>
      <c r="V43" s="115">
        <v>0</v>
      </c>
      <c r="W43" s="115">
        <v>0</v>
      </c>
      <c r="X43" s="115">
        <v>0</v>
      </c>
      <c r="Y43" s="115">
        <v>0</v>
      </c>
      <c r="Z43" s="115">
        <v>0</v>
      </c>
      <c r="AA43" s="115">
        <v>0</v>
      </c>
      <c r="AB43" s="115">
        <v>0</v>
      </c>
      <c r="AC43" s="115">
        <v>0</v>
      </c>
      <c r="AD43" s="115">
        <v>0</v>
      </c>
      <c r="AE43" s="115">
        <v>0</v>
      </c>
      <c r="AF43" s="115">
        <v>0</v>
      </c>
      <c r="AG43" s="115">
        <v>0</v>
      </c>
      <c r="AH43" s="115">
        <v>0</v>
      </c>
      <c r="AI43" s="115">
        <v>0</v>
      </c>
      <c r="AJ43" s="115">
        <v>0</v>
      </c>
      <c r="AK43" s="115">
        <v>0</v>
      </c>
      <c r="AL43" s="115">
        <v>0</v>
      </c>
      <c r="AM43" s="115">
        <v>0</v>
      </c>
      <c r="AN43" s="115">
        <v>0</v>
      </c>
      <c r="AO43" s="115">
        <v>0</v>
      </c>
      <c r="AP43" s="115">
        <v>0</v>
      </c>
      <c r="AQ43" s="115">
        <v>0</v>
      </c>
      <c r="AR43" s="115">
        <v>0</v>
      </c>
      <c r="AS43" s="115">
        <v>0</v>
      </c>
      <c r="AT43" s="115">
        <v>0</v>
      </c>
      <c r="AU43" s="115">
        <v>0</v>
      </c>
      <c r="AV43" s="115">
        <v>0</v>
      </c>
      <c r="AW43" s="115">
        <v>0</v>
      </c>
      <c r="AX43" s="115">
        <v>0</v>
      </c>
      <c r="AY43" s="115">
        <v>0</v>
      </c>
      <c r="AZ43" s="105">
        <f>SUM($D$43:$AY$43)</f>
        <v>0</v>
      </c>
    </row>
    <row r="44" spans="1:52" x14ac:dyDescent="0.2">
      <c r="A44" s="140" t="s">
        <v>49</v>
      </c>
      <c r="B44" s="140" t="s">
        <v>343</v>
      </c>
      <c r="C44" s="129"/>
      <c r="D44" s="129">
        <f>D$21*shipping_manufacturing!$H$28/100</f>
        <v>0</v>
      </c>
      <c r="E44" s="129">
        <f>E$21*shipping_manufacturing!$H$28/100</f>
        <v>0</v>
      </c>
      <c r="F44" s="129">
        <f>F$21*shipping_manufacturing!$H$28/100</f>
        <v>0</v>
      </c>
      <c r="G44" s="129">
        <f>G$21*shipping_manufacturing!$H$28/100</f>
        <v>0</v>
      </c>
      <c r="H44" s="129">
        <f>H$21*shipping_manufacturing!$H$28/100</f>
        <v>0</v>
      </c>
      <c r="I44" s="129">
        <f>I$21*shipping_manufacturing!$H$28/100</f>
        <v>0</v>
      </c>
      <c r="J44" s="129">
        <f>J$21*shipping_manufacturing!$H$28/100</f>
        <v>0</v>
      </c>
      <c r="K44" s="129">
        <f>K$21*shipping_manufacturing!$H$28/100</f>
        <v>0</v>
      </c>
      <c r="L44" s="129">
        <f>L$21*shipping_manufacturing!$H$28/100</f>
        <v>0</v>
      </c>
      <c r="M44" s="129">
        <f>M$21*shipping_manufacturing!$H$28/100</f>
        <v>0</v>
      </c>
      <c r="N44" s="129">
        <f>N$21*shipping_manufacturing!$H$28/100</f>
        <v>0</v>
      </c>
      <c r="O44" s="129">
        <f>O$21*shipping_manufacturing!$H$28/100</f>
        <v>0</v>
      </c>
      <c r="P44" s="129">
        <f>P$21*shipping_manufacturing!$H$28/100</f>
        <v>0</v>
      </c>
      <c r="Q44" s="129">
        <f>Q$21*shipping_manufacturing!$H$28/100</f>
        <v>0</v>
      </c>
      <c r="R44" s="129">
        <f>R$21*shipping_manufacturing!$H$28/100</f>
        <v>0</v>
      </c>
      <c r="S44" s="129">
        <f>S$21*shipping_manufacturing!$H$28/100</f>
        <v>0</v>
      </c>
      <c r="T44" s="129">
        <f>T$21*shipping_manufacturing!$H$28/100</f>
        <v>0</v>
      </c>
      <c r="U44" s="129">
        <f>U$21*shipping_manufacturing!$H$28/100</f>
        <v>0</v>
      </c>
      <c r="V44" s="129">
        <f>V$21*shipping_manufacturing!$H$28/100</f>
        <v>0</v>
      </c>
      <c r="W44" s="129">
        <f>W$21*shipping_manufacturing!$H$28/100</f>
        <v>0</v>
      </c>
      <c r="X44" s="129">
        <f>X$21*shipping_manufacturing!$H$28/100</f>
        <v>0</v>
      </c>
      <c r="Y44" s="129">
        <f>Y$21*shipping_manufacturing!$H$28/100</f>
        <v>0</v>
      </c>
      <c r="Z44" s="129">
        <f>Z$21*shipping_manufacturing!$H$28/100</f>
        <v>0</v>
      </c>
      <c r="AA44" s="129">
        <f>AA$21*shipping_manufacturing!$H$28/100</f>
        <v>0</v>
      </c>
      <c r="AB44" s="129">
        <f>AB$21*shipping_manufacturing!$H$28/100</f>
        <v>0</v>
      </c>
      <c r="AC44" s="129">
        <f>AC$21*shipping_manufacturing!$H$28/100</f>
        <v>0</v>
      </c>
      <c r="AD44" s="129">
        <f>AD$21*shipping_manufacturing!$H$28/100</f>
        <v>0</v>
      </c>
      <c r="AE44" s="129">
        <f>AE$21*shipping_manufacturing!$H$28/100</f>
        <v>0</v>
      </c>
      <c r="AF44" s="129">
        <f>AF$21*shipping_manufacturing!$H$28/100</f>
        <v>0</v>
      </c>
      <c r="AG44" s="129">
        <f>AG$21*shipping_manufacturing!$H$28/100</f>
        <v>0</v>
      </c>
      <c r="AH44" s="129">
        <f>AH$21*shipping_manufacturing!$H$28/100</f>
        <v>0</v>
      </c>
      <c r="AI44" s="129">
        <f>AI$21*shipping_manufacturing!$H$28/100</f>
        <v>0</v>
      </c>
      <c r="AJ44" s="129">
        <f>AJ$21*shipping_manufacturing!$H$28/100</f>
        <v>0</v>
      </c>
      <c r="AK44" s="129">
        <f>AK$21*shipping_manufacturing!$H$28/100</f>
        <v>0</v>
      </c>
      <c r="AL44" s="129">
        <f>AL$21*shipping_manufacturing!$H$28/100</f>
        <v>0</v>
      </c>
      <c r="AM44" s="129">
        <f>AM$21*shipping_manufacturing!$H$28/100</f>
        <v>0</v>
      </c>
      <c r="AN44" s="129">
        <f>AN$21*shipping_manufacturing!$H$28/100</f>
        <v>0</v>
      </c>
      <c r="AO44" s="129">
        <f>AO$21*shipping_manufacturing!$H$28/100</f>
        <v>0</v>
      </c>
      <c r="AP44" s="129">
        <f>AP$21*shipping_manufacturing!$H$28/100</f>
        <v>0</v>
      </c>
      <c r="AQ44" s="129">
        <f>AQ$21*shipping_manufacturing!$H$28/100</f>
        <v>0</v>
      </c>
      <c r="AR44" s="129">
        <f>AR$21*shipping_manufacturing!$H$28/100</f>
        <v>0</v>
      </c>
      <c r="AS44" s="129">
        <f>AS$21*shipping_manufacturing!$H$28/100</f>
        <v>0</v>
      </c>
      <c r="AT44" s="129">
        <f>AT$21*shipping_manufacturing!$H$28/100</f>
        <v>0</v>
      </c>
      <c r="AU44" s="129">
        <f>AU$21*shipping_manufacturing!$H$28/100</f>
        <v>0</v>
      </c>
      <c r="AV44" s="129">
        <f>AV$21*shipping_manufacturing!$H$28/100</f>
        <v>0</v>
      </c>
      <c r="AW44" s="129">
        <f>AW$21*shipping_manufacturing!$H$28/100</f>
        <v>0</v>
      </c>
      <c r="AX44" s="129">
        <f>AX$21*shipping_manufacturing!$H$28/100</f>
        <v>0</v>
      </c>
      <c r="AY44" s="129">
        <f>AY$21*shipping_manufacturing!$H$28/100</f>
        <v>0</v>
      </c>
    </row>
    <row r="45" spans="1:52" x14ac:dyDescent="0.2">
      <c r="A45" s="118" t="s">
        <v>342</v>
      </c>
      <c r="B45" s="170" t="s">
        <v>344</v>
      </c>
      <c r="C45" s="115"/>
      <c r="D45" s="115">
        <f>D$22*shipping_manufacturing!$I$28/100</f>
        <v>0</v>
      </c>
      <c r="E45" s="115">
        <f>E$22*shipping_manufacturing!$I$28/100</f>
        <v>0</v>
      </c>
      <c r="F45" s="115">
        <f>F$22*shipping_manufacturing!$I$28/100</f>
        <v>0</v>
      </c>
      <c r="G45" s="115">
        <f>G$22*shipping_manufacturing!$I$28/100</f>
        <v>0</v>
      </c>
      <c r="H45" s="115">
        <f>H$22*shipping_manufacturing!$I$28/100</f>
        <v>0</v>
      </c>
      <c r="I45" s="115">
        <f>I$22*shipping_manufacturing!$I$28/100</f>
        <v>0</v>
      </c>
      <c r="J45" s="115">
        <f>J$22*shipping_manufacturing!$I$28/100</f>
        <v>0</v>
      </c>
      <c r="K45" s="115">
        <f>K$22*shipping_manufacturing!$I$28/100</f>
        <v>0</v>
      </c>
      <c r="L45" s="115">
        <f>L$22*shipping_manufacturing!$I$28/100</f>
        <v>0</v>
      </c>
      <c r="M45" s="115">
        <f>M$22*shipping_manufacturing!$I$28/100</f>
        <v>0</v>
      </c>
      <c r="N45" s="115">
        <f>N$22*shipping_manufacturing!$I$28/100</f>
        <v>0</v>
      </c>
      <c r="O45" s="115">
        <f>O$22*shipping_manufacturing!$I$28/100</f>
        <v>0</v>
      </c>
      <c r="P45" s="115">
        <f>P$22*shipping_manufacturing!$I$28/100</f>
        <v>0</v>
      </c>
      <c r="Q45" s="115">
        <f>Q$22*shipping_manufacturing!$I$28/100</f>
        <v>0</v>
      </c>
      <c r="R45" s="115">
        <f>R$22*shipping_manufacturing!$I$28/100</f>
        <v>0</v>
      </c>
      <c r="S45" s="115">
        <f>S$22*shipping_manufacturing!$I$28/100</f>
        <v>0</v>
      </c>
      <c r="T45" s="115">
        <f>T$22*shipping_manufacturing!$I$28/100</f>
        <v>0</v>
      </c>
      <c r="U45" s="115">
        <f>U$22*shipping_manufacturing!$I$28/100</f>
        <v>0</v>
      </c>
      <c r="V45" s="115">
        <f>V$22*shipping_manufacturing!$I$28/100</f>
        <v>0</v>
      </c>
      <c r="W45" s="115">
        <f>W$22*shipping_manufacturing!$I$28/100</f>
        <v>0</v>
      </c>
      <c r="X45" s="115">
        <f>X$22*shipping_manufacturing!$I$28/100</f>
        <v>0</v>
      </c>
      <c r="Y45" s="115">
        <f>Y$22*shipping_manufacturing!$I$28/100</f>
        <v>0</v>
      </c>
      <c r="Z45" s="115">
        <f>Z$22*shipping_manufacturing!$I$28/100</f>
        <v>0</v>
      </c>
      <c r="AA45" s="115">
        <f>AA$22*shipping_manufacturing!$I$28/100</f>
        <v>0</v>
      </c>
      <c r="AB45" s="115">
        <f>AB$22*shipping_manufacturing!$I$28/100</f>
        <v>0</v>
      </c>
      <c r="AC45" s="115">
        <f>AC$22*shipping_manufacturing!$I$28/100</f>
        <v>0</v>
      </c>
      <c r="AD45" s="115">
        <f>AD$22*shipping_manufacturing!$I$28/100</f>
        <v>0</v>
      </c>
      <c r="AE45" s="115">
        <f>AE$22*shipping_manufacturing!$I$28/100</f>
        <v>0</v>
      </c>
      <c r="AF45" s="115">
        <f>AF$22*shipping_manufacturing!$I$28/100</f>
        <v>0</v>
      </c>
      <c r="AG45" s="115">
        <f>AG$22*shipping_manufacturing!$I$28/100</f>
        <v>0</v>
      </c>
      <c r="AH45" s="115">
        <f>AH$22*shipping_manufacturing!$I$28/100</f>
        <v>0</v>
      </c>
      <c r="AI45" s="115">
        <f>AI$22*shipping_manufacturing!$I$28/100</f>
        <v>0</v>
      </c>
      <c r="AJ45" s="115">
        <f>AJ$22*shipping_manufacturing!$I$28/100</f>
        <v>0</v>
      </c>
      <c r="AK45" s="115">
        <f>AK$22*shipping_manufacturing!$I$28/100</f>
        <v>0</v>
      </c>
      <c r="AL45" s="115">
        <f>AL$22*shipping_manufacturing!$I$28/100</f>
        <v>0</v>
      </c>
      <c r="AM45" s="115">
        <f>AM$22*shipping_manufacturing!$I$28/100</f>
        <v>0</v>
      </c>
      <c r="AN45" s="115">
        <f>AN$22*shipping_manufacturing!$I$28/100</f>
        <v>0</v>
      </c>
      <c r="AO45" s="115">
        <f>AO$22*shipping_manufacturing!$I$28/100</f>
        <v>0</v>
      </c>
      <c r="AP45" s="115">
        <f>AP$22*shipping_manufacturing!$I$28/100</f>
        <v>0</v>
      </c>
      <c r="AQ45" s="115">
        <f>AQ$22*shipping_manufacturing!$I$28/100</f>
        <v>0</v>
      </c>
      <c r="AR45" s="115">
        <f>AR$22*shipping_manufacturing!$I$28/100</f>
        <v>0</v>
      </c>
      <c r="AS45" s="115">
        <f>AS$22*shipping_manufacturing!$I$28/100</f>
        <v>0</v>
      </c>
      <c r="AT45" s="115">
        <f>AT$22*shipping_manufacturing!$I$28/100</f>
        <v>0</v>
      </c>
      <c r="AU45" s="115">
        <f>AU$22*shipping_manufacturing!$I$28/100</f>
        <v>0</v>
      </c>
      <c r="AV45" s="115">
        <f>AV$22*shipping_manufacturing!$I$28/100</f>
        <v>0</v>
      </c>
      <c r="AW45" s="115">
        <f>AW$22*shipping_manufacturing!$I$28/100</f>
        <v>0</v>
      </c>
      <c r="AX45" s="115">
        <f>AX$22*shipping_manufacturing!$I$28/100</f>
        <v>0</v>
      </c>
      <c r="AY45" s="115">
        <f>AY$22*shipping_manufacturing!$I$28/100</f>
        <v>0</v>
      </c>
    </row>
    <row r="46" spans="1:52" x14ac:dyDescent="0.2">
      <c r="A46" s="115">
        <v>2353</v>
      </c>
      <c r="B46" s="170" t="s">
        <v>345</v>
      </c>
      <c r="C46" s="115"/>
      <c r="D46" s="115">
        <f>SUM(D44:D45)</f>
        <v>0</v>
      </c>
      <c r="E46" s="115">
        <f t="shared" ref="E46:AY46" si="14">SUM(E44:E45)</f>
        <v>0</v>
      </c>
      <c r="F46" s="115">
        <f t="shared" si="14"/>
        <v>0</v>
      </c>
      <c r="G46" s="115">
        <f t="shared" si="14"/>
        <v>0</v>
      </c>
      <c r="H46" s="115">
        <f t="shared" si="14"/>
        <v>0</v>
      </c>
      <c r="I46" s="115">
        <f t="shared" si="14"/>
        <v>0</v>
      </c>
      <c r="J46" s="115">
        <f t="shared" si="14"/>
        <v>0</v>
      </c>
      <c r="K46" s="115">
        <f t="shared" si="14"/>
        <v>0</v>
      </c>
      <c r="L46" s="115">
        <f t="shared" si="14"/>
        <v>0</v>
      </c>
      <c r="M46" s="115">
        <f t="shared" si="14"/>
        <v>0</v>
      </c>
      <c r="N46" s="115">
        <f t="shared" si="14"/>
        <v>0</v>
      </c>
      <c r="O46" s="115">
        <f t="shared" si="14"/>
        <v>0</v>
      </c>
      <c r="P46" s="115">
        <f t="shared" si="14"/>
        <v>0</v>
      </c>
      <c r="Q46" s="115">
        <f t="shared" si="14"/>
        <v>0</v>
      </c>
      <c r="R46" s="115">
        <f t="shared" si="14"/>
        <v>0</v>
      </c>
      <c r="S46" s="115">
        <f t="shared" si="14"/>
        <v>0</v>
      </c>
      <c r="T46" s="115">
        <f t="shared" si="14"/>
        <v>0</v>
      </c>
      <c r="U46" s="115">
        <f t="shared" si="14"/>
        <v>0</v>
      </c>
      <c r="V46" s="115">
        <f t="shared" si="14"/>
        <v>0</v>
      </c>
      <c r="W46" s="115">
        <f t="shared" si="14"/>
        <v>0</v>
      </c>
      <c r="X46" s="115">
        <f t="shared" si="14"/>
        <v>0</v>
      </c>
      <c r="Y46" s="115">
        <f t="shared" si="14"/>
        <v>0</v>
      </c>
      <c r="Z46" s="115">
        <f t="shared" si="14"/>
        <v>0</v>
      </c>
      <c r="AA46" s="115">
        <f t="shared" si="14"/>
        <v>0</v>
      </c>
      <c r="AB46" s="115">
        <f t="shared" si="14"/>
        <v>0</v>
      </c>
      <c r="AC46" s="115">
        <f t="shared" si="14"/>
        <v>0</v>
      </c>
      <c r="AD46" s="115">
        <f t="shared" si="14"/>
        <v>0</v>
      </c>
      <c r="AE46" s="115">
        <f t="shared" si="14"/>
        <v>0</v>
      </c>
      <c r="AF46" s="115">
        <f t="shared" si="14"/>
        <v>0</v>
      </c>
      <c r="AG46" s="115">
        <f t="shared" si="14"/>
        <v>0</v>
      </c>
      <c r="AH46" s="115">
        <f t="shared" si="14"/>
        <v>0</v>
      </c>
      <c r="AI46" s="115">
        <f t="shared" si="14"/>
        <v>0</v>
      </c>
      <c r="AJ46" s="115">
        <f t="shared" si="14"/>
        <v>0</v>
      </c>
      <c r="AK46" s="115">
        <f t="shared" si="14"/>
        <v>0</v>
      </c>
      <c r="AL46" s="115">
        <f t="shared" si="14"/>
        <v>0</v>
      </c>
      <c r="AM46" s="115">
        <f t="shared" si="14"/>
        <v>0</v>
      </c>
      <c r="AN46" s="115">
        <f t="shared" si="14"/>
        <v>0</v>
      </c>
      <c r="AO46" s="115">
        <f t="shared" si="14"/>
        <v>0</v>
      </c>
      <c r="AP46" s="115">
        <f t="shared" si="14"/>
        <v>0</v>
      </c>
      <c r="AQ46" s="115">
        <f t="shared" si="14"/>
        <v>0</v>
      </c>
      <c r="AR46" s="115">
        <f t="shared" si="14"/>
        <v>0</v>
      </c>
      <c r="AS46" s="115">
        <f t="shared" si="14"/>
        <v>0</v>
      </c>
      <c r="AT46" s="115">
        <f t="shared" si="14"/>
        <v>0</v>
      </c>
      <c r="AU46" s="115">
        <f t="shared" si="14"/>
        <v>0</v>
      </c>
      <c r="AV46" s="115">
        <f t="shared" si="14"/>
        <v>0</v>
      </c>
      <c r="AW46" s="115">
        <f t="shared" si="14"/>
        <v>0</v>
      </c>
      <c r="AX46" s="115">
        <f t="shared" si="14"/>
        <v>0</v>
      </c>
      <c r="AY46" s="115">
        <f t="shared" si="14"/>
        <v>0</v>
      </c>
    </row>
    <row r="47" spans="1:52" x14ac:dyDescent="0.2">
      <c r="A47" s="115"/>
      <c r="B47" s="170" t="s">
        <v>346</v>
      </c>
      <c r="C47" s="115"/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</row>
    <row r="48" spans="1:52" x14ac:dyDescent="0.2">
      <c r="A48" s="115"/>
      <c r="B48" s="170" t="s">
        <v>347</v>
      </c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</row>
    <row r="49" spans="1:52" x14ac:dyDescent="0.2">
      <c r="A49" s="115"/>
      <c r="B49" s="170" t="s">
        <v>348</v>
      </c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</row>
    <row r="50" spans="1:52" x14ac:dyDescent="0.2">
      <c r="A50" s="115"/>
      <c r="B50" s="170" t="s">
        <v>349</v>
      </c>
      <c r="C50" s="115"/>
      <c r="D50" s="115">
        <f>D44-D47</f>
        <v>0</v>
      </c>
      <c r="E50" s="115">
        <f t="shared" ref="E50:AY50" si="15">E44-E47</f>
        <v>0</v>
      </c>
      <c r="F50" s="115">
        <f t="shared" si="15"/>
        <v>0</v>
      </c>
      <c r="G50" s="115">
        <f t="shared" si="15"/>
        <v>0</v>
      </c>
      <c r="H50" s="115">
        <f t="shared" si="15"/>
        <v>0</v>
      </c>
      <c r="I50" s="115">
        <f t="shared" si="15"/>
        <v>0</v>
      </c>
      <c r="J50" s="115">
        <f t="shared" si="15"/>
        <v>0</v>
      </c>
      <c r="K50" s="115">
        <f t="shared" si="15"/>
        <v>0</v>
      </c>
      <c r="L50" s="115">
        <f t="shared" si="15"/>
        <v>0</v>
      </c>
      <c r="M50" s="115">
        <f t="shared" si="15"/>
        <v>0</v>
      </c>
      <c r="N50" s="115">
        <f t="shared" si="15"/>
        <v>0</v>
      </c>
      <c r="O50" s="115">
        <f t="shared" si="15"/>
        <v>0</v>
      </c>
      <c r="P50" s="115">
        <f t="shared" si="15"/>
        <v>0</v>
      </c>
      <c r="Q50" s="115">
        <f t="shared" si="15"/>
        <v>0</v>
      </c>
      <c r="R50" s="115">
        <f t="shared" si="15"/>
        <v>0</v>
      </c>
      <c r="S50" s="115">
        <f t="shared" si="15"/>
        <v>0</v>
      </c>
      <c r="T50" s="115">
        <f t="shared" si="15"/>
        <v>0</v>
      </c>
      <c r="U50" s="115">
        <f t="shared" si="15"/>
        <v>0</v>
      </c>
      <c r="V50" s="115">
        <f t="shared" si="15"/>
        <v>0</v>
      </c>
      <c r="W50" s="115">
        <f t="shared" si="15"/>
        <v>0</v>
      </c>
      <c r="X50" s="115">
        <f t="shared" si="15"/>
        <v>0</v>
      </c>
      <c r="Y50" s="115">
        <f t="shared" si="15"/>
        <v>0</v>
      </c>
      <c r="Z50" s="115">
        <f t="shared" si="15"/>
        <v>0</v>
      </c>
      <c r="AA50" s="115">
        <f t="shared" si="15"/>
        <v>0</v>
      </c>
      <c r="AB50" s="115">
        <f t="shared" si="15"/>
        <v>0</v>
      </c>
      <c r="AC50" s="115">
        <f t="shared" si="15"/>
        <v>0</v>
      </c>
      <c r="AD50" s="115">
        <f t="shared" si="15"/>
        <v>0</v>
      </c>
      <c r="AE50" s="115">
        <f t="shared" si="15"/>
        <v>0</v>
      </c>
      <c r="AF50" s="115">
        <f t="shared" si="15"/>
        <v>0</v>
      </c>
      <c r="AG50" s="115">
        <f t="shared" si="15"/>
        <v>0</v>
      </c>
      <c r="AH50" s="115">
        <f t="shared" si="15"/>
        <v>0</v>
      </c>
      <c r="AI50" s="115">
        <f t="shared" si="15"/>
        <v>0</v>
      </c>
      <c r="AJ50" s="115">
        <f t="shared" si="15"/>
        <v>0</v>
      </c>
      <c r="AK50" s="115">
        <f t="shared" si="15"/>
        <v>0</v>
      </c>
      <c r="AL50" s="115">
        <f t="shared" si="15"/>
        <v>0</v>
      </c>
      <c r="AM50" s="115">
        <f t="shared" si="15"/>
        <v>0</v>
      </c>
      <c r="AN50" s="115">
        <f t="shared" si="15"/>
        <v>0</v>
      </c>
      <c r="AO50" s="115">
        <f t="shared" si="15"/>
        <v>0</v>
      </c>
      <c r="AP50" s="115">
        <f t="shared" si="15"/>
        <v>0</v>
      </c>
      <c r="AQ50" s="115">
        <f t="shared" si="15"/>
        <v>0</v>
      </c>
      <c r="AR50" s="115">
        <f t="shared" si="15"/>
        <v>0</v>
      </c>
      <c r="AS50" s="115">
        <f t="shared" si="15"/>
        <v>0</v>
      </c>
      <c r="AT50" s="115">
        <f t="shared" si="15"/>
        <v>0</v>
      </c>
      <c r="AU50" s="115">
        <f t="shared" si="15"/>
        <v>0</v>
      </c>
      <c r="AV50" s="115">
        <f t="shared" si="15"/>
        <v>0</v>
      </c>
      <c r="AW50" s="115">
        <f t="shared" si="15"/>
        <v>0</v>
      </c>
      <c r="AX50" s="115">
        <f t="shared" si="15"/>
        <v>0</v>
      </c>
      <c r="AY50" s="115">
        <f t="shared" si="15"/>
        <v>0</v>
      </c>
    </row>
    <row r="51" spans="1:52" x14ac:dyDescent="0.2">
      <c r="A51" s="115"/>
      <c r="B51" s="170" t="s">
        <v>350</v>
      </c>
      <c r="C51" s="115"/>
      <c r="D51" s="115">
        <f>D45-D48</f>
        <v>0</v>
      </c>
      <c r="E51" s="115">
        <f t="shared" ref="E51:AY51" si="16">E45-E48</f>
        <v>0</v>
      </c>
      <c r="F51" s="115">
        <f t="shared" si="16"/>
        <v>0</v>
      </c>
      <c r="G51" s="115">
        <f t="shared" si="16"/>
        <v>0</v>
      </c>
      <c r="H51" s="115">
        <f t="shared" si="16"/>
        <v>0</v>
      </c>
      <c r="I51" s="115">
        <f t="shared" si="16"/>
        <v>0</v>
      </c>
      <c r="J51" s="115">
        <f t="shared" si="16"/>
        <v>0</v>
      </c>
      <c r="K51" s="115">
        <f t="shared" si="16"/>
        <v>0</v>
      </c>
      <c r="L51" s="115">
        <f t="shared" si="16"/>
        <v>0</v>
      </c>
      <c r="M51" s="115">
        <f t="shared" si="16"/>
        <v>0</v>
      </c>
      <c r="N51" s="115">
        <f t="shared" si="16"/>
        <v>0</v>
      </c>
      <c r="O51" s="115">
        <f t="shared" si="16"/>
        <v>0</v>
      </c>
      <c r="P51" s="115">
        <f t="shared" si="16"/>
        <v>0</v>
      </c>
      <c r="Q51" s="115">
        <f t="shared" si="16"/>
        <v>0</v>
      </c>
      <c r="R51" s="115">
        <f t="shared" si="16"/>
        <v>0</v>
      </c>
      <c r="S51" s="115">
        <f t="shared" si="16"/>
        <v>0</v>
      </c>
      <c r="T51" s="115">
        <f t="shared" si="16"/>
        <v>0</v>
      </c>
      <c r="U51" s="115">
        <f t="shared" si="16"/>
        <v>0</v>
      </c>
      <c r="V51" s="115">
        <f t="shared" si="16"/>
        <v>0</v>
      </c>
      <c r="W51" s="115">
        <f t="shared" si="16"/>
        <v>0</v>
      </c>
      <c r="X51" s="115">
        <f t="shared" si="16"/>
        <v>0</v>
      </c>
      <c r="Y51" s="115">
        <f t="shared" si="16"/>
        <v>0</v>
      </c>
      <c r="Z51" s="115">
        <f t="shared" si="16"/>
        <v>0</v>
      </c>
      <c r="AA51" s="115">
        <f t="shared" si="16"/>
        <v>0</v>
      </c>
      <c r="AB51" s="115">
        <f t="shared" si="16"/>
        <v>0</v>
      </c>
      <c r="AC51" s="115">
        <f t="shared" si="16"/>
        <v>0</v>
      </c>
      <c r="AD51" s="115">
        <f t="shared" si="16"/>
        <v>0</v>
      </c>
      <c r="AE51" s="115">
        <f t="shared" si="16"/>
        <v>0</v>
      </c>
      <c r="AF51" s="115">
        <f t="shared" si="16"/>
        <v>0</v>
      </c>
      <c r="AG51" s="115">
        <f t="shared" si="16"/>
        <v>0</v>
      </c>
      <c r="AH51" s="115">
        <f t="shared" si="16"/>
        <v>0</v>
      </c>
      <c r="AI51" s="115">
        <f t="shared" si="16"/>
        <v>0</v>
      </c>
      <c r="AJ51" s="115">
        <f t="shared" si="16"/>
        <v>0</v>
      </c>
      <c r="AK51" s="115">
        <f t="shared" si="16"/>
        <v>0</v>
      </c>
      <c r="AL51" s="115">
        <f t="shared" si="16"/>
        <v>0</v>
      </c>
      <c r="AM51" s="115">
        <f t="shared" si="16"/>
        <v>0</v>
      </c>
      <c r="AN51" s="115">
        <f t="shared" si="16"/>
        <v>0</v>
      </c>
      <c r="AO51" s="115">
        <f t="shared" si="16"/>
        <v>0</v>
      </c>
      <c r="AP51" s="115">
        <f t="shared" si="16"/>
        <v>0</v>
      </c>
      <c r="AQ51" s="115">
        <f t="shared" si="16"/>
        <v>0</v>
      </c>
      <c r="AR51" s="115">
        <f t="shared" si="16"/>
        <v>0</v>
      </c>
      <c r="AS51" s="115">
        <f t="shared" si="16"/>
        <v>0</v>
      </c>
      <c r="AT51" s="115">
        <f t="shared" si="16"/>
        <v>0</v>
      </c>
      <c r="AU51" s="115">
        <f t="shared" si="16"/>
        <v>0</v>
      </c>
      <c r="AV51" s="115">
        <f t="shared" si="16"/>
        <v>0</v>
      </c>
      <c r="AW51" s="115">
        <f t="shared" si="16"/>
        <v>0</v>
      </c>
      <c r="AX51" s="115">
        <f t="shared" si="16"/>
        <v>0</v>
      </c>
      <c r="AY51" s="115">
        <f t="shared" si="16"/>
        <v>0</v>
      </c>
    </row>
    <row r="52" spans="1:52" x14ac:dyDescent="0.2">
      <c r="A52" s="115"/>
      <c r="B52" s="170" t="s">
        <v>351</v>
      </c>
      <c r="C52" s="115"/>
      <c r="D52" s="115">
        <v>2</v>
      </c>
      <c r="E52" s="115">
        <v>2</v>
      </c>
      <c r="F52" s="115">
        <v>4</v>
      </c>
      <c r="G52" s="115">
        <v>3</v>
      </c>
      <c r="H52" s="115">
        <v>2</v>
      </c>
      <c r="I52" s="115">
        <v>2</v>
      </c>
      <c r="J52" s="115">
        <v>4</v>
      </c>
      <c r="K52" s="115">
        <v>3</v>
      </c>
      <c r="L52" s="115">
        <v>2</v>
      </c>
      <c r="M52" s="115">
        <v>2</v>
      </c>
      <c r="N52" s="115">
        <v>2</v>
      </c>
      <c r="O52" s="115">
        <v>2</v>
      </c>
      <c r="P52" s="115">
        <v>3</v>
      </c>
      <c r="Q52" s="115">
        <v>2</v>
      </c>
      <c r="R52" s="115">
        <v>2</v>
      </c>
      <c r="S52" s="115">
        <v>2</v>
      </c>
      <c r="T52" s="115">
        <v>2</v>
      </c>
      <c r="U52" s="115">
        <v>4</v>
      </c>
      <c r="V52" s="115">
        <v>3</v>
      </c>
      <c r="W52" s="115">
        <v>2</v>
      </c>
      <c r="X52" s="115">
        <v>2</v>
      </c>
      <c r="Y52" s="115">
        <v>2</v>
      </c>
      <c r="Z52" s="115">
        <v>3</v>
      </c>
      <c r="AA52" s="115">
        <v>2</v>
      </c>
      <c r="AB52" s="115">
        <v>2</v>
      </c>
      <c r="AC52" s="115">
        <v>2</v>
      </c>
      <c r="AD52" s="115">
        <v>2</v>
      </c>
      <c r="AE52" s="115">
        <v>2</v>
      </c>
      <c r="AF52" s="115">
        <v>2</v>
      </c>
      <c r="AG52" s="115">
        <v>2</v>
      </c>
      <c r="AH52" s="115">
        <v>4</v>
      </c>
      <c r="AI52" s="115">
        <v>2</v>
      </c>
      <c r="AJ52" s="115">
        <v>4</v>
      </c>
      <c r="AK52" s="115">
        <v>2</v>
      </c>
      <c r="AL52" s="115">
        <v>2</v>
      </c>
      <c r="AM52" s="115">
        <v>3</v>
      </c>
      <c r="AN52" s="115">
        <v>2</v>
      </c>
      <c r="AO52" s="115">
        <v>2</v>
      </c>
      <c r="AP52" s="115">
        <v>2</v>
      </c>
      <c r="AQ52" s="115">
        <v>2</v>
      </c>
      <c r="AR52" s="115">
        <v>4</v>
      </c>
      <c r="AS52" s="115">
        <v>2</v>
      </c>
      <c r="AT52" s="115">
        <v>2</v>
      </c>
      <c r="AU52" s="115">
        <v>2</v>
      </c>
      <c r="AV52" s="115">
        <v>3</v>
      </c>
      <c r="AW52" s="115">
        <v>3</v>
      </c>
      <c r="AX52" s="115">
        <v>3</v>
      </c>
      <c r="AY52" s="115">
        <v>2</v>
      </c>
    </row>
    <row r="53" spans="1:52" x14ac:dyDescent="0.2">
      <c r="A53" s="115"/>
      <c r="B53" s="183" t="s">
        <v>352</v>
      </c>
      <c r="C53" s="115"/>
      <c r="D53" s="115">
        <v>0</v>
      </c>
      <c r="E53" s="115">
        <v>0</v>
      </c>
      <c r="F53" s="115">
        <v>0</v>
      </c>
      <c r="G53" s="115">
        <v>0</v>
      </c>
      <c r="H53" s="115">
        <v>0</v>
      </c>
      <c r="I53" s="115">
        <v>0</v>
      </c>
      <c r="J53" s="115">
        <v>0</v>
      </c>
      <c r="K53" s="115">
        <v>0</v>
      </c>
      <c r="L53" s="115">
        <v>0</v>
      </c>
      <c r="M53" s="115">
        <v>0</v>
      </c>
      <c r="N53" s="115">
        <v>0</v>
      </c>
      <c r="O53" s="115">
        <v>0</v>
      </c>
      <c r="P53" s="115">
        <v>0</v>
      </c>
      <c r="Q53" s="115">
        <v>0</v>
      </c>
      <c r="R53" s="115">
        <v>0</v>
      </c>
      <c r="S53" s="115">
        <v>0</v>
      </c>
      <c r="T53" s="115">
        <v>0</v>
      </c>
      <c r="U53" s="115">
        <v>0</v>
      </c>
      <c r="V53" s="115">
        <v>0</v>
      </c>
      <c r="W53" s="115">
        <v>0</v>
      </c>
      <c r="X53" s="115">
        <v>0</v>
      </c>
      <c r="Y53" s="115">
        <v>0</v>
      </c>
      <c r="Z53" s="115">
        <v>0</v>
      </c>
      <c r="AA53" s="115">
        <v>0</v>
      </c>
      <c r="AB53" s="115">
        <v>0</v>
      </c>
      <c r="AC53" s="115">
        <v>0</v>
      </c>
      <c r="AD53" s="115">
        <v>0</v>
      </c>
      <c r="AE53" s="115">
        <v>0</v>
      </c>
      <c r="AF53" s="115">
        <v>0</v>
      </c>
      <c r="AG53" s="115">
        <v>0</v>
      </c>
      <c r="AH53" s="115">
        <v>0</v>
      </c>
      <c r="AI53" s="115">
        <v>0</v>
      </c>
      <c r="AJ53" s="115">
        <v>0</v>
      </c>
      <c r="AK53" s="115">
        <v>0</v>
      </c>
      <c r="AL53" s="115">
        <v>0</v>
      </c>
      <c r="AM53" s="115">
        <v>0</v>
      </c>
      <c r="AN53" s="115">
        <v>0</v>
      </c>
      <c r="AO53" s="115">
        <v>0</v>
      </c>
      <c r="AP53" s="115">
        <v>0</v>
      </c>
      <c r="AQ53" s="115">
        <v>0</v>
      </c>
      <c r="AR53" s="115">
        <v>0</v>
      </c>
      <c r="AS53" s="115">
        <v>0</v>
      </c>
      <c r="AT53" s="115">
        <v>0</v>
      </c>
      <c r="AU53" s="115">
        <v>0</v>
      </c>
      <c r="AV53" s="115">
        <v>0</v>
      </c>
      <c r="AW53" s="115">
        <v>0</v>
      </c>
      <c r="AX53" s="115">
        <v>0</v>
      </c>
      <c r="AY53" s="115">
        <v>0</v>
      </c>
      <c r="AZ53" s="105">
        <f>SUM($D$53:$AY$53)</f>
        <v>0</v>
      </c>
    </row>
    <row r="54" spans="1:52" x14ac:dyDescent="0.2">
      <c r="A54" s="115"/>
      <c r="B54" s="183" t="s">
        <v>353</v>
      </c>
      <c r="C54" s="115"/>
      <c r="D54" s="115">
        <v>0</v>
      </c>
      <c r="E54" s="115">
        <v>0</v>
      </c>
      <c r="F54" s="115">
        <v>0</v>
      </c>
      <c r="G54" s="115">
        <v>0</v>
      </c>
      <c r="H54" s="115">
        <v>0</v>
      </c>
      <c r="I54" s="115">
        <v>0</v>
      </c>
      <c r="J54" s="115">
        <v>0</v>
      </c>
      <c r="K54" s="115">
        <v>0</v>
      </c>
      <c r="L54" s="115">
        <v>0</v>
      </c>
      <c r="M54" s="115">
        <v>0</v>
      </c>
      <c r="N54" s="115">
        <v>0</v>
      </c>
      <c r="O54" s="115">
        <v>0</v>
      </c>
      <c r="P54" s="115">
        <v>0</v>
      </c>
      <c r="Q54" s="115">
        <v>0</v>
      </c>
      <c r="R54" s="115">
        <v>0</v>
      </c>
      <c r="S54" s="115">
        <v>0</v>
      </c>
      <c r="T54" s="115">
        <v>0</v>
      </c>
      <c r="U54" s="115">
        <v>0</v>
      </c>
      <c r="V54" s="115">
        <v>0</v>
      </c>
      <c r="W54" s="115">
        <v>0</v>
      </c>
      <c r="X54" s="115">
        <v>0</v>
      </c>
      <c r="Y54" s="115">
        <v>0</v>
      </c>
      <c r="Z54" s="115">
        <v>0</v>
      </c>
      <c r="AA54" s="115">
        <v>0</v>
      </c>
      <c r="AB54" s="115">
        <v>0</v>
      </c>
      <c r="AC54" s="115">
        <v>0</v>
      </c>
      <c r="AD54" s="115">
        <v>0</v>
      </c>
      <c r="AE54" s="115">
        <v>0</v>
      </c>
      <c r="AF54" s="115">
        <v>0</v>
      </c>
      <c r="AG54" s="115">
        <v>0</v>
      </c>
      <c r="AH54" s="115">
        <v>0</v>
      </c>
      <c r="AI54" s="115">
        <v>0</v>
      </c>
      <c r="AJ54" s="115">
        <v>0</v>
      </c>
      <c r="AK54" s="115">
        <v>0</v>
      </c>
      <c r="AL54" s="115">
        <v>0</v>
      </c>
      <c r="AM54" s="115">
        <v>0</v>
      </c>
      <c r="AN54" s="115">
        <v>0</v>
      </c>
      <c r="AO54" s="115">
        <v>0</v>
      </c>
      <c r="AP54" s="115">
        <v>0</v>
      </c>
      <c r="AQ54" s="115">
        <v>0</v>
      </c>
      <c r="AR54" s="115">
        <v>0</v>
      </c>
      <c r="AS54" s="115">
        <v>0</v>
      </c>
      <c r="AT54" s="115">
        <v>0</v>
      </c>
      <c r="AU54" s="115">
        <v>0</v>
      </c>
      <c r="AV54" s="115">
        <v>0</v>
      </c>
      <c r="AW54" s="115">
        <v>0</v>
      </c>
      <c r="AX54" s="115">
        <v>0</v>
      </c>
      <c r="AY54" s="115">
        <v>0</v>
      </c>
      <c r="AZ54" s="105">
        <f>SUM($D$54:$AY$54)</f>
        <v>0</v>
      </c>
    </row>
    <row r="55" spans="1:52" x14ac:dyDescent="0.2">
      <c r="A55" s="140" t="s">
        <v>57</v>
      </c>
      <c r="B55" s="140" t="s">
        <v>343</v>
      </c>
      <c r="C55" s="129"/>
      <c r="D55" s="129">
        <f>D$21*shipping_manufacturing!$H$29/100</f>
        <v>284.15300546448088</v>
      </c>
      <c r="E55" s="129">
        <f>E$21*shipping_manufacturing!$H$29/100</f>
        <v>103.34177215189874</v>
      </c>
      <c r="F55" s="129">
        <f>F$21*shipping_manufacturing!$H$29/100</f>
        <v>103.34177215189874</v>
      </c>
      <c r="G55" s="129">
        <f>G$21*shipping_manufacturing!$H$29/100</f>
        <v>103.34177215189874</v>
      </c>
      <c r="H55" s="129">
        <f>H$21*shipping_manufacturing!$H$29/100</f>
        <v>103.34177215189874</v>
      </c>
      <c r="I55" s="129">
        <f>I$21*shipping_manufacturing!$H$29/100</f>
        <v>103.34177215189874</v>
      </c>
      <c r="J55" s="129">
        <f>J$21*shipping_manufacturing!$H$29/100</f>
        <v>103.34177215189874</v>
      </c>
      <c r="K55" s="129">
        <f>K$21*shipping_manufacturing!$H$29/100</f>
        <v>103.34177215189874</v>
      </c>
      <c r="L55" s="129">
        <f>L$21*shipping_manufacturing!$H$29/100</f>
        <v>103.34177215189874</v>
      </c>
      <c r="M55" s="129">
        <f>M$21*shipping_manufacturing!$H$29/100</f>
        <v>93.00759493670887</v>
      </c>
      <c r="N55" s="129">
        <f>N$21*shipping_manufacturing!$H$29/100</f>
        <v>93.00759493670887</v>
      </c>
      <c r="O55" s="129">
        <f>O$21*shipping_manufacturing!$H$29/100</f>
        <v>93.00759493670887</v>
      </c>
      <c r="P55" s="129">
        <f>P$21*shipping_manufacturing!$H$29/100</f>
        <v>93.00759493670887</v>
      </c>
      <c r="Q55" s="129">
        <f>Q$21*shipping_manufacturing!$H$29/100</f>
        <v>103.34177215189874</v>
      </c>
      <c r="R55" s="129">
        <f>R$21*shipping_manufacturing!$H$29/100</f>
        <v>103.34177215189874</v>
      </c>
      <c r="S55" s="129">
        <f>S$21*shipping_manufacturing!$H$29/100</f>
        <v>0</v>
      </c>
      <c r="T55" s="129">
        <f>T$21*shipping_manufacturing!$H$29/100</f>
        <v>206.68354430379748</v>
      </c>
      <c r="U55" s="129">
        <f>U$21*shipping_manufacturing!$H$29/100</f>
        <v>103.34177215189874</v>
      </c>
      <c r="V55" s="129">
        <f>V$21*shipping_manufacturing!$H$29/100</f>
        <v>103.34177215189874</v>
      </c>
      <c r="W55" s="129">
        <f>W$21*shipping_manufacturing!$H$29/100</f>
        <v>103.34177215189874</v>
      </c>
      <c r="X55" s="129">
        <f>X$21*shipping_manufacturing!$H$29/100</f>
        <v>103.34177215189874</v>
      </c>
      <c r="Y55" s="129">
        <f>Y$21*shipping_manufacturing!$H$29/100</f>
        <v>103.34177215189874</v>
      </c>
      <c r="Z55" s="129">
        <f>Z$21*shipping_manufacturing!$H$29/100</f>
        <v>103.34177215189874</v>
      </c>
      <c r="AA55" s="129">
        <f>AA$21*shipping_manufacturing!$H$29/100</f>
        <v>103.34177215189874</v>
      </c>
      <c r="AB55" s="129">
        <f>AB$21*shipping_manufacturing!$H$29/100</f>
        <v>103.34177215189874</v>
      </c>
      <c r="AC55" s="129">
        <f>AC$21*shipping_manufacturing!$H$29/100</f>
        <v>103.34177215189874</v>
      </c>
      <c r="AD55" s="129">
        <f>AD$21*shipping_manufacturing!$H$29/100</f>
        <v>103.34177215189874</v>
      </c>
      <c r="AE55" s="129">
        <f>AE$21*shipping_manufacturing!$H$29/100</f>
        <v>103.34177215189874</v>
      </c>
      <c r="AF55" s="129">
        <f>AF$21*shipping_manufacturing!$H$29/100</f>
        <v>103.34177215189874</v>
      </c>
      <c r="AG55" s="129">
        <f>AG$21*shipping_manufacturing!$H$29/100</f>
        <v>103.34177215189874</v>
      </c>
      <c r="AH55" s="129">
        <f>AH$21*shipping_manufacturing!$H$29/100</f>
        <v>103.34177215189874</v>
      </c>
      <c r="AI55" s="129">
        <f>AI$21*shipping_manufacturing!$H$29/100</f>
        <v>103.34177215189874</v>
      </c>
      <c r="AJ55" s="129">
        <f>AJ$21*shipping_manufacturing!$H$29/100</f>
        <v>103.34177215189874</v>
      </c>
      <c r="AK55" s="129">
        <f>AK$21*shipping_manufacturing!$H$29/100</f>
        <v>113.67594936708862</v>
      </c>
      <c r="AL55" s="129">
        <f>AL$21*shipping_manufacturing!$H$29/100</f>
        <v>113.67594936708862</v>
      </c>
      <c r="AM55" s="129">
        <f>AM$21*shipping_manufacturing!$H$29/100</f>
        <v>113.67594936708862</v>
      </c>
      <c r="AN55" s="129">
        <f>AN$21*shipping_manufacturing!$H$29/100</f>
        <v>113.67594936708862</v>
      </c>
      <c r="AO55" s="129">
        <f>AO$21*shipping_manufacturing!$H$29/100</f>
        <v>103.34177215189874</v>
      </c>
      <c r="AP55" s="129">
        <f>AP$21*shipping_manufacturing!$H$29/100</f>
        <v>103.34177215189874</v>
      </c>
      <c r="AQ55" s="129">
        <f>AQ$21*shipping_manufacturing!$H$29/100</f>
        <v>103.34177215189874</v>
      </c>
      <c r="AR55" s="129">
        <f>AR$21*shipping_manufacturing!$H$29/100</f>
        <v>103.34177215189874</v>
      </c>
      <c r="AS55" s="129">
        <f>AS$21*shipping_manufacturing!$H$29/100</f>
        <v>113.67594936708862</v>
      </c>
      <c r="AT55" s="129">
        <f>AT$21*shipping_manufacturing!$H$29/100</f>
        <v>113.67594936708862</v>
      </c>
      <c r="AU55" s="129">
        <f>AU$21*shipping_manufacturing!$H$29/100</f>
        <v>113.67594936708862</v>
      </c>
      <c r="AV55" s="129">
        <f>AV$21*shipping_manufacturing!$H$29/100</f>
        <v>113.67594936708862</v>
      </c>
      <c r="AW55" s="129">
        <f>AW$21*shipping_manufacturing!$H$29/100</f>
        <v>103.34177215189874</v>
      </c>
      <c r="AX55" s="129">
        <f>AX$21*shipping_manufacturing!$H$29/100</f>
        <v>103.34177215189874</v>
      </c>
      <c r="AY55" s="129">
        <f>AY$21*shipping_manufacturing!$H$29/100</f>
        <v>103.34177215189874</v>
      </c>
    </row>
    <row r="56" spans="1:52" x14ac:dyDescent="0.2">
      <c r="A56" s="118" t="s">
        <v>342</v>
      </c>
      <c r="B56" s="170" t="s">
        <v>344</v>
      </c>
      <c r="C56" s="115"/>
      <c r="D56" s="115">
        <f>D$22*shipping_manufacturing!$I$29/100</f>
        <v>215.84699453551914</v>
      </c>
      <c r="E56" s="115">
        <f>E$22*shipping_manufacturing!$I$29/100</f>
        <v>78.500000000000014</v>
      </c>
      <c r="F56" s="115">
        <f>F$22*shipping_manufacturing!$I$29/100</f>
        <v>78.500000000000014</v>
      </c>
      <c r="G56" s="115">
        <f>G$22*shipping_manufacturing!$I$29/100</f>
        <v>78.500000000000014</v>
      </c>
      <c r="H56" s="115">
        <f>H$22*shipping_manufacturing!$I$29/100</f>
        <v>78.500000000000014</v>
      </c>
      <c r="I56" s="115">
        <f>I$22*shipping_manufacturing!$I$29/100</f>
        <v>78.500000000000014</v>
      </c>
      <c r="J56" s="115">
        <f>J$22*shipping_manufacturing!$I$29/100</f>
        <v>78.500000000000014</v>
      </c>
      <c r="K56" s="115">
        <f>K$22*shipping_manufacturing!$I$29/100</f>
        <v>78.500000000000014</v>
      </c>
      <c r="L56" s="115">
        <f>L$22*shipping_manufacturing!$I$29/100</f>
        <v>78.500000000000014</v>
      </c>
      <c r="M56" s="115">
        <f>M$22*shipping_manufacturing!$I$29/100</f>
        <v>70.650000000000006</v>
      </c>
      <c r="N56" s="115">
        <f>N$22*shipping_manufacturing!$I$29/100</f>
        <v>70.650000000000006</v>
      </c>
      <c r="O56" s="115">
        <f>O$22*shipping_manufacturing!$I$29/100</f>
        <v>70.650000000000006</v>
      </c>
      <c r="P56" s="115">
        <f>P$22*shipping_manufacturing!$I$29/100</f>
        <v>70.650000000000006</v>
      </c>
      <c r="Q56" s="115">
        <f>Q$22*shipping_manufacturing!$I$29/100</f>
        <v>78.500000000000014</v>
      </c>
      <c r="R56" s="115">
        <f>R$22*shipping_manufacturing!$I$29/100</f>
        <v>78.500000000000014</v>
      </c>
      <c r="S56" s="115">
        <f>S$22*shipping_manufacturing!$I$29/100</f>
        <v>0</v>
      </c>
      <c r="T56" s="115">
        <f>T$22*shipping_manufacturing!$I$29/100</f>
        <v>157.00000000000003</v>
      </c>
      <c r="U56" s="115">
        <f>U$22*shipping_manufacturing!$I$29/100</f>
        <v>78.500000000000014</v>
      </c>
      <c r="V56" s="115">
        <f>V$22*shipping_manufacturing!$I$29/100</f>
        <v>78.500000000000014</v>
      </c>
      <c r="W56" s="115">
        <f>W$22*shipping_manufacturing!$I$29/100</f>
        <v>78.500000000000014</v>
      </c>
      <c r="X56" s="115">
        <f>X$22*shipping_manufacturing!$I$29/100</f>
        <v>78.500000000000014</v>
      </c>
      <c r="Y56" s="115">
        <f>Y$22*shipping_manufacturing!$I$29/100</f>
        <v>78.500000000000014</v>
      </c>
      <c r="Z56" s="115">
        <f>Z$22*shipping_manufacturing!$I$29/100</f>
        <v>78.500000000000014</v>
      </c>
      <c r="AA56" s="115">
        <f>AA$22*shipping_manufacturing!$I$29/100</f>
        <v>78.500000000000014</v>
      </c>
      <c r="AB56" s="115">
        <f>AB$22*shipping_manufacturing!$I$29/100</f>
        <v>78.500000000000014</v>
      </c>
      <c r="AC56" s="115">
        <f>AC$22*shipping_manufacturing!$I$29/100</f>
        <v>78.500000000000014</v>
      </c>
      <c r="AD56" s="115">
        <f>AD$22*shipping_manufacturing!$I$29/100</f>
        <v>78.500000000000014</v>
      </c>
      <c r="AE56" s="115">
        <f>AE$22*shipping_manufacturing!$I$29/100</f>
        <v>78.500000000000014</v>
      </c>
      <c r="AF56" s="115">
        <f>AF$22*shipping_manufacturing!$I$29/100</f>
        <v>78.500000000000014</v>
      </c>
      <c r="AG56" s="115">
        <f>AG$22*shipping_manufacturing!$I$29/100</f>
        <v>78.500000000000014</v>
      </c>
      <c r="AH56" s="115">
        <f>AH$22*shipping_manufacturing!$I$29/100</f>
        <v>78.500000000000014</v>
      </c>
      <c r="AI56" s="115">
        <f>AI$22*shipping_manufacturing!$I$29/100</f>
        <v>78.500000000000014</v>
      </c>
      <c r="AJ56" s="115">
        <f>AJ$22*shipping_manufacturing!$I$29/100</f>
        <v>78.500000000000014</v>
      </c>
      <c r="AK56" s="115">
        <f>AK$22*shipping_manufacturing!$I$29/100</f>
        <v>86.350000000000023</v>
      </c>
      <c r="AL56" s="115">
        <f>AL$22*shipping_manufacturing!$I$29/100</f>
        <v>86.350000000000023</v>
      </c>
      <c r="AM56" s="115">
        <f>AM$22*shipping_manufacturing!$I$29/100</f>
        <v>86.350000000000023</v>
      </c>
      <c r="AN56" s="115">
        <f>AN$22*shipping_manufacturing!$I$29/100</f>
        <v>86.350000000000023</v>
      </c>
      <c r="AO56" s="115">
        <f>AO$22*shipping_manufacturing!$I$29/100</f>
        <v>78.500000000000014</v>
      </c>
      <c r="AP56" s="115">
        <f>AP$22*shipping_manufacturing!$I$29/100</f>
        <v>78.500000000000014</v>
      </c>
      <c r="AQ56" s="115">
        <f>AQ$22*shipping_manufacturing!$I$29/100</f>
        <v>78.500000000000014</v>
      </c>
      <c r="AR56" s="115">
        <f>AR$22*shipping_manufacturing!$I$29/100</f>
        <v>78.500000000000014</v>
      </c>
      <c r="AS56" s="115">
        <f>AS$22*shipping_manufacturing!$I$29/100</f>
        <v>86.350000000000023</v>
      </c>
      <c r="AT56" s="115">
        <f>AT$22*shipping_manufacturing!$I$29/100</f>
        <v>86.350000000000023</v>
      </c>
      <c r="AU56" s="115">
        <f>AU$22*shipping_manufacturing!$I$29/100</f>
        <v>86.350000000000023</v>
      </c>
      <c r="AV56" s="115">
        <f>AV$22*shipping_manufacturing!$I$29/100</f>
        <v>86.350000000000023</v>
      </c>
      <c r="AW56" s="115">
        <f>AW$22*shipping_manufacturing!$I$29/100</f>
        <v>78.500000000000014</v>
      </c>
      <c r="AX56" s="115">
        <f>AX$22*shipping_manufacturing!$I$29/100</f>
        <v>78.500000000000014</v>
      </c>
      <c r="AY56" s="115">
        <f>AY$22*shipping_manufacturing!$I$29/100</f>
        <v>78.500000000000014</v>
      </c>
    </row>
    <row r="57" spans="1:52" x14ac:dyDescent="0.2">
      <c r="A57" s="115">
        <v>393</v>
      </c>
      <c r="B57" s="170" t="s">
        <v>345</v>
      </c>
      <c r="C57" s="115"/>
      <c r="D57" s="115">
        <f>SUM(D55:D56)</f>
        <v>500</v>
      </c>
      <c r="E57" s="115">
        <f t="shared" ref="E57:AY57" si="17">SUM(E55:E56)</f>
        <v>181.84177215189874</v>
      </c>
      <c r="F57" s="115">
        <f t="shared" si="17"/>
        <v>181.84177215189874</v>
      </c>
      <c r="G57" s="115">
        <f t="shared" si="17"/>
        <v>181.84177215189874</v>
      </c>
      <c r="H57" s="115">
        <f t="shared" si="17"/>
        <v>181.84177215189874</v>
      </c>
      <c r="I57" s="115">
        <f t="shared" si="17"/>
        <v>181.84177215189874</v>
      </c>
      <c r="J57" s="115">
        <f t="shared" si="17"/>
        <v>181.84177215189874</v>
      </c>
      <c r="K57" s="115">
        <f t="shared" si="17"/>
        <v>181.84177215189874</v>
      </c>
      <c r="L57" s="115">
        <f t="shared" si="17"/>
        <v>181.84177215189874</v>
      </c>
      <c r="M57" s="115">
        <f t="shared" si="17"/>
        <v>163.65759493670888</v>
      </c>
      <c r="N57" s="115">
        <f t="shared" si="17"/>
        <v>163.65759493670888</v>
      </c>
      <c r="O57" s="115">
        <f t="shared" si="17"/>
        <v>163.65759493670888</v>
      </c>
      <c r="P57" s="115">
        <f t="shared" si="17"/>
        <v>163.65759493670888</v>
      </c>
      <c r="Q57" s="115">
        <f t="shared" si="17"/>
        <v>181.84177215189874</v>
      </c>
      <c r="R57" s="115">
        <f t="shared" si="17"/>
        <v>181.84177215189874</v>
      </c>
      <c r="S57" s="115">
        <f t="shared" si="17"/>
        <v>0</v>
      </c>
      <c r="T57" s="115">
        <f t="shared" si="17"/>
        <v>363.68354430379748</v>
      </c>
      <c r="U57" s="115">
        <f t="shared" si="17"/>
        <v>181.84177215189874</v>
      </c>
      <c r="V57" s="115">
        <f t="shared" si="17"/>
        <v>181.84177215189874</v>
      </c>
      <c r="W57" s="115">
        <f t="shared" si="17"/>
        <v>181.84177215189874</v>
      </c>
      <c r="X57" s="115">
        <f t="shared" si="17"/>
        <v>181.84177215189874</v>
      </c>
      <c r="Y57" s="115">
        <f t="shared" si="17"/>
        <v>181.84177215189874</v>
      </c>
      <c r="Z57" s="115">
        <f t="shared" si="17"/>
        <v>181.84177215189874</v>
      </c>
      <c r="AA57" s="115">
        <f t="shared" si="17"/>
        <v>181.84177215189874</v>
      </c>
      <c r="AB57" s="115">
        <f t="shared" si="17"/>
        <v>181.84177215189874</v>
      </c>
      <c r="AC57" s="115">
        <f t="shared" si="17"/>
        <v>181.84177215189874</v>
      </c>
      <c r="AD57" s="115">
        <f t="shared" si="17"/>
        <v>181.84177215189874</v>
      </c>
      <c r="AE57" s="115">
        <f t="shared" si="17"/>
        <v>181.84177215189874</v>
      </c>
      <c r="AF57" s="115">
        <f t="shared" si="17"/>
        <v>181.84177215189874</v>
      </c>
      <c r="AG57" s="115">
        <f t="shared" si="17"/>
        <v>181.84177215189874</v>
      </c>
      <c r="AH57" s="115">
        <f t="shared" si="17"/>
        <v>181.84177215189874</v>
      </c>
      <c r="AI57" s="115">
        <f t="shared" si="17"/>
        <v>181.84177215189874</v>
      </c>
      <c r="AJ57" s="115">
        <f t="shared" si="17"/>
        <v>181.84177215189874</v>
      </c>
      <c r="AK57" s="115">
        <f t="shared" si="17"/>
        <v>200.02594936708863</v>
      </c>
      <c r="AL57" s="115">
        <f t="shared" si="17"/>
        <v>200.02594936708863</v>
      </c>
      <c r="AM57" s="115">
        <f t="shared" si="17"/>
        <v>200.02594936708863</v>
      </c>
      <c r="AN57" s="115">
        <f t="shared" si="17"/>
        <v>200.02594936708863</v>
      </c>
      <c r="AO57" s="115">
        <f t="shared" si="17"/>
        <v>181.84177215189874</v>
      </c>
      <c r="AP57" s="115">
        <f t="shared" si="17"/>
        <v>181.84177215189874</v>
      </c>
      <c r="AQ57" s="115">
        <f t="shared" si="17"/>
        <v>181.84177215189874</v>
      </c>
      <c r="AR57" s="115">
        <f t="shared" si="17"/>
        <v>181.84177215189874</v>
      </c>
      <c r="AS57" s="115">
        <f t="shared" si="17"/>
        <v>200.02594936708863</v>
      </c>
      <c r="AT57" s="115">
        <f t="shared" si="17"/>
        <v>200.02594936708863</v>
      </c>
      <c r="AU57" s="115">
        <f t="shared" si="17"/>
        <v>200.02594936708863</v>
      </c>
      <c r="AV57" s="115">
        <f t="shared" si="17"/>
        <v>200.02594936708863</v>
      </c>
      <c r="AW57" s="115">
        <f t="shared" si="17"/>
        <v>181.84177215189874</v>
      </c>
      <c r="AX57" s="115">
        <f t="shared" si="17"/>
        <v>181.84177215189874</v>
      </c>
      <c r="AY57" s="115">
        <f t="shared" si="17"/>
        <v>181.84177215189874</v>
      </c>
    </row>
    <row r="58" spans="1:52" x14ac:dyDescent="0.2">
      <c r="A58" s="115"/>
      <c r="B58" s="170" t="s">
        <v>346</v>
      </c>
      <c r="C58" s="115"/>
      <c r="D58" s="115">
        <v>284.15300546448077</v>
      </c>
      <c r="E58" s="115">
        <v>103.34177215189874</v>
      </c>
      <c r="F58" s="115">
        <v>103.34177215189874</v>
      </c>
      <c r="G58" s="115">
        <v>103.34177215189874</v>
      </c>
      <c r="H58" s="115">
        <v>103.34177215189874</v>
      </c>
      <c r="I58" s="115">
        <v>103.34177215189874</v>
      </c>
      <c r="J58" s="115">
        <v>103.34177215189874</v>
      </c>
      <c r="K58" s="115">
        <v>103.34177215189874</v>
      </c>
      <c r="L58" s="115">
        <v>103.34177215189874</v>
      </c>
      <c r="M58" s="115">
        <v>93.00759493670887</v>
      </c>
      <c r="N58" s="115">
        <v>93.00759493670887</v>
      </c>
      <c r="O58" s="115">
        <v>93.00759493670887</v>
      </c>
      <c r="P58" s="115">
        <v>93.00759493670887</v>
      </c>
      <c r="Q58" s="115">
        <v>103.34177215189874</v>
      </c>
      <c r="R58" s="115">
        <v>103.34177215189874</v>
      </c>
      <c r="S58" s="115"/>
      <c r="T58" s="115">
        <v>206.68354430379742</v>
      </c>
      <c r="U58" s="115">
        <v>103.34177215189874</v>
      </c>
      <c r="V58" s="115">
        <v>103.34177215189874</v>
      </c>
      <c r="W58" s="115">
        <v>103.34177215189874</v>
      </c>
      <c r="X58" s="115">
        <v>103.34177215189874</v>
      </c>
      <c r="Y58" s="115">
        <v>103.34177215189874</v>
      </c>
      <c r="Z58" s="115">
        <v>103.34177215189874</v>
      </c>
      <c r="AA58" s="115">
        <v>103.34177215189874</v>
      </c>
      <c r="AB58" s="115">
        <v>103.34177215189874</v>
      </c>
      <c r="AC58" s="115">
        <v>103.34177215189874</v>
      </c>
      <c r="AD58" s="115">
        <v>103.34177215189874</v>
      </c>
      <c r="AE58" s="115">
        <v>103.34177215189874</v>
      </c>
      <c r="AF58" s="115">
        <v>103.34177215189874</v>
      </c>
      <c r="AG58" s="115">
        <v>103.34177215189874</v>
      </c>
      <c r="AH58" s="115">
        <v>103.34177215189874</v>
      </c>
      <c r="AI58" s="115">
        <v>103.34177215189874</v>
      </c>
      <c r="AJ58" s="115">
        <v>103.34177215189874</v>
      </c>
      <c r="AK58" s="115">
        <v>113.67594936708862</v>
      </c>
      <c r="AL58" s="115">
        <v>113.67594936708862</v>
      </c>
      <c r="AM58" s="115">
        <v>113.67594936708862</v>
      </c>
      <c r="AN58" s="115">
        <v>113.67594936708862</v>
      </c>
      <c r="AO58" s="115">
        <v>103.34177215189874</v>
      </c>
      <c r="AP58" s="115">
        <v>103.34177215189874</v>
      </c>
      <c r="AQ58" s="115">
        <v>103.34177215189874</v>
      </c>
      <c r="AR58" s="115">
        <v>103.34177215189874</v>
      </c>
      <c r="AS58" s="115">
        <v>113.67594936708862</v>
      </c>
      <c r="AT58" s="115">
        <v>113.67594936708862</v>
      </c>
      <c r="AU58" s="115">
        <v>113.67594936708862</v>
      </c>
      <c r="AV58" s="115">
        <v>113.67594936708862</v>
      </c>
      <c r="AW58" s="115">
        <v>103.34177215189874</v>
      </c>
      <c r="AX58" s="115">
        <v>103.34177215189874</v>
      </c>
      <c r="AY58" s="115">
        <v>103.34177215189874</v>
      </c>
    </row>
    <row r="59" spans="1:52" x14ac:dyDescent="0.2">
      <c r="A59" s="115"/>
      <c r="B59" s="170" t="s">
        <v>347</v>
      </c>
      <c r="C59" s="115"/>
      <c r="D59" s="115">
        <v>215.8469945355192</v>
      </c>
      <c r="E59" s="115">
        <v>78.500000000000014</v>
      </c>
      <c r="F59" s="115">
        <v>78.500000000000014</v>
      </c>
      <c r="G59" s="115">
        <v>78.500000000000014</v>
      </c>
      <c r="H59" s="115">
        <v>78.500000000000014</v>
      </c>
      <c r="I59" s="115">
        <v>78.500000000000014</v>
      </c>
      <c r="J59" s="115">
        <v>78.500000000000014</v>
      </c>
      <c r="K59" s="115">
        <v>78.500000000000014</v>
      </c>
      <c r="L59" s="115">
        <v>78.500000000000014</v>
      </c>
      <c r="M59" s="115">
        <v>70.65000000000002</v>
      </c>
      <c r="N59" s="115">
        <v>70.65000000000002</v>
      </c>
      <c r="O59" s="115">
        <v>70.65000000000002</v>
      </c>
      <c r="P59" s="115">
        <v>70.65000000000002</v>
      </c>
      <c r="Q59" s="115">
        <v>78.500000000000014</v>
      </c>
      <c r="R59" s="115">
        <v>78.500000000000014</v>
      </c>
      <c r="S59" s="115"/>
      <c r="T59" s="115">
        <v>157.00000000000006</v>
      </c>
      <c r="U59" s="115">
        <v>78.500000000000014</v>
      </c>
      <c r="V59" s="115">
        <v>78.500000000000014</v>
      </c>
      <c r="W59" s="115">
        <v>78.500000000000014</v>
      </c>
      <c r="X59" s="115">
        <v>78.500000000000014</v>
      </c>
      <c r="Y59" s="115">
        <v>78.500000000000014</v>
      </c>
      <c r="Z59" s="115">
        <v>78.500000000000014</v>
      </c>
      <c r="AA59" s="115">
        <v>78.500000000000014</v>
      </c>
      <c r="AB59" s="115">
        <v>78.500000000000014</v>
      </c>
      <c r="AC59" s="115">
        <v>78.500000000000014</v>
      </c>
      <c r="AD59" s="115">
        <v>78.500000000000014</v>
      </c>
      <c r="AE59" s="115">
        <v>78.500000000000014</v>
      </c>
      <c r="AF59" s="115">
        <v>78.500000000000014</v>
      </c>
      <c r="AG59" s="115">
        <v>78.500000000000014</v>
      </c>
      <c r="AH59" s="115">
        <v>78.500000000000014</v>
      </c>
      <c r="AI59" s="115">
        <v>78.500000000000014</v>
      </c>
      <c r="AJ59" s="115">
        <v>78.500000000000014</v>
      </c>
      <c r="AK59" s="115">
        <v>86.350000000000023</v>
      </c>
      <c r="AL59" s="115">
        <v>86.350000000000023</v>
      </c>
      <c r="AM59" s="115">
        <v>86.350000000000023</v>
      </c>
      <c r="AN59" s="115">
        <v>86.350000000000023</v>
      </c>
      <c r="AO59" s="115">
        <v>78.500000000000014</v>
      </c>
      <c r="AP59" s="115">
        <v>78.500000000000014</v>
      </c>
      <c r="AQ59" s="115">
        <v>78.500000000000014</v>
      </c>
      <c r="AR59" s="115">
        <v>78.500000000000014</v>
      </c>
      <c r="AS59" s="115">
        <v>86.350000000000023</v>
      </c>
      <c r="AT59" s="115">
        <v>86.350000000000023</v>
      </c>
      <c r="AU59" s="115">
        <v>86.350000000000023</v>
      </c>
      <c r="AV59" s="115">
        <v>86.350000000000023</v>
      </c>
      <c r="AW59" s="115">
        <v>78.500000000000014</v>
      </c>
      <c r="AX59" s="115">
        <v>78.500000000000014</v>
      </c>
      <c r="AY59" s="115">
        <v>78.500000000000014</v>
      </c>
    </row>
    <row r="60" spans="1:52" x14ac:dyDescent="0.2">
      <c r="A60" s="115"/>
      <c r="B60" s="170" t="s">
        <v>348</v>
      </c>
      <c r="C60" s="115"/>
      <c r="D60" s="115">
        <v>17</v>
      </c>
      <c r="E60" s="115">
        <v>7</v>
      </c>
      <c r="F60" s="115">
        <v>7</v>
      </c>
      <c r="G60" s="115">
        <v>7</v>
      </c>
      <c r="H60" s="115">
        <v>7</v>
      </c>
      <c r="I60" s="115">
        <v>7</v>
      </c>
      <c r="J60" s="115">
        <v>7</v>
      </c>
      <c r="K60" s="115">
        <v>7</v>
      </c>
      <c r="L60" s="115">
        <v>7</v>
      </c>
      <c r="M60" s="115">
        <v>6</v>
      </c>
      <c r="N60" s="115">
        <v>6</v>
      </c>
      <c r="O60" s="115">
        <v>6</v>
      </c>
      <c r="P60" s="115">
        <v>6</v>
      </c>
      <c r="Q60" s="115">
        <v>7</v>
      </c>
      <c r="R60" s="115">
        <v>7</v>
      </c>
      <c r="S60" s="115"/>
      <c r="T60" s="115">
        <v>13</v>
      </c>
      <c r="U60" s="115">
        <v>7</v>
      </c>
      <c r="V60" s="115">
        <v>7</v>
      </c>
      <c r="W60" s="115">
        <v>7</v>
      </c>
      <c r="X60" s="115">
        <v>7</v>
      </c>
      <c r="Y60" s="115">
        <v>7</v>
      </c>
      <c r="Z60" s="115">
        <v>7</v>
      </c>
      <c r="AA60" s="115">
        <v>7</v>
      </c>
      <c r="AB60" s="115">
        <v>7</v>
      </c>
      <c r="AC60" s="115">
        <v>7</v>
      </c>
      <c r="AD60" s="115">
        <v>7</v>
      </c>
      <c r="AE60" s="115">
        <v>7</v>
      </c>
      <c r="AF60" s="115">
        <v>7</v>
      </c>
      <c r="AG60" s="115">
        <v>7</v>
      </c>
      <c r="AH60" s="115">
        <v>7</v>
      </c>
      <c r="AI60" s="115">
        <v>7</v>
      </c>
      <c r="AJ60" s="115">
        <v>7</v>
      </c>
      <c r="AK60" s="115">
        <v>7</v>
      </c>
      <c r="AL60" s="115">
        <v>7</v>
      </c>
      <c r="AM60" s="115">
        <v>7</v>
      </c>
      <c r="AN60" s="115">
        <v>7</v>
      </c>
      <c r="AO60" s="115">
        <v>7</v>
      </c>
      <c r="AP60" s="115">
        <v>7</v>
      </c>
      <c r="AQ60" s="115">
        <v>7</v>
      </c>
      <c r="AR60" s="115">
        <v>7</v>
      </c>
      <c r="AS60" s="115">
        <v>7</v>
      </c>
      <c r="AT60" s="115">
        <v>7</v>
      </c>
      <c r="AU60" s="115">
        <v>7</v>
      </c>
      <c r="AV60" s="115">
        <v>7</v>
      </c>
      <c r="AW60" s="115">
        <v>7</v>
      </c>
      <c r="AX60" s="115">
        <v>7</v>
      </c>
      <c r="AY60" s="115">
        <v>7</v>
      </c>
    </row>
    <row r="61" spans="1:52" x14ac:dyDescent="0.2">
      <c r="A61" s="115"/>
      <c r="B61" s="170" t="s">
        <v>349</v>
      </c>
      <c r="C61" s="115"/>
      <c r="D61" s="115">
        <f>D55-D58</f>
        <v>0</v>
      </c>
      <c r="E61" s="115">
        <f t="shared" ref="E61:AY61" si="18">E55-E58</f>
        <v>0</v>
      </c>
      <c r="F61" s="115">
        <f t="shared" si="18"/>
        <v>0</v>
      </c>
      <c r="G61" s="115">
        <f t="shared" si="18"/>
        <v>0</v>
      </c>
      <c r="H61" s="115">
        <f t="shared" si="18"/>
        <v>0</v>
      </c>
      <c r="I61" s="115">
        <f t="shared" si="18"/>
        <v>0</v>
      </c>
      <c r="J61" s="115">
        <f t="shared" si="18"/>
        <v>0</v>
      </c>
      <c r="K61" s="115">
        <f t="shared" si="18"/>
        <v>0</v>
      </c>
      <c r="L61" s="115">
        <f t="shared" si="18"/>
        <v>0</v>
      </c>
      <c r="M61" s="115">
        <f t="shared" si="18"/>
        <v>0</v>
      </c>
      <c r="N61" s="115">
        <f t="shared" si="18"/>
        <v>0</v>
      </c>
      <c r="O61" s="115">
        <f t="shared" si="18"/>
        <v>0</v>
      </c>
      <c r="P61" s="115">
        <f t="shared" si="18"/>
        <v>0</v>
      </c>
      <c r="Q61" s="115">
        <f t="shared" si="18"/>
        <v>0</v>
      </c>
      <c r="R61" s="115">
        <f t="shared" si="18"/>
        <v>0</v>
      </c>
      <c r="S61" s="115">
        <f t="shared" si="18"/>
        <v>0</v>
      </c>
      <c r="T61" s="115">
        <f t="shared" si="18"/>
        <v>0</v>
      </c>
      <c r="U61" s="115">
        <f t="shared" si="18"/>
        <v>0</v>
      </c>
      <c r="V61" s="115">
        <f t="shared" si="18"/>
        <v>0</v>
      </c>
      <c r="W61" s="115">
        <f t="shared" si="18"/>
        <v>0</v>
      </c>
      <c r="X61" s="115">
        <f t="shared" si="18"/>
        <v>0</v>
      </c>
      <c r="Y61" s="115">
        <f t="shared" si="18"/>
        <v>0</v>
      </c>
      <c r="Z61" s="115">
        <f t="shared" si="18"/>
        <v>0</v>
      </c>
      <c r="AA61" s="115">
        <f t="shared" si="18"/>
        <v>0</v>
      </c>
      <c r="AB61" s="115">
        <f t="shared" si="18"/>
        <v>0</v>
      </c>
      <c r="AC61" s="115">
        <f t="shared" si="18"/>
        <v>0</v>
      </c>
      <c r="AD61" s="115">
        <f t="shared" si="18"/>
        <v>0</v>
      </c>
      <c r="AE61" s="115">
        <f t="shared" si="18"/>
        <v>0</v>
      </c>
      <c r="AF61" s="115">
        <f t="shared" si="18"/>
        <v>0</v>
      </c>
      <c r="AG61" s="115">
        <f t="shared" si="18"/>
        <v>0</v>
      </c>
      <c r="AH61" s="115">
        <f t="shared" si="18"/>
        <v>0</v>
      </c>
      <c r="AI61" s="115">
        <f t="shared" si="18"/>
        <v>0</v>
      </c>
      <c r="AJ61" s="115">
        <f t="shared" si="18"/>
        <v>0</v>
      </c>
      <c r="AK61" s="115">
        <f t="shared" si="18"/>
        <v>0</v>
      </c>
      <c r="AL61" s="115">
        <f t="shared" si="18"/>
        <v>0</v>
      </c>
      <c r="AM61" s="115">
        <f t="shared" si="18"/>
        <v>0</v>
      </c>
      <c r="AN61" s="115">
        <f t="shared" si="18"/>
        <v>0</v>
      </c>
      <c r="AO61" s="115">
        <f t="shared" si="18"/>
        <v>0</v>
      </c>
      <c r="AP61" s="115">
        <f t="shared" si="18"/>
        <v>0</v>
      </c>
      <c r="AQ61" s="115">
        <f t="shared" si="18"/>
        <v>0</v>
      </c>
      <c r="AR61" s="115">
        <f t="shared" si="18"/>
        <v>0</v>
      </c>
      <c r="AS61" s="115">
        <f t="shared" si="18"/>
        <v>0</v>
      </c>
      <c r="AT61" s="115">
        <f t="shared" si="18"/>
        <v>0</v>
      </c>
      <c r="AU61" s="115">
        <f t="shared" si="18"/>
        <v>0</v>
      </c>
      <c r="AV61" s="115">
        <f t="shared" si="18"/>
        <v>0</v>
      </c>
      <c r="AW61" s="115">
        <f t="shared" si="18"/>
        <v>0</v>
      </c>
      <c r="AX61" s="115">
        <f t="shared" si="18"/>
        <v>0</v>
      </c>
      <c r="AY61" s="115">
        <f t="shared" si="18"/>
        <v>0</v>
      </c>
    </row>
    <row r="62" spans="1:52" x14ac:dyDescent="0.2">
      <c r="A62" s="115"/>
      <c r="B62" s="170" t="s">
        <v>350</v>
      </c>
      <c r="C62" s="115"/>
      <c r="D62" s="115">
        <f>D56-D59</f>
        <v>0</v>
      </c>
      <c r="E62" s="115">
        <f t="shared" ref="E62:AY62" si="19">E56-E59</f>
        <v>0</v>
      </c>
      <c r="F62" s="115">
        <f t="shared" si="19"/>
        <v>0</v>
      </c>
      <c r="G62" s="115">
        <f t="shared" si="19"/>
        <v>0</v>
      </c>
      <c r="H62" s="115">
        <f t="shared" si="19"/>
        <v>0</v>
      </c>
      <c r="I62" s="115">
        <f t="shared" si="19"/>
        <v>0</v>
      </c>
      <c r="J62" s="115">
        <f t="shared" si="19"/>
        <v>0</v>
      </c>
      <c r="K62" s="115">
        <f t="shared" si="19"/>
        <v>0</v>
      </c>
      <c r="L62" s="115">
        <f t="shared" si="19"/>
        <v>0</v>
      </c>
      <c r="M62" s="115">
        <f t="shared" si="19"/>
        <v>0</v>
      </c>
      <c r="N62" s="115">
        <f t="shared" si="19"/>
        <v>0</v>
      </c>
      <c r="O62" s="115">
        <f t="shared" si="19"/>
        <v>0</v>
      </c>
      <c r="P62" s="115">
        <f t="shared" si="19"/>
        <v>0</v>
      </c>
      <c r="Q62" s="115">
        <f t="shared" si="19"/>
        <v>0</v>
      </c>
      <c r="R62" s="115">
        <f t="shared" si="19"/>
        <v>0</v>
      </c>
      <c r="S62" s="115">
        <f t="shared" si="19"/>
        <v>0</v>
      </c>
      <c r="T62" s="115">
        <f t="shared" si="19"/>
        <v>0</v>
      </c>
      <c r="U62" s="115">
        <f t="shared" si="19"/>
        <v>0</v>
      </c>
      <c r="V62" s="115">
        <f t="shared" si="19"/>
        <v>0</v>
      </c>
      <c r="W62" s="115">
        <f t="shared" si="19"/>
        <v>0</v>
      </c>
      <c r="X62" s="115">
        <f t="shared" si="19"/>
        <v>0</v>
      </c>
      <c r="Y62" s="115">
        <f t="shared" si="19"/>
        <v>0</v>
      </c>
      <c r="Z62" s="115">
        <f t="shared" si="19"/>
        <v>0</v>
      </c>
      <c r="AA62" s="115">
        <f t="shared" si="19"/>
        <v>0</v>
      </c>
      <c r="AB62" s="115">
        <f t="shared" si="19"/>
        <v>0</v>
      </c>
      <c r="AC62" s="115">
        <f t="shared" si="19"/>
        <v>0</v>
      </c>
      <c r="AD62" s="115">
        <f t="shared" si="19"/>
        <v>0</v>
      </c>
      <c r="AE62" s="115">
        <f t="shared" si="19"/>
        <v>0</v>
      </c>
      <c r="AF62" s="115">
        <f t="shared" si="19"/>
        <v>0</v>
      </c>
      <c r="AG62" s="115">
        <f t="shared" si="19"/>
        <v>0</v>
      </c>
      <c r="AH62" s="115">
        <f t="shared" si="19"/>
        <v>0</v>
      </c>
      <c r="AI62" s="115">
        <f t="shared" si="19"/>
        <v>0</v>
      </c>
      <c r="AJ62" s="115">
        <f t="shared" si="19"/>
        <v>0</v>
      </c>
      <c r="AK62" s="115">
        <f t="shared" si="19"/>
        <v>0</v>
      </c>
      <c r="AL62" s="115">
        <f t="shared" si="19"/>
        <v>0</v>
      </c>
      <c r="AM62" s="115">
        <f t="shared" si="19"/>
        <v>0</v>
      </c>
      <c r="AN62" s="115">
        <f t="shared" si="19"/>
        <v>0</v>
      </c>
      <c r="AO62" s="115">
        <f t="shared" si="19"/>
        <v>0</v>
      </c>
      <c r="AP62" s="115">
        <f t="shared" si="19"/>
        <v>0</v>
      </c>
      <c r="AQ62" s="115">
        <f t="shared" si="19"/>
        <v>0</v>
      </c>
      <c r="AR62" s="115">
        <f t="shared" si="19"/>
        <v>0</v>
      </c>
      <c r="AS62" s="115">
        <f t="shared" si="19"/>
        <v>0</v>
      </c>
      <c r="AT62" s="115">
        <f t="shared" si="19"/>
        <v>0</v>
      </c>
      <c r="AU62" s="115">
        <f t="shared" si="19"/>
        <v>0</v>
      </c>
      <c r="AV62" s="115">
        <f t="shared" si="19"/>
        <v>0</v>
      </c>
      <c r="AW62" s="115">
        <f t="shared" si="19"/>
        <v>0</v>
      </c>
      <c r="AX62" s="115">
        <f t="shared" si="19"/>
        <v>0</v>
      </c>
      <c r="AY62" s="115">
        <f t="shared" si="19"/>
        <v>0</v>
      </c>
    </row>
    <row r="63" spans="1:52" x14ac:dyDescent="0.2">
      <c r="A63" s="115"/>
      <c r="B63" s="170" t="s">
        <v>351</v>
      </c>
      <c r="C63" s="115"/>
      <c r="D63" s="115">
        <v>1</v>
      </c>
      <c r="E63" s="115">
        <v>2</v>
      </c>
      <c r="F63" s="115">
        <v>2</v>
      </c>
      <c r="G63" s="115">
        <v>3</v>
      </c>
      <c r="H63" s="115">
        <v>2</v>
      </c>
      <c r="I63" s="115">
        <v>2</v>
      </c>
      <c r="J63" s="115">
        <v>2</v>
      </c>
      <c r="K63" s="115">
        <v>2</v>
      </c>
      <c r="L63" s="115">
        <v>1</v>
      </c>
      <c r="M63" s="115">
        <v>1</v>
      </c>
      <c r="N63" s="115">
        <v>2</v>
      </c>
      <c r="O63" s="115">
        <v>1</v>
      </c>
      <c r="P63" s="115">
        <v>1</v>
      </c>
      <c r="Q63" s="115">
        <v>2</v>
      </c>
      <c r="R63" s="115">
        <v>2</v>
      </c>
      <c r="S63" s="115">
        <v>2</v>
      </c>
      <c r="T63" s="115">
        <v>1</v>
      </c>
      <c r="U63" s="115">
        <v>1</v>
      </c>
      <c r="V63" s="115">
        <v>1</v>
      </c>
      <c r="W63" s="115">
        <v>1</v>
      </c>
      <c r="X63" s="115">
        <v>2</v>
      </c>
      <c r="Y63" s="115">
        <v>1</v>
      </c>
      <c r="Z63" s="115">
        <v>1</v>
      </c>
      <c r="AA63" s="115">
        <v>1</v>
      </c>
      <c r="AB63" s="115">
        <v>3</v>
      </c>
      <c r="AC63" s="115">
        <v>2</v>
      </c>
      <c r="AD63" s="115">
        <v>1</v>
      </c>
      <c r="AE63" s="115">
        <v>1</v>
      </c>
      <c r="AF63" s="115">
        <v>1</v>
      </c>
      <c r="AG63" s="115">
        <v>1</v>
      </c>
      <c r="AH63" s="115">
        <v>2</v>
      </c>
      <c r="AI63" s="115">
        <v>1</v>
      </c>
      <c r="AJ63" s="115">
        <v>2</v>
      </c>
      <c r="AK63" s="115">
        <v>1</v>
      </c>
      <c r="AL63" s="115">
        <v>1</v>
      </c>
      <c r="AM63" s="115">
        <v>1</v>
      </c>
      <c r="AN63" s="115">
        <v>1</v>
      </c>
      <c r="AO63" s="115">
        <v>2</v>
      </c>
      <c r="AP63" s="115">
        <v>2</v>
      </c>
      <c r="AQ63" s="115">
        <v>1</v>
      </c>
      <c r="AR63" s="115">
        <v>2</v>
      </c>
      <c r="AS63" s="115">
        <v>1</v>
      </c>
      <c r="AT63" s="115">
        <v>2</v>
      </c>
      <c r="AU63" s="115">
        <v>2</v>
      </c>
      <c r="AV63" s="115">
        <v>1</v>
      </c>
      <c r="AW63" s="115">
        <v>1</v>
      </c>
      <c r="AX63" s="115">
        <v>2</v>
      </c>
      <c r="AY63" s="115">
        <v>1</v>
      </c>
    </row>
    <row r="64" spans="1:52" x14ac:dyDescent="0.2">
      <c r="A64" s="115"/>
      <c r="B64" s="183" t="s">
        <v>352</v>
      </c>
      <c r="C64" s="115"/>
      <c r="D64" s="115">
        <v>240516</v>
      </c>
      <c r="E64" s="115">
        <v>99036</v>
      </c>
      <c r="F64" s="115">
        <v>99036</v>
      </c>
      <c r="G64" s="115">
        <v>99036</v>
      </c>
      <c r="H64" s="115">
        <v>99036</v>
      </c>
      <c r="I64" s="115">
        <v>99036</v>
      </c>
      <c r="J64" s="115">
        <v>99036</v>
      </c>
      <c r="K64" s="115">
        <v>99036</v>
      </c>
      <c r="L64" s="115">
        <v>99036</v>
      </c>
      <c r="M64" s="115">
        <v>84888</v>
      </c>
      <c r="N64" s="115">
        <v>84888</v>
      </c>
      <c r="O64" s="115">
        <v>84888</v>
      </c>
      <c r="P64" s="115">
        <v>84888</v>
      </c>
      <c r="Q64" s="115">
        <v>99036</v>
      </c>
      <c r="R64" s="115">
        <v>99036</v>
      </c>
      <c r="S64" s="115">
        <v>0</v>
      </c>
      <c r="T64" s="115">
        <v>183924</v>
      </c>
      <c r="U64" s="115">
        <v>99036</v>
      </c>
      <c r="V64" s="115">
        <v>99036</v>
      </c>
      <c r="W64" s="115">
        <v>99036</v>
      </c>
      <c r="X64" s="115">
        <v>99036</v>
      </c>
      <c r="Y64" s="115">
        <v>99036</v>
      </c>
      <c r="Z64" s="115">
        <v>99036</v>
      </c>
      <c r="AA64" s="115">
        <v>99036</v>
      </c>
      <c r="AB64" s="115">
        <v>99036</v>
      </c>
      <c r="AC64" s="115">
        <v>99036</v>
      </c>
      <c r="AD64" s="115">
        <v>99036</v>
      </c>
      <c r="AE64" s="115">
        <v>99036</v>
      </c>
      <c r="AF64" s="115">
        <v>99036</v>
      </c>
      <c r="AG64" s="115">
        <v>99036</v>
      </c>
      <c r="AH64" s="115">
        <v>99036</v>
      </c>
      <c r="AI64" s="115">
        <v>99036</v>
      </c>
      <c r="AJ64" s="115">
        <v>99036</v>
      </c>
      <c r="AK64" s="115">
        <v>99036</v>
      </c>
      <c r="AL64" s="115">
        <v>99036</v>
      </c>
      <c r="AM64" s="115">
        <v>99036</v>
      </c>
      <c r="AN64" s="115">
        <v>99036</v>
      </c>
      <c r="AO64" s="115">
        <v>99036</v>
      </c>
      <c r="AP64" s="115">
        <v>99036</v>
      </c>
      <c r="AQ64" s="115">
        <v>99036</v>
      </c>
      <c r="AR64" s="115">
        <v>99036</v>
      </c>
      <c r="AS64" s="115">
        <v>99036</v>
      </c>
      <c r="AT64" s="115">
        <v>99036</v>
      </c>
      <c r="AU64" s="115">
        <v>99036</v>
      </c>
      <c r="AV64" s="115">
        <v>99036</v>
      </c>
      <c r="AW64" s="115">
        <v>99036</v>
      </c>
      <c r="AX64" s="115">
        <v>99036</v>
      </c>
      <c r="AY64" s="115">
        <v>99036</v>
      </c>
      <c r="AZ64" s="105">
        <f>SUM($D$64:$AY$64)</f>
        <v>4824468</v>
      </c>
    </row>
    <row r="65" spans="1:52" x14ac:dyDescent="0.2">
      <c r="A65" s="115"/>
      <c r="B65" s="183" t="s">
        <v>353</v>
      </c>
      <c r="C65" s="115"/>
      <c r="D65" s="115">
        <v>0</v>
      </c>
      <c r="E65" s="115">
        <v>0</v>
      </c>
      <c r="F65" s="115">
        <v>0</v>
      </c>
      <c r="G65" s="115">
        <v>0</v>
      </c>
      <c r="H65" s="115">
        <v>0</v>
      </c>
      <c r="I65" s="115">
        <v>0</v>
      </c>
      <c r="J65" s="115">
        <v>0</v>
      </c>
      <c r="K65" s="115">
        <v>0</v>
      </c>
      <c r="L65" s="115">
        <v>0</v>
      </c>
      <c r="M65" s="115">
        <v>0</v>
      </c>
      <c r="N65" s="115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15">
        <v>0</v>
      </c>
      <c r="AA65" s="115">
        <v>0</v>
      </c>
      <c r="AB65" s="115">
        <v>0</v>
      </c>
      <c r="AC65" s="115">
        <v>0</v>
      </c>
      <c r="AD65" s="115">
        <v>0</v>
      </c>
      <c r="AE65" s="115">
        <v>0</v>
      </c>
      <c r="AF65" s="115">
        <v>0</v>
      </c>
      <c r="AG65" s="115">
        <v>0</v>
      </c>
      <c r="AH65" s="115">
        <v>0</v>
      </c>
      <c r="AI65" s="115">
        <v>0</v>
      </c>
      <c r="AJ65" s="115">
        <v>0</v>
      </c>
      <c r="AK65" s="115">
        <v>0</v>
      </c>
      <c r="AL65" s="115">
        <v>0</v>
      </c>
      <c r="AM65" s="115">
        <v>0</v>
      </c>
      <c r="AN65" s="115">
        <v>0</v>
      </c>
      <c r="AO65" s="115">
        <v>0</v>
      </c>
      <c r="AP65" s="115">
        <v>0</v>
      </c>
      <c r="AQ65" s="115">
        <v>0</v>
      </c>
      <c r="AR65" s="115">
        <v>0</v>
      </c>
      <c r="AS65" s="115">
        <v>0</v>
      </c>
      <c r="AT65" s="115">
        <v>0</v>
      </c>
      <c r="AU65" s="115">
        <v>0</v>
      </c>
      <c r="AV65" s="115">
        <v>0</v>
      </c>
      <c r="AW65" s="115">
        <v>0</v>
      </c>
      <c r="AX65" s="115">
        <v>0</v>
      </c>
      <c r="AY65" s="115">
        <v>0</v>
      </c>
      <c r="AZ65" s="105">
        <f>SUM($D$65:$AY$65)</f>
        <v>0</v>
      </c>
    </row>
    <row r="66" spans="1:52" x14ac:dyDescent="0.2">
      <c r="A66" s="140" t="s">
        <v>70</v>
      </c>
      <c r="B66" s="140" t="s">
        <v>343</v>
      </c>
      <c r="C66" s="129"/>
      <c r="D66" s="129">
        <f>D$21*shipping_manufacturing!$H$30/100</f>
        <v>0</v>
      </c>
      <c r="E66" s="129">
        <f>E$21*shipping_manufacturing!$H$30/100</f>
        <v>0</v>
      </c>
      <c r="F66" s="129">
        <f>F$21*shipping_manufacturing!$H$30/100</f>
        <v>0</v>
      </c>
      <c r="G66" s="129">
        <f>G$21*shipping_manufacturing!$H$30/100</f>
        <v>0</v>
      </c>
      <c r="H66" s="129">
        <f>H$21*shipping_manufacturing!$H$30/100</f>
        <v>0</v>
      </c>
      <c r="I66" s="129">
        <f>I$21*shipping_manufacturing!$H$30/100</f>
        <v>0</v>
      </c>
      <c r="J66" s="129">
        <f>J$21*shipping_manufacturing!$H$30/100</f>
        <v>0</v>
      </c>
      <c r="K66" s="129">
        <f>K$21*shipping_manufacturing!$H$30/100</f>
        <v>0</v>
      </c>
      <c r="L66" s="129">
        <f>L$21*shipping_manufacturing!$H$30/100</f>
        <v>0</v>
      </c>
      <c r="M66" s="129">
        <f>M$21*shipping_manufacturing!$H$30/100</f>
        <v>0</v>
      </c>
      <c r="N66" s="129">
        <f>N$21*shipping_manufacturing!$H$30/100</f>
        <v>0</v>
      </c>
      <c r="O66" s="129">
        <f>O$21*shipping_manufacturing!$H$30/100</f>
        <v>0</v>
      </c>
      <c r="P66" s="129">
        <f>P$21*shipping_manufacturing!$H$30/100</f>
        <v>0</v>
      </c>
      <c r="Q66" s="129">
        <f>Q$21*shipping_manufacturing!$H$30/100</f>
        <v>0</v>
      </c>
      <c r="R66" s="129">
        <f>R$21*shipping_manufacturing!$H$30/100</f>
        <v>0</v>
      </c>
      <c r="S66" s="129">
        <f>S$21*shipping_manufacturing!$H$30/100</f>
        <v>0</v>
      </c>
      <c r="T66" s="129">
        <f>T$21*shipping_manufacturing!$H$30/100</f>
        <v>0</v>
      </c>
      <c r="U66" s="129">
        <f>U$21*shipping_manufacturing!$H$30/100</f>
        <v>0</v>
      </c>
      <c r="V66" s="129">
        <f>V$21*shipping_manufacturing!$H$30/100</f>
        <v>0</v>
      </c>
      <c r="W66" s="129">
        <f>W$21*shipping_manufacturing!$H$30/100</f>
        <v>0</v>
      </c>
      <c r="X66" s="129">
        <f>X$21*shipping_manufacturing!$H$30/100</f>
        <v>0</v>
      </c>
      <c r="Y66" s="129">
        <f>Y$21*shipping_manufacturing!$H$30/100</f>
        <v>0</v>
      </c>
      <c r="Z66" s="129">
        <f>Z$21*shipping_manufacturing!$H$30/100</f>
        <v>0</v>
      </c>
      <c r="AA66" s="129">
        <f>AA$21*shipping_manufacturing!$H$30/100</f>
        <v>0</v>
      </c>
      <c r="AB66" s="129">
        <f>AB$21*shipping_manufacturing!$H$30/100</f>
        <v>0</v>
      </c>
      <c r="AC66" s="129">
        <f>AC$21*shipping_manufacturing!$H$30/100</f>
        <v>0</v>
      </c>
      <c r="AD66" s="129">
        <f>AD$21*shipping_manufacturing!$H$30/100</f>
        <v>0</v>
      </c>
      <c r="AE66" s="129">
        <f>AE$21*shipping_manufacturing!$H$30/100</f>
        <v>0</v>
      </c>
      <c r="AF66" s="129">
        <f>AF$21*shipping_manufacturing!$H$30/100</f>
        <v>0</v>
      </c>
      <c r="AG66" s="129">
        <f>AG$21*shipping_manufacturing!$H$30/100</f>
        <v>0</v>
      </c>
      <c r="AH66" s="129">
        <f>AH$21*shipping_manufacturing!$H$30/100</f>
        <v>0</v>
      </c>
      <c r="AI66" s="129">
        <f>AI$21*shipping_manufacturing!$H$30/100</f>
        <v>0</v>
      </c>
      <c r="AJ66" s="129">
        <f>AJ$21*shipping_manufacturing!$H$30/100</f>
        <v>0</v>
      </c>
      <c r="AK66" s="129">
        <f>AK$21*shipping_manufacturing!$H$30/100</f>
        <v>0</v>
      </c>
      <c r="AL66" s="129">
        <f>AL$21*shipping_manufacturing!$H$30/100</f>
        <v>0</v>
      </c>
      <c r="AM66" s="129">
        <f>AM$21*shipping_manufacturing!$H$30/100</f>
        <v>0</v>
      </c>
      <c r="AN66" s="129">
        <f>AN$21*shipping_manufacturing!$H$30/100</f>
        <v>0</v>
      </c>
      <c r="AO66" s="129">
        <f>AO$21*shipping_manufacturing!$H$30/100</f>
        <v>0</v>
      </c>
      <c r="AP66" s="129">
        <f>AP$21*shipping_manufacturing!$H$30/100</f>
        <v>0</v>
      </c>
      <c r="AQ66" s="129">
        <f>AQ$21*shipping_manufacturing!$H$30/100</f>
        <v>0</v>
      </c>
      <c r="AR66" s="129">
        <f>AR$21*shipping_manufacturing!$H$30/100</f>
        <v>0</v>
      </c>
      <c r="AS66" s="129">
        <f>AS$21*shipping_manufacturing!$H$30/100</f>
        <v>0</v>
      </c>
      <c r="AT66" s="129">
        <f>AT$21*shipping_manufacturing!$H$30/100</f>
        <v>0</v>
      </c>
      <c r="AU66" s="129">
        <f>AU$21*shipping_manufacturing!$H$30/100</f>
        <v>0</v>
      </c>
      <c r="AV66" s="129">
        <f>AV$21*shipping_manufacturing!$H$30/100</f>
        <v>0</v>
      </c>
      <c r="AW66" s="129">
        <f>AW$21*shipping_manufacturing!$H$30/100</f>
        <v>0</v>
      </c>
      <c r="AX66" s="129">
        <f>AX$21*shipping_manufacturing!$H$30/100</f>
        <v>0</v>
      </c>
      <c r="AY66" s="129">
        <f>AY$21*shipping_manufacturing!$H$30/100</f>
        <v>0</v>
      </c>
    </row>
    <row r="67" spans="1:52" x14ac:dyDescent="0.2">
      <c r="A67" s="118" t="s">
        <v>342</v>
      </c>
      <c r="B67" s="170" t="s">
        <v>344</v>
      </c>
      <c r="C67" s="115"/>
      <c r="D67" s="115">
        <f>D$22*shipping_manufacturing!$I$30/100</f>
        <v>0</v>
      </c>
      <c r="E67" s="115">
        <f>E$22*shipping_manufacturing!$I$30/100</f>
        <v>0</v>
      </c>
      <c r="F67" s="115">
        <f>F$22*shipping_manufacturing!$I$30/100</f>
        <v>0</v>
      </c>
      <c r="G67" s="115">
        <f>G$22*shipping_manufacturing!$I$30/100</f>
        <v>0</v>
      </c>
      <c r="H67" s="115">
        <f>H$22*shipping_manufacturing!$I$30/100</f>
        <v>0</v>
      </c>
      <c r="I67" s="115">
        <f>I$22*shipping_manufacturing!$I$30/100</f>
        <v>0</v>
      </c>
      <c r="J67" s="115">
        <f>J$22*shipping_manufacturing!$I$30/100</f>
        <v>0</v>
      </c>
      <c r="K67" s="115">
        <f>K$22*shipping_manufacturing!$I$30/100</f>
        <v>0</v>
      </c>
      <c r="L67" s="115">
        <f>L$22*shipping_manufacturing!$I$30/100</f>
        <v>0</v>
      </c>
      <c r="M67" s="115">
        <f>M$22*shipping_manufacturing!$I$30/100</f>
        <v>0</v>
      </c>
      <c r="N67" s="115">
        <f>N$22*shipping_manufacturing!$I$30/100</f>
        <v>0</v>
      </c>
      <c r="O67" s="115">
        <f>O$22*shipping_manufacturing!$I$30/100</f>
        <v>0</v>
      </c>
      <c r="P67" s="115">
        <f>P$22*shipping_manufacturing!$I$30/100</f>
        <v>0</v>
      </c>
      <c r="Q67" s="115">
        <f>Q$22*shipping_manufacturing!$I$30/100</f>
        <v>0</v>
      </c>
      <c r="R67" s="115">
        <f>R$22*shipping_manufacturing!$I$30/100</f>
        <v>0</v>
      </c>
      <c r="S67" s="115">
        <f>S$22*shipping_manufacturing!$I$30/100</f>
        <v>0</v>
      </c>
      <c r="T67" s="115">
        <f>T$22*shipping_manufacturing!$I$30/100</f>
        <v>0</v>
      </c>
      <c r="U67" s="115">
        <f>U$22*shipping_manufacturing!$I$30/100</f>
        <v>0</v>
      </c>
      <c r="V67" s="115">
        <f>V$22*shipping_manufacturing!$I$30/100</f>
        <v>0</v>
      </c>
      <c r="W67" s="115">
        <f>W$22*shipping_manufacturing!$I$30/100</f>
        <v>0</v>
      </c>
      <c r="X67" s="115">
        <f>X$22*shipping_manufacturing!$I$30/100</f>
        <v>0</v>
      </c>
      <c r="Y67" s="115">
        <f>Y$22*shipping_manufacturing!$I$30/100</f>
        <v>0</v>
      </c>
      <c r="Z67" s="115">
        <f>Z$22*shipping_manufacturing!$I$30/100</f>
        <v>0</v>
      </c>
      <c r="AA67" s="115">
        <f>AA$22*shipping_manufacturing!$I$30/100</f>
        <v>0</v>
      </c>
      <c r="AB67" s="115">
        <f>AB$22*shipping_manufacturing!$I$30/100</f>
        <v>0</v>
      </c>
      <c r="AC67" s="115">
        <f>AC$22*shipping_manufacturing!$I$30/100</f>
        <v>0</v>
      </c>
      <c r="AD67" s="115">
        <f>AD$22*shipping_manufacturing!$I$30/100</f>
        <v>0</v>
      </c>
      <c r="AE67" s="115">
        <f>AE$22*shipping_manufacturing!$I$30/100</f>
        <v>0</v>
      </c>
      <c r="AF67" s="115">
        <f>AF$22*shipping_manufacturing!$I$30/100</f>
        <v>0</v>
      </c>
      <c r="AG67" s="115">
        <f>AG$22*shipping_manufacturing!$I$30/100</f>
        <v>0</v>
      </c>
      <c r="AH67" s="115">
        <f>AH$22*shipping_manufacturing!$I$30/100</f>
        <v>0</v>
      </c>
      <c r="AI67" s="115">
        <f>AI$22*shipping_manufacturing!$I$30/100</f>
        <v>0</v>
      </c>
      <c r="AJ67" s="115">
        <f>AJ$22*shipping_manufacturing!$I$30/100</f>
        <v>0</v>
      </c>
      <c r="AK67" s="115">
        <f>AK$22*shipping_manufacturing!$I$30/100</f>
        <v>0</v>
      </c>
      <c r="AL67" s="115">
        <f>AL$22*shipping_manufacturing!$I$30/100</f>
        <v>0</v>
      </c>
      <c r="AM67" s="115">
        <f>AM$22*shipping_manufacturing!$I$30/100</f>
        <v>0</v>
      </c>
      <c r="AN67" s="115">
        <f>AN$22*shipping_manufacturing!$I$30/100</f>
        <v>0</v>
      </c>
      <c r="AO67" s="115">
        <f>AO$22*shipping_manufacturing!$I$30/100</f>
        <v>0</v>
      </c>
      <c r="AP67" s="115">
        <f>AP$22*shipping_manufacturing!$I$30/100</f>
        <v>0</v>
      </c>
      <c r="AQ67" s="115">
        <f>AQ$22*shipping_manufacturing!$I$30/100</f>
        <v>0</v>
      </c>
      <c r="AR67" s="115">
        <f>AR$22*shipping_manufacturing!$I$30/100</f>
        <v>0</v>
      </c>
      <c r="AS67" s="115">
        <f>AS$22*shipping_manufacturing!$I$30/100</f>
        <v>0</v>
      </c>
      <c r="AT67" s="115">
        <f>AT$22*shipping_manufacturing!$I$30/100</f>
        <v>0</v>
      </c>
      <c r="AU67" s="115">
        <f>AU$22*shipping_manufacturing!$I$30/100</f>
        <v>0</v>
      </c>
      <c r="AV67" s="115">
        <f>AV$22*shipping_manufacturing!$I$30/100</f>
        <v>0</v>
      </c>
      <c r="AW67" s="115">
        <f>AW$22*shipping_manufacturing!$I$30/100</f>
        <v>0</v>
      </c>
      <c r="AX67" s="115">
        <f>AX$22*shipping_manufacturing!$I$30/100</f>
        <v>0</v>
      </c>
      <c r="AY67" s="115">
        <f>AY$22*shipping_manufacturing!$I$30/100</f>
        <v>0</v>
      </c>
    </row>
    <row r="68" spans="1:52" x14ac:dyDescent="0.2">
      <c r="A68" s="115">
        <v>1712</v>
      </c>
      <c r="B68" s="170" t="s">
        <v>345</v>
      </c>
      <c r="C68" s="115"/>
      <c r="D68" s="115">
        <f>SUM(D66:D67)</f>
        <v>0</v>
      </c>
      <c r="E68" s="115">
        <f t="shared" ref="E68:AY68" si="20">SUM(E66:E67)</f>
        <v>0</v>
      </c>
      <c r="F68" s="115">
        <f t="shared" si="20"/>
        <v>0</v>
      </c>
      <c r="G68" s="115">
        <f t="shared" si="20"/>
        <v>0</v>
      </c>
      <c r="H68" s="115">
        <f t="shared" si="20"/>
        <v>0</v>
      </c>
      <c r="I68" s="115">
        <f t="shared" si="20"/>
        <v>0</v>
      </c>
      <c r="J68" s="115">
        <f t="shared" si="20"/>
        <v>0</v>
      </c>
      <c r="K68" s="115">
        <f t="shared" si="20"/>
        <v>0</v>
      </c>
      <c r="L68" s="115">
        <f t="shared" si="20"/>
        <v>0</v>
      </c>
      <c r="M68" s="115">
        <f t="shared" si="20"/>
        <v>0</v>
      </c>
      <c r="N68" s="115">
        <f t="shared" si="20"/>
        <v>0</v>
      </c>
      <c r="O68" s="115">
        <f t="shared" si="20"/>
        <v>0</v>
      </c>
      <c r="P68" s="115">
        <f t="shared" si="20"/>
        <v>0</v>
      </c>
      <c r="Q68" s="115">
        <f t="shared" si="20"/>
        <v>0</v>
      </c>
      <c r="R68" s="115">
        <f t="shared" si="20"/>
        <v>0</v>
      </c>
      <c r="S68" s="115">
        <f t="shared" si="20"/>
        <v>0</v>
      </c>
      <c r="T68" s="115">
        <f t="shared" si="20"/>
        <v>0</v>
      </c>
      <c r="U68" s="115">
        <f t="shared" si="20"/>
        <v>0</v>
      </c>
      <c r="V68" s="115">
        <f t="shared" si="20"/>
        <v>0</v>
      </c>
      <c r="W68" s="115">
        <f t="shared" si="20"/>
        <v>0</v>
      </c>
      <c r="X68" s="115">
        <f t="shared" si="20"/>
        <v>0</v>
      </c>
      <c r="Y68" s="115">
        <f t="shared" si="20"/>
        <v>0</v>
      </c>
      <c r="Z68" s="115">
        <f t="shared" si="20"/>
        <v>0</v>
      </c>
      <c r="AA68" s="115">
        <f t="shared" si="20"/>
        <v>0</v>
      </c>
      <c r="AB68" s="115">
        <f t="shared" si="20"/>
        <v>0</v>
      </c>
      <c r="AC68" s="115">
        <f t="shared" si="20"/>
        <v>0</v>
      </c>
      <c r="AD68" s="115">
        <f t="shared" si="20"/>
        <v>0</v>
      </c>
      <c r="AE68" s="115">
        <f t="shared" si="20"/>
        <v>0</v>
      </c>
      <c r="AF68" s="115">
        <f t="shared" si="20"/>
        <v>0</v>
      </c>
      <c r="AG68" s="115">
        <f t="shared" si="20"/>
        <v>0</v>
      </c>
      <c r="AH68" s="115">
        <f t="shared" si="20"/>
        <v>0</v>
      </c>
      <c r="AI68" s="115">
        <f t="shared" si="20"/>
        <v>0</v>
      </c>
      <c r="AJ68" s="115">
        <f t="shared" si="20"/>
        <v>0</v>
      </c>
      <c r="AK68" s="115">
        <f t="shared" si="20"/>
        <v>0</v>
      </c>
      <c r="AL68" s="115">
        <f t="shared" si="20"/>
        <v>0</v>
      </c>
      <c r="AM68" s="115">
        <f t="shared" si="20"/>
        <v>0</v>
      </c>
      <c r="AN68" s="115">
        <f t="shared" si="20"/>
        <v>0</v>
      </c>
      <c r="AO68" s="115">
        <f t="shared" si="20"/>
        <v>0</v>
      </c>
      <c r="AP68" s="115">
        <f t="shared" si="20"/>
        <v>0</v>
      </c>
      <c r="AQ68" s="115">
        <f t="shared" si="20"/>
        <v>0</v>
      </c>
      <c r="AR68" s="115">
        <f t="shared" si="20"/>
        <v>0</v>
      </c>
      <c r="AS68" s="115">
        <f t="shared" si="20"/>
        <v>0</v>
      </c>
      <c r="AT68" s="115">
        <f t="shared" si="20"/>
        <v>0</v>
      </c>
      <c r="AU68" s="115">
        <f t="shared" si="20"/>
        <v>0</v>
      </c>
      <c r="AV68" s="115">
        <f t="shared" si="20"/>
        <v>0</v>
      </c>
      <c r="AW68" s="115">
        <f t="shared" si="20"/>
        <v>0</v>
      </c>
      <c r="AX68" s="115">
        <f t="shared" si="20"/>
        <v>0</v>
      </c>
      <c r="AY68" s="115">
        <f t="shared" si="20"/>
        <v>0</v>
      </c>
    </row>
    <row r="69" spans="1:52" x14ac:dyDescent="0.2">
      <c r="A69" s="115"/>
      <c r="B69" s="170" t="s">
        <v>346</v>
      </c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</row>
    <row r="70" spans="1:52" x14ac:dyDescent="0.2">
      <c r="A70" s="115"/>
      <c r="B70" s="170" t="s">
        <v>347</v>
      </c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</row>
    <row r="71" spans="1:52" x14ac:dyDescent="0.2">
      <c r="A71" s="115"/>
      <c r="B71" s="170" t="s">
        <v>348</v>
      </c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</row>
    <row r="72" spans="1:52" x14ac:dyDescent="0.2">
      <c r="A72" s="115"/>
      <c r="B72" s="170" t="s">
        <v>349</v>
      </c>
      <c r="C72" s="115"/>
      <c r="D72" s="115">
        <f>D66-D69</f>
        <v>0</v>
      </c>
      <c r="E72" s="115">
        <f t="shared" ref="E72:AY72" si="21">E66-E69</f>
        <v>0</v>
      </c>
      <c r="F72" s="115">
        <f t="shared" si="21"/>
        <v>0</v>
      </c>
      <c r="G72" s="115">
        <f t="shared" si="21"/>
        <v>0</v>
      </c>
      <c r="H72" s="115">
        <f t="shared" si="21"/>
        <v>0</v>
      </c>
      <c r="I72" s="115">
        <f t="shared" si="21"/>
        <v>0</v>
      </c>
      <c r="J72" s="115">
        <f t="shared" si="21"/>
        <v>0</v>
      </c>
      <c r="K72" s="115">
        <f t="shared" si="21"/>
        <v>0</v>
      </c>
      <c r="L72" s="115">
        <f t="shared" si="21"/>
        <v>0</v>
      </c>
      <c r="M72" s="115">
        <f t="shared" si="21"/>
        <v>0</v>
      </c>
      <c r="N72" s="115">
        <f t="shared" si="21"/>
        <v>0</v>
      </c>
      <c r="O72" s="115">
        <f t="shared" si="21"/>
        <v>0</v>
      </c>
      <c r="P72" s="115">
        <f t="shared" si="21"/>
        <v>0</v>
      </c>
      <c r="Q72" s="115">
        <f t="shared" si="21"/>
        <v>0</v>
      </c>
      <c r="R72" s="115">
        <f t="shared" si="21"/>
        <v>0</v>
      </c>
      <c r="S72" s="115">
        <f t="shared" si="21"/>
        <v>0</v>
      </c>
      <c r="T72" s="115">
        <f t="shared" si="21"/>
        <v>0</v>
      </c>
      <c r="U72" s="115">
        <f t="shared" si="21"/>
        <v>0</v>
      </c>
      <c r="V72" s="115">
        <f t="shared" si="21"/>
        <v>0</v>
      </c>
      <c r="W72" s="115">
        <f t="shared" si="21"/>
        <v>0</v>
      </c>
      <c r="X72" s="115">
        <f t="shared" si="21"/>
        <v>0</v>
      </c>
      <c r="Y72" s="115">
        <f t="shared" si="21"/>
        <v>0</v>
      </c>
      <c r="Z72" s="115">
        <f t="shared" si="21"/>
        <v>0</v>
      </c>
      <c r="AA72" s="115">
        <f t="shared" si="21"/>
        <v>0</v>
      </c>
      <c r="AB72" s="115">
        <f t="shared" si="21"/>
        <v>0</v>
      </c>
      <c r="AC72" s="115">
        <f t="shared" si="21"/>
        <v>0</v>
      </c>
      <c r="AD72" s="115">
        <f t="shared" si="21"/>
        <v>0</v>
      </c>
      <c r="AE72" s="115">
        <f t="shared" si="21"/>
        <v>0</v>
      </c>
      <c r="AF72" s="115">
        <f t="shared" si="21"/>
        <v>0</v>
      </c>
      <c r="AG72" s="115">
        <f t="shared" si="21"/>
        <v>0</v>
      </c>
      <c r="AH72" s="115">
        <f t="shared" si="21"/>
        <v>0</v>
      </c>
      <c r="AI72" s="115">
        <f t="shared" si="21"/>
        <v>0</v>
      </c>
      <c r="AJ72" s="115">
        <f t="shared" si="21"/>
        <v>0</v>
      </c>
      <c r="AK72" s="115">
        <f t="shared" si="21"/>
        <v>0</v>
      </c>
      <c r="AL72" s="115">
        <f t="shared" si="21"/>
        <v>0</v>
      </c>
      <c r="AM72" s="115">
        <f t="shared" si="21"/>
        <v>0</v>
      </c>
      <c r="AN72" s="115">
        <f t="shared" si="21"/>
        <v>0</v>
      </c>
      <c r="AO72" s="115">
        <f t="shared" si="21"/>
        <v>0</v>
      </c>
      <c r="AP72" s="115">
        <f t="shared" si="21"/>
        <v>0</v>
      </c>
      <c r="AQ72" s="115">
        <f t="shared" si="21"/>
        <v>0</v>
      </c>
      <c r="AR72" s="115">
        <f t="shared" si="21"/>
        <v>0</v>
      </c>
      <c r="AS72" s="115">
        <f t="shared" si="21"/>
        <v>0</v>
      </c>
      <c r="AT72" s="115">
        <f t="shared" si="21"/>
        <v>0</v>
      </c>
      <c r="AU72" s="115">
        <f t="shared" si="21"/>
        <v>0</v>
      </c>
      <c r="AV72" s="115">
        <f t="shared" si="21"/>
        <v>0</v>
      </c>
      <c r="AW72" s="115">
        <f t="shared" si="21"/>
        <v>0</v>
      </c>
      <c r="AX72" s="115">
        <f t="shared" si="21"/>
        <v>0</v>
      </c>
      <c r="AY72" s="115">
        <f t="shared" si="21"/>
        <v>0</v>
      </c>
    </row>
    <row r="73" spans="1:52" x14ac:dyDescent="0.2">
      <c r="A73" s="115"/>
      <c r="B73" s="170" t="s">
        <v>350</v>
      </c>
      <c r="C73" s="115"/>
      <c r="D73" s="115">
        <f>D67-D70</f>
        <v>0</v>
      </c>
      <c r="E73" s="115">
        <f t="shared" ref="E73:AY73" si="22">E67-E70</f>
        <v>0</v>
      </c>
      <c r="F73" s="115">
        <f t="shared" si="22"/>
        <v>0</v>
      </c>
      <c r="G73" s="115">
        <f t="shared" si="22"/>
        <v>0</v>
      </c>
      <c r="H73" s="115">
        <f t="shared" si="22"/>
        <v>0</v>
      </c>
      <c r="I73" s="115">
        <f t="shared" si="22"/>
        <v>0</v>
      </c>
      <c r="J73" s="115">
        <f t="shared" si="22"/>
        <v>0</v>
      </c>
      <c r="K73" s="115">
        <f t="shared" si="22"/>
        <v>0</v>
      </c>
      <c r="L73" s="115">
        <f t="shared" si="22"/>
        <v>0</v>
      </c>
      <c r="M73" s="115">
        <f t="shared" si="22"/>
        <v>0</v>
      </c>
      <c r="N73" s="115">
        <f t="shared" si="22"/>
        <v>0</v>
      </c>
      <c r="O73" s="115">
        <f t="shared" si="22"/>
        <v>0</v>
      </c>
      <c r="P73" s="115">
        <f t="shared" si="22"/>
        <v>0</v>
      </c>
      <c r="Q73" s="115">
        <f t="shared" si="22"/>
        <v>0</v>
      </c>
      <c r="R73" s="115">
        <f t="shared" si="22"/>
        <v>0</v>
      </c>
      <c r="S73" s="115">
        <f t="shared" si="22"/>
        <v>0</v>
      </c>
      <c r="T73" s="115">
        <f t="shared" si="22"/>
        <v>0</v>
      </c>
      <c r="U73" s="115">
        <f t="shared" si="22"/>
        <v>0</v>
      </c>
      <c r="V73" s="115">
        <f t="shared" si="22"/>
        <v>0</v>
      </c>
      <c r="W73" s="115">
        <f t="shared" si="22"/>
        <v>0</v>
      </c>
      <c r="X73" s="115">
        <f t="shared" si="22"/>
        <v>0</v>
      </c>
      <c r="Y73" s="115">
        <f t="shared" si="22"/>
        <v>0</v>
      </c>
      <c r="Z73" s="115">
        <f t="shared" si="22"/>
        <v>0</v>
      </c>
      <c r="AA73" s="115">
        <f t="shared" si="22"/>
        <v>0</v>
      </c>
      <c r="AB73" s="115">
        <f t="shared" si="22"/>
        <v>0</v>
      </c>
      <c r="AC73" s="115">
        <f t="shared" si="22"/>
        <v>0</v>
      </c>
      <c r="AD73" s="115">
        <f t="shared" si="22"/>
        <v>0</v>
      </c>
      <c r="AE73" s="115">
        <f t="shared" si="22"/>
        <v>0</v>
      </c>
      <c r="AF73" s="115">
        <f t="shared" si="22"/>
        <v>0</v>
      </c>
      <c r="AG73" s="115">
        <f t="shared" si="22"/>
        <v>0</v>
      </c>
      <c r="AH73" s="115">
        <f t="shared" si="22"/>
        <v>0</v>
      </c>
      <c r="AI73" s="115">
        <f t="shared" si="22"/>
        <v>0</v>
      </c>
      <c r="AJ73" s="115">
        <f t="shared" si="22"/>
        <v>0</v>
      </c>
      <c r="AK73" s="115">
        <f t="shared" si="22"/>
        <v>0</v>
      </c>
      <c r="AL73" s="115">
        <f t="shared" si="22"/>
        <v>0</v>
      </c>
      <c r="AM73" s="115">
        <f t="shared" si="22"/>
        <v>0</v>
      </c>
      <c r="AN73" s="115">
        <f t="shared" si="22"/>
        <v>0</v>
      </c>
      <c r="AO73" s="115">
        <f t="shared" si="22"/>
        <v>0</v>
      </c>
      <c r="AP73" s="115">
        <f t="shared" si="22"/>
        <v>0</v>
      </c>
      <c r="AQ73" s="115">
        <f t="shared" si="22"/>
        <v>0</v>
      </c>
      <c r="AR73" s="115">
        <f t="shared" si="22"/>
        <v>0</v>
      </c>
      <c r="AS73" s="115">
        <f t="shared" si="22"/>
        <v>0</v>
      </c>
      <c r="AT73" s="115">
        <f t="shared" si="22"/>
        <v>0</v>
      </c>
      <c r="AU73" s="115">
        <f t="shared" si="22"/>
        <v>0</v>
      </c>
      <c r="AV73" s="115">
        <f t="shared" si="22"/>
        <v>0</v>
      </c>
      <c r="AW73" s="115">
        <f t="shared" si="22"/>
        <v>0</v>
      </c>
      <c r="AX73" s="115">
        <f t="shared" si="22"/>
        <v>0</v>
      </c>
      <c r="AY73" s="115">
        <f t="shared" si="22"/>
        <v>0</v>
      </c>
    </row>
    <row r="74" spans="1:52" x14ac:dyDescent="0.2">
      <c r="A74" s="115"/>
      <c r="B74" s="170" t="s">
        <v>351</v>
      </c>
      <c r="C74" s="115"/>
      <c r="D74" s="115">
        <v>2</v>
      </c>
      <c r="E74" s="115">
        <v>1</v>
      </c>
      <c r="F74" s="115">
        <v>1</v>
      </c>
      <c r="G74" s="115">
        <v>3</v>
      </c>
      <c r="H74" s="115">
        <v>2</v>
      </c>
      <c r="I74" s="115">
        <v>2</v>
      </c>
      <c r="J74" s="115">
        <v>1</v>
      </c>
      <c r="K74" s="115">
        <v>2</v>
      </c>
      <c r="L74" s="115">
        <v>3</v>
      </c>
      <c r="M74" s="115">
        <v>1</v>
      </c>
      <c r="N74" s="115">
        <v>1</v>
      </c>
      <c r="O74" s="115">
        <v>1</v>
      </c>
      <c r="P74" s="115">
        <v>1</v>
      </c>
      <c r="Q74" s="115">
        <v>2</v>
      </c>
      <c r="R74" s="115">
        <v>1</v>
      </c>
      <c r="S74" s="115">
        <v>1</v>
      </c>
      <c r="T74" s="115">
        <v>1</v>
      </c>
      <c r="U74" s="115">
        <v>2</v>
      </c>
      <c r="V74" s="115">
        <v>2</v>
      </c>
      <c r="W74" s="115">
        <v>1</v>
      </c>
      <c r="X74" s="115">
        <v>1</v>
      </c>
      <c r="Y74" s="115">
        <v>1</v>
      </c>
      <c r="Z74" s="115">
        <v>1</v>
      </c>
      <c r="AA74" s="115">
        <v>1</v>
      </c>
      <c r="AB74" s="115">
        <v>1</v>
      </c>
      <c r="AC74" s="115">
        <v>1</v>
      </c>
      <c r="AD74" s="115">
        <v>2</v>
      </c>
      <c r="AE74" s="115">
        <v>1</v>
      </c>
      <c r="AF74" s="115">
        <v>1</v>
      </c>
      <c r="AG74" s="115">
        <v>1</v>
      </c>
      <c r="AH74" s="115">
        <v>1</v>
      </c>
      <c r="AI74" s="115">
        <v>2</v>
      </c>
      <c r="AJ74" s="115">
        <v>1</v>
      </c>
      <c r="AK74" s="115">
        <v>1</v>
      </c>
      <c r="AL74" s="115">
        <v>3</v>
      </c>
      <c r="AM74" s="115">
        <v>1</v>
      </c>
      <c r="AN74" s="115">
        <v>1</v>
      </c>
      <c r="AO74" s="115">
        <v>1</v>
      </c>
      <c r="AP74" s="115">
        <v>2</v>
      </c>
      <c r="AQ74" s="115">
        <v>2</v>
      </c>
      <c r="AR74" s="115">
        <v>2</v>
      </c>
      <c r="AS74" s="115">
        <v>2</v>
      </c>
      <c r="AT74" s="115">
        <v>2</v>
      </c>
      <c r="AU74" s="115">
        <v>1</v>
      </c>
      <c r="AV74" s="115">
        <v>3</v>
      </c>
      <c r="AW74" s="115">
        <v>1</v>
      </c>
      <c r="AX74" s="115">
        <v>1</v>
      </c>
      <c r="AY74" s="115">
        <v>1</v>
      </c>
    </row>
    <row r="75" spans="1:52" x14ac:dyDescent="0.2">
      <c r="A75" s="115"/>
      <c r="B75" s="183" t="s">
        <v>352</v>
      </c>
      <c r="C75" s="115"/>
      <c r="D75" s="115">
        <v>0</v>
      </c>
      <c r="E75" s="115">
        <v>0</v>
      </c>
      <c r="F75" s="115">
        <v>0</v>
      </c>
      <c r="G75" s="115">
        <v>0</v>
      </c>
      <c r="H75" s="115">
        <v>0</v>
      </c>
      <c r="I75" s="115">
        <v>0</v>
      </c>
      <c r="J75" s="115">
        <v>0</v>
      </c>
      <c r="K75" s="115">
        <v>0</v>
      </c>
      <c r="L75" s="115">
        <v>0</v>
      </c>
      <c r="M75" s="115">
        <v>0</v>
      </c>
      <c r="N75" s="115">
        <v>0</v>
      </c>
      <c r="O75" s="115">
        <v>0</v>
      </c>
      <c r="P75" s="115">
        <v>0</v>
      </c>
      <c r="Q75" s="115">
        <v>0</v>
      </c>
      <c r="R75" s="115">
        <v>0</v>
      </c>
      <c r="S75" s="115">
        <v>0</v>
      </c>
      <c r="T75" s="115">
        <v>0</v>
      </c>
      <c r="U75" s="115">
        <v>0</v>
      </c>
      <c r="V75" s="115">
        <v>0</v>
      </c>
      <c r="W75" s="115">
        <v>0</v>
      </c>
      <c r="X75" s="115">
        <v>0</v>
      </c>
      <c r="Y75" s="115">
        <v>0</v>
      </c>
      <c r="Z75" s="115">
        <v>0</v>
      </c>
      <c r="AA75" s="115">
        <v>0</v>
      </c>
      <c r="AB75" s="115">
        <v>0</v>
      </c>
      <c r="AC75" s="115">
        <v>0</v>
      </c>
      <c r="AD75" s="115">
        <v>0</v>
      </c>
      <c r="AE75" s="115">
        <v>0</v>
      </c>
      <c r="AF75" s="115">
        <v>0</v>
      </c>
      <c r="AG75" s="115">
        <v>0</v>
      </c>
      <c r="AH75" s="115">
        <v>0</v>
      </c>
      <c r="AI75" s="115">
        <v>0</v>
      </c>
      <c r="AJ75" s="115">
        <v>0</v>
      </c>
      <c r="AK75" s="115">
        <v>0</v>
      </c>
      <c r="AL75" s="115">
        <v>0</v>
      </c>
      <c r="AM75" s="115">
        <v>0</v>
      </c>
      <c r="AN75" s="115">
        <v>0</v>
      </c>
      <c r="AO75" s="115">
        <v>0</v>
      </c>
      <c r="AP75" s="115">
        <v>0</v>
      </c>
      <c r="AQ75" s="115">
        <v>0</v>
      </c>
      <c r="AR75" s="115">
        <v>0</v>
      </c>
      <c r="AS75" s="115">
        <v>0</v>
      </c>
      <c r="AT75" s="115">
        <v>0</v>
      </c>
      <c r="AU75" s="115">
        <v>0</v>
      </c>
      <c r="AV75" s="115">
        <v>0</v>
      </c>
      <c r="AW75" s="115">
        <v>0</v>
      </c>
      <c r="AX75" s="115">
        <v>0</v>
      </c>
      <c r="AY75" s="115">
        <v>0</v>
      </c>
      <c r="AZ75" s="105">
        <f>SUM($D$75:$AY$75)</f>
        <v>0</v>
      </c>
    </row>
    <row r="76" spans="1:52" x14ac:dyDescent="0.2">
      <c r="A76" s="130"/>
      <c r="B76" s="145" t="s">
        <v>353</v>
      </c>
      <c r="C76" s="130"/>
      <c r="D76" s="130">
        <v>0</v>
      </c>
      <c r="E76" s="130">
        <v>0</v>
      </c>
      <c r="F76" s="130">
        <v>0</v>
      </c>
      <c r="G76" s="130">
        <v>0</v>
      </c>
      <c r="H76" s="130">
        <v>0</v>
      </c>
      <c r="I76" s="130">
        <v>0</v>
      </c>
      <c r="J76" s="130">
        <v>0</v>
      </c>
      <c r="K76" s="130">
        <v>0</v>
      </c>
      <c r="L76" s="130">
        <v>0</v>
      </c>
      <c r="M76" s="130">
        <v>0</v>
      </c>
      <c r="N76" s="130">
        <v>0</v>
      </c>
      <c r="O76" s="130">
        <v>0</v>
      </c>
      <c r="P76" s="130">
        <v>0</v>
      </c>
      <c r="Q76" s="130">
        <v>0</v>
      </c>
      <c r="R76" s="130">
        <v>0</v>
      </c>
      <c r="S76" s="130">
        <v>0</v>
      </c>
      <c r="T76" s="130">
        <v>0</v>
      </c>
      <c r="U76" s="130">
        <v>0</v>
      </c>
      <c r="V76" s="130">
        <v>0</v>
      </c>
      <c r="W76" s="130">
        <v>0</v>
      </c>
      <c r="X76" s="130">
        <v>0</v>
      </c>
      <c r="Y76" s="130">
        <v>0</v>
      </c>
      <c r="Z76" s="130">
        <v>0</v>
      </c>
      <c r="AA76" s="130">
        <v>0</v>
      </c>
      <c r="AB76" s="130">
        <v>0</v>
      </c>
      <c r="AC76" s="130">
        <v>0</v>
      </c>
      <c r="AD76" s="130">
        <v>0</v>
      </c>
      <c r="AE76" s="130">
        <v>0</v>
      </c>
      <c r="AF76" s="130">
        <v>0</v>
      </c>
      <c r="AG76" s="130">
        <v>0</v>
      </c>
      <c r="AH76" s="130">
        <v>0</v>
      </c>
      <c r="AI76" s="130">
        <v>0</v>
      </c>
      <c r="AJ76" s="130">
        <v>0</v>
      </c>
      <c r="AK76" s="130">
        <v>0</v>
      </c>
      <c r="AL76" s="130">
        <v>0</v>
      </c>
      <c r="AM76" s="130">
        <v>0</v>
      </c>
      <c r="AN76" s="130">
        <v>0</v>
      </c>
      <c r="AO76" s="130">
        <v>0</v>
      </c>
      <c r="AP76" s="130">
        <v>0</v>
      </c>
      <c r="AQ76" s="130">
        <v>0</v>
      </c>
      <c r="AR76" s="130">
        <v>0</v>
      </c>
      <c r="AS76" s="130">
        <v>0</v>
      </c>
      <c r="AT76" s="130">
        <v>0</v>
      </c>
      <c r="AU76" s="130">
        <v>0</v>
      </c>
      <c r="AV76" s="130">
        <v>0</v>
      </c>
      <c r="AW76" s="130">
        <v>0</v>
      </c>
      <c r="AX76" s="130">
        <v>0</v>
      </c>
      <c r="AY76" s="130">
        <v>0</v>
      </c>
      <c r="AZ76" s="105">
        <f>SUM($D$76:$AY$76)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76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2.75" x14ac:dyDescent="0.2"/>
  <cols>
    <col min="1" max="1" width="14.7109375" style="105" customWidth="1"/>
    <col min="2" max="2" width="17.7109375" style="105" customWidth="1"/>
    <col min="3" max="51" width="9.140625" style="105"/>
    <col min="52" max="52" width="10.7109375" style="105" customWidth="1"/>
    <col min="53" max="16384" width="9.140625" style="105"/>
  </cols>
  <sheetData>
    <row r="1" spans="1:52" x14ac:dyDescent="0.2">
      <c r="A1" s="107" t="s">
        <v>118</v>
      </c>
    </row>
    <row r="2" spans="1:52" x14ac:dyDescent="0.2">
      <c r="A2" s="105" t="s">
        <v>305</v>
      </c>
      <c r="B2" s="112" t="s">
        <v>14</v>
      </c>
      <c r="E2" s="115"/>
    </row>
    <row r="3" spans="1:52" x14ac:dyDescent="0.2">
      <c r="A3" s="105" t="s">
        <v>288</v>
      </c>
      <c r="B3" s="112">
        <v>1300</v>
      </c>
      <c r="E3" s="115"/>
    </row>
    <row r="4" spans="1:52" x14ac:dyDescent="0.2">
      <c r="A4" s="107"/>
      <c r="C4" s="116" t="s">
        <v>289</v>
      </c>
    </row>
    <row r="5" spans="1:52" x14ac:dyDescent="0.2">
      <c r="B5" s="111"/>
      <c r="C5" s="117">
        <v>0</v>
      </c>
      <c r="D5" s="117">
        <v>1</v>
      </c>
      <c r="E5" s="117">
        <v>2</v>
      </c>
      <c r="F5" s="117">
        <v>3</v>
      </c>
      <c r="G5" s="117">
        <v>4</v>
      </c>
      <c r="H5" s="117">
        <v>5</v>
      </c>
      <c r="I5" s="117">
        <v>6</v>
      </c>
      <c r="J5" s="117">
        <v>7</v>
      </c>
      <c r="K5" s="117">
        <v>8</v>
      </c>
      <c r="L5" s="117">
        <v>9</v>
      </c>
      <c r="M5" s="117">
        <v>10</v>
      </c>
      <c r="N5" s="117">
        <v>11</v>
      </c>
      <c r="O5" s="117">
        <v>12</v>
      </c>
      <c r="P5" s="117">
        <v>13</v>
      </c>
      <c r="Q5" s="117">
        <v>14</v>
      </c>
      <c r="R5" s="117">
        <v>15</v>
      </c>
      <c r="S5" s="117">
        <v>16</v>
      </c>
      <c r="T5" s="117">
        <v>17</v>
      </c>
      <c r="U5" s="117">
        <v>18</v>
      </c>
      <c r="V5" s="117">
        <v>19</v>
      </c>
      <c r="W5" s="117">
        <v>20</v>
      </c>
      <c r="X5" s="117">
        <v>21</v>
      </c>
      <c r="Y5" s="117">
        <v>22</v>
      </c>
      <c r="Z5" s="117">
        <v>23</v>
      </c>
      <c r="AA5" s="117">
        <v>24</v>
      </c>
      <c r="AB5" s="117">
        <v>25</v>
      </c>
      <c r="AC5" s="117">
        <v>26</v>
      </c>
      <c r="AD5" s="117">
        <v>27</v>
      </c>
      <c r="AE5" s="117">
        <v>28</v>
      </c>
      <c r="AF5" s="117">
        <v>29</v>
      </c>
      <c r="AG5" s="117">
        <v>30</v>
      </c>
      <c r="AH5" s="117">
        <v>31</v>
      </c>
      <c r="AI5" s="117">
        <v>32</v>
      </c>
      <c r="AJ5" s="117">
        <v>33</v>
      </c>
      <c r="AK5" s="117">
        <v>34</v>
      </c>
      <c r="AL5" s="117">
        <v>35</v>
      </c>
      <c r="AM5" s="117">
        <v>36</v>
      </c>
      <c r="AN5" s="117">
        <v>37</v>
      </c>
      <c r="AO5" s="117">
        <v>38</v>
      </c>
      <c r="AP5" s="117">
        <v>39</v>
      </c>
      <c r="AQ5" s="117">
        <v>40</v>
      </c>
      <c r="AR5" s="117">
        <v>41</v>
      </c>
      <c r="AS5" s="117">
        <v>42</v>
      </c>
      <c r="AT5" s="117">
        <v>43</v>
      </c>
      <c r="AU5" s="117">
        <v>44</v>
      </c>
      <c r="AV5" s="117">
        <v>45</v>
      </c>
      <c r="AW5" s="117">
        <v>46</v>
      </c>
      <c r="AX5" s="117">
        <v>47</v>
      </c>
      <c r="AY5" s="117">
        <v>48</v>
      </c>
    </row>
    <row r="6" spans="1:52" x14ac:dyDescent="0.2">
      <c r="A6" s="107" t="s">
        <v>306</v>
      </c>
      <c r="B6" s="119"/>
      <c r="C6" s="118" t="s">
        <v>290</v>
      </c>
      <c r="D6" s="117" t="s">
        <v>291</v>
      </c>
      <c r="E6" s="117" t="s">
        <v>291</v>
      </c>
      <c r="F6" s="117" t="s">
        <v>291</v>
      </c>
      <c r="G6" s="117" t="s">
        <v>291</v>
      </c>
      <c r="H6" s="117" t="s">
        <v>291</v>
      </c>
      <c r="I6" s="117" t="s">
        <v>291</v>
      </c>
      <c r="J6" s="117" t="s">
        <v>291</v>
      </c>
      <c r="K6" s="117" t="s">
        <v>291</v>
      </c>
      <c r="L6" s="117" t="s">
        <v>291</v>
      </c>
      <c r="M6" s="117" t="s">
        <v>291</v>
      </c>
      <c r="N6" s="117" t="s">
        <v>291</v>
      </c>
      <c r="O6" s="117" t="s">
        <v>291</v>
      </c>
      <c r="P6" s="117" t="s">
        <v>291</v>
      </c>
      <c r="Q6" s="117" t="s">
        <v>291</v>
      </c>
      <c r="R6" s="117" t="s">
        <v>291</v>
      </c>
      <c r="S6" s="117" t="s">
        <v>291</v>
      </c>
      <c r="T6" s="117" t="s">
        <v>291</v>
      </c>
      <c r="U6" s="117" t="s">
        <v>291</v>
      </c>
      <c r="V6" s="117" t="s">
        <v>291</v>
      </c>
      <c r="W6" s="117" t="s">
        <v>291</v>
      </c>
      <c r="X6" s="117" t="s">
        <v>291</v>
      </c>
      <c r="Y6" s="117" t="s">
        <v>291</v>
      </c>
      <c r="Z6" s="117" t="s">
        <v>291</v>
      </c>
      <c r="AA6" s="117" t="s">
        <v>291</v>
      </c>
      <c r="AB6" s="117" t="s">
        <v>291</v>
      </c>
      <c r="AC6" s="117" t="s">
        <v>291</v>
      </c>
      <c r="AD6" s="117" t="s">
        <v>291</v>
      </c>
      <c r="AE6" s="117" t="s">
        <v>291</v>
      </c>
      <c r="AF6" s="117" t="s">
        <v>291</v>
      </c>
      <c r="AG6" s="117" t="s">
        <v>291</v>
      </c>
      <c r="AH6" s="117" t="s">
        <v>291</v>
      </c>
      <c r="AI6" s="117" t="s">
        <v>291</v>
      </c>
      <c r="AJ6" s="117" t="s">
        <v>291</v>
      </c>
      <c r="AK6" s="117" t="s">
        <v>291</v>
      </c>
      <c r="AL6" s="117" t="s">
        <v>291</v>
      </c>
      <c r="AM6" s="117" t="s">
        <v>291</v>
      </c>
      <c r="AN6" s="117" t="s">
        <v>291</v>
      </c>
      <c r="AO6" s="117" t="s">
        <v>291</v>
      </c>
      <c r="AP6" s="117" t="s">
        <v>291</v>
      </c>
      <c r="AQ6" s="117" t="s">
        <v>291</v>
      </c>
      <c r="AR6" s="117" t="s">
        <v>291</v>
      </c>
      <c r="AS6" s="117" t="s">
        <v>291</v>
      </c>
      <c r="AT6" s="117" t="s">
        <v>291</v>
      </c>
      <c r="AU6" s="117" t="s">
        <v>291</v>
      </c>
      <c r="AV6" s="117" t="s">
        <v>291</v>
      </c>
      <c r="AW6" s="117" t="s">
        <v>291</v>
      </c>
      <c r="AX6" s="117" t="s">
        <v>291</v>
      </c>
      <c r="AY6" s="116" t="s">
        <v>292</v>
      </c>
      <c r="AZ6" s="147" t="s">
        <v>150</v>
      </c>
    </row>
    <row r="7" spans="1:52" x14ac:dyDescent="0.2">
      <c r="A7" s="120" t="s">
        <v>125</v>
      </c>
      <c r="B7" s="148">
        <v>1</v>
      </c>
      <c r="C7" s="149" t="s">
        <v>295</v>
      </c>
      <c r="D7" s="149">
        <v>180.72561899949471</v>
      </c>
      <c r="E7" s="149">
        <v>180.72561899949471</v>
      </c>
      <c r="F7" s="149">
        <v>180.72561899949471</v>
      </c>
      <c r="G7" s="149">
        <v>180.72561899949471</v>
      </c>
      <c r="H7" s="149">
        <v>198.79818089944422</v>
      </c>
      <c r="I7" s="149">
        <v>198.79818089944422</v>
      </c>
      <c r="J7" s="149">
        <v>198.79818089944422</v>
      </c>
      <c r="K7" s="149">
        <v>198.79818089944422</v>
      </c>
      <c r="L7" s="149">
        <v>198.79818089944422</v>
      </c>
      <c r="M7" s="149">
        <v>198.79818089944422</v>
      </c>
      <c r="N7" s="149">
        <v>198.79818089944422</v>
      </c>
      <c r="O7" s="149">
        <v>198.79818089944422</v>
      </c>
      <c r="P7" s="149">
        <v>180.72561899949471</v>
      </c>
      <c r="Q7" s="149">
        <v>180.72561899949471</v>
      </c>
      <c r="R7" s="149">
        <v>180.72561899949471</v>
      </c>
      <c r="S7" s="149">
        <v>180.72561899949471</v>
      </c>
      <c r="T7" s="149">
        <v>162.65305709954524</v>
      </c>
      <c r="U7" s="149">
        <v>162.65305709954524</v>
      </c>
      <c r="V7" s="149">
        <v>162.65305709954524</v>
      </c>
      <c r="W7" s="149">
        <v>162.65305709954524</v>
      </c>
      <c r="X7" s="149">
        <v>162.65305709954524</v>
      </c>
      <c r="Y7" s="149">
        <v>162.65305709954524</v>
      </c>
      <c r="Z7" s="149">
        <v>162.65305709954524</v>
      </c>
      <c r="AA7" s="149">
        <v>162.65305709954524</v>
      </c>
      <c r="AB7" s="149">
        <v>162.65305709954524</v>
      </c>
      <c r="AC7" s="149">
        <v>162.65305709954524</v>
      </c>
      <c r="AD7" s="149">
        <v>162.65305709954524</v>
      </c>
      <c r="AE7" s="149">
        <v>162.65305709954524</v>
      </c>
      <c r="AF7" s="149">
        <v>198.79818089944422</v>
      </c>
      <c r="AG7" s="149">
        <v>198.79818089944422</v>
      </c>
      <c r="AH7" s="149">
        <v>198.79818089944422</v>
      </c>
      <c r="AI7" s="149">
        <v>198.79818089944422</v>
      </c>
      <c r="AJ7" s="149">
        <v>198.79818089944422</v>
      </c>
      <c r="AK7" s="149">
        <v>198.79818089944422</v>
      </c>
      <c r="AL7" s="149">
        <v>198.79818089944422</v>
      </c>
      <c r="AM7" s="149">
        <v>198.79818089944422</v>
      </c>
      <c r="AN7" s="149">
        <v>198.79818089944422</v>
      </c>
      <c r="AO7" s="149">
        <v>198.79818089944422</v>
      </c>
      <c r="AP7" s="149">
        <v>198.79818089944422</v>
      </c>
      <c r="AQ7" s="149">
        <v>198.79818089944422</v>
      </c>
      <c r="AR7" s="149">
        <v>180.72561899949471</v>
      </c>
      <c r="AS7" s="149">
        <v>180.72561899949471</v>
      </c>
      <c r="AT7" s="149">
        <v>180.72561899949471</v>
      </c>
      <c r="AU7" s="149">
        <v>180.72561899949471</v>
      </c>
      <c r="AV7" s="149">
        <v>162.65305709954524</v>
      </c>
      <c r="AW7" s="149">
        <v>162.65305709954524</v>
      </c>
      <c r="AX7" s="149">
        <v>162.65305709954524</v>
      </c>
      <c r="AY7" s="149">
        <v>162.65305709954524</v>
      </c>
      <c r="AZ7" s="111"/>
    </row>
    <row r="8" spans="1:52" x14ac:dyDescent="0.2">
      <c r="A8" s="150"/>
      <c r="B8" s="151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2"/>
    </row>
    <row r="9" spans="1:52" x14ac:dyDescent="0.2">
      <c r="A9" s="107" t="s">
        <v>296</v>
      </c>
      <c r="B9" s="153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  <c r="AU9" s="111"/>
      <c r="AV9" s="111"/>
      <c r="AW9" s="111"/>
      <c r="AX9" s="111"/>
      <c r="AY9" s="111"/>
      <c r="AZ9" s="111"/>
    </row>
    <row r="10" spans="1:52" x14ac:dyDescent="0.2">
      <c r="A10" s="154" t="s">
        <v>125</v>
      </c>
      <c r="B10" s="155">
        <v>1</v>
      </c>
      <c r="C10" s="149" t="s">
        <v>295</v>
      </c>
      <c r="D10" s="149">
        <f t="shared" ref="D10:AY10" si="0">MAX(SUM(D$14:D$16)+D$7-$B$3,0)</f>
        <v>0</v>
      </c>
      <c r="E10" s="149">
        <f t="shared" si="0"/>
        <v>0</v>
      </c>
      <c r="F10" s="149">
        <f t="shared" si="0"/>
        <v>0</v>
      </c>
      <c r="G10" s="149">
        <f t="shared" si="0"/>
        <v>0</v>
      </c>
      <c r="H10" s="149">
        <f t="shared" si="0"/>
        <v>0</v>
      </c>
      <c r="I10" s="149">
        <f t="shared" si="0"/>
        <v>0</v>
      </c>
      <c r="J10" s="149">
        <f t="shared" si="0"/>
        <v>0</v>
      </c>
      <c r="K10" s="149">
        <f t="shared" si="0"/>
        <v>0</v>
      </c>
      <c r="L10" s="149">
        <f t="shared" si="0"/>
        <v>0</v>
      </c>
      <c r="M10" s="149">
        <f t="shared" si="0"/>
        <v>0</v>
      </c>
      <c r="N10" s="149">
        <f t="shared" si="0"/>
        <v>0</v>
      </c>
      <c r="O10" s="149">
        <f t="shared" si="0"/>
        <v>0</v>
      </c>
      <c r="P10" s="149">
        <f t="shared" si="0"/>
        <v>0</v>
      </c>
      <c r="Q10" s="149">
        <f t="shared" si="0"/>
        <v>0</v>
      </c>
      <c r="R10" s="149">
        <f t="shared" si="0"/>
        <v>0</v>
      </c>
      <c r="S10" s="149">
        <f t="shared" si="0"/>
        <v>0</v>
      </c>
      <c r="T10" s="149">
        <f t="shared" si="0"/>
        <v>0</v>
      </c>
      <c r="U10" s="149">
        <f t="shared" si="0"/>
        <v>0</v>
      </c>
      <c r="V10" s="149">
        <f t="shared" si="0"/>
        <v>0</v>
      </c>
      <c r="W10" s="149">
        <f t="shared" si="0"/>
        <v>0</v>
      </c>
      <c r="X10" s="149">
        <f t="shared" si="0"/>
        <v>0</v>
      </c>
      <c r="Y10" s="149">
        <f t="shared" si="0"/>
        <v>0</v>
      </c>
      <c r="Z10" s="149">
        <f t="shared" si="0"/>
        <v>0</v>
      </c>
      <c r="AA10" s="149">
        <f t="shared" si="0"/>
        <v>0</v>
      </c>
      <c r="AB10" s="149">
        <f t="shared" si="0"/>
        <v>0</v>
      </c>
      <c r="AC10" s="149">
        <f t="shared" si="0"/>
        <v>0</v>
      </c>
      <c r="AD10" s="149">
        <f t="shared" si="0"/>
        <v>0</v>
      </c>
      <c r="AE10" s="149">
        <f t="shared" si="0"/>
        <v>0</v>
      </c>
      <c r="AF10" s="149">
        <f t="shared" si="0"/>
        <v>0</v>
      </c>
      <c r="AG10" s="149">
        <f t="shared" si="0"/>
        <v>0</v>
      </c>
      <c r="AH10" s="149">
        <f t="shared" si="0"/>
        <v>0</v>
      </c>
      <c r="AI10" s="149">
        <f t="shared" si="0"/>
        <v>0</v>
      </c>
      <c r="AJ10" s="149">
        <f t="shared" si="0"/>
        <v>0</v>
      </c>
      <c r="AK10" s="149">
        <f t="shared" si="0"/>
        <v>0</v>
      </c>
      <c r="AL10" s="149">
        <f t="shared" si="0"/>
        <v>0</v>
      </c>
      <c r="AM10" s="149">
        <f t="shared" si="0"/>
        <v>0</v>
      </c>
      <c r="AN10" s="149">
        <f t="shared" si="0"/>
        <v>0</v>
      </c>
      <c r="AO10" s="149">
        <f t="shared" si="0"/>
        <v>0</v>
      </c>
      <c r="AP10" s="149">
        <f t="shared" si="0"/>
        <v>0</v>
      </c>
      <c r="AQ10" s="149">
        <f t="shared" si="0"/>
        <v>0</v>
      </c>
      <c r="AR10" s="149">
        <f t="shared" si="0"/>
        <v>0</v>
      </c>
      <c r="AS10" s="149">
        <f t="shared" si="0"/>
        <v>0</v>
      </c>
      <c r="AT10" s="149">
        <f t="shared" si="0"/>
        <v>0</v>
      </c>
      <c r="AU10" s="149">
        <f t="shared" si="0"/>
        <v>0</v>
      </c>
      <c r="AV10" s="149">
        <f t="shared" si="0"/>
        <v>0</v>
      </c>
      <c r="AW10" s="149">
        <f t="shared" si="0"/>
        <v>0</v>
      </c>
      <c r="AX10" s="149">
        <f t="shared" si="0"/>
        <v>0</v>
      </c>
      <c r="AY10" s="149">
        <f t="shared" si="0"/>
        <v>0</v>
      </c>
      <c r="AZ10" s="156">
        <f>SUM($D10:$AY10)</f>
        <v>0</v>
      </c>
    </row>
    <row r="11" spans="1:52" x14ac:dyDescent="0.2">
      <c r="C11" s="115"/>
    </row>
    <row r="12" spans="1:52" x14ac:dyDescent="0.2">
      <c r="A12" s="157" t="s">
        <v>297</v>
      </c>
      <c r="B12" s="151"/>
      <c r="C12" s="115"/>
    </row>
    <row r="13" spans="1:52" x14ac:dyDescent="0.2">
      <c r="A13" s="127" t="s">
        <v>125</v>
      </c>
      <c r="B13" s="128">
        <v>1</v>
      </c>
      <c r="C13" s="129"/>
      <c r="D13" s="143">
        <f t="shared" ref="D13:AY13" si="1">D$7-D$10</f>
        <v>180.72561899949471</v>
      </c>
      <c r="E13" s="143">
        <f t="shared" si="1"/>
        <v>180.72561899949471</v>
      </c>
      <c r="F13" s="143">
        <f t="shared" si="1"/>
        <v>180.72561899949471</v>
      </c>
      <c r="G13" s="143">
        <f t="shared" si="1"/>
        <v>180.72561899949471</v>
      </c>
      <c r="H13" s="143">
        <f t="shared" si="1"/>
        <v>198.79818089944422</v>
      </c>
      <c r="I13" s="143">
        <f t="shared" si="1"/>
        <v>198.79818089944422</v>
      </c>
      <c r="J13" s="143">
        <f t="shared" si="1"/>
        <v>198.79818089944422</v>
      </c>
      <c r="K13" s="143">
        <f t="shared" si="1"/>
        <v>198.79818089944422</v>
      </c>
      <c r="L13" s="143">
        <f t="shared" si="1"/>
        <v>198.79818089944422</v>
      </c>
      <c r="M13" s="143">
        <f t="shared" si="1"/>
        <v>198.79818089944422</v>
      </c>
      <c r="N13" s="143">
        <f t="shared" si="1"/>
        <v>198.79818089944422</v>
      </c>
      <c r="O13" s="143">
        <f t="shared" si="1"/>
        <v>198.79818089944422</v>
      </c>
      <c r="P13" s="143">
        <f t="shared" si="1"/>
        <v>180.72561899949471</v>
      </c>
      <c r="Q13" s="143">
        <f t="shared" si="1"/>
        <v>180.72561899949471</v>
      </c>
      <c r="R13" s="143">
        <f t="shared" si="1"/>
        <v>180.72561899949471</v>
      </c>
      <c r="S13" s="143">
        <f t="shared" si="1"/>
        <v>180.72561899949471</v>
      </c>
      <c r="T13" s="143">
        <f t="shared" si="1"/>
        <v>162.65305709954524</v>
      </c>
      <c r="U13" s="143">
        <f t="shared" si="1"/>
        <v>162.65305709954524</v>
      </c>
      <c r="V13" s="143">
        <f t="shared" si="1"/>
        <v>162.65305709954524</v>
      </c>
      <c r="W13" s="143">
        <f t="shared" si="1"/>
        <v>162.65305709954524</v>
      </c>
      <c r="X13" s="143">
        <f t="shared" si="1"/>
        <v>162.65305709954524</v>
      </c>
      <c r="Y13" s="143">
        <f t="shared" si="1"/>
        <v>162.65305709954524</v>
      </c>
      <c r="Z13" s="143">
        <f t="shared" si="1"/>
        <v>162.65305709954524</v>
      </c>
      <c r="AA13" s="143">
        <f t="shared" si="1"/>
        <v>162.65305709954524</v>
      </c>
      <c r="AB13" s="143">
        <f t="shared" si="1"/>
        <v>162.65305709954524</v>
      </c>
      <c r="AC13" s="143">
        <f t="shared" si="1"/>
        <v>162.65305709954524</v>
      </c>
      <c r="AD13" s="143">
        <f t="shared" si="1"/>
        <v>162.65305709954524</v>
      </c>
      <c r="AE13" s="143">
        <f t="shared" si="1"/>
        <v>162.65305709954524</v>
      </c>
      <c r="AF13" s="143">
        <f t="shared" si="1"/>
        <v>198.79818089944422</v>
      </c>
      <c r="AG13" s="143">
        <f t="shared" si="1"/>
        <v>198.79818089944422</v>
      </c>
      <c r="AH13" s="143">
        <f t="shared" si="1"/>
        <v>198.79818089944422</v>
      </c>
      <c r="AI13" s="143">
        <f t="shared" si="1"/>
        <v>198.79818089944422</v>
      </c>
      <c r="AJ13" s="143">
        <f t="shared" si="1"/>
        <v>198.79818089944422</v>
      </c>
      <c r="AK13" s="143">
        <f t="shared" si="1"/>
        <v>198.79818089944422</v>
      </c>
      <c r="AL13" s="143">
        <f t="shared" si="1"/>
        <v>198.79818089944422</v>
      </c>
      <c r="AM13" s="143">
        <f t="shared" si="1"/>
        <v>198.79818089944422</v>
      </c>
      <c r="AN13" s="143">
        <f t="shared" si="1"/>
        <v>198.79818089944422</v>
      </c>
      <c r="AO13" s="143">
        <f t="shared" si="1"/>
        <v>198.79818089944422</v>
      </c>
      <c r="AP13" s="143">
        <f t="shared" si="1"/>
        <v>198.79818089944422</v>
      </c>
      <c r="AQ13" s="143">
        <f t="shared" si="1"/>
        <v>198.79818089944422</v>
      </c>
      <c r="AR13" s="143">
        <f t="shared" si="1"/>
        <v>180.72561899949471</v>
      </c>
      <c r="AS13" s="143">
        <f t="shared" si="1"/>
        <v>180.72561899949471</v>
      </c>
      <c r="AT13" s="143">
        <f t="shared" si="1"/>
        <v>180.72561899949471</v>
      </c>
      <c r="AU13" s="143">
        <f t="shared" si="1"/>
        <v>180.72561899949471</v>
      </c>
      <c r="AV13" s="143">
        <f t="shared" si="1"/>
        <v>162.65305709954524</v>
      </c>
      <c r="AW13" s="143">
        <f t="shared" si="1"/>
        <v>162.65305709954524</v>
      </c>
      <c r="AX13" s="143">
        <f t="shared" si="1"/>
        <v>162.65305709954524</v>
      </c>
      <c r="AY13" s="143">
        <f t="shared" si="1"/>
        <v>162.65305709954524</v>
      </c>
      <c r="AZ13" s="114"/>
    </row>
    <row r="14" spans="1:52" x14ac:dyDescent="0.2">
      <c r="A14" s="115"/>
      <c r="B14" s="125">
        <v>2</v>
      </c>
      <c r="C14" s="115"/>
      <c r="D14" s="111">
        <f>IF(C$20="Yes",C13,0)</f>
        <v>0</v>
      </c>
      <c r="E14" s="111">
        <f t="shared" ref="E14:AY17" si="2">IF(D$20="Yes",D13,0)</f>
        <v>0</v>
      </c>
      <c r="F14" s="111">
        <f t="shared" si="2"/>
        <v>0</v>
      </c>
      <c r="G14" s="111">
        <f t="shared" si="2"/>
        <v>0</v>
      </c>
      <c r="H14" s="111">
        <f t="shared" si="2"/>
        <v>0</v>
      </c>
      <c r="I14" s="111">
        <f t="shared" si="2"/>
        <v>0</v>
      </c>
      <c r="J14" s="111">
        <f t="shared" si="2"/>
        <v>0</v>
      </c>
      <c r="K14" s="111">
        <f t="shared" si="2"/>
        <v>0</v>
      </c>
      <c r="L14" s="111">
        <f t="shared" si="2"/>
        <v>198.79818089944422</v>
      </c>
      <c r="M14" s="111">
        <f t="shared" si="2"/>
        <v>0</v>
      </c>
      <c r="N14" s="111">
        <f t="shared" si="2"/>
        <v>0</v>
      </c>
      <c r="O14" s="111">
        <f t="shared" si="2"/>
        <v>0</v>
      </c>
      <c r="P14" s="111">
        <f t="shared" si="2"/>
        <v>0</v>
      </c>
      <c r="Q14" s="111">
        <f t="shared" si="2"/>
        <v>0</v>
      </c>
      <c r="R14" s="111">
        <f t="shared" si="2"/>
        <v>0</v>
      </c>
      <c r="S14" s="111">
        <f t="shared" si="2"/>
        <v>0</v>
      </c>
      <c r="T14" s="111">
        <f t="shared" si="2"/>
        <v>0</v>
      </c>
      <c r="U14" s="111">
        <f t="shared" si="2"/>
        <v>0</v>
      </c>
      <c r="V14" s="111">
        <f t="shared" si="2"/>
        <v>0</v>
      </c>
      <c r="W14" s="111">
        <f t="shared" si="2"/>
        <v>0</v>
      </c>
      <c r="X14" s="111">
        <f t="shared" si="2"/>
        <v>0</v>
      </c>
      <c r="Y14" s="111">
        <f t="shared" si="2"/>
        <v>0</v>
      </c>
      <c r="Z14" s="111">
        <f t="shared" si="2"/>
        <v>0</v>
      </c>
      <c r="AA14" s="111">
        <f t="shared" si="2"/>
        <v>0</v>
      </c>
      <c r="AB14" s="111">
        <f t="shared" si="2"/>
        <v>0</v>
      </c>
      <c r="AC14" s="111">
        <f t="shared" si="2"/>
        <v>0</v>
      </c>
      <c r="AD14" s="111">
        <f t="shared" si="2"/>
        <v>0</v>
      </c>
      <c r="AE14" s="111">
        <f t="shared" si="2"/>
        <v>162.65305709954524</v>
      </c>
      <c r="AF14" s="111">
        <f t="shared" si="2"/>
        <v>0</v>
      </c>
      <c r="AG14" s="111">
        <f t="shared" si="2"/>
        <v>0</v>
      </c>
      <c r="AH14" s="111">
        <f t="shared" si="2"/>
        <v>0</v>
      </c>
      <c r="AI14" s="111">
        <f t="shared" si="2"/>
        <v>0</v>
      </c>
      <c r="AJ14" s="111">
        <f t="shared" si="2"/>
        <v>0</v>
      </c>
      <c r="AK14" s="111">
        <f t="shared" si="2"/>
        <v>0</v>
      </c>
      <c r="AL14" s="111">
        <f t="shared" si="2"/>
        <v>0</v>
      </c>
      <c r="AM14" s="111">
        <f t="shared" si="2"/>
        <v>0</v>
      </c>
      <c r="AN14" s="111">
        <f t="shared" si="2"/>
        <v>0</v>
      </c>
      <c r="AO14" s="111">
        <f t="shared" si="2"/>
        <v>0</v>
      </c>
      <c r="AP14" s="111">
        <f t="shared" si="2"/>
        <v>0</v>
      </c>
      <c r="AQ14" s="111">
        <f t="shared" si="2"/>
        <v>0</v>
      </c>
      <c r="AR14" s="111">
        <f t="shared" si="2"/>
        <v>0</v>
      </c>
      <c r="AS14" s="111">
        <f t="shared" si="2"/>
        <v>180.72561899949471</v>
      </c>
      <c r="AT14" s="111">
        <f t="shared" si="2"/>
        <v>0</v>
      </c>
      <c r="AU14" s="111">
        <f t="shared" si="2"/>
        <v>0</v>
      </c>
      <c r="AV14" s="111">
        <f t="shared" si="2"/>
        <v>0</v>
      </c>
      <c r="AW14" s="111">
        <f t="shared" si="2"/>
        <v>0</v>
      </c>
      <c r="AX14" s="111">
        <f t="shared" si="2"/>
        <v>0</v>
      </c>
      <c r="AY14" s="111">
        <f t="shared" si="2"/>
        <v>0</v>
      </c>
      <c r="AZ14" s="114"/>
    </row>
    <row r="15" spans="1:52" x14ac:dyDescent="0.2">
      <c r="A15" s="115"/>
      <c r="B15" s="132">
        <v>3</v>
      </c>
      <c r="C15" s="115"/>
      <c r="D15" s="111">
        <f>IF(C$20="Yes",C14,0)</f>
        <v>0</v>
      </c>
      <c r="E15" s="111">
        <f t="shared" si="2"/>
        <v>0</v>
      </c>
      <c r="F15" s="111">
        <f t="shared" si="2"/>
        <v>0</v>
      </c>
      <c r="G15" s="111">
        <f t="shared" si="2"/>
        <v>0</v>
      </c>
      <c r="H15" s="111">
        <f t="shared" si="2"/>
        <v>0</v>
      </c>
      <c r="I15" s="111">
        <f t="shared" si="2"/>
        <v>0</v>
      </c>
      <c r="J15" s="111">
        <f t="shared" si="2"/>
        <v>0</v>
      </c>
      <c r="K15" s="111">
        <f t="shared" si="2"/>
        <v>0</v>
      </c>
      <c r="L15" s="111">
        <f t="shared" si="2"/>
        <v>0</v>
      </c>
      <c r="M15" s="111">
        <f t="shared" si="2"/>
        <v>0</v>
      </c>
      <c r="N15" s="111">
        <f t="shared" si="2"/>
        <v>0</v>
      </c>
      <c r="O15" s="111">
        <f t="shared" si="2"/>
        <v>0</v>
      </c>
      <c r="P15" s="111">
        <f t="shared" si="2"/>
        <v>0</v>
      </c>
      <c r="Q15" s="111">
        <f t="shared" si="2"/>
        <v>0</v>
      </c>
      <c r="R15" s="111">
        <f t="shared" si="2"/>
        <v>0</v>
      </c>
      <c r="S15" s="111">
        <f t="shared" si="2"/>
        <v>0</v>
      </c>
      <c r="T15" s="111">
        <f t="shared" si="2"/>
        <v>0</v>
      </c>
      <c r="U15" s="111">
        <f t="shared" si="2"/>
        <v>0</v>
      </c>
      <c r="V15" s="111">
        <f t="shared" si="2"/>
        <v>0</v>
      </c>
      <c r="W15" s="111">
        <f t="shared" si="2"/>
        <v>0</v>
      </c>
      <c r="X15" s="111">
        <f t="shared" si="2"/>
        <v>0</v>
      </c>
      <c r="Y15" s="111">
        <f t="shared" si="2"/>
        <v>0</v>
      </c>
      <c r="Z15" s="111">
        <f t="shared" si="2"/>
        <v>0</v>
      </c>
      <c r="AA15" s="111">
        <f t="shared" si="2"/>
        <v>0</v>
      </c>
      <c r="AB15" s="111">
        <f t="shared" si="2"/>
        <v>0</v>
      </c>
      <c r="AC15" s="111">
        <f t="shared" si="2"/>
        <v>0</v>
      </c>
      <c r="AD15" s="111">
        <f t="shared" si="2"/>
        <v>0</v>
      </c>
      <c r="AE15" s="111">
        <f t="shared" si="2"/>
        <v>0</v>
      </c>
      <c r="AF15" s="111">
        <f t="shared" si="2"/>
        <v>0</v>
      </c>
      <c r="AG15" s="111">
        <f t="shared" si="2"/>
        <v>0</v>
      </c>
      <c r="AH15" s="111">
        <f t="shared" si="2"/>
        <v>0</v>
      </c>
      <c r="AI15" s="111">
        <f t="shared" si="2"/>
        <v>0</v>
      </c>
      <c r="AJ15" s="111">
        <f t="shared" si="2"/>
        <v>0</v>
      </c>
      <c r="AK15" s="111">
        <f t="shared" si="2"/>
        <v>0</v>
      </c>
      <c r="AL15" s="111">
        <f t="shared" si="2"/>
        <v>0</v>
      </c>
      <c r="AM15" s="111">
        <f t="shared" si="2"/>
        <v>0</v>
      </c>
      <c r="AN15" s="111">
        <f t="shared" si="2"/>
        <v>0</v>
      </c>
      <c r="AO15" s="111">
        <f t="shared" si="2"/>
        <v>0</v>
      </c>
      <c r="AP15" s="111">
        <f t="shared" si="2"/>
        <v>0</v>
      </c>
      <c r="AQ15" s="111">
        <f t="shared" si="2"/>
        <v>0</v>
      </c>
      <c r="AR15" s="111">
        <f t="shared" si="2"/>
        <v>0</v>
      </c>
      <c r="AS15" s="111">
        <f t="shared" si="2"/>
        <v>0</v>
      </c>
      <c r="AT15" s="111">
        <f t="shared" si="2"/>
        <v>0</v>
      </c>
      <c r="AU15" s="111">
        <f t="shared" si="2"/>
        <v>0</v>
      </c>
      <c r="AV15" s="111">
        <f t="shared" si="2"/>
        <v>0</v>
      </c>
      <c r="AW15" s="111">
        <f t="shared" si="2"/>
        <v>0</v>
      </c>
      <c r="AX15" s="111">
        <f t="shared" si="2"/>
        <v>0</v>
      </c>
      <c r="AY15" s="111">
        <f t="shared" si="2"/>
        <v>0</v>
      </c>
      <c r="AZ15" s="114"/>
    </row>
    <row r="16" spans="1:52" x14ac:dyDescent="0.2">
      <c r="A16" s="115"/>
      <c r="B16" s="135">
        <v>4</v>
      </c>
      <c r="C16" s="115"/>
      <c r="D16" s="111">
        <f>IF(C$20="Yes",C15,0)</f>
        <v>0</v>
      </c>
      <c r="E16" s="111">
        <f t="shared" si="2"/>
        <v>0</v>
      </c>
      <c r="F16" s="111">
        <f t="shared" si="2"/>
        <v>0</v>
      </c>
      <c r="G16" s="111">
        <f t="shared" si="2"/>
        <v>0</v>
      </c>
      <c r="H16" s="111">
        <f t="shared" si="2"/>
        <v>0</v>
      </c>
      <c r="I16" s="111">
        <f t="shared" si="2"/>
        <v>0</v>
      </c>
      <c r="J16" s="111">
        <f t="shared" si="2"/>
        <v>0</v>
      </c>
      <c r="K16" s="111">
        <f t="shared" si="2"/>
        <v>0</v>
      </c>
      <c r="L16" s="111">
        <f t="shared" si="2"/>
        <v>0</v>
      </c>
      <c r="M16" s="111">
        <f t="shared" si="2"/>
        <v>0</v>
      </c>
      <c r="N16" s="111">
        <f t="shared" si="2"/>
        <v>0</v>
      </c>
      <c r="O16" s="111">
        <f t="shared" si="2"/>
        <v>0</v>
      </c>
      <c r="P16" s="111">
        <f t="shared" si="2"/>
        <v>0</v>
      </c>
      <c r="Q16" s="111">
        <f t="shared" si="2"/>
        <v>0</v>
      </c>
      <c r="R16" s="111">
        <f t="shared" si="2"/>
        <v>0</v>
      </c>
      <c r="S16" s="111">
        <f t="shared" si="2"/>
        <v>0</v>
      </c>
      <c r="T16" s="111">
        <f t="shared" si="2"/>
        <v>0</v>
      </c>
      <c r="U16" s="111">
        <f t="shared" si="2"/>
        <v>0</v>
      </c>
      <c r="V16" s="111">
        <f t="shared" si="2"/>
        <v>0</v>
      </c>
      <c r="W16" s="111">
        <f t="shared" si="2"/>
        <v>0</v>
      </c>
      <c r="X16" s="111">
        <f t="shared" si="2"/>
        <v>0</v>
      </c>
      <c r="Y16" s="111">
        <f t="shared" si="2"/>
        <v>0</v>
      </c>
      <c r="Z16" s="111">
        <f t="shared" si="2"/>
        <v>0</v>
      </c>
      <c r="AA16" s="111">
        <f t="shared" si="2"/>
        <v>0</v>
      </c>
      <c r="AB16" s="111">
        <f t="shared" si="2"/>
        <v>0</v>
      </c>
      <c r="AC16" s="111">
        <f t="shared" si="2"/>
        <v>0</v>
      </c>
      <c r="AD16" s="111">
        <f t="shared" si="2"/>
        <v>0</v>
      </c>
      <c r="AE16" s="111">
        <f t="shared" si="2"/>
        <v>0</v>
      </c>
      <c r="AF16" s="111">
        <f t="shared" si="2"/>
        <v>0</v>
      </c>
      <c r="AG16" s="111">
        <f t="shared" si="2"/>
        <v>0</v>
      </c>
      <c r="AH16" s="111">
        <f t="shared" si="2"/>
        <v>0</v>
      </c>
      <c r="AI16" s="111">
        <f t="shared" si="2"/>
        <v>0</v>
      </c>
      <c r="AJ16" s="111">
        <f t="shared" si="2"/>
        <v>0</v>
      </c>
      <c r="AK16" s="111">
        <f t="shared" si="2"/>
        <v>0</v>
      </c>
      <c r="AL16" s="111">
        <f t="shared" si="2"/>
        <v>0</v>
      </c>
      <c r="AM16" s="111">
        <f t="shared" si="2"/>
        <v>0</v>
      </c>
      <c r="AN16" s="111">
        <f t="shared" si="2"/>
        <v>0</v>
      </c>
      <c r="AO16" s="111">
        <f t="shared" si="2"/>
        <v>0</v>
      </c>
      <c r="AP16" s="111">
        <f t="shared" si="2"/>
        <v>0</v>
      </c>
      <c r="AQ16" s="111">
        <f t="shared" si="2"/>
        <v>0</v>
      </c>
      <c r="AR16" s="111">
        <f t="shared" si="2"/>
        <v>0</v>
      </c>
      <c r="AS16" s="111">
        <f t="shared" si="2"/>
        <v>0</v>
      </c>
      <c r="AT16" s="111">
        <f t="shared" si="2"/>
        <v>0</v>
      </c>
      <c r="AU16" s="111">
        <f t="shared" si="2"/>
        <v>0</v>
      </c>
      <c r="AV16" s="111">
        <f t="shared" si="2"/>
        <v>0</v>
      </c>
      <c r="AW16" s="111">
        <f t="shared" si="2"/>
        <v>0</v>
      </c>
      <c r="AX16" s="111">
        <f t="shared" si="2"/>
        <v>0</v>
      </c>
      <c r="AY16" s="111">
        <f t="shared" si="2"/>
        <v>0</v>
      </c>
      <c r="AZ16" s="133"/>
    </row>
    <row r="17" spans="1:52" x14ac:dyDescent="0.2">
      <c r="A17" s="130"/>
      <c r="B17" s="137" t="s">
        <v>298</v>
      </c>
      <c r="C17" s="130"/>
      <c r="D17" s="119">
        <f>IF(C$20="Yes",C16,0)</f>
        <v>0</v>
      </c>
      <c r="E17" s="119">
        <f t="shared" si="2"/>
        <v>0</v>
      </c>
      <c r="F17" s="119">
        <f t="shared" si="2"/>
        <v>0</v>
      </c>
      <c r="G17" s="119">
        <f t="shared" si="2"/>
        <v>0</v>
      </c>
      <c r="H17" s="119">
        <f t="shared" si="2"/>
        <v>0</v>
      </c>
      <c r="I17" s="119">
        <f t="shared" si="2"/>
        <v>0</v>
      </c>
      <c r="J17" s="119">
        <f t="shared" si="2"/>
        <v>0</v>
      </c>
      <c r="K17" s="119">
        <f t="shared" si="2"/>
        <v>0</v>
      </c>
      <c r="L17" s="119">
        <f t="shared" si="2"/>
        <v>0</v>
      </c>
      <c r="M17" s="119">
        <f t="shared" si="2"/>
        <v>0</v>
      </c>
      <c r="N17" s="119">
        <f t="shared" si="2"/>
        <v>0</v>
      </c>
      <c r="O17" s="119">
        <f t="shared" si="2"/>
        <v>0</v>
      </c>
      <c r="P17" s="119">
        <f t="shared" si="2"/>
        <v>0</v>
      </c>
      <c r="Q17" s="119">
        <f t="shared" si="2"/>
        <v>0</v>
      </c>
      <c r="R17" s="119">
        <f t="shared" si="2"/>
        <v>0</v>
      </c>
      <c r="S17" s="119">
        <f t="shared" si="2"/>
        <v>0</v>
      </c>
      <c r="T17" s="119">
        <f t="shared" si="2"/>
        <v>0</v>
      </c>
      <c r="U17" s="119">
        <f t="shared" si="2"/>
        <v>0</v>
      </c>
      <c r="V17" s="119">
        <f t="shared" si="2"/>
        <v>0</v>
      </c>
      <c r="W17" s="119">
        <f t="shared" si="2"/>
        <v>0</v>
      </c>
      <c r="X17" s="119">
        <f t="shared" si="2"/>
        <v>0</v>
      </c>
      <c r="Y17" s="119">
        <f t="shared" si="2"/>
        <v>0</v>
      </c>
      <c r="Z17" s="119">
        <f t="shared" si="2"/>
        <v>0</v>
      </c>
      <c r="AA17" s="119">
        <f t="shared" si="2"/>
        <v>0</v>
      </c>
      <c r="AB17" s="119">
        <f t="shared" si="2"/>
        <v>0</v>
      </c>
      <c r="AC17" s="119">
        <f t="shared" si="2"/>
        <v>0</v>
      </c>
      <c r="AD17" s="119">
        <f t="shared" si="2"/>
        <v>0</v>
      </c>
      <c r="AE17" s="119">
        <f t="shared" si="2"/>
        <v>0</v>
      </c>
      <c r="AF17" s="119">
        <f t="shared" si="2"/>
        <v>0</v>
      </c>
      <c r="AG17" s="119">
        <f t="shared" si="2"/>
        <v>0</v>
      </c>
      <c r="AH17" s="119">
        <f t="shared" si="2"/>
        <v>0</v>
      </c>
      <c r="AI17" s="119">
        <f t="shared" si="2"/>
        <v>0</v>
      </c>
      <c r="AJ17" s="119">
        <f t="shared" si="2"/>
        <v>0</v>
      </c>
      <c r="AK17" s="119">
        <f t="shared" si="2"/>
        <v>0</v>
      </c>
      <c r="AL17" s="119">
        <f t="shared" si="2"/>
        <v>0</v>
      </c>
      <c r="AM17" s="119">
        <f t="shared" si="2"/>
        <v>0</v>
      </c>
      <c r="AN17" s="119">
        <f t="shared" si="2"/>
        <v>0</v>
      </c>
      <c r="AO17" s="119">
        <f t="shared" si="2"/>
        <v>0</v>
      </c>
      <c r="AP17" s="119">
        <f t="shared" si="2"/>
        <v>0</v>
      </c>
      <c r="AQ17" s="119">
        <f t="shared" si="2"/>
        <v>0</v>
      </c>
      <c r="AR17" s="119">
        <f t="shared" si="2"/>
        <v>0</v>
      </c>
      <c r="AS17" s="119">
        <f t="shared" si="2"/>
        <v>0</v>
      </c>
      <c r="AT17" s="119">
        <f t="shared" si="2"/>
        <v>0</v>
      </c>
      <c r="AU17" s="119">
        <f t="shared" si="2"/>
        <v>0</v>
      </c>
      <c r="AV17" s="119">
        <f t="shared" si="2"/>
        <v>0</v>
      </c>
      <c r="AW17" s="119">
        <f t="shared" si="2"/>
        <v>0</v>
      </c>
      <c r="AX17" s="119">
        <f t="shared" si="2"/>
        <v>0</v>
      </c>
      <c r="AY17" s="119">
        <f t="shared" si="2"/>
        <v>0</v>
      </c>
      <c r="AZ17" s="156">
        <f>SUM($D$17:$AY$17)</f>
        <v>0</v>
      </c>
    </row>
    <row r="18" spans="1:52" x14ac:dyDescent="0.2">
      <c r="A18" s="111"/>
      <c r="B18" s="158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11"/>
    </row>
    <row r="19" spans="1:52" x14ac:dyDescent="0.2">
      <c r="A19" s="107" t="s">
        <v>116</v>
      </c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</row>
    <row r="20" spans="1:52" s="115" customFormat="1" x14ac:dyDescent="0.2">
      <c r="A20" s="120" t="s">
        <v>307</v>
      </c>
      <c r="B20" s="159" t="s">
        <v>308</v>
      </c>
      <c r="C20" s="122"/>
      <c r="D20" s="122"/>
      <c r="E20" s="122"/>
      <c r="F20" s="122"/>
      <c r="G20" s="122"/>
      <c r="H20" s="122"/>
      <c r="I20" s="122"/>
      <c r="J20" s="122"/>
      <c r="K20" s="122" t="s">
        <v>341</v>
      </c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 t="s">
        <v>341</v>
      </c>
      <c r="AE20" s="122"/>
      <c r="AF20" s="122"/>
      <c r="AG20" s="122"/>
      <c r="AH20" s="122"/>
      <c r="AI20" s="122"/>
      <c r="AJ20" s="122"/>
      <c r="AK20" s="122"/>
      <c r="AL20" s="122"/>
      <c r="AM20" s="122"/>
      <c r="AN20" s="122"/>
      <c r="AO20" s="122"/>
      <c r="AP20" s="122"/>
      <c r="AQ20" s="122"/>
      <c r="AR20" s="122" t="s">
        <v>341</v>
      </c>
      <c r="AS20" s="122"/>
      <c r="AT20" s="122"/>
      <c r="AU20" s="122"/>
      <c r="AV20" s="122"/>
      <c r="AW20" s="122"/>
      <c r="AX20" s="122"/>
      <c r="AY20" s="122"/>
      <c r="AZ20" s="112"/>
    </row>
    <row r="21" spans="1:52" s="115" customFormat="1" x14ac:dyDescent="0.2">
      <c r="A21" s="160" t="s">
        <v>133</v>
      </c>
      <c r="B21" s="161">
        <f>shipping_manufacturing!$I$19/100</f>
        <v>0.59890109890109888</v>
      </c>
      <c r="C21" s="161" t="s">
        <v>295</v>
      </c>
      <c r="D21" s="111">
        <f>IF(C$20="Yes",0,SUM(C$13:C$16)*$B$21)</f>
        <v>0</v>
      </c>
      <c r="E21" s="111">
        <f t="shared" ref="E21:AY21" si="3">IF(D$20="Yes",0,SUM(D$13:D$16)*$B$21)</f>
        <v>108.2367718183787</v>
      </c>
      <c r="F21" s="111">
        <f t="shared" si="3"/>
        <v>108.2367718183787</v>
      </c>
      <c r="G21" s="111">
        <f t="shared" si="3"/>
        <v>108.2367718183787</v>
      </c>
      <c r="H21" s="111">
        <f t="shared" si="3"/>
        <v>108.2367718183787</v>
      </c>
      <c r="I21" s="111">
        <f t="shared" si="3"/>
        <v>119.06044900021659</v>
      </c>
      <c r="J21" s="111">
        <f t="shared" si="3"/>
        <v>119.06044900021659</v>
      </c>
      <c r="K21" s="111">
        <f t="shared" si="3"/>
        <v>119.06044900021659</v>
      </c>
      <c r="L21" s="111">
        <f t="shared" si="3"/>
        <v>0</v>
      </c>
      <c r="M21" s="111">
        <f t="shared" si="3"/>
        <v>238.12089800043319</v>
      </c>
      <c r="N21" s="111">
        <f t="shared" si="3"/>
        <v>119.06044900021659</v>
      </c>
      <c r="O21" s="111">
        <f t="shared" si="3"/>
        <v>119.06044900021659</v>
      </c>
      <c r="P21" s="111">
        <f t="shared" si="3"/>
        <v>119.06044900021659</v>
      </c>
      <c r="Q21" s="111">
        <f t="shared" si="3"/>
        <v>108.2367718183787</v>
      </c>
      <c r="R21" s="111">
        <f t="shared" si="3"/>
        <v>108.2367718183787</v>
      </c>
      <c r="S21" s="111">
        <f t="shared" si="3"/>
        <v>108.2367718183787</v>
      </c>
      <c r="T21" s="111">
        <f t="shared" si="3"/>
        <v>108.2367718183787</v>
      </c>
      <c r="U21" s="111">
        <f t="shared" si="3"/>
        <v>97.413094636540819</v>
      </c>
      <c r="V21" s="111">
        <f t="shared" si="3"/>
        <v>97.413094636540819</v>
      </c>
      <c r="W21" s="111">
        <f t="shared" si="3"/>
        <v>97.413094636540819</v>
      </c>
      <c r="X21" s="111">
        <f t="shared" si="3"/>
        <v>97.413094636540819</v>
      </c>
      <c r="Y21" s="111">
        <f t="shared" si="3"/>
        <v>97.413094636540819</v>
      </c>
      <c r="Z21" s="111">
        <f t="shared" si="3"/>
        <v>97.413094636540819</v>
      </c>
      <c r="AA21" s="111">
        <f t="shared" si="3"/>
        <v>97.413094636540819</v>
      </c>
      <c r="AB21" s="111">
        <f t="shared" si="3"/>
        <v>97.413094636540819</v>
      </c>
      <c r="AC21" s="111">
        <f t="shared" si="3"/>
        <v>97.413094636540819</v>
      </c>
      <c r="AD21" s="111">
        <f t="shared" si="3"/>
        <v>97.413094636540819</v>
      </c>
      <c r="AE21" s="111">
        <f t="shared" si="3"/>
        <v>0</v>
      </c>
      <c r="AF21" s="111">
        <f t="shared" si="3"/>
        <v>194.82618927308164</v>
      </c>
      <c r="AG21" s="111">
        <f t="shared" si="3"/>
        <v>119.06044900021659</v>
      </c>
      <c r="AH21" s="111">
        <f t="shared" si="3"/>
        <v>119.06044900021659</v>
      </c>
      <c r="AI21" s="111">
        <f t="shared" si="3"/>
        <v>119.06044900021659</v>
      </c>
      <c r="AJ21" s="111">
        <f t="shared" si="3"/>
        <v>119.06044900021659</v>
      </c>
      <c r="AK21" s="111">
        <f t="shared" si="3"/>
        <v>119.06044900021659</v>
      </c>
      <c r="AL21" s="111">
        <f t="shared" si="3"/>
        <v>119.06044900021659</v>
      </c>
      <c r="AM21" s="111">
        <f t="shared" si="3"/>
        <v>119.06044900021659</v>
      </c>
      <c r="AN21" s="111">
        <f t="shared" si="3"/>
        <v>119.06044900021659</v>
      </c>
      <c r="AO21" s="111">
        <f t="shared" si="3"/>
        <v>119.06044900021659</v>
      </c>
      <c r="AP21" s="111">
        <f t="shared" si="3"/>
        <v>119.06044900021659</v>
      </c>
      <c r="AQ21" s="111">
        <f t="shared" si="3"/>
        <v>119.06044900021659</v>
      </c>
      <c r="AR21" s="111">
        <f t="shared" si="3"/>
        <v>119.06044900021659</v>
      </c>
      <c r="AS21" s="111">
        <f t="shared" si="3"/>
        <v>0</v>
      </c>
      <c r="AT21" s="111">
        <f t="shared" si="3"/>
        <v>216.4735436367574</v>
      </c>
      <c r="AU21" s="111">
        <f t="shared" si="3"/>
        <v>108.2367718183787</v>
      </c>
      <c r="AV21" s="111">
        <f t="shared" si="3"/>
        <v>108.2367718183787</v>
      </c>
      <c r="AW21" s="111">
        <f t="shared" si="3"/>
        <v>97.413094636540819</v>
      </c>
      <c r="AX21" s="111">
        <f t="shared" si="3"/>
        <v>97.413094636540819</v>
      </c>
      <c r="AY21" s="111">
        <f t="shared" si="3"/>
        <v>97.413094636540819</v>
      </c>
      <c r="AZ21" s="162">
        <f>SUM($D21:$AY21)</f>
        <v>5141.2466613729894</v>
      </c>
    </row>
    <row r="22" spans="1:52" s="115" customFormat="1" x14ac:dyDescent="0.2">
      <c r="A22" s="163" t="s">
        <v>123</v>
      </c>
      <c r="B22" s="164">
        <f>1-$B$21</f>
        <v>0.40109890109890112</v>
      </c>
      <c r="C22" s="164" t="s">
        <v>295</v>
      </c>
      <c r="D22" s="119">
        <f>IF(C$20="Yes",0,SUM(C$13:C$16)*$B$22)</f>
        <v>0</v>
      </c>
      <c r="E22" s="119">
        <f t="shared" ref="E22:AY22" si="4">IF(D$20="Yes",0,SUM(D$13:D$16)*$B$22)</f>
        <v>72.488847181116014</v>
      </c>
      <c r="F22" s="119">
        <f t="shared" si="4"/>
        <v>72.488847181116014</v>
      </c>
      <c r="G22" s="119">
        <f t="shared" si="4"/>
        <v>72.488847181116014</v>
      </c>
      <c r="H22" s="119">
        <f t="shared" si="4"/>
        <v>72.488847181116014</v>
      </c>
      <c r="I22" s="119">
        <f t="shared" si="4"/>
        <v>79.737731899227626</v>
      </c>
      <c r="J22" s="119">
        <f t="shared" si="4"/>
        <v>79.737731899227626</v>
      </c>
      <c r="K22" s="119">
        <f t="shared" si="4"/>
        <v>79.737731899227626</v>
      </c>
      <c r="L22" s="119">
        <f t="shared" si="4"/>
        <v>0</v>
      </c>
      <c r="M22" s="119">
        <f t="shared" si="4"/>
        <v>159.47546379845525</v>
      </c>
      <c r="N22" s="119">
        <f t="shared" si="4"/>
        <v>79.737731899227626</v>
      </c>
      <c r="O22" s="119">
        <f t="shared" si="4"/>
        <v>79.737731899227626</v>
      </c>
      <c r="P22" s="119">
        <f t="shared" si="4"/>
        <v>79.737731899227626</v>
      </c>
      <c r="Q22" s="119">
        <f t="shared" si="4"/>
        <v>72.488847181116014</v>
      </c>
      <c r="R22" s="119">
        <f t="shared" si="4"/>
        <v>72.488847181116014</v>
      </c>
      <c r="S22" s="119">
        <f t="shared" si="4"/>
        <v>72.488847181116014</v>
      </c>
      <c r="T22" s="119">
        <f t="shared" si="4"/>
        <v>72.488847181116014</v>
      </c>
      <c r="U22" s="119">
        <f t="shared" si="4"/>
        <v>65.239962463004417</v>
      </c>
      <c r="V22" s="119">
        <f t="shared" si="4"/>
        <v>65.239962463004417</v>
      </c>
      <c r="W22" s="119">
        <f t="shared" si="4"/>
        <v>65.239962463004417</v>
      </c>
      <c r="X22" s="119">
        <f t="shared" si="4"/>
        <v>65.239962463004417</v>
      </c>
      <c r="Y22" s="119">
        <f t="shared" si="4"/>
        <v>65.239962463004417</v>
      </c>
      <c r="Z22" s="119">
        <f t="shared" si="4"/>
        <v>65.239962463004417</v>
      </c>
      <c r="AA22" s="119">
        <f t="shared" si="4"/>
        <v>65.239962463004417</v>
      </c>
      <c r="AB22" s="119">
        <f t="shared" si="4"/>
        <v>65.239962463004417</v>
      </c>
      <c r="AC22" s="119">
        <f t="shared" si="4"/>
        <v>65.239962463004417</v>
      </c>
      <c r="AD22" s="119">
        <f t="shared" si="4"/>
        <v>65.239962463004417</v>
      </c>
      <c r="AE22" s="119">
        <f t="shared" si="4"/>
        <v>0</v>
      </c>
      <c r="AF22" s="119">
        <f t="shared" si="4"/>
        <v>130.47992492600883</v>
      </c>
      <c r="AG22" s="119">
        <f t="shared" si="4"/>
        <v>79.737731899227626</v>
      </c>
      <c r="AH22" s="119">
        <f t="shared" si="4"/>
        <v>79.737731899227626</v>
      </c>
      <c r="AI22" s="119">
        <f t="shared" si="4"/>
        <v>79.737731899227626</v>
      </c>
      <c r="AJ22" s="119">
        <f t="shared" si="4"/>
        <v>79.737731899227626</v>
      </c>
      <c r="AK22" s="119">
        <f t="shared" si="4"/>
        <v>79.737731899227626</v>
      </c>
      <c r="AL22" s="119">
        <f t="shared" si="4"/>
        <v>79.737731899227626</v>
      </c>
      <c r="AM22" s="119">
        <f t="shared" si="4"/>
        <v>79.737731899227626</v>
      </c>
      <c r="AN22" s="119">
        <f t="shared" si="4"/>
        <v>79.737731899227626</v>
      </c>
      <c r="AO22" s="119">
        <f t="shared" si="4"/>
        <v>79.737731899227626</v>
      </c>
      <c r="AP22" s="119">
        <f t="shared" si="4"/>
        <v>79.737731899227626</v>
      </c>
      <c r="AQ22" s="119">
        <f t="shared" si="4"/>
        <v>79.737731899227626</v>
      </c>
      <c r="AR22" s="119">
        <f t="shared" si="4"/>
        <v>79.737731899227626</v>
      </c>
      <c r="AS22" s="119">
        <f t="shared" si="4"/>
        <v>0</v>
      </c>
      <c r="AT22" s="119">
        <f t="shared" si="4"/>
        <v>144.97769436223203</v>
      </c>
      <c r="AU22" s="119">
        <f t="shared" si="4"/>
        <v>72.488847181116014</v>
      </c>
      <c r="AV22" s="119">
        <f t="shared" si="4"/>
        <v>72.488847181116014</v>
      </c>
      <c r="AW22" s="119">
        <f t="shared" si="4"/>
        <v>65.239962463004417</v>
      </c>
      <c r="AX22" s="119">
        <f t="shared" si="4"/>
        <v>65.239962463004417</v>
      </c>
      <c r="AY22" s="119">
        <f t="shared" si="4"/>
        <v>65.239962463004417</v>
      </c>
      <c r="AZ22" s="146">
        <f t="shared" ref="AZ22:AZ30" si="5">SUM($D22:$AY22)</f>
        <v>3443.2202411030089</v>
      </c>
    </row>
    <row r="23" spans="1:52" x14ac:dyDescent="0.2">
      <c r="A23" s="165" t="s">
        <v>309</v>
      </c>
      <c r="B23" s="129">
        <v>2000</v>
      </c>
      <c r="C23" s="105" t="s">
        <v>295</v>
      </c>
      <c r="D23" s="105">
        <f>D$21*$B$23</f>
        <v>0</v>
      </c>
      <c r="E23" s="105">
        <f t="shared" ref="E23:AY23" si="6">E$21*$B$23</f>
        <v>216473.54363675739</v>
      </c>
      <c r="F23" s="105">
        <f t="shared" si="6"/>
        <v>216473.54363675739</v>
      </c>
      <c r="G23" s="105">
        <f t="shared" si="6"/>
        <v>216473.54363675739</v>
      </c>
      <c r="H23" s="105">
        <f t="shared" si="6"/>
        <v>216473.54363675739</v>
      </c>
      <c r="I23" s="105">
        <f t="shared" si="6"/>
        <v>238120.8980004332</v>
      </c>
      <c r="J23" s="105">
        <f t="shared" si="6"/>
        <v>238120.8980004332</v>
      </c>
      <c r="K23" s="105">
        <f t="shared" si="6"/>
        <v>238120.8980004332</v>
      </c>
      <c r="L23" s="105">
        <f t="shared" si="6"/>
        <v>0</v>
      </c>
      <c r="M23" s="105">
        <f t="shared" si="6"/>
        <v>476241.79600086639</v>
      </c>
      <c r="N23" s="105">
        <f t="shared" si="6"/>
        <v>238120.8980004332</v>
      </c>
      <c r="O23" s="105">
        <f t="shared" si="6"/>
        <v>238120.8980004332</v>
      </c>
      <c r="P23" s="105">
        <f t="shared" si="6"/>
        <v>238120.8980004332</v>
      </c>
      <c r="Q23" s="105">
        <f t="shared" si="6"/>
        <v>216473.54363675739</v>
      </c>
      <c r="R23" s="105">
        <f t="shared" si="6"/>
        <v>216473.54363675739</v>
      </c>
      <c r="S23" s="105">
        <f t="shared" si="6"/>
        <v>216473.54363675739</v>
      </c>
      <c r="T23" s="105">
        <f t="shared" si="6"/>
        <v>216473.54363675739</v>
      </c>
      <c r="U23" s="105">
        <f t="shared" si="6"/>
        <v>194826.18927308163</v>
      </c>
      <c r="V23" s="105">
        <f t="shared" si="6"/>
        <v>194826.18927308163</v>
      </c>
      <c r="W23" s="105">
        <f t="shared" si="6"/>
        <v>194826.18927308163</v>
      </c>
      <c r="X23" s="105">
        <f t="shared" si="6"/>
        <v>194826.18927308163</v>
      </c>
      <c r="Y23" s="105">
        <f t="shared" si="6"/>
        <v>194826.18927308163</v>
      </c>
      <c r="Z23" s="105">
        <f t="shared" si="6"/>
        <v>194826.18927308163</v>
      </c>
      <c r="AA23" s="105">
        <f t="shared" si="6"/>
        <v>194826.18927308163</v>
      </c>
      <c r="AB23" s="105">
        <f t="shared" si="6"/>
        <v>194826.18927308163</v>
      </c>
      <c r="AC23" s="105">
        <f t="shared" si="6"/>
        <v>194826.18927308163</v>
      </c>
      <c r="AD23" s="105">
        <f t="shared" si="6"/>
        <v>194826.18927308163</v>
      </c>
      <c r="AE23" s="105">
        <f t="shared" si="6"/>
        <v>0</v>
      </c>
      <c r="AF23" s="105">
        <f t="shared" si="6"/>
        <v>389652.37854616327</v>
      </c>
      <c r="AG23" s="105">
        <f t="shared" si="6"/>
        <v>238120.8980004332</v>
      </c>
      <c r="AH23" s="105">
        <f t="shared" si="6"/>
        <v>238120.8980004332</v>
      </c>
      <c r="AI23" s="105">
        <f t="shared" si="6"/>
        <v>238120.8980004332</v>
      </c>
      <c r="AJ23" s="105">
        <f t="shared" si="6"/>
        <v>238120.8980004332</v>
      </c>
      <c r="AK23" s="105">
        <f t="shared" si="6"/>
        <v>238120.8980004332</v>
      </c>
      <c r="AL23" s="105">
        <f t="shared" si="6"/>
        <v>238120.8980004332</v>
      </c>
      <c r="AM23" s="105">
        <f t="shared" si="6"/>
        <v>238120.8980004332</v>
      </c>
      <c r="AN23" s="105">
        <f t="shared" si="6"/>
        <v>238120.8980004332</v>
      </c>
      <c r="AO23" s="105">
        <f t="shared" si="6"/>
        <v>238120.8980004332</v>
      </c>
      <c r="AP23" s="105">
        <f t="shared" si="6"/>
        <v>238120.8980004332</v>
      </c>
      <c r="AQ23" s="105">
        <f t="shared" si="6"/>
        <v>238120.8980004332</v>
      </c>
      <c r="AR23" s="105">
        <f t="shared" si="6"/>
        <v>238120.8980004332</v>
      </c>
      <c r="AS23" s="105">
        <f t="shared" si="6"/>
        <v>0</v>
      </c>
      <c r="AT23" s="105">
        <f t="shared" si="6"/>
        <v>432947.08727351477</v>
      </c>
      <c r="AU23" s="105">
        <f t="shared" si="6"/>
        <v>216473.54363675739</v>
      </c>
      <c r="AV23" s="105">
        <f t="shared" si="6"/>
        <v>216473.54363675739</v>
      </c>
      <c r="AW23" s="105">
        <f t="shared" si="6"/>
        <v>194826.18927308163</v>
      </c>
      <c r="AX23" s="105">
        <f t="shared" si="6"/>
        <v>194826.18927308163</v>
      </c>
      <c r="AY23" s="105">
        <f t="shared" si="6"/>
        <v>194826.18927308163</v>
      </c>
      <c r="AZ23" s="144">
        <f t="shared" si="5"/>
        <v>10282493.322745979</v>
      </c>
    </row>
    <row r="24" spans="1:52" s="115" customFormat="1" x14ac:dyDescent="0.2">
      <c r="A24" s="166" t="s">
        <v>310</v>
      </c>
      <c r="B24" s="167">
        <v>1000</v>
      </c>
      <c r="C24" s="161" t="s">
        <v>295</v>
      </c>
      <c r="D24" s="111">
        <f>D$22*$B$24</f>
        <v>0</v>
      </c>
      <c r="E24" s="111">
        <f t="shared" ref="E24:AY24" si="7">E$22*$B$24</f>
        <v>72488.847181116013</v>
      </c>
      <c r="F24" s="111">
        <f t="shared" si="7"/>
        <v>72488.847181116013</v>
      </c>
      <c r="G24" s="111">
        <f t="shared" si="7"/>
        <v>72488.847181116013</v>
      </c>
      <c r="H24" s="111">
        <f t="shared" si="7"/>
        <v>72488.847181116013</v>
      </c>
      <c r="I24" s="111">
        <f t="shared" si="7"/>
        <v>79737.731899227627</v>
      </c>
      <c r="J24" s="111">
        <f t="shared" si="7"/>
        <v>79737.731899227627</v>
      </c>
      <c r="K24" s="111">
        <f t="shared" si="7"/>
        <v>79737.731899227627</v>
      </c>
      <c r="L24" s="111">
        <f t="shared" si="7"/>
        <v>0</v>
      </c>
      <c r="M24" s="111">
        <f t="shared" si="7"/>
        <v>159475.46379845525</v>
      </c>
      <c r="N24" s="111">
        <f t="shared" si="7"/>
        <v>79737.731899227627</v>
      </c>
      <c r="O24" s="111">
        <f t="shared" si="7"/>
        <v>79737.731899227627</v>
      </c>
      <c r="P24" s="111">
        <f t="shared" si="7"/>
        <v>79737.731899227627</v>
      </c>
      <c r="Q24" s="111">
        <f t="shared" si="7"/>
        <v>72488.847181116013</v>
      </c>
      <c r="R24" s="111">
        <f t="shared" si="7"/>
        <v>72488.847181116013</v>
      </c>
      <c r="S24" s="111">
        <f t="shared" si="7"/>
        <v>72488.847181116013</v>
      </c>
      <c r="T24" s="111">
        <f t="shared" si="7"/>
        <v>72488.847181116013</v>
      </c>
      <c r="U24" s="111">
        <f t="shared" si="7"/>
        <v>65239.96246300442</v>
      </c>
      <c r="V24" s="111">
        <f t="shared" si="7"/>
        <v>65239.96246300442</v>
      </c>
      <c r="W24" s="111">
        <f t="shared" si="7"/>
        <v>65239.96246300442</v>
      </c>
      <c r="X24" s="111">
        <f t="shared" si="7"/>
        <v>65239.96246300442</v>
      </c>
      <c r="Y24" s="111">
        <f t="shared" si="7"/>
        <v>65239.96246300442</v>
      </c>
      <c r="Z24" s="111">
        <f t="shared" si="7"/>
        <v>65239.96246300442</v>
      </c>
      <c r="AA24" s="111">
        <f t="shared" si="7"/>
        <v>65239.96246300442</v>
      </c>
      <c r="AB24" s="111">
        <f t="shared" si="7"/>
        <v>65239.96246300442</v>
      </c>
      <c r="AC24" s="111">
        <f t="shared" si="7"/>
        <v>65239.96246300442</v>
      </c>
      <c r="AD24" s="111">
        <f t="shared" si="7"/>
        <v>65239.96246300442</v>
      </c>
      <c r="AE24" s="111">
        <f t="shared" si="7"/>
        <v>0</v>
      </c>
      <c r="AF24" s="111">
        <f t="shared" si="7"/>
        <v>130479.92492600884</v>
      </c>
      <c r="AG24" s="111">
        <f t="shared" si="7"/>
        <v>79737.731899227627</v>
      </c>
      <c r="AH24" s="111">
        <f t="shared" si="7"/>
        <v>79737.731899227627</v>
      </c>
      <c r="AI24" s="111">
        <f t="shared" si="7"/>
        <v>79737.731899227627</v>
      </c>
      <c r="AJ24" s="111">
        <f t="shared" si="7"/>
        <v>79737.731899227627</v>
      </c>
      <c r="AK24" s="111">
        <f t="shared" si="7"/>
        <v>79737.731899227627</v>
      </c>
      <c r="AL24" s="111">
        <f t="shared" si="7"/>
        <v>79737.731899227627</v>
      </c>
      <c r="AM24" s="111">
        <f t="shared" si="7"/>
        <v>79737.731899227627</v>
      </c>
      <c r="AN24" s="111">
        <f t="shared" si="7"/>
        <v>79737.731899227627</v>
      </c>
      <c r="AO24" s="111">
        <f t="shared" si="7"/>
        <v>79737.731899227627</v>
      </c>
      <c r="AP24" s="111">
        <f t="shared" si="7"/>
        <v>79737.731899227627</v>
      </c>
      <c r="AQ24" s="111">
        <f t="shared" si="7"/>
        <v>79737.731899227627</v>
      </c>
      <c r="AR24" s="111">
        <f t="shared" si="7"/>
        <v>79737.731899227627</v>
      </c>
      <c r="AS24" s="111">
        <f t="shared" si="7"/>
        <v>0</v>
      </c>
      <c r="AT24" s="111">
        <f t="shared" si="7"/>
        <v>144977.69436223203</v>
      </c>
      <c r="AU24" s="111">
        <f t="shared" si="7"/>
        <v>72488.847181116013</v>
      </c>
      <c r="AV24" s="111">
        <f t="shared" si="7"/>
        <v>72488.847181116013</v>
      </c>
      <c r="AW24" s="111">
        <f t="shared" si="7"/>
        <v>65239.96246300442</v>
      </c>
      <c r="AX24" s="111">
        <f t="shared" si="7"/>
        <v>65239.96246300442</v>
      </c>
      <c r="AY24" s="111">
        <f t="shared" si="7"/>
        <v>65239.96246300442</v>
      </c>
      <c r="AZ24" s="146">
        <f t="shared" si="5"/>
        <v>3443220.2411030112</v>
      </c>
    </row>
    <row r="25" spans="1:52" x14ac:dyDescent="0.2"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11"/>
    </row>
    <row r="26" spans="1:52" x14ac:dyDescent="0.2">
      <c r="A26" s="168" t="s">
        <v>18</v>
      </c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11"/>
      <c r="AT26" s="111"/>
      <c r="AU26" s="111"/>
      <c r="AV26" s="111"/>
      <c r="AW26" s="111"/>
      <c r="AX26" s="111"/>
      <c r="AY26" s="111"/>
      <c r="AZ26" s="111"/>
    </row>
    <row r="27" spans="1:52" x14ac:dyDescent="0.2">
      <c r="B27" s="140" t="s">
        <v>311</v>
      </c>
      <c r="C27" s="129">
        <v>43</v>
      </c>
      <c r="D27" s="129">
        <f>C$27-C$28+C$29</f>
        <v>43</v>
      </c>
      <c r="E27" s="129">
        <f t="shared" ref="E27:AY27" si="8">D27-D28+D29</f>
        <v>43</v>
      </c>
      <c r="F27" s="129">
        <f t="shared" si="8"/>
        <v>36</v>
      </c>
      <c r="G27" s="129">
        <f t="shared" si="8"/>
        <v>36</v>
      </c>
      <c r="H27" s="129">
        <f t="shared" si="8"/>
        <v>36</v>
      </c>
      <c r="I27" s="129">
        <f t="shared" si="8"/>
        <v>36</v>
      </c>
      <c r="J27" s="129">
        <f t="shared" si="8"/>
        <v>36</v>
      </c>
      <c r="K27" s="129">
        <f t="shared" si="8"/>
        <v>36</v>
      </c>
      <c r="L27" s="129">
        <f t="shared" si="8"/>
        <v>36</v>
      </c>
      <c r="M27" s="129">
        <f t="shared" si="8"/>
        <v>43</v>
      </c>
      <c r="N27" s="129">
        <f t="shared" si="8"/>
        <v>29</v>
      </c>
      <c r="O27" s="129">
        <f t="shared" si="8"/>
        <v>36</v>
      </c>
      <c r="P27" s="129">
        <f t="shared" si="8"/>
        <v>36</v>
      </c>
      <c r="Q27" s="129">
        <f t="shared" si="8"/>
        <v>36</v>
      </c>
      <c r="R27" s="129">
        <f t="shared" si="8"/>
        <v>36</v>
      </c>
      <c r="S27" s="129">
        <f t="shared" si="8"/>
        <v>36</v>
      </c>
      <c r="T27" s="129">
        <f t="shared" si="8"/>
        <v>36</v>
      </c>
      <c r="U27" s="129">
        <f t="shared" si="8"/>
        <v>36</v>
      </c>
      <c r="V27" s="129">
        <f t="shared" si="8"/>
        <v>37</v>
      </c>
      <c r="W27" s="129">
        <f t="shared" si="8"/>
        <v>37</v>
      </c>
      <c r="X27" s="129">
        <f t="shared" si="8"/>
        <v>37</v>
      </c>
      <c r="Y27" s="129">
        <f t="shared" si="8"/>
        <v>37</v>
      </c>
      <c r="Z27" s="129">
        <f t="shared" si="8"/>
        <v>37</v>
      </c>
      <c r="AA27" s="129">
        <f t="shared" si="8"/>
        <v>37</v>
      </c>
      <c r="AB27" s="129">
        <f t="shared" si="8"/>
        <v>37</v>
      </c>
      <c r="AC27" s="129">
        <f t="shared" si="8"/>
        <v>37</v>
      </c>
      <c r="AD27" s="129">
        <f t="shared" si="8"/>
        <v>37</v>
      </c>
      <c r="AE27" s="129">
        <f t="shared" si="8"/>
        <v>37</v>
      </c>
      <c r="AF27" s="129">
        <f t="shared" si="8"/>
        <v>43</v>
      </c>
      <c r="AG27" s="129">
        <f t="shared" si="8"/>
        <v>32</v>
      </c>
      <c r="AH27" s="129">
        <f t="shared" si="8"/>
        <v>36</v>
      </c>
      <c r="AI27" s="129">
        <f t="shared" si="8"/>
        <v>36</v>
      </c>
      <c r="AJ27" s="129">
        <f t="shared" si="8"/>
        <v>36</v>
      </c>
      <c r="AK27" s="129">
        <f t="shared" si="8"/>
        <v>36</v>
      </c>
      <c r="AL27" s="129">
        <f t="shared" si="8"/>
        <v>36</v>
      </c>
      <c r="AM27" s="129">
        <f t="shared" si="8"/>
        <v>36</v>
      </c>
      <c r="AN27" s="129">
        <f t="shared" si="8"/>
        <v>36</v>
      </c>
      <c r="AO27" s="129">
        <f t="shared" si="8"/>
        <v>36</v>
      </c>
      <c r="AP27" s="129">
        <f t="shared" si="8"/>
        <v>36</v>
      </c>
      <c r="AQ27" s="129">
        <f t="shared" si="8"/>
        <v>36</v>
      </c>
      <c r="AR27" s="129">
        <f t="shared" si="8"/>
        <v>36</v>
      </c>
      <c r="AS27" s="129">
        <f t="shared" si="8"/>
        <v>36</v>
      </c>
      <c r="AT27" s="129">
        <f t="shared" si="8"/>
        <v>43</v>
      </c>
      <c r="AU27" s="129">
        <f t="shared" si="8"/>
        <v>30</v>
      </c>
      <c r="AV27" s="129">
        <f t="shared" si="8"/>
        <v>36</v>
      </c>
      <c r="AW27" s="129">
        <f t="shared" si="8"/>
        <v>36</v>
      </c>
      <c r="AX27" s="129">
        <f t="shared" si="8"/>
        <v>37</v>
      </c>
      <c r="AY27" s="169">
        <f t="shared" si="8"/>
        <v>37</v>
      </c>
      <c r="AZ27" s="111"/>
    </row>
    <row r="28" spans="1:52" x14ac:dyDescent="0.2">
      <c r="B28" s="170" t="s">
        <v>312</v>
      </c>
      <c r="C28" s="115"/>
      <c r="D28" s="115">
        <v>0</v>
      </c>
      <c r="E28" s="115">
        <v>7</v>
      </c>
      <c r="F28" s="115">
        <v>7</v>
      </c>
      <c r="G28" s="115">
        <v>7</v>
      </c>
      <c r="H28" s="115">
        <v>7</v>
      </c>
      <c r="I28" s="115">
        <v>7</v>
      </c>
      <c r="J28" s="115">
        <v>7</v>
      </c>
      <c r="K28" s="115">
        <v>7</v>
      </c>
      <c r="L28" s="115">
        <v>0</v>
      </c>
      <c r="M28" s="115">
        <v>14</v>
      </c>
      <c r="N28" s="115">
        <v>7</v>
      </c>
      <c r="O28" s="115">
        <v>7</v>
      </c>
      <c r="P28" s="115">
        <v>7</v>
      </c>
      <c r="Q28" s="115">
        <v>7</v>
      </c>
      <c r="R28" s="115">
        <v>7</v>
      </c>
      <c r="S28" s="115">
        <v>7</v>
      </c>
      <c r="T28" s="115">
        <v>7</v>
      </c>
      <c r="U28" s="115">
        <v>6</v>
      </c>
      <c r="V28" s="115">
        <v>6</v>
      </c>
      <c r="W28" s="115">
        <v>6</v>
      </c>
      <c r="X28" s="115">
        <v>6</v>
      </c>
      <c r="Y28" s="115">
        <v>6</v>
      </c>
      <c r="Z28" s="115">
        <v>6</v>
      </c>
      <c r="AA28" s="115">
        <v>6</v>
      </c>
      <c r="AB28" s="115">
        <v>6</v>
      </c>
      <c r="AC28" s="115">
        <v>6</v>
      </c>
      <c r="AD28" s="115">
        <v>6</v>
      </c>
      <c r="AE28" s="115">
        <v>0</v>
      </c>
      <c r="AF28" s="115">
        <v>11</v>
      </c>
      <c r="AG28" s="115">
        <v>7</v>
      </c>
      <c r="AH28" s="115">
        <v>7</v>
      </c>
      <c r="AI28" s="115">
        <v>7</v>
      </c>
      <c r="AJ28" s="115">
        <v>7</v>
      </c>
      <c r="AK28" s="115">
        <v>7</v>
      </c>
      <c r="AL28" s="115">
        <v>7</v>
      </c>
      <c r="AM28" s="115">
        <v>7</v>
      </c>
      <c r="AN28" s="115">
        <v>7</v>
      </c>
      <c r="AO28" s="115">
        <v>7</v>
      </c>
      <c r="AP28" s="115">
        <v>7</v>
      </c>
      <c r="AQ28" s="115">
        <v>7</v>
      </c>
      <c r="AR28" s="115">
        <v>7</v>
      </c>
      <c r="AS28" s="115">
        <v>0</v>
      </c>
      <c r="AT28" s="115">
        <v>13</v>
      </c>
      <c r="AU28" s="115">
        <v>7</v>
      </c>
      <c r="AV28" s="115">
        <v>7</v>
      </c>
      <c r="AW28" s="115">
        <v>6</v>
      </c>
      <c r="AX28" s="115">
        <v>6</v>
      </c>
      <c r="AY28" s="171">
        <v>6</v>
      </c>
      <c r="AZ28" s="111"/>
    </row>
    <row r="29" spans="1:52" x14ac:dyDescent="0.2">
      <c r="B29" s="141" t="s">
        <v>313</v>
      </c>
      <c r="C29" s="130"/>
      <c r="D29" s="130">
        <f>C$28</f>
        <v>0</v>
      </c>
      <c r="E29" s="130">
        <f t="shared" ref="E29:AY29" si="9">D$28</f>
        <v>0</v>
      </c>
      <c r="F29" s="130">
        <f t="shared" si="9"/>
        <v>7</v>
      </c>
      <c r="G29" s="130">
        <f t="shared" si="9"/>
        <v>7</v>
      </c>
      <c r="H29" s="130">
        <f t="shared" si="9"/>
        <v>7</v>
      </c>
      <c r="I29" s="130">
        <f t="shared" si="9"/>
        <v>7</v>
      </c>
      <c r="J29" s="130">
        <f t="shared" si="9"/>
        <v>7</v>
      </c>
      <c r="K29" s="130">
        <f t="shared" si="9"/>
        <v>7</v>
      </c>
      <c r="L29" s="130">
        <f t="shared" si="9"/>
        <v>7</v>
      </c>
      <c r="M29" s="130">
        <f t="shared" si="9"/>
        <v>0</v>
      </c>
      <c r="N29" s="130">
        <f t="shared" si="9"/>
        <v>14</v>
      </c>
      <c r="O29" s="130">
        <f t="shared" si="9"/>
        <v>7</v>
      </c>
      <c r="P29" s="130">
        <f t="shared" si="9"/>
        <v>7</v>
      </c>
      <c r="Q29" s="130">
        <f t="shared" si="9"/>
        <v>7</v>
      </c>
      <c r="R29" s="130">
        <f t="shared" si="9"/>
        <v>7</v>
      </c>
      <c r="S29" s="130">
        <f t="shared" si="9"/>
        <v>7</v>
      </c>
      <c r="T29" s="130">
        <f t="shared" si="9"/>
        <v>7</v>
      </c>
      <c r="U29" s="130">
        <f t="shared" si="9"/>
        <v>7</v>
      </c>
      <c r="V29" s="130">
        <f t="shared" si="9"/>
        <v>6</v>
      </c>
      <c r="W29" s="130">
        <f t="shared" si="9"/>
        <v>6</v>
      </c>
      <c r="X29" s="130">
        <f t="shared" si="9"/>
        <v>6</v>
      </c>
      <c r="Y29" s="130">
        <f t="shared" si="9"/>
        <v>6</v>
      </c>
      <c r="Z29" s="130">
        <f t="shared" si="9"/>
        <v>6</v>
      </c>
      <c r="AA29" s="130">
        <f t="shared" si="9"/>
        <v>6</v>
      </c>
      <c r="AB29" s="130">
        <f t="shared" si="9"/>
        <v>6</v>
      </c>
      <c r="AC29" s="130">
        <f t="shared" si="9"/>
        <v>6</v>
      </c>
      <c r="AD29" s="130">
        <f t="shared" si="9"/>
        <v>6</v>
      </c>
      <c r="AE29" s="130">
        <f t="shared" si="9"/>
        <v>6</v>
      </c>
      <c r="AF29" s="130">
        <f t="shared" si="9"/>
        <v>0</v>
      </c>
      <c r="AG29" s="130">
        <f t="shared" si="9"/>
        <v>11</v>
      </c>
      <c r="AH29" s="130">
        <f t="shared" si="9"/>
        <v>7</v>
      </c>
      <c r="AI29" s="130">
        <f t="shared" si="9"/>
        <v>7</v>
      </c>
      <c r="AJ29" s="130">
        <f t="shared" si="9"/>
        <v>7</v>
      </c>
      <c r="AK29" s="130">
        <f t="shared" si="9"/>
        <v>7</v>
      </c>
      <c r="AL29" s="130">
        <f t="shared" si="9"/>
        <v>7</v>
      </c>
      <c r="AM29" s="130">
        <f t="shared" si="9"/>
        <v>7</v>
      </c>
      <c r="AN29" s="130">
        <f t="shared" si="9"/>
        <v>7</v>
      </c>
      <c r="AO29" s="130">
        <f t="shared" si="9"/>
        <v>7</v>
      </c>
      <c r="AP29" s="130">
        <f t="shared" si="9"/>
        <v>7</v>
      </c>
      <c r="AQ29" s="130">
        <f t="shared" si="9"/>
        <v>7</v>
      </c>
      <c r="AR29" s="130">
        <f t="shared" si="9"/>
        <v>7</v>
      </c>
      <c r="AS29" s="130">
        <f t="shared" si="9"/>
        <v>7</v>
      </c>
      <c r="AT29" s="130">
        <f t="shared" si="9"/>
        <v>0</v>
      </c>
      <c r="AU29" s="130">
        <f t="shared" si="9"/>
        <v>13</v>
      </c>
      <c r="AV29" s="130">
        <f t="shared" si="9"/>
        <v>7</v>
      </c>
      <c r="AW29" s="130">
        <f t="shared" si="9"/>
        <v>7</v>
      </c>
      <c r="AX29" s="130">
        <f t="shared" si="9"/>
        <v>6</v>
      </c>
      <c r="AY29" s="172">
        <f t="shared" si="9"/>
        <v>6</v>
      </c>
      <c r="AZ29" s="173"/>
    </row>
    <row r="30" spans="1:52" x14ac:dyDescent="0.2">
      <c r="A30" s="174" t="s">
        <v>314</v>
      </c>
      <c r="B30" s="149">
        <v>10</v>
      </c>
      <c r="C30" s="122" t="s">
        <v>295</v>
      </c>
      <c r="D30" s="122">
        <f>D$27*$B$30</f>
        <v>430</v>
      </c>
      <c r="E30" s="122">
        <f t="shared" ref="E30:AY30" si="10">E$27*$B$30</f>
        <v>430</v>
      </c>
      <c r="F30" s="122">
        <f t="shared" si="10"/>
        <v>360</v>
      </c>
      <c r="G30" s="122">
        <f t="shared" si="10"/>
        <v>360</v>
      </c>
      <c r="H30" s="122">
        <f t="shared" si="10"/>
        <v>360</v>
      </c>
      <c r="I30" s="122">
        <f t="shared" si="10"/>
        <v>360</v>
      </c>
      <c r="J30" s="122">
        <f t="shared" si="10"/>
        <v>360</v>
      </c>
      <c r="K30" s="122">
        <f t="shared" si="10"/>
        <v>360</v>
      </c>
      <c r="L30" s="122">
        <f t="shared" si="10"/>
        <v>360</v>
      </c>
      <c r="M30" s="122">
        <f t="shared" si="10"/>
        <v>430</v>
      </c>
      <c r="N30" s="122">
        <f t="shared" si="10"/>
        <v>290</v>
      </c>
      <c r="O30" s="122">
        <f t="shared" si="10"/>
        <v>360</v>
      </c>
      <c r="P30" s="122">
        <f t="shared" si="10"/>
        <v>360</v>
      </c>
      <c r="Q30" s="122">
        <f t="shared" si="10"/>
        <v>360</v>
      </c>
      <c r="R30" s="122">
        <f>R$27*$B$30</f>
        <v>360</v>
      </c>
      <c r="S30" s="122">
        <f t="shared" si="10"/>
        <v>360</v>
      </c>
      <c r="T30" s="122">
        <f t="shared" si="10"/>
        <v>360</v>
      </c>
      <c r="U30" s="122">
        <f t="shared" si="10"/>
        <v>360</v>
      </c>
      <c r="V30" s="122">
        <f t="shared" si="10"/>
        <v>370</v>
      </c>
      <c r="W30" s="122">
        <f t="shared" si="10"/>
        <v>370</v>
      </c>
      <c r="X30" s="122">
        <f t="shared" si="10"/>
        <v>370</v>
      </c>
      <c r="Y30" s="122">
        <f t="shared" si="10"/>
        <v>370</v>
      </c>
      <c r="Z30" s="122">
        <f t="shared" si="10"/>
        <v>370</v>
      </c>
      <c r="AA30" s="122">
        <f t="shared" si="10"/>
        <v>370</v>
      </c>
      <c r="AB30" s="122">
        <f t="shared" si="10"/>
        <v>370</v>
      </c>
      <c r="AC30" s="122">
        <f t="shared" si="10"/>
        <v>370</v>
      </c>
      <c r="AD30" s="122">
        <f t="shared" si="10"/>
        <v>370</v>
      </c>
      <c r="AE30" s="122">
        <f>AE$27*$B$30</f>
        <v>370</v>
      </c>
      <c r="AF30" s="122">
        <f t="shared" si="10"/>
        <v>430</v>
      </c>
      <c r="AG30" s="122">
        <f t="shared" si="10"/>
        <v>320</v>
      </c>
      <c r="AH30" s="122">
        <f t="shared" si="10"/>
        <v>360</v>
      </c>
      <c r="AI30" s="122">
        <f t="shared" si="10"/>
        <v>360</v>
      </c>
      <c r="AJ30" s="122">
        <f t="shared" si="10"/>
        <v>360</v>
      </c>
      <c r="AK30" s="122">
        <f t="shared" si="10"/>
        <v>360</v>
      </c>
      <c r="AL30" s="122">
        <f t="shared" si="10"/>
        <v>360</v>
      </c>
      <c r="AM30" s="122">
        <f t="shared" si="10"/>
        <v>360</v>
      </c>
      <c r="AN30" s="122">
        <f t="shared" si="10"/>
        <v>360</v>
      </c>
      <c r="AO30" s="122">
        <f t="shared" si="10"/>
        <v>360</v>
      </c>
      <c r="AP30" s="122">
        <f t="shared" si="10"/>
        <v>360</v>
      </c>
      <c r="AQ30" s="122">
        <f t="shared" si="10"/>
        <v>360</v>
      </c>
      <c r="AR30" s="122">
        <f t="shared" si="10"/>
        <v>360</v>
      </c>
      <c r="AS30" s="122">
        <f t="shared" si="10"/>
        <v>360</v>
      </c>
      <c r="AT30" s="122">
        <f t="shared" si="10"/>
        <v>430</v>
      </c>
      <c r="AU30" s="122">
        <f t="shared" si="10"/>
        <v>300</v>
      </c>
      <c r="AV30" s="122">
        <f t="shared" si="10"/>
        <v>360</v>
      </c>
      <c r="AW30" s="122">
        <f t="shared" si="10"/>
        <v>360</v>
      </c>
      <c r="AX30" s="122">
        <f t="shared" si="10"/>
        <v>370</v>
      </c>
      <c r="AY30" s="122">
        <f t="shared" si="10"/>
        <v>370</v>
      </c>
      <c r="AZ30" s="146">
        <f t="shared" si="5"/>
        <v>17580</v>
      </c>
    </row>
    <row r="32" spans="1:52" x14ac:dyDescent="0.2">
      <c r="A32" s="107" t="s">
        <v>302</v>
      </c>
    </row>
    <row r="33" spans="1:52" x14ac:dyDescent="0.2">
      <c r="A33" s="140" t="s">
        <v>34</v>
      </c>
      <c r="B33" s="140" t="s">
        <v>343</v>
      </c>
      <c r="C33" s="129"/>
      <c r="D33" s="129">
        <f>D$21*shipping_manufacturing!$J$27/100</f>
        <v>0</v>
      </c>
      <c r="E33" s="129">
        <f>E$21*shipping_manufacturing!$J$27/100</f>
        <v>0</v>
      </c>
      <c r="F33" s="129">
        <f>F$21*shipping_manufacturing!$J$27/100</f>
        <v>0</v>
      </c>
      <c r="G33" s="129">
        <f>G$21*shipping_manufacturing!$J$27/100</f>
        <v>0</v>
      </c>
      <c r="H33" s="129">
        <f>H$21*shipping_manufacturing!$J$27/100</f>
        <v>0</v>
      </c>
      <c r="I33" s="129">
        <f>I$21*shipping_manufacturing!$J$27/100</f>
        <v>0</v>
      </c>
      <c r="J33" s="129">
        <f>J$21*shipping_manufacturing!$J$27/100</f>
        <v>0</v>
      </c>
      <c r="K33" s="129">
        <f>K$21*shipping_manufacturing!$J$27/100</f>
        <v>0</v>
      </c>
      <c r="L33" s="129">
        <f>L$21*shipping_manufacturing!$J$27/100</f>
        <v>0</v>
      </c>
      <c r="M33" s="129">
        <f>M$21*shipping_manufacturing!$J$27/100</f>
        <v>0</v>
      </c>
      <c r="N33" s="129">
        <f>N$21*shipping_manufacturing!$J$27/100</f>
        <v>0</v>
      </c>
      <c r="O33" s="129">
        <f>O$21*shipping_manufacturing!$J$27/100</f>
        <v>0</v>
      </c>
      <c r="P33" s="129">
        <f>P$21*shipping_manufacturing!$J$27/100</f>
        <v>0</v>
      </c>
      <c r="Q33" s="129">
        <f>Q$21*shipping_manufacturing!$J$27/100</f>
        <v>0</v>
      </c>
      <c r="R33" s="129">
        <f>R$21*shipping_manufacturing!$J$27/100</f>
        <v>0</v>
      </c>
      <c r="S33" s="129">
        <f>S$21*shipping_manufacturing!$J$27/100</f>
        <v>0</v>
      </c>
      <c r="T33" s="129">
        <f>T$21*shipping_manufacturing!$J$27/100</f>
        <v>0</v>
      </c>
      <c r="U33" s="129">
        <f>U$21*shipping_manufacturing!$J$27/100</f>
        <v>0</v>
      </c>
      <c r="V33" s="129">
        <f>V$21*shipping_manufacturing!$J$27/100</f>
        <v>0</v>
      </c>
      <c r="W33" s="129">
        <f>W$21*shipping_manufacturing!$J$27/100</f>
        <v>0</v>
      </c>
      <c r="X33" s="129">
        <f>X$21*shipping_manufacturing!$J$27/100</f>
        <v>0</v>
      </c>
      <c r="Y33" s="129">
        <f>Y$21*shipping_manufacturing!$J$27/100</f>
        <v>0</v>
      </c>
      <c r="Z33" s="129">
        <f>Z$21*shipping_manufacturing!$J$27/100</f>
        <v>0</v>
      </c>
      <c r="AA33" s="129">
        <f>AA$21*shipping_manufacturing!$J$27/100</f>
        <v>0</v>
      </c>
      <c r="AB33" s="129">
        <f>AB$21*shipping_manufacturing!$J$27/100</f>
        <v>0</v>
      </c>
      <c r="AC33" s="129">
        <f>AC$21*shipping_manufacturing!$J$27/100</f>
        <v>0</v>
      </c>
      <c r="AD33" s="129">
        <f>AD$21*shipping_manufacturing!$J$27/100</f>
        <v>0</v>
      </c>
      <c r="AE33" s="129">
        <f>AE$21*shipping_manufacturing!$J$27/100</f>
        <v>0</v>
      </c>
      <c r="AF33" s="129">
        <f>AF$21*shipping_manufacturing!$J$27/100</f>
        <v>0</v>
      </c>
      <c r="AG33" s="129">
        <f>AG$21*shipping_manufacturing!$J$27/100</f>
        <v>0</v>
      </c>
      <c r="AH33" s="129">
        <f>AH$21*shipping_manufacturing!$J$27/100</f>
        <v>0</v>
      </c>
      <c r="AI33" s="129">
        <f>AI$21*shipping_manufacturing!$J$27/100</f>
        <v>0</v>
      </c>
      <c r="AJ33" s="129">
        <f>AJ$21*shipping_manufacturing!$J$27/100</f>
        <v>0</v>
      </c>
      <c r="AK33" s="129">
        <f>AK$21*shipping_manufacturing!$J$27/100</f>
        <v>0</v>
      </c>
      <c r="AL33" s="129">
        <f>AL$21*shipping_manufacturing!$J$27/100</f>
        <v>0</v>
      </c>
      <c r="AM33" s="129">
        <f>AM$21*shipping_manufacturing!$J$27/100</f>
        <v>0</v>
      </c>
      <c r="AN33" s="129">
        <f>AN$21*shipping_manufacturing!$J$27/100</f>
        <v>0</v>
      </c>
      <c r="AO33" s="129">
        <f>AO$21*shipping_manufacturing!$J$27/100</f>
        <v>0</v>
      </c>
      <c r="AP33" s="129">
        <f>AP$21*shipping_manufacturing!$J$27/100</f>
        <v>0</v>
      </c>
      <c r="AQ33" s="129">
        <f>AQ$21*shipping_manufacturing!$J$27/100</f>
        <v>0</v>
      </c>
      <c r="AR33" s="129">
        <f>AR$21*shipping_manufacturing!$J$27/100</f>
        <v>0</v>
      </c>
      <c r="AS33" s="129">
        <f>AS$21*shipping_manufacturing!$J$27/100</f>
        <v>0</v>
      </c>
      <c r="AT33" s="129">
        <f>AT$21*shipping_manufacturing!$J$27/100</f>
        <v>0</v>
      </c>
      <c r="AU33" s="129">
        <f>AU$21*shipping_manufacturing!$J$27/100</f>
        <v>0</v>
      </c>
      <c r="AV33" s="129">
        <f>AV$21*shipping_manufacturing!$J$27/100</f>
        <v>0</v>
      </c>
      <c r="AW33" s="129">
        <f>AW$21*shipping_manufacturing!$J$27/100</f>
        <v>0</v>
      </c>
      <c r="AX33" s="129">
        <f>AX$21*shipping_manufacturing!$J$27/100</f>
        <v>0</v>
      </c>
      <c r="AY33" s="129">
        <f>AY$21*shipping_manufacturing!$J$27/100</f>
        <v>0</v>
      </c>
    </row>
    <row r="34" spans="1:52" x14ac:dyDescent="0.2">
      <c r="A34" s="118" t="s">
        <v>342</v>
      </c>
      <c r="B34" s="170" t="s">
        <v>344</v>
      </c>
      <c r="C34" s="115"/>
      <c r="D34" s="115">
        <f>D$22*shipping_manufacturing!$K$27/100</f>
        <v>0</v>
      </c>
      <c r="E34" s="115">
        <f>E$22*shipping_manufacturing!$K$27/100</f>
        <v>0</v>
      </c>
      <c r="F34" s="115">
        <f>F$22*shipping_manufacturing!$K$27/100</f>
        <v>0</v>
      </c>
      <c r="G34" s="115">
        <f>G$22*shipping_manufacturing!$K$27/100</f>
        <v>0</v>
      </c>
      <c r="H34" s="115">
        <f>H$22*shipping_manufacturing!$K$27/100</f>
        <v>0</v>
      </c>
      <c r="I34" s="115">
        <f>I$22*shipping_manufacturing!$K$27/100</f>
        <v>0</v>
      </c>
      <c r="J34" s="115">
        <f>J$22*shipping_manufacturing!$K$27/100</f>
        <v>0</v>
      </c>
      <c r="K34" s="115">
        <f>K$22*shipping_manufacturing!$K$27/100</f>
        <v>0</v>
      </c>
      <c r="L34" s="115">
        <f>L$22*shipping_manufacturing!$K$27/100</f>
        <v>0</v>
      </c>
      <c r="M34" s="115">
        <f>M$22*shipping_manufacturing!$K$27/100</f>
        <v>0</v>
      </c>
      <c r="N34" s="115">
        <f>N$22*shipping_manufacturing!$K$27/100</f>
        <v>0</v>
      </c>
      <c r="O34" s="115">
        <f>O$22*shipping_manufacturing!$K$27/100</f>
        <v>0</v>
      </c>
      <c r="P34" s="115">
        <f>P$22*shipping_manufacturing!$K$27/100</f>
        <v>0</v>
      </c>
      <c r="Q34" s="115">
        <f>Q$22*shipping_manufacturing!$K$27/100</f>
        <v>0</v>
      </c>
      <c r="R34" s="115">
        <f>R$22*shipping_manufacturing!$K$27/100</f>
        <v>0</v>
      </c>
      <c r="S34" s="115">
        <f>S$22*shipping_manufacturing!$K$27/100</f>
        <v>0</v>
      </c>
      <c r="T34" s="115">
        <f>T$22*shipping_manufacturing!$K$27/100</f>
        <v>0</v>
      </c>
      <c r="U34" s="115">
        <f>U$22*shipping_manufacturing!$K$27/100</f>
        <v>0</v>
      </c>
      <c r="V34" s="115">
        <f>V$22*shipping_manufacturing!$K$27/100</f>
        <v>0</v>
      </c>
      <c r="W34" s="115">
        <f>W$22*shipping_manufacturing!$K$27/100</f>
        <v>0</v>
      </c>
      <c r="X34" s="115">
        <f>X$22*shipping_manufacturing!$K$27/100</f>
        <v>0</v>
      </c>
      <c r="Y34" s="115">
        <f>Y$22*shipping_manufacturing!$K$27/100</f>
        <v>0</v>
      </c>
      <c r="Z34" s="115">
        <f>Z$22*shipping_manufacturing!$K$27/100</f>
        <v>0</v>
      </c>
      <c r="AA34" s="115">
        <f>AA$22*shipping_manufacturing!$K$27/100</f>
        <v>0</v>
      </c>
      <c r="AB34" s="115">
        <f>AB$22*shipping_manufacturing!$K$27/100</f>
        <v>0</v>
      </c>
      <c r="AC34" s="115">
        <f>AC$22*shipping_manufacturing!$K$27/100</f>
        <v>0</v>
      </c>
      <c r="AD34" s="115">
        <f>AD$22*shipping_manufacturing!$K$27/100</f>
        <v>0</v>
      </c>
      <c r="AE34" s="115">
        <f>AE$22*shipping_manufacturing!$K$27/100</f>
        <v>0</v>
      </c>
      <c r="AF34" s="115">
        <f>AF$22*shipping_manufacturing!$K$27/100</f>
        <v>0</v>
      </c>
      <c r="AG34" s="115">
        <f>AG$22*shipping_manufacturing!$K$27/100</f>
        <v>0</v>
      </c>
      <c r="AH34" s="115">
        <f>AH$22*shipping_manufacturing!$K$27/100</f>
        <v>0</v>
      </c>
      <c r="AI34" s="115">
        <f>AI$22*shipping_manufacturing!$K$27/100</f>
        <v>0</v>
      </c>
      <c r="AJ34" s="115">
        <f>AJ$22*shipping_manufacturing!$K$27/100</f>
        <v>0</v>
      </c>
      <c r="AK34" s="115">
        <f>AK$22*shipping_manufacturing!$K$27/100</f>
        <v>0</v>
      </c>
      <c r="AL34" s="115">
        <f>AL$22*shipping_manufacturing!$K$27/100</f>
        <v>0</v>
      </c>
      <c r="AM34" s="115">
        <f>AM$22*shipping_manufacturing!$K$27/100</f>
        <v>0</v>
      </c>
      <c r="AN34" s="115">
        <f>AN$22*shipping_manufacturing!$K$27/100</f>
        <v>0</v>
      </c>
      <c r="AO34" s="115">
        <f>AO$22*shipping_manufacturing!$K$27/100</f>
        <v>0</v>
      </c>
      <c r="AP34" s="115">
        <f>AP$22*shipping_manufacturing!$K$27/100</f>
        <v>0</v>
      </c>
      <c r="AQ34" s="115">
        <f>AQ$22*shipping_manufacturing!$K$27/100</f>
        <v>0</v>
      </c>
      <c r="AR34" s="115">
        <f>AR$22*shipping_manufacturing!$K$27/100</f>
        <v>0</v>
      </c>
      <c r="AS34" s="115">
        <f>AS$22*shipping_manufacturing!$K$27/100</f>
        <v>0</v>
      </c>
      <c r="AT34" s="115">
        <f>AT$22*shipping_manufacturing!$K$27/100</f>
        <v>0</v>
      </c>
      <c r="AU34" s="115">
        <f>AU$22*shipping_manufacturing!$K$27/100</f>
        <v>0</v>
      </c>
      <c r="AV34" s="115">
        <f>AV$22*shipping_manufacturing!$K$27/100</f>
        <v>0</v>
      </c>
      <c r="AW34" s="115">
        <f>AW$22*shipping_manufacturing!$K$27/100</f>
        <v>0</v>
      </c>
      <c r="AX34" s="115">
        <f>AX$22*shipping_manufacturing!$K$27/100</f>
        <v>0</v>
      </c>
      <c r="AY34" s="115">
        <f>AY$22*shipping_manufacturing!$K$27/100</f>
        <v>0</v>
      </c>
    </row>
    <row r="35" spans="1:52" x14ac:dyDescent="0.2">
      <c r="A35" s="115">
        <v>1132</v>
      </c>
      <c r="B35" s="170" t="s">
        <v>345</v>
      </c>
      <c r="C35" s="115"/>
      <c r="D35" s="115">
        <f>SUM(D33:D34)</f>
        <v>0</v>
      </c>
      <c r="E35" s="115">
        <f t="shared" ref="E35:AY35" si="11">SUM(E33:E34)</f>
        <v>0</v>
      </c>
      <c r="F35" s="115">
        <f t="shared" si="11"/>
        <v>0</v>
      </c>
      <c r="G35" s="115">
        <f t="shared" si="11"/>
        <v>0</v>
      </c>
      <c r="H35" s="115">
        <f t="shared" si="11"/>
        <v>0</v>
      </c>
      <c r="I35" s="115">
        <f t="shared" si="11"/>
        <v>0</v>
      </c>
      <c r="J35" s="115">
        <f t="shared" si="11"/>
        <v>0</v>
      </c>
      <c r="K35" s="115">
        <f t="shared" si="11"/>
        <v>0</v>
      </c>
      <c r="L35" s="115">
        <f t="shared" si="11"/>
        <v>0</v>
      </c>
      <c r="M35" s="115">
        <f t="shared" si="11"/>
        <v>0</v>
      </c>
      <c r="N35" s="115">
        <f t="shared" si="11"/>
        <v>0</v>
      </c>
      <c r="O35" s="115">
        <f t="shared" si="11"/>
        <v>0</v>
      </c>
      <c r="P35" s="115">
        <f t="shared" si="11"/>
        <v>0</v>
      </c>
      <c r="Q35" s="115">
        <f t="shared" si="11"/>
        <v>0</v>
      </c>
      <c r="R35" s="115">
        <f t="shared" si="11"/>
        <v>0</v>
      </c>
      <c r="S35" s="115">
        <f t="shared" si="11"/>
        <v>0</v>
      </c>
      <c r="T35" s="115">
        <f t="shared" si="11"/>
        <v>0</v>
      </c>
      <c r="U35" s="115">
        <f t="shared" si="11"/>
        <v>0</v>
      </c>
      <c r="V35" s="115">
        <f t="shared" si="11"/>
        <v>0</v>
      </c>
      <c r="W35" s="115">
        <f t="shared" si="11"/>
        <v>0</v>
      </c>
      <c r="X35" s="115">
        <f t="shared" si="11"/>
        <v>0</v>
      </c>
      <c r="Y35" s="115">
        <f t="shared" si="11"/>
        <v>0</v>
      </c>
      <c r="Z35" s="115">
        <f t="shared" si="11"/>
        <v>0</v>
      </c>
      <c r="AA35" s="115">
        <f t="shared" si="11"/>
        <v>0</v>
      </c>
      <c r="AB35" s="115">
        <f t="shared" si="11"/>
        <v>0</v>
      </c>
      <c r="AC35" s="115">
        <f t="shared" si="11"/>
        <v>0</v>
      </c>
      <c r="AD35" s="115">
        <f t="shared" si="11"/>
        <v>0</v>
      </c>
      <c r="AE35" s="115">
        <f t="shared" si="11"/>
        <v>0</v>
      </c>
      <c r="AF35" s="115">
        <f t="shared" si="11"/>
        <v>0</v>
      </c>
      <c r="AG35" s="115">
        <f t="shared" si="11"/>
        <v>0</v>
      </c>
      <c r="AH35" s="115">
        <f t="shared" si="11"/>
        <v>0</v>
      </c>
      <c r="AI35" s="115">
        <f t="shared" si="11"/>
        <v>0</v>
      </c>
      <c r="AJ35" s="115">
        <f t="shared" si="11"/>
        <v>0</v>
      </c>
      <c r="AK35" s="115">
        <f t="shared" si="11"/>
        <v>0</v>
      </c>
      <c r="AL35" s="115">
        <f t="shared" si="11"/>
        <v>0</v>
      </c>
      <c r="AM35" s="115">
        <f t="shared" si="11"/>
        <v>0</v>
      </c>
      <c r="AN35" s="115">
        <f t="shared" si="11"/>
        <v>0</v>
      </c>
      <c r="AO35" s="115">
        <f t="shared" si="11"/>
        <v>0</v>
      </c>
      <c r="AP35" s="115">
        <f t="shared" si="11"/>
        <v>0</v>
      </c>
      <c r="AQ35" s="115">
        <f t="shared" si="11"/>
        <v>0</v>
      </c>
      <c r="AR35" s="115">
        <f t="shared" si="11"/>
        <v>0</v>
      </c>
      <c r="AS35" s="115">
        <f t="shared" si="11"/>
        <v>0</v>
      </c>
      <c r="AT35" s="115">
        <f t="shared" si="11"/>
        <v>0</v>
      </c>
      <c r="AU35" s="115">
        <f t="shared" si="11"/>
        <v>0</v>
      </c>
      <c r="AV35" s="115">
        <f t="shared" si="11"/>
        <v>0</v>
      </c>
      <c r="AW35" s="115">
        <f t="shared" si="11"/>
        <v>0</v>
      </c>
      <c r="AX35" s="115">
        <f t="shared" si="11"/>
        <v>0</v>
      </c>
      <c r="AY35" s="115">
        <f t="shared" si="11"/>
        <v>0</v>
      </c>
    </row>
    <row r="36" spans="1:52" x14ac:dyDescent="0.2">
      <c r="A36" s="115"/>
      <c r="B36" s="170" t="s">
        <v>346</v>
      </c>
      <c r="C36" s="115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</row>
    <row r="37" spans="1:52" x14ac:dyDescent="0.2">
      <c r="A37" s="115"/>
      <c r="B37" s="170" t="s">
        <v>347</v>
      </c>
      <c r="C37" s="115"/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115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</row>
    <row r="38" spans="1:52" x14ac:dyDescent="0.2">
      <c r="A38" s="115"/>
      <c r="B38" s="170" t="s">
        <v>348</v>
      </c>
      <c r="C38" s="115"/>
      <c r="D38" s="115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</row>
    <row r="39" spans="1:52" x14ac:dyDescent="0.2">
      <c r="A39" s="115"/>
      <c r="B39" s="170" t="s">
        <v>349</v>
      </c>
      <c r="C39" s="115"/>
      <c r="D39" s="115">
        <f>D33-D36</f>
        <v>0</v>
      </c>
      <c r="E39" s="115">
        <f t="shared" ref="E39:AY39" si="12">E33-E36</f>
        <v>0</v>
      </c>
      <c r="F39" s="115">
        <f t="shared" si="12"/>
        <v>0</v>
      </c>
      <c r="G39" s="115">
        <f t="shared" si="12"/>
        <v>0</v>
      </c>
      <c r="H39" s="115">
        <f t="shared" si="12"/>
        <v>0</v>
      </c>
      <c r="I39" s="115">
        <f t="shared" si="12"/>
        <v>0</v>
      </c>
      <c r="J39" s="115">
        <f t="shared" si="12"/>
        <v>0</v>
      </c>
      <c r="K39" s="115">
        <f t="shared" si="12"/>
        <v>0</v>
      </c>
      <c r="L39" s="115">
        <f t="shared" si="12"/>
        <v>0</v>
      </c>
      <c r="M39" s="115">
        <f t="shared" si="12"/>
        <v>0</v>
      </c>
      <c r="N39" s="115">
        <f t="shared" si="12"/>
        <v>0</v>
      </c>
      <c r="O39" s="115">
        <f t="shared" si="12"/>
        <v>0</v>
      </c>
      <c r="P39" s="115">
        <f t="shared" si="12"/>
        <v>0</v>
      </c>
      <c r="Q39" s="115">
        <f t="shared" si="12"/>
        <v>0</v>
      </c>
      <c r="R39" s="115">
        <f t="shared" si="12"/>
        <v>0</v>
      </c>
      <c r="S39" s="115">
        <f t="shared" si="12"/>
        <v>0</v>
      </c>
      <c r="T39" s="115">
        <f t="shared" si="12"/>
        <v>0</v>
      </c>
      <c r="U39" s="115">
        <f t="shared" si="12"/>
        <v>0</v>
      </c>
      <c r="V39" s="115">
        <f t="shared" si="12"/>
        <v>0</v>
      </c>
      <c r="W39" s="115">
        <f t="shared" si="12"/>
        <v>0</v>
      </c>
      <c r="X39" s="115">
        <f t="shared" si="12"/>
        <v>0</v>
      </c>
      <c r="Y39" s="115">
        <f t="shared" si="12"/>
        <v>0</v>
      </c>
      <c r="Z39" s="115">
        <f t="shared" si="12"/>
        <v>0</v>
      </c>
      <c r="AA39" s="115">
        <f t="shared" si="12"/>
        <v>0</v>
      </c>
      <c r="AB39" s="115">
        <f t="shared" si="12"/>
        <v>0</v>
      </c>
      <c r="AC39" s="115">
        <f t="shared" si="12"/>
        <v>0</v>
      </c>
      <c r="AD39" s="115">
        <f t="shared" si="12"/>
        <v>0</v>
      </c>
      <c r="AE39" s="115">
        <f t="shared" si="12"/>
        <v>0</v>
      </c>
      <c r="AF39" s="115">
        <f t="shared" si="12"/>
        <v>0</v>
      </c>
      <c r="AG39" s="115">
        <f t="shared" si="12"/>
        <v>0</v>
      </c>
      <c r="AH39" s="115">
        <f t="shared" si="12"/>
        <v>0</v>
      </c>
      <c r="AI39" s="115">
        <f t="shared" si="12"/>
        <v>0</v>
      </c>
      <c r="AJ39" s="115">
        <f t="shared" si="12"/>
        <v>0</v>
      </c>
      <c r="AK39" s="115">
        <f t="shared" si="12"/>
        <v>0</v>
      </c>
      <c r="AL39" s="115">
        <f t="shared" si="12"/>
        <v>0</v>
      </c>
      <c r="AM39" s="115">
        <f t="shared" si="12"/>
        <v>0</v>
      </c>
      <c r="AN39" s="115">
        <f t="shared" si="12"/>
        <v>0</v>
      </c>
      <c r="AO39" s="115">
        <f t="shared" si="12"/>
        <v>0</v>
      </c>
      <c r="AP39" s="115">
        <f t="shared" si="12"/>
        <v>0</v>
      </c>
      <c r="AQ39" s="115">
        <f t="shared" si="12"/>
        <v>0</v>
      </c>
      <c r="AR39" s="115">
        <f t="shared" si="12"/>
        <v>0</v>
      </c>
      <c r="AS39" s="115">
        <f t="shared" si="12"/>
        <v>0</v>
      </c>
      <c r="AT39" s="115">
        <f t="shared" si="12"/>
        <v>0</v>
      </c>
      <c r="AU39" s="115">
        <f t="shared" si="12"/>
        <v>0</v>
      </c>
      <c r="AV39" s="115">
        <f t="shared" si="12"/>
        <v>0</v>
      </c>
      <c r="AW39" s="115">
        <f t="shared" si="12"/>
        <v>0</v>
      </c>
      <c r="AX39" s="115">
        <f t="shared" si="12"/>
        <v>0</v>
      </c>
      <c r="AY39" s="115">
        <f t="shared" si="12"/>
        <v>0</v>
      </c>
    </row>
    <row r="40" spans="1:52" x14ac:dyDescent="0.2">
      <c r="A40" s="115"/>
      <c r="B40" s="170" t="s">
        <v>350</v>
      </c>
      <c r="C40" s="115"/>
      <c r="D40" s="115">
        <f>D34-D37</f>
        <v>0</v>
      </c>
      <c r="E40" s="115">
        <f t="shared" ref="E40:AY40" si="13">E34-E37</f>
        <v>0</v>
      </c>
      <c r="F40" s="115">
        <f t="shared" si="13"/>
        <v>0</v>
      </c>
      <c r="G40" s="115">
        <f t="shared" si="13"/>
        <v>0</v>
      </c>
      <c r="H40" s="115">
        <f t="shared" si="13"/>
        <v>0</v>
      </c>
      <c r="I40" s="115">
        <f t="shared" si="13"/>
        <v>0</v>
      </c>
      <c r="J40" s="115">
        <f t="shared" si="13"/>
        <v>0</v>
      </c>
      <c r="K40" s="115">
        <f t="shared" si="13"/>
        <v>0</v>
      </c>
      <c r="L40" s="115">
        <f t="shared" si="13"/>
        <v>0</v>
      </c>
      <c r="M40" s="115">
        <f t="shared" si="13"/>
        <v>0</v>
      </c>
      <c r="N40" s="115">
        <f t="shared" si="13"/>
        <v>0</v>
      </c>
      <c r="O40" s="115">
        <f t="shared" si="13"/>
        <v>0</v>
      </c>
      <c r="P40" s="115">
        <f t="shared" si="13"/>
        <v>0</v>
      </c>
      <c r="Q40" s="115">
        <f t="shared" si="13"/>
        <v>0</v>
      </c>
      <c r="R40" s="115">
        <f t="shared" si="13"/>
        <v>0</v>
      </c>
      <c r="S40" s="115">
        <f t="shared" si="13"/>
        <v>0</v>
      </c>
      <c r="T40" s="115">
        <f t="shared" si="13"/>
        <v>0</v>
      </c>
      <c r="U40" s="115">
        <f t="shared" si="13"/>
        <v>0</v>
      </c>
      <c r="V40" s="115">
        <f t="shared" si="13"/>
        <v>0</v>
      </c>
      <c r="W40" s="115">
        <f t="shared" si="13"/>
        <v>0</v>
      </c>
      <c r="X40" s="115">
        <f t="shared" si="13"/>
        <v>0</v>
      </c>
      <c r="Y40" s="115">
        <f t="shared" si="13"/>
        <v>0</v>
      </c>
      <c r="Z40" s="115">
        <f t="shared" si="13"/>
        <v>0</v>
      </c>
      <c r="AA40" s="115">
        <f t="shared" si="13"/>
        <v>0</v>
      </c>
      <c r="AB40" s="115">
        <f t="shared" si="13"/>
        <v>0</v>
      </c>
      <c r="AC40" s="115">
        <f t="shared" si="13"/>
        <v>0</v>
      </c>
      <c r="AD40" s="115">
        <f t="shared" si="13"/>
        <v>0</v>
      </c>
      <c r="AE40" s="115">
        <f t="shared" si="13"/>
        <v>0</v>
      </c>
      <c r="AF40" s="115">
        <f t="shared" si="13"/>
        <v>0</v>
      </c>
      <c r="AG40" s="115">
        <f t="shared" si="13"/>
        <v>0</v>
      </c>
      <c r="AH40" s="115">
        <f t="shared" si="13"/>
        <v>0</v>
      </c>
      <c r="AI40" s="115">
        <f t="shared" si="13"/>
        <v>0</v>
      </c>
      <c r="AJ40" s="115">
        <f t="shared" si="13"/>
        <v>0</v>
      </c>
      <c r="AK40" s="115">
        <f t="shared" si="13"/>
        <v>0</v>
      </c>
      <c r="AL40" s="115">
        <f t="shared" si="13"/>
        <v>0</v>
      </c>
      <c r="AM40" s="115">
        <f t="shared" si="13"/>
        <v>0</v>
      </c>
      <c r="AN40" s="115">
        <f t="shared" si="13"/>
        <v>0</v>
      </c>
      <c r="AO40" s="115">
        <f t="shared" si="13"/>
        <v>0</v>
      </c>
      <c r="AP40" s="115">
        <f t="shared" si="13"/>
        <v>0</v>
      </c>
      <c r="AQ40" s="115">
        <f t="shared" si="13"/>
        <v>0</v>
      </c>
      <c r="AR40" s="115">
        <f t="shared" si="13"/>
        <v>0</v>
      </c>
      <c r="AS40" s="115">
        <f t="shared" si="13"/>
        <v>0</v>
      </c>
      <c r="AT40" s="115">
        <f t="shared" si="13"/>
        <v>0</v>
      </c>
      <c r="AU40" s="115">
        <f t="shared" si="13"/>
        <v>0</v>
      </c>
      <c r="AV40" s="115">
        <f t="shared" si="13"/>
        <v>0</v>
      </c>
      <c r="AW40" s="115">
        <f t="shared" si="13"/>
        <v>0</v>
      </c>
      <c r="AX40" s="115">
        <f t="shared" si="13"/>
        <v>0</v>
      </c>
      <c r="AY40" s="115">
        <f t="shared" si="13"/>
        <v>0</v>
      </c>
    </row>
    <row r="41" spans="1:52" x14ac:dyDescent="0.2">
      <c r="A41" s="115"/>
      <c r="B41" s="170" t="s">
        <v>351</v>
      </c>
      <c r="C41" s="115"/>
      <c r="D41" s="115">
        <v>1</v>
      </c>
      <c r="E41" s="115">
        <v>1</v>
      </c>
      <c r="F41" s="115">
        <v>1</v>
      </c>
      <c r="G41" s="115">
        <v>1</v>
      </c>
      <c r="H41" s="115">
        <v>2</v>
      </c>
      <c r="I41" s="115">
        <v>1</v>
      </c>
      <c r="J41" s="115">
        <v>1</v>
      </c>
      <c r="K41" s="115">
        <v>1</v>
      </c>
      <c r="L41" s="115">
        <v>3</v>
      </c>
      <c r="M41" s="115">
        <v>2</v>
      </c>
      <c r="N41" s="115">
        <v>1</v>
      </c>
      <c r="O41" s="115">
        <v>3</v>
      </c>
      <c r="P41" s="115">
        <v>3</v>
      </c>
      <c r="Q41" s="115">
        <v>1</v>
      </c>
      <c r="R41" s="115">
        <v>2</v>
      </c>
      <c r="S41" s="115">
        <v>2</v>
      </c>
      <c r="T41" s="115">
        <v>1</v>
      </c>
      <c r="U41" s="115">
        <v>2</v>
      </c>
      <c r="V41" s="115">
        <v>2</v>
      </c>
      <c r="W41" s="115">
        <v>1</v>
      </c>
      <c r="X41" s="115">
        <v>1</v>
      </c>
      <c r="Y41" s="115">
        <v>1</v>
      </c>
      <c r="Z41" s="115">
        <v>1</v>
      </c>
      <c r="AA41" s="115">
        <v>1</v>
      </c>
      <c r="AB41" s="115">
        <v>1</v>
      </c>
      <c r="AC41" s="115">
        <v>2</v>
      </c>
      <c r="AD41" s="115">
        <v>1</v>
      </c>
      <c r="AE41" s="115">
        <v>1</v>
      </c>
      <c r="AF41" s="115">
        <v>2</v>
      </c>
      <c r="AG41" s="115">
        <v>1</v>
      </c>
      <c r="AH41" s="115">
        <v>1</v>
      </c>
      <c r="AI41" s="115">
        <v>3</v>
      </c>
      <c r="AJ41" s="115">
        <v>1</v>
      </c>
      <c r="AK41" s="115">
        <v>1</v>
      </c>
      <c r="AL41" s="115">
        <v>2</v>
      </c>
      <c r="AM41" s="115">
        <v>1</v>
      </c>
      <c r="AN41" s="115">
        <v>1</v>
      </c>
      <c r="AO41" s="115">
        <v>2</v>
      </c>
      <c r="AP41" s="115">
        <v>1</v>
      </c>
      <c r="AQ41" s="115">
        <v>2</v>
      </c>
      <c r="AR41" s="115">
        <v>2</v>
      </c>
      <c r="AS41" s="115">
        <v>2</v>
      </c>
      <c r="AT41" s="115">
        <v>1</v>
      </c>
      <c r="AU41" s="115">
        <v>1</v>
      </c>
      <c r="AV41" s="115">
        <v>2</v>
      </c>
      <c r="AW41" s="115">
        <v>1</v>
      </c>
      <c r="AX41" s="115">
        <v>3</v>
      </c>
      <c r="AY41" s="115">
        <v>2</v>
      </c>
    </row>
    <row r="42" spans="1:52" x14ac:dyDescent="0.2">
      <c r="A42" s="115"/>
      <c r="B42" s="183" t="s">
        <v>352</v>
      </c>
      <c r="C42" s="115"/>
      <c r="D42" s="115">
        <v>0</v>
      </c>
      <c r="E42" s="115">
        <v>0</v>
      </c>
      <c r="F42" s="115">
        <v>0</v>
      </c>
      <c r="G42" s="115">
        <v>0</v>
      </c>
      <c r="H42" s="115">
        <v>0</v>
      </c>
      <c r="I42" s="115">
        <v>0</v>
      </c>
      <c r="J42" s="115">
        <v>0</v>
      </c>
      <c r="K42" s="115">
        <v>0</v>
      </c>
      <c r="L42" s="115">
        <v>0</v>
      </c>
      <c r="M42" s="115">
        <v>0</v>
      </c>
      <c r="N42" s="115">
        <v>0</v>
      </c>
      <c r="O42" s="115">
        <v>0</v>
      </c>
      <c r="P42" s="115">
        <v>0</v>
      </c>
      <c r="Q42" s="115">
        <v>0</v>
      </c>
      <c r="R42" s="115">
        <v>0</v>
      </c>
      <c r="S42" s="115">
        <v>0</v>
      </c>
      <c r="T42" s="115">
        <v>0</v>
      </c>
      <c r="U42" s="115">
        <v>0</v>
      </c>
      <c r="V42" s="115">
        <v>0</v>
      </c>
      <c r="W42" s="115">
        <v>0</v>
      </c>
      <c r="X42" s="115">
        <v>0</v>
      </c>
      <c r="Y42" s="115">
        <v>0</v>
      </c>
      <c r="Z42" s="115">
        <v>0</v>
      </c>
      <c r="AA42" s="115">
        <v>0</v>
      </c>
      <c r="AB42" s="115">
        <v>0</v>
      </c>
      <c r="AC42" s="115">
        <v>0</v>
      </c>
      <c r="AD42" s="115">
        <v>0</v>
      </c>
      <c r="AE42" s="115">
        <v>0</v>
      </c>
      <c r="AF42" s="115">
        <v>0</v>
      </c>
      <c r="AG42" s="115">
        <v>0</v>
      </c>
      <c r="AH42" s="115">
        <v>0</v>
      </c>
      <c r="AI42" s="115">
        <v>0</v>
      </c>
      <c r="AJ42" s="115">
        <v>0</v>
      </c>
      <c r="AK42" s="115">
        <v>0</v>
      </c>
      <c r="AL42" s="115">
        <v>0</v>
      </c>
      <c r="AM42" s="115">
        <v>0</v>
      </c>
      <c r="AN42" s="115">
        <v>0</v>
      </c>
      <c r="AO42" s="115">
        <v>0</v>
      </c>
      <c r="AP42" s="115">
        <v>0</v>
      </c>
      <c r="AQ42" s="115">
        <v>0</v>
      </c>
      <c r="AR42" s="115">
        <v>0</v>
      </c>
      <c r="AS42" s="115">
        <v>0</v>
      </c>
      <c r="AT42" s="115">
        <v>0</v>
      </c>
      <c r="AU42" s="115">
        <v>0</v>
      </c>
      <c r="AV42" s="115">
        <v>0</v>
      </c>
      <c r="AW42" s="115">
        <v>0</v>
      </c>
      <c r="AX42" s="115">
        <v>0</v>
      </c>
      <c r="AY42" s="115">
        <v>0</v>
      </c>
      <c r="AZ42" s="105">
        <f>SUM($D$42:$AY$42)</f>
        <v>0</v>
      </c>
    </row>
    <row r="43" spans="1:52" x14ac:dyDescent="0.2">
      <c r="A43" s="115"/>
      <c r="B43" s="183" t="s">
        <v>353</v>
      </c>
      <c r="C43" s="115"/>
      <c r="D43" s="115">
        <v>0</v>
      </c>
      <c r="E43" s="115">
        <v>0</v>
      </c>
      <c r="F43" s="115">
        <v>0</v>
      </c>
      <c r="G43" s="115">
        <v>0</v>
      </c>
      <c r="H43" s="115">
        <v>0</v>
      </c>
      <c r="I43" s="115">
        <v>0</v>
      </c>
      <c r="J43" s="115">
        <v>0</v>
      </c>
      <c r="K43" s="115">
        <v>0</v>
      </c>
      <c r="L43" s="115">
        <v>0</v>
      </c>
      <c r="M43" s="115">
        <v>0</v>
      </c>
      <c r="N43" s="115">
        <v>0</v>
      </c>
      <c r="O43" s="115">
        <v>0</v>
      </c>
      <c r="P43" s="115">
        <v>0</v>
      </c>
      <c r="Q43" s="115">
        <v>0</v>
      </c>
      <c r="R43" s="115">
        <v>0</v>
      </c>
      <c r="S43" s="115">
        <v>0</v>
      </c>
      <c r="T43" s="115">
        <v>0</v>
      </c>
      <c r="U43" s="115">
        <v>0</v>
      </c>
      <c r="V43" s="115">
        <v>0</v>
      </c>
      <c r="W43" s="115">
        <v>0</v>
      </c>
      <c r="X43" s="115">
        <v>0</v>
      </c>
      <c r="Y43" s="115">
        <v>0</v>
      </c>
      <c r="Z43" s="115">
        <v>0</v>
      </c>
      <c r="AA43" s="115">
        <v>0</v>
      </c>
      <c r="AB43" s="115">
        <v>0</v>
      </c>
      <c r="AC43" s="115">
        <v>0</v>
      </c>
      <c r="AD43" s="115">
        <v>0</v>
      </c>
      <c r="AE43" s="115">
        <v>0</v>
      </c>
      <c r="AF43" s="115">
        <v>0</v>
      </c>
      <c r="AG43" s="115">
        <v>0</v>
      </c>
      <c r="AH43" s="115">
        <v>0</v>
      </c>
      <c r="AI43" s="115">
        <v>0</v>
      </c>
      <c r="AJ43" s="115">
        <v>0</v>
      </c>
      <c r="AK43" s="115">
        <v>0</v>
      </c>
      <c r="AL43" s="115">
        <v>0</v>
      </c>
      <c r="AM43" s="115">
        <v>0</v>
      </c>
      <c r="AN43" s="115">
        <v>0</v>
      </c>
      <c r="AO43" s="115">
        <v>0</v>
      </c>
      <c r="AP43" s="115">
        <v>0</v>
      </c>
      <c r="AQ43" s="115">
        <v>0</v>
      </c>
      <c r="AR43" s="115">
        <v>0</v>
      </c>
      <c r="AS43" s="115">
        <v>0</v>
      </c>
      <c r="AT43" s="115">
        <v>0</v>
      </c>
      <c r="AU43" s="115">
        <v>0</v>
      </c>
      <c r="AV43" s="115">
        <v>0</v>
      </c>
      <c r="AW43" s="115">
        <v>0</v>
      </c>
      <c r="AX43" s="115">
        <v>0</v>
      </c>
      <c r="AY43" s="115">
        <v>0</v>
      </c>
      <c r="AZ43" s="105">
        <f>SUM($D$43:$AY$43)</f>
        <v>0</v>
      </c>
    </row>
    <row r="44" spans="1:52" x14ac:dyDescent="0.2">
      <c r="A44" s="140" t="s">
        <v>49</v>
      </c>
      <c r="B44" s="140" t="s">
        <v>343</v>
      </c>
      <c r="C44" s="129"/>
      <c r="D44" s="129">
        <f>D$21*shipping_manufacturing!$J$28/100</f>
        <v>0</v>
      </c>
      <c r="E44" s="129">
        <f>E$21*shipping_manufacturing!$J$28/100</f>
        <v>0</v>
      </c>
      <c r="F44" s="129">
        <f>F$21*shipping_manufacturing!$J$28/100</f>
        <v>0</v>
      </c>
      <c r="G44" s="129">
        <f>G$21*shipping_manufacturing!$J$28/100</f>
        <v>0</v>
      </c>
      <c r="H44" s="129">
        <f>H$21*shipping_manufacturing!$J$28/100</f>
        <v>0</v>
      </c>
      <c r="I44" s="129">
        <f>I$21*shipping_manufacturing!$J$28/100</f>
        <v>0</v>
      </c>
      <c r="J44" s="129">
        <f>J$21*shipping_manufacturing!$J$28/100</f>
        <v>0</v>
      </c>
      <c r="K44" s="129">
        <f>K$21*shipping_manufacturing!$J$28/100</f>
        <v>0</v>
      </c>
      <c r="L44" s="129">
        <f>L$21*shipping_manufacturing!$J$28/100</f>
        <v>0</v>
      </c>
      <c r="M44" s="129">
        <f>M$21*shipping_manufacturing!$J$28/100</f>
        <v>0</v>
      </c>
      <c r="N44" s="129">
        <f>N$21*shipping_manufacturing!$J$28/100</f>
        <v>0</v>
      </c>
      <c r="O44" s="129">
        <f>O$21*shipping_manufacturing!$J$28/100</f>
        <v>0</v>
      </c>
      <c r="P44" s="129">
        <f>P$21*shipping_manufacturing!$J$28/100</f>
        <v>0</v>
      </c>
      <c r="Q44" s="129">
        <f>Q$21*shipping_manufacturing!$J$28/100</f>
        <v>0</v>
      </c>
      <c r="R44" s="129">
        <f>R$21*shipping_manufacturing!$J$28/100</f>
        <v>0</v>
      </c>
      <c r="S44" s="129">
        <f>S$21*shipping_manufacturing!$J$28/100</f>
        <v>0</v>
      </c>
      <c r="T44" s="129">
        <f>T$21*shipping_manufacturing!$J$28/100</f>
        <v>0</v>
      </c>
      <c r="U44" s="129">
        <f>U$21*shipping_manufacturing!$J$28/100</f>
        <v>0</v>
      </c>
      <c r="V44" s="129">
        <f>V$21*shipping_manufacturing!$J$28/100</f>
        <v>0</v>
      </c>
      <c r="W44" s="129">
        <f>W$21*shipping_manufacturing!$J$28/100</f>
        <v>0</v>
      </c>
      <c r="X44" s="129">
        <f>X$21*shipping_manufacturing!$J$28/100</f>
        <v>0</v>
      </c>
      <c r="Y44" s="129">
        <f>Y$21*shipping_manufacturing!$J$28/100</f>
        <v>0</v>
      </c>
      <c r="Z44" s="129">
        <f>Z$21*shipping_manufacturing!$J$28/100</f>
        <v>0</v>
      </c>
      <c r="AA44" s="129">
        <f>AA$21*shipping_manufacturing!$J$28/100</f>
        <v>0</v>
      </c>
      <c r="AB44" s="129">
        <f>AB$21*shipping_manufacturing!$J$28/100</f>
        <v>0</v>
      </c>
      <c r="AC44" s="129">
        <f>AC$21*shipping_manufacturing!$J$28/100</f>
        <v>0</v>
      </c>
      <c r="AD44" s="129">
        <f>AD$21*shipping_manufacturing!$J$28/100</f>
        <v>0</v>
      </c>
      <c r="AE44" s="129">
        <f>AE$21*shipping_manufacturing!$J$28/100</f>
        <v>0</v>
      </c>
      <c r="AF44" s="129">
        <f>AF$21*shipping_manufacturing!$J$28/100</f>
        <v>0</v>
      </c>
      <c r="AG44" s="129">
        <f>AG$21*shipping_manufacturing!$J$28/100</f>
        <v>0</v>
      </c>
      <c r="AH44" s="129">
        <f>AH$21*shipping_manufacturing!$J$28/100</f>
        <v>0</v>
      </c>
      <c r="AI44" s="129">
        <f>AI$21*shipping_manufacturing!$J$28/100</f>
        <v>0</v>
      </c>
      <c r="AJ44" s="129">
        <f>AJ$21*shipping_manufacturing!$J$28/100</f>
        <v>0</v>
      </c>
      <c r="AK44" s="129">
        <f>AK$21*shipping_manufacturing!$J$28/100</f>
        <v>0</v>
      </c>
      <c r="AL44" s="129">
        <f>AL$21*shipping_manufacturing!$J$28/100</f>
        <v>0</v>
      </c>
      <c r="AM44" s="129">
        <f>AM$21*shipping_manufacturing!$J$28/100</f>
        <v>0</v>
      </c>
      <c r="AN44" s="129">
        <f>AN$21*shipping_manufacturing!$J$28/100</f>
        <v>0</v>
      </c>
      <c r="AO44" s="129">
        <f>AO$21*shipping_manufacturing!$J$28/100</f>
        <v>0</v>
      </c>
      <c r="AP44" s="129">
        <f>AP$21*shipping_manufacturing!$J$28/100</f>
        <v>0</v>
      </c>
      <c r="AQ44" s="129">
        <f>AQ$21*shipping_manufacturing!$J$28/100</f>
        <v>0</v>
      </c>
      <c r="AR44" s="129">
        <f>AR$21*shipping_manufacturing!$J$28/100</f>
        <v>0</v>
      </c>
      <c r="AS44" s="129">
        <f>AS$21*shipping_manufacturing!$J$28/100</f>
        <v>0</v>
      </c>
      <c r="AT44" s="129">
        <f>AT$21*shipping_manufacturing!$J$28/100</f>
        <v>0</v>
      </c>
      <c r="AU44" s="129">
        <f>AU$21*shipping_manufacturing!$J$28/100</f>
        <v>0</v>
      </c>
      <c r="AV44" s="129">
        <f>AV$21*shipping_manufacturing!$J$28/100</f>
        <v>0</v>
      </c>
      <c r="AW44" s="129">
        <f>AW$21*shipping_manufacturing!$J$28/100</f>
        <v>0</v>
      </c>
      <c r="AX44" s="129">
        <f>AX$21*shipping_manufacturing!$J$28/100</f>
        <v>0</v>
      </c>
      <c r="AY44" s="129">
        <f>AY$21*shipping_manufacturing!$J$28/100</f>
        <v>0</v>
      </c>
    </row>
    <row r="45" spans="1:52" x14ac:dyDescent="0.2">
      <c r="A45" s="118" t="s">
        <v>342</v>
      </c>
      <c r="B45" s="170" t="s">
        <v>344</v>
      </c>
      <c r="C45" s="115"/>
      <c r="D45" s="115">
        <f>D$22*shipping_manufacturing!$K$28/100</f>
        <v>0</v>
      </c>
      <c r="E45" s="115">
        <f>E$22*shipping_manufacturing!$K$28/100</f>
        <v>0</v>
      </c>
      <c r="F45" s="115">
        <f>F$22*shipping_manufacturing!$K$28/100</f>
        <v>0</v>
      </c>
      <c r="G45" s="115">
        <f>G$22*shipping_manufacturing!$K$28/100</f>
        <v>0</v>
      </c>
      <c r="H45" s="115">
        <f>H$22*shipping_manufacturing!$K$28/100</f>
        <v>0</v>
      </c>
      <c r="I45" s="115">
        <f>I$22*shipping_manufacturing!$K$28/100</f>
        <v>0</v>
      </c>
      <c r="J45" s="115">
        <f>J$22*shipping_manufacturing!$K$28/100</f>
        <v>0</v>
      </c>
      <c r="K45" s="115">
        <f>K$22*shipping_manufacturing!$K$28/100</f>
        <v>0</v>
      </c>
      <c r="L45" s="115">
        <f>L$22*shipping_manufacturing!$K$28/100</f>
        <v>0</v>
      </c>
      <c r="M45" s="115">
        <f>M$22*shipping_manufacturing!$K$28/100</f>
        <v>0</v>
      </c>
      <c r="N45" s="115">
        <f>N$22*shipping_manufacturing!$K$28/100</f>
        <v>0</v>
      </c>
      <c r="O45" s="115">
        <f>O$22*shipping_manufacturing!$K$28/100</f>
        <v>0</v>
      </c>
      <c r="P45" s="115">
        <f>P$22*shipping_manufacturing!$K$28/100</f>
        <v>0</v>
      </c>
      <c r="Q45" s="115">
        <f>Q$22*shipping_manufacturing!$K$28/100</f>
        <v>0</v>
      </c>
      <c r="R45" s="115">
        <f>R$22*shipping_manufacturing!$K$28/100</f>
        <v>0</v>
      </c>
      <c r="S45" s="115">
        <f>S$22*shipping_manufacturing!$K$28/100</f>
        <v>0</v>
      </c>
      <c r="T45" s="115">
        <f>T$22*shipping_manufacturing!$K$28/100</f>
        <v>0</v>
      </c>
      <c r="U45" s="115">
        <f>U$22*shipping_manufacturing!$K$28/100</f>
        <v>0</v>
      </c>
      <c r="V45" s="115">
        <f>V$22*shipping_manufacturing!$K$28/100</f>
        <v>0</v>
      </c>
      <c r="W45" s="115">
        <f>W$22*shipping_manufacturing!$K$28/100</f>
        <v>0</v>
      </c>
      <c r="X45" s="115">
        <f>X$22*shipping_manufacturing!$K$28/100</f>
        <v>0</v>
      </c>
      <c r="Y45" s="115">
        <f>Y$22*shipping_manufacturing!$K$28/100</f>
        <v>0</v>
      </c>
      <c r="Z45" s="115">
        <f>Z$22*shipping_manufacturing!$K$28/100</f>
        <v>0</v>
      </c>
      <c r="AA45" s="115">
        <f>AA$22*shipping_manufacturing!$K$28/100</f>
        <v>0</v>
      </c>
      <c r="AB45" s="115">
        <f>AB$22*shipping_manufacturing!$K$28/100</f>
        <v>0</v>
      </c>
      <c r="AC45" s="115">
        <f>AC$22*shipping_manufacturing!$K$28/100</f>
        <v>0</v>
      </c>
      <c r="AD45" s="115">
        <f>AD$22*shipping_manufacturing!$K$28/100</f>
        <v>0</v>
      </c>
      <c r="AE45" s="115">
        <f>AE$22*shipping_manufacturing!$K$28/100</f>
        <v>0</v>
      </c>
      <c r="AF45" s="115">
        <f>AF$22*shipping_manufacturing!$K$28/100</f>
        <v>0</v>
      </c>
      <c r="AG45" s="115">
        <f>AG$22*shipping_manufacturing!$K$28/100</f>
        <v>0</v>
      </c>
      <c r="AH45" s="115">
        <f>AH$22*shipping_manufacturing!$K$28/100</f>
        <v>0</v>
      </c>
      <c r="AI45" s="115">
        <f>AI$22*shipping_manufacturing!$K$28/100</f>
        <v>0</v>
      </c>
      <c r="AJ45" s="115">
        <f>AJ$22*shipping_manufacturing!$K$28/100</f>
        <v>0</v>
      </c>
      <c r="AK45" s="115">
        <f>AK$22*shipping_manufacturing!$K$28/100</f>
        <v>0</v>
      </c>
      <c r="AL45" s="115">
        <f>AL$22*shipping_manufacturing!$K$28/100</f>
        <v>0</v>
      </c>
      <c r="AM45" s="115">
        <f>AM$22*shipping_manufacturing!$K$28/100</f>
        <v>0</v>
      </c>
      <c r="AN45" s="115">
        <f>AN$22*shipping_manufacturing!$K$28/100</f>
        <v>0</v>
      </c>
      <c r="AO45" s="115">
        <f>AO$22*shipping_manufacturing!$K$28/100</f>
        <v>0</v>
      </c>
      <c r="AP45" s="115">
        <f>AP$22*shipping_manufacturing!$K$28/100</f>
        <v>0</v>
      </c>
      <c r="AQ45" s="115">
        <f>AQ$22*shipping_manufacturing!$K$28/100</f>
        <v>0</v>
      </c>
      <c r="AR45" s="115">
        <f>AR$22*shipping_manufacturing!$K$28/100</f>
        <v>0</v>
      </c>
      <c r="AS45" s="115">
        <f>AS$22*shipping_manufacturing!$K$28/100</f>
        <v>0</v>
      </c>
      <c r="AT45" s="115">
        <f>AT$22*shipping_manufacturing!$K$28/100</f>
        <v>0</v>
      </c>
      <c r="AU45" s="115">
        <f>AU$22*shipping_manufacturing!$K$28/100</f>
        <v>0</v>
      </c>
      <c r="AV45" s="115">
        <f>AV$22*shipping_manufacturing!$K$28/100</f>
        <v>0</v>
      </c>
      <c r="AW45" s="115">
        <f>AW$22*shipping_manufacturing!$K$28/100</f>
        <v>0</v>
      </c>
      <c r="AX45" s="115">
        <f>AX$22*shipping_manufacturing!$K$28/100</f>
        <v>0</v>
      </c>
      <c r="AY45" s="115">
        <f>AY$22*shipping_manufacturing!$K$28/100</f>
        <v>0</v>
      </c>
    </row>
    <row r="46" spans="1:52" x14ac:dyDescent="0.2">
      <c r="A46" s="115">
        <v>742</v>
      </c>
      <c r="B46" s="170" t="s">
        <v>345</v>
      </c>
      <c r="C46" s="115"/>
      <c r="D46" s="115">
        <f>SUM(D44:D45)</f>
        <v>0</v>
      </c>
      <c r="E46" s="115">
        <f t="shared" ref="E46:AY46" si="14">SUM(E44:E45)</f>
        <v>0</v>
      </c>
      <c r="F46" s="115">
        <f t="shared" si="14"/>
        <v>0</v>
      </c>
      <c r="G46" s="115">
        <f t="shared" si="14"/>
        <v>0</v>
      </c>
      <c r="H46" s="115">
        <f t="shared" si="14"/>
        <v>0</v>
      </c>
      <c r="I46" s="115">
        <f t="shared" si="14"/>
        <v>0</v>
      </c>
      <c r="J46" s="115">
        <f t="shared" si="14"/>
        <v>0</v>
      </c>
      <c r="K46" s="115">
        <f t="shared" si="14"/>
        <v>0</v>
      </c>
      <c r="L46" s="115">
        <f t="shared" si="14"/>
        <v>0</v>
      </c>
      <c r="M46" s="115">
        <f t="shared" si="14"/>
        <v>0</v>
      </c>
      <c r="N46" s="115">
        <f t="shared" si="14"/>
        <v>0</v>
      </c>
      <c r="O46" s="115">
        <f t="shared" si="14"/>
        <v>0</v>
      </c>
      <c r="P46" s="115">
        <f t="shared" si="14"/>
        <v>0</v>
      </c>
      <c r="Q46" s="115">
        <f t="shared" si="14"/>
        <v>0</v>
      </c>
      <c r="R46" s="115">
        <f t="shared" si="14"/>
        <v>0</v>
      </c>
      <c r="S46" s="115">
        <f t="shared" si="14"/>
        <v>0</v>
      </c>
      <c r="T46" s="115">
        <f t="shared" si="14"/>
        <v>0</v>
      </c>
      <c r="U46" s="115">
        <f t="shared" si="14"/>
        <v>0</v>
      </c>
      <c r="V46" s="115">
        <f t="shared" si="14"/>
        <v>0</v>
      </c>
      <c r="W46" s="115">
        <f t="shared" si="14"/>
        <v>0</v>
      </c>
      <c r="X46" s="115">
        <f t="shared" si="14"/>
        <v>0</v>
      </c>
      <c r="Y46" s="115">
        <f t="shared" si="14"/>
        <v>0</v>
      </c>
      <c r="Z46" s="115">
        <f t="shared" si="14"/>
        <v>0</v>
      </c>
      <c r="AA46" s="115">
        <f t="shared" si="14"/>
        <v>0</v>
      </c>
      <c r="AB46" s="115">
        <f t="shared" si="14"/>
        <v>0</v>
      </c>
      <c r="AC46" s="115">
        <f t="shared" si="14"/>
        <v>0</v>
      </c>
      <c r="AD46" s="115">
        <f t="shared" si="14"/>
        <v>0</v>
      </c>
      <c r="AE46" s="115">
        <f t="shared" si="14"/>
        <v>0</v>
      </c>
      <c r="AF46" s="115">
        <f t="shared" si="14"/>
        <v>0</v>
      </c>
      <c r="AG46" s="115">
        <f t="shared" si="14"/>
        <v>0</v>
      </c>
      <c r="AH46" s="115">
        <f t="shared" si="14"/>
        <v>0</v>
      </c>
      <c r="AI46" s="115">
        <f t="shared" si="14"/>
        <v>0</v>
      </c>
      <c r="AJ46" s="115">
        <f t="shared" si="14"/>
        <v>0</v>
      </c>
      <c r="AK46" s="115">
        <f t="shared" si="14"/>
        <v>0</v>
      </c>
      <c r="AL46" s="115">
        <f t="shared" si="14"/>
        <v>0</v>
      </c>
      <c r="AM46" s="115">
        <f t="shared" si="14"/>
        <v>0</v>
      </c>
      <c r="AN46" s="115">
        <f t="shared" si="14"/>
        <v>0</v>
      </c>
      <c r="AO46" s="115">
        <f t="shared" si="14"/>
        <v>0</v>
      </c>
      <c r="AP46" s="115">
        <f t="shared" si="14"/>
        <v>0</v>
      </c>
      <c r="AQ46" s="115">
        <f t="shared" si="14"/>
        <v>0</v>
      </c>
      <c r="AR46" s="115">
        <f t="shared" si="14"/>
        <v>0</v>
      </c>
      <c r="AS46" s="115">
        <f t="shared" si="14"/>
        <v>0</v>
      </c>
      <c r="AT46" s="115">
        <f t="shared" si="14"/>
        <v>0</v>
      </c>
      <c r="AU46" s="115">
        <f t="shared" si="14"/>
        <v>0</v>
      </c>
      <c r="AV46" s="115">
        <f t="shared" si="14"/>
        <v>0</v>
      </c>
      <c r="AW46" s="115">
        <f t="shared" si="14"/>
        <v>0</v>
      </c>
      <c r="AX46" s="115">
        <f t="shared" si="14"/>
        <v>0</v>
      </c>
      <c r="AY46" s="115">
        <f t="shared" si="14"/>
        <v>0</v>
      </c>
    </row>
    <row r="47" spans="1:52" x14ac:dyDescent="0.2">
      <c r="A47" s="115"/>
      <c r="B47" s="170" t="s">
        <v>346</v>
      </c>
      <c r="C47" s="115"/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</row>
    <row r="48" spans="1:52" x14ac:dyDescent="0.2">
      <c r="A48" s="115"/>
      <c r="B48" s="170" t="s">
        <v>347</v>
      </c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</row>
    <row r="49" spans="1:52" x14ac:dyDescent="0.2">
      <c r="A49" s="115"/>
      <c r="B49" s="170" t="s">
        <v>348</v>
      </c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</row>
    <row r="50" spans="1:52" x14ac:dyDescent="0.2">
      <c r="A50" s="115"/>
      <c r="B50" s="170" t="s">
        <v>349</v>
      </c>
      <c r="C50" s="115"/>
      <c r="D50" s="115">
        <f>D44-D47</f>
        <v>0</v>
      </c>
      <c r="E50" s="115">
        <f t="shared" ref="E50:AY50" si="15">E44-E47</f>
        <v>0</v>
      </c>
      <c r="F50" s="115">
        <f t="shared" si="15"/>
        <v>0</v>
      </c>
      <c r="G50" s="115">
        <f t="shared" si="15"/>
        <v>0</v>
      </c>
      <c r="H50" s="115">
        <f t="shared" si="15"/>
        <v>0</v>
      </c>
      <c r="I50" s="115">
        <f t="shared" si="15"/>
        <v>0</v>
      </c>
      <c r="J50" s="115">
        <f t="shared" si="15"/>
        <v>0</v>
      </c>
      <c r="K50" s="115">
        <f t="shared" si="15"/>
        <v>0</v>
      </c>
      <c r="L50" s="115">
        <f t="shared" si="15"/>
        <v>0</v>
      </c>
      <c r="M50" s="115">
        <f t="shared" si="15"/>
        <v>0</v>
      </c>
      <c r="N50" s="115">
        <f t="shared" si="15"/>
        <v>0</v>
      </c>
      <c r="O50" s="115">
        <f t="shared" si="15"/>
        <v>0</v>
      </c>
      <c r="P50" s="115">
        <f t="shared" si="15"/>
        <v>0</v>
      </c>
      <c r="Q50" s="115">
        <f t="shared" si="15"/>
        <v>0</v>
      </c>
      <c r="R50" s="115">
        <f t="shared" si="15"/>
        <v>0</v>
      </c>
      <c r="S50" s="115">
        <f t="shared" si="15"/>
        <v>0</v>
      </c>
      <c r="T50" s="115">
        <f t="shared" si="15"/>
        <v>0</v>
      </c>
      <c r="U50" s="115">
        <f t="shared" si="15"/>
        <v>0</v>
      </c>
      <c r="V50" s="115">
        <f t="shared" si="15"/>
        <v>0</v>
      </c>
      <c r="W50" s="115">
        <f t="shared" si="15"/>
        <v>0</v>
      </c>
      <c r="X50" s="115">
        <f t="shared" si="15"/>
        <v>0</v>
      </c>
      <c r="Y50" s="115">
        <f t="shared" si="15"/>
        <v>0</v>
      </c>
      <c r="Z50" s="115">
        <f t="shared" si="15"/>
        <v>0</v>
      </c>
      <c r="AA50" s="115">
        <f t="shared" si="15"/>
        <v>0</v>
      </c>
      <c r="AB50" s="115">
        <f t="shared" si="15"/>
        <v>0</v>
      </c>
      <c r="AC50" s="115">
        <f t="shared" si="15"/>
        <v>0</v>
      </c>
      <c r="AD50" s="115">
        <f t="shared" si="15"/>
        <v>0</v>
      </c>
      <c r="AE50" s="115">
        <f t="shared" si="15"/>
        <v>0</v>
      </c>
      <c r="AF50" s="115">
        <f t="shared" si="15"/>
        <v>0</v>
      </c>
      <c r="AG50" s="115">
        <f t="shared" si="15"/>
        <v>0</v>
      </c>
      <c r="AH50" s="115">
        <f t="shared" si="15"/>
        <v>0</v>
      </c>
      <c r="AI50" s="115">
        <f t="shared" si="15"/>
        <v>0</v>
      </c>
      <c r="AJ50" s="115">
        <f t="shared" si="15"/>
        <v>0</v>
      </c>
      <c r="AK50" s="115">
        <f t="shared" si="15"/>
        <v>0</v>
      </c>
      <c r="AL50" s="115">
        <f t="shared" si="15"/>
        <v>0</v>
      </c>
      <c r="AM50" s="115">
        <f t="shared" si="15"/>
        <v>0</v>
      </c>
      <c r="AN50" s="115">
        <f t="shared" si="15"/>
        <v>0</v>
      </c>
      <c r="AO50" s="115">
        <f t="shared" si="15"/>
        <v>0</v>
      </c>
      <c r="AP50" s="115">
        <f t="shared" si="15"/>
        <v>0</v>
      </c>
      <c r="AQ50" s="115">
        <f t="shared" si="15"/>
        <v>0</v>
      </c>
      <c r="AR50" s="115">
        <f t="shared" si="15"/>
        <v>0</v>
      </c>
      <c r="AS50" s="115">
        <f t="shared" si="15"/>
        <v>0</v>
      </c>
      <c r="AT50" s="115">
        <f t="shared" si="15"/>
        <v>0</v>
      </c>
      <c r="AU50" s="115">
        <f t="shared" si="15"/>
        <v>0</v>
      </c>
      <c r="AV50" s="115">
        <f t="shared" si="15"/>
        <v>0</v>
      </c>
      <c r="AW50" s="115">
        <f t="shared" si="15"/>
        <v>0</v>
      </c>
      <c r="AX50" s="115">
        <f t="shared" si="15"/>
        <v>0</v>
      </c>
      <c r="AY50" s="115">
        <f t="shared" si="15"/>
        <v>0</v>
      </c>
    </row>
    <row r="51" spans="1:52" x14ac:dyDescent="0.2">
      <c r="A51" s="115"/>
      <c r="B51" s="170" t="s">
        <v>350</v>
      </c>
      <c r="C51" s="115"/>
      <c r="D51" s="115">
        <f>D45-D48</f>
        <v>0</v>
      </c>
      <c r="E51" s="115">
        <f t="shared" ref="E51:AY51" si="16">E45-E48</f>
        <v>0</v>
      </c>
      <c r="F51" s="115">
        <f t="shared" si="16"/>
        <v>0</v>
      </c>
      <c r="G51" s="115">
        <f t="shared" si="16"/>
        <v>0</v>
      </c>
      <c r="H51" s="115">
        <f t="shared" si="16"/>
        <v>0</v>
      </c>
      <c r="I51" s="115">
        <f t="shared" si="16"/>
        <v>0</v>
      </c>
      <c r="J51" s="115">
        <f t="shared" si="16"/>
        <v>0</v>
      </c>
      <c r="K51" s="115">
        <f t="shared" si="16"/>
        <v>0</v>
      </c>
      <c r="L51" s="115">
        <f t="shared" si="16"/>
        <v>0</v>
      </c>
      <c r="M51" s="115">
        <f t="shared" si="16"/>
        <v>0</v>
      </c>
      <c r="N51" s="115">
        <f t="shared" si="16"/>
        <v>0</v>
      </c>
      <c r="O51" s="115">
        <f t="shared" si="16"/>
        <v>0</v>
      </c>
      <c r="P51" s="115">
        <f t="shared" si="16"/>
        <v>0</v>
      </c>
      <c r="Q51" s="115">
        <f t="shared" si="16"/>
        <v>0</v>
      </c>
      <c r="R51" s="115">
        <f t="shared" si="16"/>
        <v>0</v>
      </c>
      <c r="S51" s="115">
        <f t="shared" si="16"/>
        <v>0</v>
      </c>
      <c r="T51" s="115">
        <f t="shared" si="16"/>
        <v>0</v>
      </c>
      <c r="U51" s="115">
        <f t="shared" si="16"/>
        <v>0</v>
      </c>
      <c r="V51" s="115">
        <f t="shared" si="16"/>
        <v>0</v>
      </c>
      <c r="W51" s="115">
        <f t="shared" si="16"/>
        <v>0</v>
      </c>
      <c r="X51" s="115">
        <f t="shared" si="16"/>
        <v>0</v>
      </c>
      <c r="Y51" s="115">
        <f t="shared" si="16"/>
        <v>0</v>
      </c>
      <c r="Z51" s="115">
        <f t="shared" si="16"/>
        <v>0</v>
      </c>
      <c r="AA51" s="115">
        <f t="shared" si="16"/>
        <v>0</v>
      </c>
      <c r="AB51" s="115">
        <f t="shared" si="16"/>
        <v>0</v>
      </c>
      <c r="AC51" s="115">
        <f t="shared" si="16"/>
        <v>0</v>
      </c>
      <c r="AD51" s="115">
        <f t="shared" si="16"/>
        <v>0</v>
      </c>
      <c r="AE51" s="115">
        <f t="shared" si="16"/>
        <v>0</v>
      </c>
      <c r="AF51" s="115">
        <f t="shared" si="16"/>
        <v>0</v>
      </c>
      <c r="AG51" s="115">
        <f t="shared" si="16"/>
        <v>0</v>
      </c>
      <c r="AH51" s="115">
        <f t="shared" si="16"/>
        <v>0</v>
      </c>
      <c r="AI51" s="115">
        <f t="shared" si="16"/>
        <v>0</v>
      </c>
      <c r="AJ51" s="115">
        <f t="shared" si="16"/>
        <v>0</v>
      </c>
      <c r="AK51" s="115">
        <f t="shared" si="16"/>
        <v>0</v>
      </c>
      <c r="AL51" s="115">
        <f t="shared" si="16"/>
        <v>0</v>
      </c>
      <c r="AM51" s="115">
        <f t="shared" si="16"/>
        <v>0</v>
      </c>
      <c r="AN51" s="115">
        <f t="shared" si="16"/>
        <v>0</v>
      </c>
      <c r="AO51" s="115">
        <f t="shared" si="16"/>
        <v>0</v>
      </c>
      <c r="AP51" s="115">
        <f t="shared" si="16"/>
        <v>0</v>
      </c>
      <c r="AQ51" s="115">
        <f t="shared" si="16"/>
        <v>0</v>
      </c>
      <c r="AR51" s="115">
        <f t="shared" si="16"/>
        <v>0</v>
      </c>
      <c r="AS51" s="115">
        <f t="shared" si="16"/>
        <v>0</v>
      </c>
      <c r="AT51" s="115">
        <f t="shared" si="16"/>
        <v>0</v>
      </c>
      <c r="AU51" s="115">
        <f t="shared" si="16"/>
        <v>0</v>
      </c>
      <c r="AV51" s="115">
        <f t="shared" si="16"/>
        <v>0</v>
      </c>
      <c r="AW51" s="115">
        <f t="shared" si="16"/>
        <v>0</v>
      </c>
      <c r="AX51" s="115">
        <f t="shared" si="16"/>
        <v>0</v>
      </c>
      <c r="AY51" s="115">
        <f t="shared" si="16"/>
        <v>0</v>
      </c>
    </row>
    <row r="52" spans="1:52" x14ac:dyDescent="0.2">
      <c r="A52" s="115"/>
      <c r="B52" s="170" t="s">
        <v>351</v>
      </c>
      <c r="C52" s="115"/>
      <c r="D52" s="115">
        <v>2</v>
      </c>
      <c r="E52" s="115">
        <v>1</v>
      </c>
      <c r="F52" s="115">
        <v>1</v>
      </c>
      <c r="G52" s="115">
        <v>1</v>
      </c>
      <c r="H52" s="115">
        <v>1</v>
      </c>
      <c r="I52" s="115">
        <v>1</v>
      </c>
      <c r="J52" s="115">
        <v>2</v>
      </c>
      <c r="K52" s="115">
        <v>1</v>
      </c>
      <c r="L52" s="115">
        <v>1</v>
      </c>
      <c r="M52" s="115">
        <v>1</v>
      </c>
      <c r="N52" s="115">
        <v>3</v>
      </c>
      <c r="O52" s="115">
        <v>1</v>
      </c>
      <c r="P52" s="115">
        <v>1</v>
      </c>
      <c r="Q52" s="115">
        <v>1</v>
      </c>
      <c r="R52" s="115">
        <v>1</v>
      </c>
      <c r="S52" s="115">
        <v>3</v>
      </c>
      <c r="T52" s="115">
        <v>1</v>
      </c>
      <c r="U52" s="115">
        <v>1</v>
      </c>
      <c r="V52" s="115">
        <v>1</v>
      </c>
      <c r="W52" s="115">
        <v>1</v>
      </c>
      <c r="X52" s="115">
        <v>1</v>
      </c>
      <c r="Y52" s="115">
        <v>1</v>
      </c>
      <c r="Z52" s="115">
        <v>1</v>
      </c>
      <c r="AA52" s="115">
        <v>1</v>
      </c>
      <c r="AB52" s="115">
        <v>2</v>
      </c>
      <c r="AC52" s="115">
        <v>2</v>
      </c>
      <c r="AD52" s="115">
        <v>1</v>
      </c>
      <c r="AE52" s="115">
        <v>1</v>
      </c>
      <c r="AF52" s="115">
        <v>1</v>
      </c>
      <c r="AG52" s="115">
        <v>1</v>
      </c>
      <c r="AH52" s="115">
        <v>1</v>
      </c>
      <c r="AI52" s="115">
        <v>3</v>
      </c>
      <c r="AJ52" s="115">
        <v>1</v>
      </c>
      <c r="AK52" s="115">
        <v>1</v>
      </c>
      <c r="AL52" s="115">
        <v>2</v>
      </c>
      <c r="AM52" s="115">
        <v>2</v>
      </c>
      <c r="AN52" s="115">
        <v>1</v>
      </c>
      <c r="AO52" s="115">
        <v>1</v>
      </c>
      <c r="AP52" s="115">
        <v>2</v>
      </c>
      <c r="AQ52" s="115">
        <v>1</v>
      </c>
      <c r="AR52" s="115">
        <v>1</v>
      </c>
      <c r="AS52" s="115">
        <v>2</v>
      </c>
      <c r="AT52" s="115">
        <v>1</v>
      </c>
      <c r="AU52" s="115">
        <v>1</v>
      </c>
      <c r="AV52" s="115">
        <v>1</v>
      </c>
      <c r="AW52" s="115">
        <v>1</v>
      </c>
      <c r="AX52" s="115">
        <v>2</v>
      </c>
      <c r="AY52" s="115">
        <v>1</v>
      </c>
    </row>
    <row r="53" spans="1:52" x14ac:dyDescent="0.2">
      <c r="A53" s="115"/>
      <c r="B53" s="183" t="s">
        <v>352</v>
      </c>
      <c r="C53" s="115"/>
      <c r="D53" s="115">
        <v>0</v>
      </c>
      <c r="E53" s="115">
        <v>0</v>
      </c>
      <c r="F53" s="115">
        <v>0</v>
      </c>
      <c r="G53" s="115">
        <v>0</v>
      </c>
      <c r="H53" s="115">
        <v>0</v>
      </c>
      <c r="I53" s="115">
        <v>0</v>
      </c>
      <c r="J53" s="115">
        <v>0</v>
      </c>
      <c r="K53" s="115">
        <v>0</v>
      </c>
      <c r="L53" s="115">
        <v>0</v>
      </c>
      <c r="M53" s="115">
        <v>0</v>
      </c>
      <c r="N53" s="115">
        <v>0</v>
      </c>
      <c r="O53" s="115">
        <v>0</v>
      </c>
      <c r="P53" s="115">
        <v>0</v>
      </c>
      <c r="Q53" s="115">
        <v>0</v>
      </c>
      <c r="R53" s="115">
        <v>0</v>
      </c>
      <c r="S53" s="115">
        <v>0</v>
      </c>
      <c r="T53" s="115">
        <v>0</v>
      </c>
      <c r="U53" s="115">
        <v>0</v>
      </c>
      <c r="V53" s="115">
        <v>0</v>
      </c>
      <c r="W53" s="115">
        <v>0</v>
      </c>
      <c r="X53" s="115">
        <v>0</v>
      </c>
      <c r="Y53" s="115">
        <v>0</v>
      </c>
      <c r="Z53" s="115">
        <v>0</v>
      </c>
      <c r="AA53" s="115">
        <v>0</v>
      </c>
      <c r="AB53" s="115">
        <v>0</v>
      </c>
      <c r="AC53" s="115">
        <v>0</v>
      </c>
      <c r="AD53" s="115">
        <v>0</v>
      </c>
      <c r="AE53" s="115">
        <v>0</v>
      </c>
      <c r="AF53" s="115">
        <v>0</v>
      </c>
      <c r="AG53" s="115">
        <v>0</v>
      </c>
      <c r="AH53" s="115">
        <v>0</v>
      </c>
      <c r="AI53" s="115">
        <v>0</v>
      </c>
      <c r="AJ53" s="115">
        <v>0</v>
      </c>
      <c r="AK53" s="115">
        <v>0</v>
      </c>
      <c r="AL53" s="115">
        <v>0</v>
      </c>
      <c r="AM53" s="115">
        <v>0</v>
      </c>
      <c r="AN53" s="115">
        <v>0</v>
      </c>
      <c r="AO53" s="115">
        <v>0</v>
      </c>
      <c r="AP53" s="115">
        <v>0</v>
      </c>
      <c r="AQ53" s="115">
        <v>0</v>
      </c>
      <c r="AR53" s="115">
        <v>0</v>
      </c>
      <c r="AS53" s="115">
        <v>0</v>
      </c>
      <c r="AT53" s="115">
        <v>0</v>
      </c>
      <c r="AU53" s="115">
        <v>0</v>
      </c>
      <c r="AV53" s="115">
        <v>0</v>
      </c>
      <c r="AW53" s="115">
        <v>0</v>
      </c>
      <c r="AX53" s="115">
        <v>0</v>
      </c>
      <c r="AY53" s="115">
        <v>0</v>
      </c>
      <c r="AZ53" s="105">
        <f>SUM($D$53:$AY$53)</f>
        <v>0</v>
      </c>
    </row>
    <row r="54" spans="1:52" x14ac:dyDescent="0.2">
      <c r="A54" s="115"/>
      <c r="B54" s="183" t="s">
        <v>353</v>
      </c>
      <c r="C54" s="115"/>
      <c r="D54" s="115">
        <v>0</v>
      </c>
      <c r="E54" s="115">
        <v>0</v>
      </c>
      <c r="F54" s="115">
        <v>0</v>
      </c>
      <c r="G54" s="115">
        <v>0</v>
      </c>
      <c r="H54" s="115">
        <v>0</v>
      </c>
      <c r="I54" s="115">
        <v>0</v>
      </c>
      <c r="J54" s="115">
        <v>0</v>
      </c>
      <c r="K54" s="115">
        <v>0</v>
      </c>
      <c r="L54" s="115">
        <v>0</v>
      </c>
      <c r="M54" s="115">
        <v>0</v>
      </c>
      <c r="N54" s="115">
        <v>0</v>
      </c>
      <c r="O54" s="115">
        <v>0</v>
      </c>
      <c r="P54" s="115">
        <v>0</v>
      </c>
      <c r="Q54" s="115">
        <v>0</v>
      </c>
      <c r="R54" s="115">
        <v>0</v>
      </c>
      <c r="S54" s="115">
        <v>0</v>
      </c>
      <c r="T54" s="115">
        <v>0</v>
      </c>
      <c r="U54" s="115">
        <v>0</v>
      </c>
      <c r="V54" s="115">
        <v>0</v>
      </c>
      <c r="W54" s="115">
        <v>0</v>
      </c>
      <c r="X54" s="115">
        <v>0</v>
      </c>
      <c r="Y54" s="115">
        <v>0</v>
      </c>
      <c r="Z54" s="115">
        <v>0</v>
      </c>
      <c r="AA54" s="115">
        <v>0</v>
      </c>
      <c r="AB54" s="115">
        <v>0</v>
      </c>
      <c r="AC54" s="115">
        <v>0</v>
      </c>
      <c r="AD54" s="115">
        <v>0</v>
      </c>
      <c r="AE54" s="115">
        <v>0</v>
      </c>
      <c r="AF54" s="115">
        <v>0</v>
      </c>
      <c r="AG54" s="115">
        <v>0</v>
      </c>
      <c r="AH54" s="115">
        <v>0</v>
      </c>
      <c r="AI54" s="115">
        <v>0</v>
      </c>
      <c r="AJ54" s="115">
        <v>0</v>
      </c>
      <c r="AK54" s="115">
        <v>0</v>
      </c>
      <c r="AL54" s="115">
        <v>0</v>
      </c>
      <c r="AM54" s="115">
        <v>0</v>
      </c>
      <c r="AN54" s="115">
        <v>0</v>
      </c>
      <c r="AO54" s="115">
        <v>0</v>
      </c>
      <c r="AP54" s="115">
        <v>0</v>
      </c>
      <c r="AQ54" s="115">
        <v>0</v>
      </c>
      <c r="AR54" s="115">
        <v>0</v>
      </c>
      <c r="AS54" s="115">
        <v>0</v>
      </c>
      <c r="AT54" s="115">
        <v>0</v>
      </c>
      <c r="AU54" s="115">
        <v>0</v>
      </c>
      <c r="AV54" s="115">
        <v>0</v>
      </c>
      <c r="AW54" s="115">
        <v>0</v>
      </c>
      <c r="AX54" s="115">
        <v>0</v>
      </c>
      <c r="AY54" s="115">
        <v>0</v>
      </c>
      <c r="AZ54" s="105">
        <f>SUM($D$54:$AY$54)</f>
        <v>0</v>
      </c>
    </row>
    <row r="55" spans="1:52" x14ac:dyDescent="0.2">
      <c r="A55" s="140" t="s">
        <v>57</v>
      </c>
      <c r="B55" s="140" t="s">
        <v>343</v>
      </c>
      <c r="C55" s="129"/>
      <c r="D55" s="129">
        <f>D$21*shipping_manufacturing!$J$29/100</f>
        <v>0</v>
      </c>
      <c r="E55" s="129">
        <f>E$21*shipping_manufacturing!$J$29/100</f>
        <v>0</v>
      </c>
      <c r="F55" s="129">
        <f>F$21*shipping_manufacturing!$J$29/100</f>
        <v>0</v>
      </c>
      <c r="G55" s="129">
        <f>G$21*shipping_manufacturing!$J$29/100</f>
        <v>0</v>
      </c>
      <c r="H55" s="129">
        <f>H$21*shipping_manufacturing!$J$29/100</f>
        <v>0</v>
      </c>
      <c r="I55" s="129">
        <f>I$21*shipping_manufacturing!$J$29/100</f>
        <v>0</v>
      </c>
      <c r="J55" s="129">
        <f>J$21*shipping_manufacturing!$J$29/100</f>
        <v>0</v>
      </c>
      <c r="K55" s="129">
        <f>K$21*shipping_manufacturing!$J$29/100</f>
        <v>0</v>
      </c>
      <c r="L55" s="129">
        <f>L$21*shipping_manufacturing!$J$29/100</f>
        <v>0</v>
      </c>
      <c r="M55" s="129">
        <f>M$21*shipping_manufacturing!$J$29/100</f>
        <v>0</v>
      </c>
      <c r="N55" s="129">
        <f>N$21*shipping_manufacturing!$J$29/100</f>
        <v>0</v>
      </c>
      <c r="O55" s="129">
        <f>O$21*shipping_manufacturing!$J$29/100</f>
        <v>0</v>
      </c>
      <c r="P55" s="129">
        <f>P$21*shipping_manufacturing!$J$29/100</f>
        <v>0</v>
      </c>
      <c r="Q55" s="129">
        <f>Q$21*shipping_manufacturing!$J$29/100</f>
        <v>0</v>
      </c>
      <c r="R55" s="129">
        <f>R$21*shipping_manufacturing!$J$29/100</f>
        <v>0</v>
      </c>
      <c r="S55" s="129">
        <f>S$21*shipping_manufacturing!$J$29/100</f>
        <v>0</v>
      </c>
      <c r="T55" s="129">
        <f>T$21*shipping_manufacturing!$J$29/100</f>
        <v>0</v>
      </c>
      <c r="U55" s="129">
        <f>U$21*shipping_manufacturing!$J$29/100</f>
        <v>0</v>
      </c>
      <c r="V55" s="129">
        <f>V$21*shipping_manufacturing!$J$29/100</f>
        <v>0</v>
      </c>
      <c r="W55" s="129">
        <f>W$21*shipping_manufacturing!$J$29/100</f>
        <v>0</v>
      </c>
      <c r="X55" s="129">
        <f>X$21*shipping_manufacturing!$J$29/100</f>
        <v>0</v>
      </c>
      <c r="Y55" s="129">
        <f>Y$21*shipping_manufacturing!$J$29/100</f>
        <v>0</v>
      </c>
      <c r="Z55" s="129">
        <f>Z$21*shipping_manufacturing!$J$29/100</f>
        <v>0</v>
      </c>
      <c r="AA55" s="129">
        <f>AA$21*shipping_manufacturing!$J$29/100</f>
        <v>0</v>
      </c>
      <c r="AB55" s="129">
        <f>AB$21*shipping_manufacturing!$J$29/100</f>
        <v>0</v>
      </c>
      <c r="AC55" s="129">
        <f>AC$21*shipping_manufacturing!$J$29/100</f>
        <v>0</v>
      </c>
      <c r="AD55" s="129">
        <f>AD$21*shipping_manufacturing!$J$29/100</f>
        <v>0</v>
      </c>
      <c r="AE55" s="129">
        <f>AE$21*shipping_manufacturing!$J$29/100</f>
        <v>0</v>
      </c>
      <c r="AF55" s="129">
        <f>AF$21*shipping_manufacturing!$J$29/100</f>
        <v>0</v>
      </c>
      <c r="AG55" s="129">
        <f>AG$21*shipping_manufacturing!$J$29/100</f>
        <v>0</v>
      </c>
      <c r="AH55" s="129">
        <f>AH$21*shipping_manufacturing!$J$29/100</f>
        <v>0</v>
      </c>
      <c r="AI55" s="129">
        <f>AI$21*shipping_manufacturing!$J$29/100</f>
        <v>0</v>
      </c>
      <c r="AJ55" s="129">
        <f>AJ$21*shipping_manufacturing!$J$29/100</f>
        <v>0</v>
      </c>
      <c r="AK55" s="129">
        <f>AK$21*shipping_manufacturing!$J$29/100</f>
        <v>0</v>
      </c>
      <c r="AL55" s="129">
        <f>AL$21*shipping_manufacturing!$J$29/100</f>
        <v>0</v>
      </c>
      <c r="AM55" s="129">
        <f>AM$21*shipping_manufacturing!$J$29/100</f>
        <v>0</v>
      </c>
      <c r="AN55" s="129">
        <f>AN$21*shipping_manufacturing!$J$29/100</f>
        <v>0</v>
      </c>
      <c r="AO55" s="129">
        <f>AO$21*shipping_manufacturing!$J$29/100</f>
        <v>0</v>
      </c>
      <c r="AP55" s="129">
        <f>AP$21*shipping_manufacturing!$J$29/100</f>
        <v>0</v>
      </c>
      <c r="AQ55" s="129">
        <f>AQ$21*shipping_manufacturing!$J$29/100</f>
        <v>0</v>
      </c>
      <c r="AR55" s="129">
        <f>AR$21*shipping_manufacturing!$J$29/100</f>
        <v>0</v>
      </c>
      <c r="AS55" s="129">
        <f>AS$21*shipping_manufacturing!$J$29/100</f>
        <v>0</v>
      </c>
      <c r="AT55" s="129">
        <f>AT$21*shipping_manufacturing!$J$29/100</f>
        <v>0</v>
      </c>
      <c r="AU55" s="129">
        <f>AU$21*shipping_manufacturing!$J$29/100</f>
        <v>0</v>
      </c>
      <c r="AV55" s="129">
        <f>AV$21*shipping_manufacturing!$J$29/100</f>
        <v>0</v>
      </c>
      <c r="AW55" s="129">
        <f>AW$21*shipping_manufacturing!$J$29/100</f>
        <v>0</v>
      </c>
      <c r="AX55" s="129">
        <f>AX$21*shipping_manufacturing!$J$29/100</f>
        <v>0</v>
      </c>
      <c r="AY55" s="129">
        <f>AY$21*shipping_manufacturing!$J$29/100</f>
        <v>0</v>
      </c>
    </row>
    <row r="56" spans="1:52" x14ac:dyDescent="0.2">
      <c r="A56" s="118" t="s">
        <v>342</v>
      </c>
      <c r="B56" s="170" t="s">
        <v>344</v>
      </c>
      <c r="C56" s="115"/>
      <c r="D56" s="115">
        <f>D$22*shipping_manufacturing!$K$29/100</f>
        <v>0</v>
      </c>
      <c r="E56" s="115">
        <f>E$22*shipping_manufacturing!$K$29/100</f>
        <v>0</v>
      </c>
      <c r="F56" s="115">
        <f>F$22*shipping_manufacturing!$K$29/100</f>
        <v>0</v>
      </c>
      <c r="G56" s="115">
        <f>G$22*shipping_manufacturing!$K$29/100</f>
        <v>0</v>
      </c>
      <c r="H56" s="115">
        <f>H$22*shipping_manufacturing!$K$29/100</f>
        <v>0</v>
      </c>
      <c r="I56" s="115">
        <f>I$22*shipping_manufacturing!$K$29/100</f>
        <v>0</v>
      </c>
      <c r="J56" s="115">
        <f>J$22*shipping_manufacturing!$K$29/100</f>
        <v>0</v>
      </c>
      <c r="K56" s="115">
        <f>K$22*shipping_manufacturing!$K$29/100</f>
        <v>0</v>
      </c>
      <c r="L56" s="115">
        <f>L$22*shipping_manufacturing!$K$29/100</f>
        <v>0</v>
      </c>
      <c r="M56" s="115">
        <f>M$22*shipping_manufacturing!$K$29/100</f>
        <v>0</v>
      </c>
      <c r="N56" s="115">
        <f>N$22*shipping_manufacturing!$K$29/100</f>
        <v>0</v>
      </c>
      <c r="O56" s="115">
        <f>O$22*shipping_manufacturing!$K$29/100</f>
        <v>0</v>
      </c>
      <c r="P56" s="115">
        <f>P$22*shipping_manufacturing!$K$29/100</f>
        <v>0</v>
      </c>
      <c r="Q56" s="115">
        <f>Q$22*shipping_manufacturing!$K$29/100</f>
        <v>0</v>
      </c>
      <c r="R56" s="115">
        <f>R$22*shipping_manufacturing!$K$29/100</f>
        <v>0</v>
      </c>
      <c r="S56" s="115">
        <f>S$22*shipping_manufacturing!$K$29/100</f>
        <v>0</v>
      </c>
      <c r="T56" s="115">
        <f>T$22*shipping_manufacturing!$K$29/100</f>
        <v>0</v>
      </c>
      <c r="U56" s="115">
        <f>U$22*shipping_manufacturing!$K$29/100</f>
        <v>0</v>
      </c>
      <c r="V56" s="115">
        <f>V$22*shipping_manufacturing!$K$29/100</f>
        <v>0</v>
      </c>
      <c r="W56" s="115">
        <f>W$22*shipping_manufacturing!$K$29/100</f>
        <v>0</v>
      </c>
      <c r="X56" s="115">
        <f>X$22*shipping_manufacturing!$K$29/100</f>
        <v>0</v>
      </c>
      <c r="Y56" s="115">
        <f>Y$22*shipping_manufacturing!$K$29/100</f>
        <v>0</v>
      </c>
      <c r="Z56" s="115">
        <f>Z$22*shipping_manufacturing!$K$29/100</f>
        <v>0</v>
      </c>
      <c r="AA56" s="115">
        <f>AA$22*shipping_manufacturing!$K$29/100</f>
        <v>0</v>
      </c>
      <c r="AB56" s="115">
        <f>AB$22*shipping_manufacturing!$K$29/100</f>
        <v>0</v>
      </c>
      <c r="AC56" s="115">
        <f>AC$22*shipping_manufacturing!$K$29/100</f>
        <v>0</v>
      </c>
      <c r="AD56" s="115">
        <f>AD$22*shipping_manufacturing!$K$29/100</f>
        <v>0</v>
      </c>
      <c r="AE56" s="115">
        <f>AE$22*shipping_manufacturing!$K$29/100</f>
        <v>0</v>
      </c>
      <c r="AF56" s="115">
        <f>AF$22*shipping_manufacturing!$K$29/100</f>
        <v>0</v>
      </c>
      <c r="AG56" s="115">
        <f>AG$22*shipping_manufacturing!$K$29/100</f>
        <v>0</v>
      </c>
      <c r="AH56" s="115">
        <f>AH$22*shipping_manufacturing!$K$29/100</f>
        <v>0</v>
      </c>
      <c r="AI56" s="115">
        <f>AI$22*shipping_manufacturing!$K$29/100</f>
        <v>0</v>
      </c>
      <c r="AJ56" s="115">
        <f>AJ$22*shipping_manufacturing!$K$29/100</f>
        <v>0</v>
      </c>
      <c r="AK56" s="115">
        <f>AK$22*shipping_manufacturing!$K$29/100</f>
        <v>0</v>
      </c>
      <c r="AL56" s="115">
        <f>AL$22*shipping_manufacturing!$K$29/100</f>
        <v>0</v>
      </c>
      <c r="AM56" s="115">
        <f>AM$22*shipping_manufacturing!$K$29/100</f>
        <v>0</v>
      </c>
      <c r="AN56" s="115">
        <f>AN$22*shipping_manufacturing!$K$29/100</f>
        <v>0</v>
      </c>
      <c r="AO56" s="115">
        <f>AO$22*shipping_manufacturing!$K$29/100</f>
        <v>0</v>
      </c>
      <c r="AP56" s="115">
        <f>AP$22*shipping_manufacturing!$K$29/100</f>
        <v>0</v>
      </c>
      <c r="AQ56" s="115">
        <f>AQ$22*shipping_manufacturing!$K$29/100</f>
        <v>0</v>
      </c>
      <c r="AR56" s="115">
        <f>AR$22*shipping_manufacturing!$K$29/100</f>
        <v>0</v>
      </c>
      <c r="AS56" s="115">
        <f>AS$22*shipping_manufacturing!$K$29/100</f>
        <v>0</v>
      </c>
      <c r="AT56" s="115">
        <f>AT$22*shipping_manufacturing!$K$29/100</f>
        <v>0</v>
      </c>
      <c r="AU56" s="115">
        <f>AU$22*shipping_manufacturing!$K$29/100</f>
        <v>0</v>
      </c>
      <c r="AV56" s="115">
        <f>AV$22*shipping_manufacturing!$K$29/100</f>
        <v>0</v>
      </c>
      <c r="AW56" s="115">
        <f>AW$22*shipping_manufacturing!$K$29/100</f>
        <v>0</v>
      </c>
      <c r="AX56" s="115">
        <f>AX$22*shipping_manufacturing!$K$29/100</f>
        <v>0</v>
      </c>
      <c r="AY56" s="115">
        <f>AY$22*shipping_manufacturing!$K$29/100</f>
        <v>0</v>
      </c>
    </row>
    <row r="57" spans="1:52" x14ac:dyDescent="0.2">
      <c r="A57" s="115">
        <v>2015</v>
      </c>
      <c r="B57" s="170" t="s">
        <v>345</v>
      </c>
      <c r="C57" s="115"/>
      <c r="D57" s="115">
        <f>SUM(D55:D56)</f>
        <v>0</v>
      </c>
      <c r="E57" s="115">
        <f t="shared" ref="E57:AY57" si="17">SUM(E55:E56)</f>
        <v>0</v>
      </c>
      <c r="F57" s="115">
        <f t="shared" si="17"/>
        <v>0</v>
      </c>
      <c r="G57" s="115">
        <f t="shared" si="17"/>
        <v>0</v>
      </c>
      <c r="H57" s="115">
        <f t="shared" si="17"/>
        <v>0</v>
      </c>
      <c r="I57" s="115">
        <f t="shared" si="17"/>
        <v>0</v>
      </c>
      <c r="J57" s="115">
        <f t="shared" si="17"/>
        <v>0</v>
      </c>
      <c r="K57" s="115">
        <f t="shared" si="17"/>
        <v>0</v>
      </c>
      <c r="L57" s="115">
        <f t="shared" si="17"/>
        <v>0</v>
      </c>
      <c r="M57" s="115">
        <f t="shared" si="17"/>
        <v>0</v>
      </c>
      <c r="N57" s="115">
        <f t="shared" si="17"/>
        <v>0</v>
      </c>
      <c r="O57" s="115">
        <f t="shared" si="17"/>
        <v>0</v>
      </c>
      <c r="P57" s="115">
        <f t="shared" si="17"/>
        <v>0</v>
      </c>
      <c r="Q57" s="115">
        <f t="shared" si="17"/>
        <v>0</v>
      </c>
      <c r="R57" s="115">
        <f t="shared" si="17"/>
        <v>0</v>
      </c>
      <c r="S57" s="115">
        <f t="shared" si="17"/>
        <v>0</v>
      </c>
      <c r="T57" s="115">
        <f t="shared" si="17"/>
        <v>0</v>
      </c>
      <c r="U57" s="115">
        <f t="shared" si="17"/>
        <v>0</v>
      </c>
      <c r="V57" s="115">
        <f t="shared" si="17"/>
        <v>0</v>
      </c>
      <c r="W57" s="115">
        <f t="shared" si="17"/>
        <v>0</v>
      </c>
      <c r="X57" s="115">
        <f t="shared" si="17"/>
        <v>0</v>
      </c>
      <c r="Y57" s="115">
        <f t="shared" si="17"/>
        <v>0</v>
      </c>
      <c r="Z57" s="115">
        <f t="shared" si="17"/>
        <v>0</v>
      </c>
      <c r="AA57" s="115">
        <f t="shared" si="17"/>
        <v>0</v>
      </c>
      <c r="AB57" s="115">
        <f t="shared" si="17"/>
        <v>0</v>
      </c>
      <c r="AC57" s="115">
        <f t="shared" si="17"/>
        <v>0</v>
      </c>
      <c r="AD57" s="115">
        <f t="shared" si="17"/>
        <v>0</v>
      </c>
      <c r="AE57" s="115">
        <f t="shared" si="17"/>
        <v>0</v>
      </c>
      <c r="AF57" s="115">
        <f t="shared" si="17"/>
        <v>0</v>
      </c>
      <c r="AG57" s="115">
        <f t="shared" si="17"/>
        <v>0</v>
      </c>
      <c r="AH57" s="115">
        <f t="shared" si="17"/>
        <v>0</v>
      </c>
      <c r="AI57" s="115">
        <f t="shared" si="17"/>
        <v>0</v>
      </c>
      <c r="AJ57" s="115">
        <f t="shared" si="17"/>
        <v>0</v>
      </c>
      <c r="AK57" s="115">
        <f t="shared" si="17"/>
        <v>0</v>
      </c>
      <c r="AL57" s="115">
        <f t="shared" si="17"/>
        <v>0</v>
      </c>
      <c r="AM57" s="115">
        <f t="shared" si="17"/>
        <v>0</v>
      </c>
      <c r="AN57" s="115">
        <f t="shared" si="17"/>
        <v>0</v>
      </c>
      <c r="AO57" s="115">
        <f t="shared" si="17"/>
        <v>0</v>
      </c>
      <c r="AP57" s="115">
        <f t="shared" si="17"/>
        <v>0</v>
      </c>
      <c r="AQ57" s="115">
        <f t="shared" si="17"/>
        <v>0</v>
      </c>
      <c r="AR57" s="115">
        <f t="shared" si="17"/>
        <v>0</v>
      </c>
      <c r="AS57" s="115">
        <f t="shared" si="17"/>
        <v>0</v>
      </c>
      <c r="AT57" s="115">
        <f t="shared" si="17"/>
        <v>0</v>
      </c>
      <c r="AU57" s="115">
        <f t="shared" si="17"/>
        <v>0</v>
      </c>
      <c r="AV57" s="115">
        <f t="shared" si="17"/>
        <v>0</v>
      </c>
      <c r="AW57" s="115">
        <f t="shared" si="17"/>
        <v>0</v>
      </c>
      <c r="AX57" s="115">
        <f t="shared" si="17"/>
        <v>0</v>
      </c>
      <c r="AY57" s="115">
        <f t="shared" si="17"/>
        <v>0</v>
      </c>
    </row>
    <row r="58" spans="1:52" x14ac:dyDescent="0.2">
      <c r="A58" s="115"/>
      <c r="B58" s="170" t="s">
        <v>346</v>
      </c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</row>
    <row r="59" spans="1:52" x14ac:dyDescent="0.2">
      <c r="A59" s="115"/>
      <c r="B59" s="170" t="s">
        <v>347</v>
      </c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</row>
    <row r="60" spans="1:52" x14ac:dyDescent="0.2">
      <c r="A60" s="115"/>
      <c r="B60" s="170" t="s">
        <v>348</v>
      </c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</row>
    <row r="61" spans="1:52" x14ac:dyDescent="0.2">
      <c r="A61" s="115"/>
      <c r="B61" s="170" t="s">
        <v>349</v>
      </c>
      <c r="C61" s="115"/>
      <c r="D61" s="115">
        <f>D55-D58</f>
        <v>0</v>
      </c>
      <c r="E61" s="115">
        <f t="shared" ref="E61:AY61" si="18">E55-E58</f>
        <v>0</v>
      </c>
      <c r="F61" s="115">
        <f t="shared" si="18"/>
        <v>0</v>
      </c>
      <c r="G61" s="115">
        <f t="shared" si="18"/>
        <v>0</v>
      </c>
      <c r="H61" s="115">
        <f t="shared" si="18"/>
        <v>0</v>
      </c>
      <c r="I61" s="115">
        <f t="shared" si="18"/>
        <v>0</v>
      </c>
      <c r="J61" s="115">
        <f t="shared" si="18"/>
        <v>0</v>
      </c>
      <c r="K61" s="115">
        <f t="shared" si="18"/>
        <v>0</v>
      </c>
      <c r="L61" s="115">
        <f t="shared" si="18"/>
        <v>0</v>
      </c>
      <c r="M61" s="115">
        <f t="shared" si="18"/>
        <v>0</v>
      </c>
      <c r="N61" s="115">
        <f t="shared" si="18"/>
        <v>0</v>
      </c>
      <c r="O61" s="115">
        <f t="shared" si="18"/>
        <v>0</v>
      </c>
      <c r="P61" s="115">
        <f t="shared" si="18"/>
        <v>0</v>
      </c>
      <c r="Q61" s="115">
        <f t="shared" si="18"/>
        <v>0</v>
      </c>
      <c r="R61" s="115">
        <f t="shared" si="18"/>
        <v>0</v>
      </c>
      <c r="S61" s="115">
        <f t="shared" si="18"/>
        <v>0</v>
      </c>
      <c r="T61" s="115">
        <f t="shared" si="18"/>
        <v>0</v>
      </c>
      <c r="U61" s="115">
        <f t="shared" si="18"/>
        <v>0</v>
      </c>
      <c r="V61" s="115">
        <f t="shared" si="18"/>
        <v>0</v>
      </c>
      <c r="W61" s="115">
        <f t="shared" si="18"/>
        <v>0</v>
      </c>
      <c r="X61" s="115">
        <f t="shared" si="18"/>
        <v>0</v>
      </c>
      <c r="Y61" s="115">
        <f t="shared" si="18"/>
        <v>0</v>
      </c>
      <c r="Z61" s="115">
        <f t="shared" si="18"/>
        <v>0</v>
      </c>
      <c r="AA61" s="115">
        <f t="shared" si="18"/>
        <v>0</v>
      </c>
      <c r="AB61" s="115">
        <f t="shared" si="18"/>
        <v>0</v>
      </c>
      <c r="AC61" s="115">
        <f t="shared" si="18"/>
        <v>0</v>
      </c>
      <c r="AD61" s="115">
        <f t="shared" si="18"/>
        <v>0</v>
      </c>
      <c r="AE61" s="115">
        <f t="shared" si="18"/>
        <v>0</v>
      </c>
      <c r="AF61" s="115">
        <f t="shared" si="18"/>
        <v>0</v>
      </c>
      <c r="AG61" s="115">
        <f t="shared" si="18"/>
        <v>0</v>
      </c>
      <c r="AH61" s="115">
        <f t="shared" si="18"/>
        <v>0</v>
      </c>
      <c r="AI61" s="115">
        <f t="shared" si="18"/>
        <v>0</v>
      </c>
      <c r="AJ61" s="115">
        <f t="shared" si="18"/>
        <v>0</v>
      </c>
      <c r="AK61" s="115">
        <f t="shared" si="18"/>
        <v>0</v>
      </c>
      <c r="AL61" s="115">
        <f t="shared" si="18"/>
        <v>0</v>
      </c>
      <c r="AM61" s="115">
        <f t="shared" si="18"/>
        <v>0</v>
      </c>
      <c r="AN61" s="115">
        <f t="shared" si="18"/>
        <v>0</v>
      </c>
      <c r="AO61" s="115">
        <f t="shared" si="18"/>
        <v>0</v>
      </c>
      <c r="AP61" s="115">
        <f t="shared" si="18"/>
        <v>0</v>
      </c>
      <c r="AQ61" s="115">
        <f t="shared" si="18"/>
        <v>0</v>
      </c>
      <c r="AR61" s="115">
        <f t="shared" si="18"/>
        <v>0</v>
      </c>
      <c r="AS61" s="115">
        <f t="shared" si="18"/>
        <v>0</v>
      </c>
      <c r="AT61" s="115">
        <f t="shared" si="18"/>
        <v>0</v>
      </c>
      <c r="AU61" s="115">
        <f t="shared" si="18"/>
        <v>0</v>
      </c>
      <c r="AV61" s="115">
        <f t="shared" si="18"/>
        <v>0</v>
      </c>
      <c r="AW61" s="115">
        <f t="shared" si="18"/>
        <v>0</v>
      </c>
      <c r="AX61" s="115">
        <f t="shared" si="18"/>
        <v>0</v>
      </c>
      <c r="AY61" s="115">
        <f t="shared" si="18"/>
        <v>0</v>
      </c>
    </row>
    <row r="62" spans="1:52" x14ac:dyDescent="0.2">
      <c r="A62" s="115"/>
      <c r="B62" s="170" t="s">
        <v>350</v>
      </c>
      <c r="C62" s="115"/>
      <c r="D62" s="115">
        <f>D56-D59</f>
        <v>0</v>
      </c>
      <c r="E62" s="115">
        <f t="shared" ref="E62:AY62" si="19">E56-E59</f>
        <v>0</v>
      </c>
      <c r="F62" s="115">
        <f t="shared" si="19"/>
        <v>0</v>
      </c>
      <c r="G62" s="115">
        <f t="shared" si="19"/>
        <v>0</v>
      </c>
      <c r="H62" s="115">
        <f t="shared" si="19"/>
        <v>0</v>
      </c>
      <c r="I62" s="115">
        <f t="shared" si="19"/>
        <v>0</v>
      </c>
      <c r="J62" s="115">
        <f t="shared" si="19"/>
        <v>0</v>
      </c>
      <c r="K62" s="115">
        <f t="shared" si="19"/>
        <v>0</v>
      </c>
      <c r="L62" s="115">
        <f t="shared" si="19"/>
        <v>0</v>
      </c>
      <c r="M62" s="115">
        <f t="shared" si="19"/>
        <v>0</v>
      </c>
      <c r="N62" s="115">
        <f t="shared" si="19"/>
        <v>0</v>
      </c>
      <c r="O62" s="115">
        <f t="shared" si="19"/>
        <v>0</v>
      </c>
      <c r="P62" s="115">
        <f t="shared" si="19"/>
        <v>0</v>
      </c>
      <c r="Q62" s="115">
        <f t="shared" si="19"/>
        <v>0</v>
      </c>
      <c r="R62" s="115">
        <f t="shared" si="19"/>
        <v>0</v>
      </c>
      <c r="S62" s="115">
        <f t="shared" si="19"/>
        <v>0</v>
      </c>
      <c r="T62" s="115">
        <f t="shared" si="19"/>
        <v>0</v>
      </c>
      <c r="U62" s="115">
        <f t="shared" si="19"/>
        <v>0</v>
      </c>
      <c r="V62" s="115">
        <f t="shared" si="19"/>
        <v>0</v>
      </c>
      <c r="W62" s="115">
        <f t="shared" si="19"/>
        <v>0</v>
      </c>
      <c r="X62" s="115">
        <f t="shared" si="19"/>
        <v>0</v>
      </c>
      <c r="Y62" s="115">
        <f t="shared" si="19"/>
        <v>0</v>
      </c>
      <c r="Z62" s="115">
        <f t="shared" si="19"/>
        <v>0</v>
      </c>
      <c r="AA62" s="115">
        <f t="shared" si="19"/>
        <v>0</v>
      </c>
      <c r="AB62" s="115">
        <f t="shared" si="19"/>
        <v>0</v>
      </c>
      <c r="AC62" s="115">
        <f t="shared" si="19"/>
        <v>0</v>
      </c>
      <c r="AD62" s="115">
        <f t="shared" si="19"/>
        <v>0</v>
      </c>
      <c r="AE62" s="115">
        <f t="shared" si="19"/>
        <v>0</v>
      </c>
      <c r="AF62" s="115">
        <f t="shared" si="19"/>
        <v>0</v>
      </c>
      <c r="AG62" s="115">
        <f t="shared" si="19"/>
        <v>0</v>
      </c>
      <c r="AH62" s="115">
        <f t="shared" si="19"/>
        <v>0</v>
      </c>
      <c r="AI62" s="115">
        <f t="shared" si="19"/>
        <v>0</v>
      </c>
      <c r="AJ62" s="115">
        <f t="shared" si="19"/>
        <v>0</v>
      </c>
      <c r="AK62" s="115">
        <f t="shared" si="19"/>
        <v>0</v>
      </c>
      <c r="AL62" s="115">
        <f t="shared" si="19"/>
        <v>0</v>
      </c>
      <c r="AM62" s="115">
        <f t="shared" si="19"/>
        <v>0</v>
      </c>
      <c r="AN62" s="115">
        <f t="shared" si="19"/>
        <v>0</v>
      </c>
      <c r="AO62" s="115">
        <f t="shared" si="19"/>
        <v>0</v>
      </c>
      <c r="AP62" s="115">
        <f t="shared" si="19"/>
        <v>0</v>
      </c>
      <c r="AQ62" s="115">
        <f t="shared" si="19"/>
        <v>0</v>
      </c>
      <c r="AR62" s="115">
        <f t="shared" si="19"/>
        <v>0</v>
      </c>
      <c r="AS62" s="115">
        <f t="shared" si="19"/>
        <v>0</v>
      </c>
      <c r="AT62" s="115">
        <f t="shared" si="19"/>
        <v>0</v>
      </c>
      <c r="AU62" s="115">
        <f t="shared" si="19"/>
        <v>0</v>
      </c>
      <c r="AV62" s="115">
        <f t="shared" si="19"/>
        <v>0</v>
      </c>
      <c r="AW62" s="115">
        <f t="shared" si="19"/>
        <v>0</v>
      </c>
      <c r="AX62" s="115">
        <f t="shared" si="19"/>
        <v>0</v>
      </c>
      <c r="AY62" s="115">
        <f t="shared" si="19"/>
        <v>0</v>
      </c>
    </row>
    <row r="63" spans="1:52" x14ac:dyDescent="0.2">
      <c r="A63" s="115"/>
      <c r="B63" s="170" t="s">
        <v>351</v>
      </c>
      <c r="C63" s="115"/>
      <c r="D63" s="115">
        <v>2</v>
      </c>
      <c r="E63" s="115">
        <v>3</v>
      </c>
      <c r="F63" s="115">
        <v>2</v>
      </c>
      <c r="G63" s="115">
        <v>4</v>
      </c>
      <c r="H63" s="115">
        <v>2</v>
      </c>
      <c r="I63" s="115">
        <v>2</v>
      </c>
      <c r="J63" s="115">
        <v>3</v>
      </c>
      <c r="K63" s="115">
        <v>3</v>
      </c>
      <c r="L63" s="115">
        <v>2</v>
      </c>
      <c r="M63" s="115">
        <v>2</v>
      </c>
      <c r="N63" s="115">
        <v>2</v>
      </c>
      <c r="O63" s="115">
        <v>2</v>
      </c>
      <c r="P63" s="115">
        <v>4</v>
      </c>
      <c r="Q63" s="115">
        <v>2</v>
      </c>
      <c r="R63" s="115">
        <v>2</v>
      </c>
      <c r="S63" s="115">
        <v>2</v>
      </c>
      <c r="T63" s="115">
        <v>4</v>
      </c>
      <c r="U63" s="115">
        <v>3</v>
      </c>
      <c r="V63" s="115">
        <v>2</v>
      </c>
      <c r="W63" s="115">
        <v>2</v>
      </c>
      <c r="X63" s="115">
        <v>2</v>
      </c>
      <c r="Y63" s="115">
        <v>2</v>
      </c>
      <c r="Z63" s="115">
        <v>3</v>
      </c>
      <c r="AA63" s="115">
        <v>2</v>
      </c>
      <c r="AB63" s="115">
        <v>4</v>
      </c>
      <c r="AC63" s="115">
        <v>2</v>
      </c>
      <c r="AD63" s="115">
        <v>2</v>
      </c>
      <c r="AE63" s="115">
        <v>3</v>
      </c>
      <c r="AF63" s="115">
        <v>2</v>
      </c>
      <c r="AG63" s="115">
        <v>3</v>
      </c>
      <c r="AH63" s="115">
        <v>2</v>
      </c>
      <c r="AI63" s="115">
        <v>2</v>
      </c>
      <c r="AJ63" s="115">
        <v>3</v>
      </c>
      <c r="AK63" s="115">
        <v>4</v>
      </c>
      <c r="AL63" s="115">
        <v>4</v>
      </c>
      <c r="AM63" s="115">
        <v>3</v>
      </c>
      <c r="AN63" s="115">
        <v>2</v>
      </c>
      <c r="AO63" s="115">
        <v>2</v>
      </c>
      <c r="AP63" s="115">
        <v>2</v>
      </c>
      <c r="AQ63" s="115">
        <v>2</v>
      </c>
      <c r="AR63" s="115">
        <v>2</v>
      </c>
      <c r="AS63" s="115">
        <v>2</v>
      </c>
      <c r="AT63" s="115">
        <v>2</v>
      </c>
      <c r="AU63" s="115">
        <v>3</v>
      </c>
      <c r="AV63" s="115">
        <v>2</v>
      </c>
      <c r="AW63" s="115">
        <v>2</v>
      </c>
      <c r="AX63" s="115">
        <v>2</v>
      </c>
      <c r="AY63" s="115">
        <v>3</v>
      </c>
    </row>
    <row r="64" spans="1:52" x14ac:dyDescent="0.2">
      <c r="A64" s="115"/>
      <c r="B64" s="183" t="s">
        <v>352</v>
      </c>
      <c r="C64" s="115"/>
      <c r="D64" s="115">
        <v>0</v>
      </c>
      <c r="E64" s="115">
        <v>0</v>
      </c>
      <c r="F64" s="115">
        <v>0</v>
      </c>
      <c r="G64" s="115">
        <v>0</v>
      </c>
      <c r="H64" s="115">
        <v>0</v>
      </c>
      <c r="I64" s="115">
        <v>0</v>
      </c>
      <c r="J64" s="115">
        <v>0</v>
      </c>
      <c r="K64" s="115">
        <v>0</v>
      </c>
      <c r="L64" s="115">
        <v>0</v>
      </c>
      <c r="M64" s="115">
        <v>0</v>
      </c>
      <c r="N64" s="115">
        <v>0</v>
      </c>
      <c r="O64" s="115">
        <v>0</v>
      </c>
      <c r="P64" s="115">
        <v>0</v>
      </c>
      <c r="Q64" s="115">
        <v>0</v>
      </c>
      <c r="R64" s="115">
        <v>0</v>
      </c>
      <c r="S64" s="115">
        <v>0</v>
      </c>
      <c r="T64" s="115">
        <v>0</v>
      </c>
      <c r="U64" s="115">
        <v>0</v>
      </c>
      <c r="V64" s="115">
        <v>0</v>
      </c>
      <c r="W64" s="115">
        <v>0</v>
      </c>
      <c r="X64" s="115">
        <v>0</v>
      </c>
      <c r="Y64" s="115">
        <v>0</v>
      </c>
      <c r="Z64" s="115">
        <v>0</v>
      </c>
      <c r="AA64" s="115">
        <v>0</v>
      </c>
      <c r="AB64" s="115">
        <v>0</v>
      </c>
      <c r="AC64" s="115">
        <v>0</v>
      </c>
      <c r="AD64" s="115">
        <v>0</v>
      </c>
      <c r="AE64" s="115">
        <v>0</v>
      </c>
      <c r="AF64" s="115">
        <v>0</v>
      </c>
      <c r="AG64" s="115">
        <v>0</v>
      </c>
      <c r="AH64" s="115">
        <v>0</v>
      </c>
      <c r="AI64" s="115">
        <v>0</v>
      </c>
      <c r="AJ64" s="115">
        <v>0</v>
      </c>
      <c r="AK64" s="115">
        <v>0</v>
      </c>
      <c r="AL64" s="115">
        <v>0</v>
      </c>
      <c r="AM64" s="115">
        <v>0</v>
      </c>
      <c r="AN64" s="115">
        <v>0</v>
      </c>
      <c r="AO64" s="115">
        <v>0</v>
      </c>
      <c r="AP64" s="115">
        <v>0</v>
      </c>
      <c r="AQ64" s="115">
        <v>0</v>
      </c>
      <c r="AR64" s="115">
        <v>0</v>
      </c>
      <c r="AS64" s="115">
        <v>0</v>
      </c>
      <c r="AT64" s="115">
        <v>0</v>
      </c>
      <c r="AU64" s="115">
        <v>0</v>
      </c>
      <c r="AV64" s="115">
        <v>0</v>
      </c>
      <c r="AW64" s="115">
        <v>0</v>
      </c>
      <c r="AX64" s="115">
        <v>0</v>
      </c>
      <c r="AY64" s="115">
        <v>0</v>
      </c>
      <c r="AZ64" s="105">
        <f>SUM($D$64:$AY$64)</f>
        <v>0</v>
      </c>
    </row>
    <row r="65" spans="1:52" x14ac:dyDescent="0.2">
      <c r="A65" s="115"/>
      <c r="B65" s="183" t="s">
        <v>353</v>
      </c>
      <c r="C65" s="115"/>
      <c r="D65" s="115">
        <v>0</v>
      </c>
      <c r="E65" s="115">
        <v>0</v>
      </c>
      <c r="F65" s="115">
        <v>0</v>
      </c>
      <c r="G65" s="115">
        <v>0</v>
      </c>
      <c r="H65" s="115">
        <v>0</v>
      </c>
      <c r="I65" s="115">
        <v>0</v>
      </c>
      <c r="J65" s="115">
        <v>0</v>
      </c>
      <c r="K65" s="115">
        <v>0</v>
      </c>
      <c r="L65" s="115">
        <v>0</v>
      </c>
      <c r="M65" s="115">
        <v>0</v>
      </c>
      <c r="N65" s="115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15">
        <v>0</v>
      </c>
      <c r="AA65" s="115">
        <v>0</v>
      </c>
      <c r="AB65" s="115">
        <v>0</v>
      </c>
      <c r="AC65" s="115">
        <v>0</v>
      </c>
      <c r="AD65" s="115">
        <v>0</v>
      </c>
      <c r="AE65" s="115">
        <v>0</v>
      </c>
      <c r="AF65" s="115">
        <v>0</v>
      </c>
      <c r="AG65" s="115">
        <v>0</v>
      </c>
      <c r="AH65" s="115">
        <v>0</v>
      </c>
      <c r="AI65" s="115">
        <v>0</v>
      </c>
      <c r="AJ65" s="115">
        <v>0</v>
      </c>
      <c r="AK65" s="115">
        <v>0</v>
      </c>
      <c r="AL65" s="115">
        <v>0</v>
      </c>
      <c r="AM65" s="115">
        <v>0</v>
      </c>
      <c r="AN65" s="115">
        <v>0</v>
      </c>
      <c r="AO65" s="115">
        <v>0</v>
      </c>
      <c r="AP65" s="115">
        <v>0</v>
      </c>
      <c r="AQ65" s="115">
        <v>0</v>
      </c>
      <c r="AR65" s="115">
        <v>0</v>
      </c>
      <c r="AS65" s="115">
        <v>0</v>
      </c>
      <c r="AT65" s="115">
        <v>0</v>
      </c>
      <c r="AU65" s="115">
        <v>0</v>
      </c>
      <c r="AV65" s="115">
        <v>0</v>
      </c>
      <c r="AW65" s="115">
        <v>0</v>
      </c>
      <c r="AX65" s="115">
        <v>0</v>
      </c>
      <c r="AY65" s="115">
        <v>0</v>
      </c>
      <c r="AZ65" s="105">
        <f>SUM($D$65:$AY$65)</f>
        <v>0</v>
      </c>
    </row>
    <row r="66" spans="1:52" x14ac:dyDescent="0.2">
      <c r="A66" s="140" t="s">
        <v>70</v>
      </c>
      <c r="B66" s="140" t="s">
        <v>343</v>
      </c>
      <c r="C66" s="129"/>
      <c r="D66" s="129">
        <f>D$21*shipping_manufacturing!$J$30/100</f>
        <v>0</v>
      </c>
      <c r="E66" s="129">
        <f>E$21*shipping_manufacturing!$J$30/100</f>
        <v>108.2367718183787</v>
      </c>
      <c r="F66" s="129">
        <f>F$21*shipping_manufacturing!$J$30/100</f>
        <v>108.2367718183787</v>
      </c>
      <c r="G66" s="129">
        <f>G$21*shipping_manufacturing!$J$30/100</f>
        <v>108.2367718183787</v>
      </c>
      <c r="H66" s="129">
        <f>H$21*shipping_manufacturing!$J$30/100</f>
        <v>108.2367718183787</v>
      </c>
      <c r="I66" s="129">
        <f>I$21*shipping_manufacturing!$J$30/100</f>
        <v>119.06044900021659</v>
      </c>
      <c r="J66" s="129">
        <f>J$21*shipping_manufacturing!$J$30/100</f>
        <v>119.06044900021659</v>
      </c>
      <c r="K66" s="129">
        <f>K$21*shipping_manufacturing!$J$30/100</f>
        <v>119.06044900021659</v>
      </c>
      <c r="L66" s="129">
        <f>L$21*shipping_manufacturing!$J$30/100</f>
        <v>0</v>
      </c>
      <c r="M66" s="129">
        <f>M$21*shipping_manufacturing!$J$30/100</f>
        <v>238.12089800043319</v>
      </c>
      <c r="N66" s="129">
        <f>N$21*shipping_manufacturing!$J$30/100</f>
        <v>119.06044900021659</v>
      </c>
      <c r="O66" s="129">
        <f>O$21*shipping_manufacturing!$J$30/100</f>
        <v>119.06044900021659</v>
      </c>
      <c r="P66" s="129">
        <f>P$21*shipping_manufacturing!$J$30/100</f>
        <v>119.06044900021659</v>
      </c>
      <c r="Q66" s="129">
        <f>Q$21*shipping_manufacturing!$J$30/100</f>
        <v>108.2367718183787</v>
      </c>
      <c r="R66" s="129">
        <f>R$21*shipping_manufacturing!$J$30/100</f>
        <v>108.2367718183787</v>
      </c>
      <c r="S66" s="129">
        <f>S$21*shipping_manufacturing!$J$30/100</f>
        <v>108.2367718183787</v>
      </c>
      <c r="T66" s="129">
        <f>T$21*shipping_manufacturing!$J$30/100</f>
        <v>108.2367718183787</v>
      </c>
      <c r="U66" s="129">
        <f>U$21*shipping_manufacturing!$J$30/100</f>
        <v>97.413094636540833</v>
      </c>
      <c r="V66" s="129">
        <f>V$21*shipping_manufacturing!$J$30/100</f>
        <v>97.413094636540833</v>
      </c>
      <c r="W66" s="129">
        <f>W$21*shipping_manufacturing!$J$30/100</f>
        <v>97.413094636540833</v>
      </c>
      <c r="X66" s="129">
        <f>X$21*shipping_manufacturing!$J$30/100</f>
        <v>97.413094636540833</v>
      </c>
      <c r="Y66" s="129">
        <f>Y$21*shipping_manufacturing!$J$30/100</f>
        <v>97.413094636540833</v>
      </c>
      <c r="Z66" s="129">
        <f>Z$21*shipping_manufacturing!$J$30/100</f>
        <v>97.413094636540833</v>
      </c>
      <c r="AA66" s="129">
        <f>AA$21*shipping_manufacturing!$J$30/100</f>
        <v>97.413094636540833</v>
      </c>
      <c r="AB66" s="129">
        <f>AB$21*shipping_manufacturing!$J$30/100</f>
        <v>97.413094636540833</v>
      </c>
      <c r="AC66" s="129">
        <f>AC$21*shipping_manufacturing!$J$30/100</f>
        <v>97.413094636540833</v>
      </c>
      <c r="AD66" s="129">
        <f>AD$21*shipping_manufacturing!$J$30/100</f>
        <v>97.413094636540833</v>
      </c>
      <c r="AE66" s="129">
        <f>AE$21*shipping_manufacturing!$J$30/100</f>
        <v>0</v>
      </c>
      <c r="AF66" s="129">
        <f>AF$21*shipping_manufacturing!$J$30/100</f>
        <v>194.82618927308167</v>
      </c>
      <c r="AG66" s="129">
        <f>AG$21*shipping_manufacturing!$J$30/100</f>
        <v>119.06044900021659</v>
      </c>
      <c r="AH66" s="129">
        <f>AH$21*shipping_manufacturing!$J$30/100</f>
        <v>119.06044900021659</v>
      </c>
      <c r="AI66" s="129">
        <f>AI$21*shipping_manufacturing!$J$30/100</f>
        <v>119.06044900021659</v>
      </c>
      <c r="AJ66" s="129">
        <f>AJ$21*shipping_manufacturing!$J$30/100</f>
        <v>119.06044900021659</v>
      </c>
      <c r="AK66" s="129">
        <f>AK$21*shipping_manufacturing!$J$30/100</f>
        <v>119.06044900021659</v>
      </c>
      <c r="AL66" s="129">
        <f>AL$21*shipping_manufacturing!$J$30/100</f>
        <v>119.06044900021659</v>
      </c>
      <c r="AM66" s="129">
        <f>AM$21*shipping_manufacturing!$J$30/100</f>
        <v>119.06044900021659</v>
      </c>
      <c r="AN66" s="129">
        <f>AN$21*shipping_manufacturing!$J$30/100</f>
        <v>119.06044900021659</v>
      </c>
      <c r="AO66" s="129">
        <f>AO$21*shipping_manufacturing!$J$30/100</f>
        <v>119.06044900021659</v>
      </c>
      <c r="AP66" s="129">
        <f>AP$21*shipping_manufacturing!$J$30/100</f>
        <v>119.06044900021659</v>
      </c>
      <c r="AQ66" s="129">
        <f>AQ$21*shipping_manufacturing!$J$30/100</f>
        <v>119.06044900021659</v>
      </c>
      <c r="AR66" s="129">
        <f>AR$21*shipping_manufacturing!$J$30/100</f>
        <v>119.06044900021659</v>
      </c>
      <c r="AS66" s="129">
        <f>AS$21*shipping_manufacturing!$J$30/100</f>
        <v>0</v>
      </c>
      <c r="AT66" s="129">
        <f>AT$21*shipping_manufacturing!$J$30/100</f>
        <v>216.4735436367574</v>
      </c>
      <c r="AU66" s="129">
        <f>AU$21*shipping_manufacturing!$J$30/100</f>
        <v>108.2367718183787</v>
      </c>
      <c r="AV66" s="129">
        <f>AV$21*shipping_manufacturing!$J$30/100</f>
        <v>108.2367718183787</v>
      </c>
      <c r="AW66" s="129">
        <f>AW$21*shipping_manufacturing!$J$30/100</f>
        <v>97.413094636540833</v>
      </c>
      <c r="AX66" s="129">
        <f>AX$21*shipping_manufacturing!$J$30/100</f>
        <v>97.413094636540833</v>
      </c>
      <c r="AY66" s="129">
        <f>AY$21*shipping_manufacturing!$J$30/100</f>
        <v>97.413094636540833</v>
      </c>
    </row>
    <row r="67" spans="1:52" x14ac:dyDescent="0.2">
      <c r="A67" s="118" t="s">
        <v>342</v>
      </c>
      <c r="B67" s="170" t="s">
        <v>344</v>
      </c>
      <c r="C67" s="115"/>
      <c r="D67" s="115">
        <f>D$22*shipping_manufacturing!$K$30/100</f>
        <v>0</v>
      </c>
      <c r="E67" s="115">
        <f>E$22*shipping_manufacturing!$K$30/100</f>
        <v>72.488847181116014</v>
      </c>
      <c r="F67" s="115">
        <f>F$22*shipping_manufacturing!$K$30/100</f>
        <v>72.488847181116014</v>
      </c>
      <c r="G67" s="115">
        <f>G$22*shipping_manufacturing!$K$30/100</f>
        <v>72.488847181116014</v>
      </c>
      <c r="H67" s="115">
        <f>H$22*shipping_manufacturing!$K$30/100</f>
        <v>72.488847181116014</v>
      </c>
      <c r="I67" s="115">
        <f>I$22*shipping_manufacturing!$K$30/100</f>
        <v>79.737731899227626</v>
      </c>
      <c r="J67" s="115">
        <f>J$22*shipping_manufacturing!$K$30/100</f>
        <v>79.737731899227626</v>
      </c>
      <c r="K67" s="115">
        <f>K$22*shipping_manufacturing!$K$30/100</f>
        <v>79.737731899227626</v>
      </c>
      <c r="L67" s="115">
        <f>L$22*shipping_manufacturing!$K$30/100</f>
        <v>0</v>
      </c>
      <c r="M67" s="115">
        <f>M$22*shipping_manufacturing!$K$30/100</f>
        <v>159.47546379845525</v>
      </c>
      <c r="N67" s="115">
        <f>N$22*shipping_manufacturing!$K$30/100</f>
        <v>79.737731899227626</v>
      </c>
      <c r="O67" s="115">
        <f>O$22*shipping_manufacturing!$K$30/100</f>
        <v>79.737731899227626</v>
      </c>
      <c r="P67" s="115">
        <f>P$22*shipping_manufacturing!$K$30/100</f>
        <v>79.737731899227626</v>
      </c>
      <c r="Q67" s="115">
        <f>Q$22*shipping_manufacturing!$K$30/100</f>
        <v>72.488847181116014</v>
      </c>
      <c r="R67" s="115">
        <f>R$22*shipping_manufacturing!$K$30/100</f>
        <v>72.488847181116014</v>
      </c>
      <c r="S67" s="115">
        <f>S$22*shipping_manufacturing!$K$30/100</f>
        <v>72.488847181116014</v>
      </c>
      <c r="T67" s="115">
        <f>T$22*shipping_manufacturing!$K$30/100</f>
        <v>72.488847181116014</v>
      </c>
      <c r="U67" s="115">
        <f>U$22*shipping_manufacturing!$K$30/100</f>
        <v>65.239962463004417</v>
      </c>
      <c r="V67" s="115">
        <f>V$22*shipping_manufacturing!$K$30/100</f>
        <v>65.239962463004417</v>
      </c>
      <c r="W67" s="115">
        <f>W$22*shipping_manufacturing!$K$30/100</f>
        <v>65.239962463004417</v>
      </c>
      <c r="X67" s="115">
        <f>X$22*shipping_manufacturing!$K$30/100</f>
        <v>65.239962463004417</v>
      </c>
      <c r="Y67" s="115">
        <f>Y$22*shipping_manufacturing!$K$30/100</f>
        <v>65.239962463004417</v>
      </c>
      <c r="Z67" s="115">
        <f>Z$22*shipping_manufacturing!$K$30/100</f>
        <v>65.239962463004417</v>
      </c>
      <c r="AA67" s="115">
        <f>AA$22*shipping_manufacturing!$K$30/100</f>
        <v>65.239962463004417</v>
      </c>
      <c r="AB67" s="115">
        <f>AB$22*shipping_manufacturing!$K$30/100</f>
        <v>65.239962463004417</v>
      </c>
      <c r="AC67" s="115">
        <f>AC$22*shipping_manufacturing!$K$30/100</f>
        <v>65.239962463004417</v>
      </c>
      <c r="AD67" s="115">
        <f>AD$22*shipping_manufacturing!$K$30/100</f>
        <v>65.239962463004417</v>
      </c>
      <c r="AE67" s="115">
        <f>AE$22*shipping_manufacturing!$K$30/100</f>
        <v>0</v>
      </c>
      <c r="AF67" s="115">
        <f>AF$22*shipping_manufacturing!$K$30/100</f>
        <v>130.47992492600883</v>
      </c>
      <c r="AG67" s="115">
        <f>AG$22*shipping_manufacturing!$K$30/100</f>
        <v>79.737731899227626</v>
      </c>
      <c r="AH67" s="115">
        <f>AH$22*shipping_manufacturing!$K$30/100</f>
        <v>79.737731899227626</v>
      </c>
      <c r="AI67" s="115">
        <f>AI$22*shipping_manufacturing!$K$30/100</f>
        <v>79.737731899227626</v>
      </c>
      <c r="AJ67" s="115">
        <f>AJ$22*shipping_manufacturing!$K$30/100</f>
        <v>79.737731899227626</v>
      </c>
      <c r="AK67" s="115">
        <f>AK$22*shipping_manufacturing!$K$30/100</f>
        <v>79.737731899227626</v>
      </c>
      <c r="AL67" s="115">
        <f>AL$22*shipping_manufacturing!$K$30/100</f>
        <v>79.737731899227626</v>
      </c>
      <c r="AM67" s="115">
        <f>AM$22*shipping_manufacturing!$K$30/100</f>
        <v>79.737731899227626</v>
      </c>
      <c r="AN67" s="115">
        <f>AN$22*shipping_manufacturing!$K$30/100</f>
        <v>79.737731899227626</v>
      </c>
      <c r="AO67" s="115">
        <f>AO$22*shipping_manufacturing!$K$30/100</f>
        <v>79.737731899227626</v>
      </c>
      <c r="AP67" s="115">
        <f>AP$22*shipping_manufacturing!$K$30/100</f>
        <v>79.737731899227626</v>
      </c>
      <c r="AQ67" s="115">
        <f>AQ$22*shipping_manufacturing!$K$30/100</f>
        <v>79.737731899227626</v>
      </c>
      <c r="AR67" s="115">
        <f>AR$22*shipping_manufacturing!$K$30/100</f>
        <v>79.737731899227626</v>
      </c>
      <c r="AS67" s="115">
        <f>AS$22*shipping_manufacturing!$K$30/100</f>
        <v>0</v>
      </c>
      <c r="AT67" s="115">
        <f>AT$22*shipping_manufacturing!$K$30/100</f>
        <v>144.97769436223203</v>
      </c>
      <c r="AU67" s="115">
        <f>AU$22*shipping_manufacturing!$K$30/100</f>
        <v>72.488847181116014</v>
      </c>
      <c r="AV67" s="115">
        <f>AV$22*shipping_manufacturing!$K$30/100</f>
        <v>72.488847181116014</v>
      </c>
      <c r="AW67" s="115">
        <f>AW$22*shipping_manufacturing!$K$30/100</f>
        <v>65.239962463004417</v>
      </c>
      <c r="AX67" s="115">
        <f>AX$22*shipping_manufacturing!$K$30/100</f>
        <v>65.239962463004417</v>
      </c>
      <c r="AY67" s="115">
        <f>AY$22*shipping_manufacturing!$K$30/100</f>
        <v>65.239962463004417</v>
      </c>
    </row>
    <row r="68" spans="1:52" x14ac:dyDescent="0.2">
      <c r="A68" s="115">
        <v>98</v>
      </c>
      <c r="B68" s="170" t="s">
        <v>345</v>
      </c>
      <c r="C68" s="115"/>
      <c r="D68" s="115">
        <f>SUM(D66:D67)</f>
        <v>0</v>
      </c>
      <c r="E68" s="115">
        <f t="shared" ref="E68:AY68" si="20">SUM(E66:E67)</f>
        <v>180.72561899949471</v>
      </c>
      <c r="F68" s="115">
        <f t="shared" si="20"/>
        <v>180.72561899949471</v>
      </c>
      <c r="G68" s="115">
        <f t="shared" si="20"/>
        <v>180.72561899949471</v>
      </c>
      <c r="H68" s="115">
        <f t="shared" si="20"/>
        <v>180.72561899949471</v>
      </c>
      <c r="I68" s="115">
        <f t="shared" si="20"/>
        <v>198.79818089944422</v>
      </c>
      <c r="J68" s="115">
        <f t="shared" si="20"/>
        <v>198.79818089944422</v>
      </c>
      <c r="K68" s="115">
        <f t="shared" si="20"/>
        <v>198.79818089944422</v>
      </c>
      <c r="L68" s="115">
        <f t="shared" si="20"/>
        <v>0</v>
      </c>
      <c r="M68" s="115">
        <f t="shared" si="20"/>
        <v>397.59636179888844</v>
      </c>
      <c r="N68" s="115">
        <f t="shared" si="20"/>
        <v>198.79818089944422</v>
      </c>
      <c r="O68" s="115">
        <f t="shared" si="20"/>
        <v>198.79818089944422</v>
      </c>
      <c r="P68" s="115">
        <f t="shared" si="20"/>
        <v>198.79818089944422</v>
      </c>
      <c r="Q68" s="115">
        <f t="shared" si="20"/>
        <v>180.72561899949471</v>
      </c>
      <c r="R68" s="115">
        <f t="shared" si="20"/>
        <v>180.72561899949471</v>
      </c>
      <c r="S68" s="115">
        <f t="shared" si="20"/>
        <v>180.72561899949471</v>
      </c>
      <c r="T68" s="115">
        <f t="shared" si="20"/>
        <v>180.72561899949471</v>
      </c>
      <c r="U68" s="115">
        <f t="shared" si="20"/>
        <v>162.65305709954526</v>
      </c>
      <c r="V68" s="115">
        <f t="shared" si="20"/>
        <v>162.65305709954526</v>
      </c>
      <c r="W68" s="115">
        <f t="shared" si="20"/>
        <v>162.65305709954526</v>
      </c>
      <c r="X68" s="115">
        <f t="shared" si="20"/>
        <v>162.65305709954526</v>
      </c>
      <c r="Y68" s="115">
        <f t="shared" si="20"/>
        <v>162.65305709954526</v>
      </c>
      <c r="Z68" s="115">
        <f t="shared" si="20"/>
        <v>162.65305709954526</v>
      </c>
      <c r="AA68" s="115">
        <f t="shared" si="20"/>
        <v>162.65305709954526</v>
      </c>
      <c r="AB68" s="115">
        <f t="shared" si="20"/>
        <v>162.65305709954526</v>
      </c>
      <c r="AC68" s="115">
        <f t="shared" si="20"/>
        <v>162.65305709954526</v>
      </c>
      <c r="AD68" s="115">
        <f t="shared" si="20"/>
        <v>162.65305709954526</v>
      </c>
      <c r="AE68" s="115">
        <f t="shared" si="20"/>
        <v>0</v>
      </c>
      <c r="AF68" s="115">
        <f t="shared" si="20"/>
        <v>325.30611419909053</v>
      </c>
      <c r="AG68" s="115">
        <f t="shared" si="20"/>
        <v>198.79818089944422</v>
      </c>
      <c r="AH68" s="115">
        <f t="shared" si="20"/>
        <v>198.79818089944422</v>
      </c>
      <c r="AI68" s="115">
        <f t="shared" si="20"/>
        <v>198.79818089944422</v>
      </c>
      <c r="AJ68" s="115">
        <f t="shared" si="20"/>
        <v>198.79818089944422</v>
      </c>
      <c r="AK68" s="115">
        <f t="shared" si="20"/>
        <v>198.79818089944422</v>
      </c>
      <c r="AL68" s="115">
        <f t="shared" si="20"/>
        <v>198.79818089944422</v>
      </c>
      <c r="AM68" s="115">
        <f t="shared" si="20"/>
        <v>198.79818089944422</v>
      </c>
      <c r="AN68" s="115">
        <f t="shared" si="20"/>
        <v>198.79818089944422</v>
      </c>
      <c r="AO68" s="115">
        <f t="shared" si="20"/>
        <v>198.79818089944422</v>
      </c>
      <c r="AP68" s="115">
        <f t="shared" si="20"/>
        <v>198.79818089944422</v>
      </c>
      <c r="AQ68" s="115">
        <f t="shared" si="20"/>
        <v>198.79818089944422</v>
      </c>
      <c r="AR68" s="115">
        <f t="shared" si="20"/>
        <v>198.79818089944422</v>
      </c>
      <c r="AS68" s="115">
        <f t="shared" si="20"/>
        <v>0</v>
      </c>
      <c r="AT68" s="115">
        <f t="shared" si="20"/>
        <v>361.45123799898943</v>
      </c>
      <c r="AU68" s="115">
        <f t="shared" si="20"/>
        <v>180.72561899949471</v>
      </c>
      <c r="AV68" s="115">
        <f t="shared" si="20"/>
        <v>180.72561899949471</v>
      </c>
      <c r="AW68" s="115">
        <f t="shared" si="20"/>
        <v>162.65305709954526</v>
      </c>
      <c r="AX68" s="115">
        <f t="shared" si="20"/>
        <v>162.65305709954526</v>
      </c>
      <c r="AY68" s="115">
        <f t="shared" si="20"/>
        <v>162.65305709954526</v>
      </c>
    </row>
    <row r="69" spans="1:52" x14ac:dyDescent="0.2">
      <c r="A69" s="115"/>
      <c r="B69" s="170" t="s">
        <v>346</v>
      </c>
      <c r="C69" s="115"/>
      <c r="D69" s="115"/>
      <c r="E69" s="115">
        <v>108.23677181837871</v>
      </c>
      <c r="F69" s="115">
        <v>108.23677181837871</v>
      </c>
      <c r="G69" s="115">
        <v>108.23677181837871</v>
      </c>
      <c r="H69" s="115">
        <v>108.23677181837871</v>
      </c>
      <c r="I69" s="115">
        <v>119.06044900021661</v>
      </c>
      <c r="J69" s="115">
        <v>119.06044900021661</v>
      </c>
      <c r="K69" s="115">
        <v>119.06044900021661</v>
      </c>
      <c r="L69" s="115"/>
      <c r="M69" s="115">
        <v>238.12089800043316</v>
      </c>
      <c r="N69" s="115">
        <v>119.06044900021661</v>
      </c>
      <c r="O69" s="115">
        <v>119.06044900021661</v>
      </c>
      <c r="P69" s="115">
        <v>119.06044900021661</v>
      </c>
      <c r="Q69" s="115">
        <v>108.23677181837871</v>
      </c>
      <c r="R69" s="115">
        <v>108.23677181837871</v>
      </c>
      <c r="S69" s="115">
        <v>108.23677181837871</v>
      </c>
      <c r="T69" s="115">
        <v>108.23677181837871</v>
      </c>
      <c r="U69" s="115">
        <v>97.413094636540833</v>
      </c>
      <c r="V69" s="115">
        <v>97.413094636540833</v>
      </c>
      <c r="W69" s="115">
        <v>97.413094636540833</v>
      </c>
      <c r="X69" s="115">
        <v>97.413094636540833</v>
      </c>
      <c r="Y69" s="115">
        <v>97.413094636540833</v>
      </c>
      <c r="Z69" s="115">
        <v>97.413094636540833</v>
      </c>
      <c r="AA69" s="115">
        <v>97.413094636540833</v>
      </c>
      <c r="AB69" s="115">
        <v>97.413094636540833</v>
      </c>
      <c r="AC69" s="115">
        <v>97.413094636540833</v>
      </c>
      <c r="AD69" s="115">
        <v>97.413094636540833</v>
      </c>
      <c r="AE69" s="115"/>
      <c r="AF69" s="115">
        <v>194.82618927308167</v>
      </c>
      <c r="AG69" s="115">
        <v>119.06044900021661</v>
      </c>
      <c r="AH69" s="115">
        <v>119.06044900021661</v>
      </c>
      <c r="AI69" s="115">
        <v>119.06044900021661</v>
      </c>
      <c r="AJ69" s="115">
        <v>119.06044900021661</v>
      </c>
      <c r="AK69" s="115">
        <v>119.06044900021661</v>
      </c>
      <c r="AL69" s="115">
        <v>119.06044900021661</v>
      </c>
      <c r="AM69" s="115">
        <v>119.06044900021661</v>
      </c>
      <c r="AN69" s="115">
        <v>119.06044900021661</v>
      </c>
      <c r="AO69" s="115">
        <v>119.06044900021661</v>
      </c>
      <c r="AP69" s="115">
        <v>119.06044900021661</v>
      </c>
      <c r="AQ69" s="115">
        <v>119.06044900021661</v>
      </c>
      <c r="AR69" s="115">
        <v>119.06044900021661</v>
      </c>
      <c r="AS69" s="115"/>
      <c r="AT69" s="115">
        <v>216.4735436367574</v>
      </c>
      <c r="AU69" s="115">
        <v>108.23677181837871</v>
      </c>
      <c r="AV69" s="115">
        <v>108.23677181837871</v>
      </c>
      <c r="AW69" s="115">
        <v>97.413094636540833</v>
      </c>
      <c r="AX69" s="115">
        <v>97.413094636540833</v>
      </c>
      <c r="AY69" s="115">
        <v>97.413094636540833</v>
      </c>
    </row>
    <row r="70" spans="1:52" x14ac:dyDescent="0.2">
      <c r="A70" s="115"/>
      <c r="B70" s="170" t="s">
        <v>347</v>
      </c>
      <c r="C70" s="115"/>
      <c r="D70" s="115"/>
      <c r="E70" s="115">
        <v>72.488847181116014</v>
      </c>
      <c r="F70" s="115">
        <v>72.488847181116014</v>
      </c>
      <c r="G70" s="115">
        <v>72.488847181116014</v>
      </c>
      <c r="H70" s="115">
        <v>72.488847181116014</v>
      </c>
      <c r="I70" s="115">
        <v>79.737731899227612</v>
      </c>
      <c r="J70" s="115">
        <v>79.737731899227612</v>
      </c>
      <c r="K70" s="115">
        <v>79.737731899227612</v>
      </c>
      <c r="L70" s="115"/>
      <c r="M70" s="115">
        <v>159.47546379845528</v>
      </c>
      <c r="N70" s="115">
        <v>79.737731899227612</v>
      </c>
      <c r="O70" s="115">
        <v>79.737731899227612</v>
      </c>
      <c r="P70" s="115">
        <v>79.737731899227612</v>
      </c>
      <c r="Q70" s="115">
        <v>72.488847181116014</v>
      </c>
      <c r="R70" s="115">
        <v>72.488847181116014</v>
      </c>
      <c r="S70" s="115">
        <v>72.488847181116014</v>
      </c>
      <c r="T70" s="115">
        <v>72.488847181116014</v>
      </c>
      <c r="U70" s="115">
        <v>65.239962463004417</v>
      </c>
      <c r="V70" s="115">
        <v>65.239962463004417</v>
      </c>
      <c r="W70" s="115">
        <v>65.239962463004417</v>
      </c>
      <c r="X70" s="115">
        <v>65.239962463004417</v>
      </c>
      <c r="Y70" s="115">
        <v>65.239962463004417</v>
      </c>
      <c r="Z70" s="115">
        <v>65.239962463004417</v>
      </c>
      <c r="AA70" s="115">
        <v>65.239962463004417</v>
      </c>
      <c r="AB70" s="115">
        <v>65.239962463004417</v>
      </c>
      <c r="AC70" s="115">
        <v>65.239962463004417</v>
      </c>
      <c r="AD70" s="115">
        <v>65.239962463004417</v>
      </c>
      <c r="AE70" s="115"/>
      <c r="AF70" s="115">
        <v>130.47992492600883</v>
      </c>
      <c r="AG70" s="115">
        <v>79.737731899227612</v>
      </c>
      <c r="AH70" s="115">
        <v>79.737731899227612</v>
      </c>
      <c r="AI70" s="115">
        <v>79.737731899227612</v>
      </c>
      <c r="AJ70" s="115">
        <v>79.737731899227612</v>
      </c>
      <c r="AK70" s="115">
        <v>79.737731899227612</v>
      </c>
      <c r="AL70" s="115">
        <v>79.737731899227612</v>
      </c>
      <c r="AM70" s="115">
        <v>79.737731899227612</v>
      </c>
      <c r="AN70" s="115">
        <v>79.737731899227612</v>
      </c>
      <c r="AO70" s="115">
        <v>79.737731899227612</v>
      </c>
      <c r="AP70" s="115">
        <v>79.737731899227612</v>
      </c>
      <c r="AQ70" s="115">
        <v>79.737731899227612</v>
      </c>
      <c r="AR70" s="115">
        <v>79.737731899227612</v>
      </c>
      <c r="AS70" s="115"/>
      <c r="AT70" s="115">
        <v>144.97769436223203</v>
      </c>
      <c r="AU70" s="115">
        <v>72.488847181116014</v>
      </c>
      <c r="AV70" s="115">
        <v>72.488847181116014</v>
      </c>
      <c r="AW70" s="115">
        <v>65.239962463004417</v>
      </c>
      <c r="AX70" s="115">
        <v>65.239962463004417</v>
      </c>
      <c r="AY70" s="115">
        <v>65.239962463004417</v>
      </c>
    </row>
    <row r="71" spans="1:52" x14ac:dyDescent="0.2">
      <c r="A71" s="115"/>
      <c r="B71" s="170" t="s">
        <v>348</v>
      </c>
      <c r="C71" s="115"/>
      <c r="D71" s="115"/>
      <c r="E71" s="115">
        <v>7</v>
      </c>
      <c r="F71" s="115">
        <v>7</v>
      </c>
      <c r="G71" s="115">
        <v>7</v>
      </c>
      <c r="H71" s="115">
        <v>7</v>
      </c>
      <c r="I71" s="115">
        <v>7</v>
      </c>
      <c r="J71" s="115">
        <v>7</v>
      </c>
      <c r="K71" s="115">
        <v>7</v>
      </c>
      <c r="L71" s="115"/>
      <c r="M71" s="115">
        <v>14</v>
      </c>
      <c r="N71" s="115">
        <v>7</v>
      </c>
      <c r="O71" s="115">
        <v>7</v>
      </c>
      <c r="P71" s="115">
        <v>7</v>
      </c>
      <c r="Q71" s="115">
        <v>7</v>
      </c>
      <c r="R71" s="115">
        <v>7</v>
      </c>
      <c r="S71" s="115">
        <v>7</v>
      </c>
      <c r="T71" s="115">
        <v>7</v>
      </c>
      <c r="U71" s="115">
        <v>6</v>
      </c>
      <c r="V71" s="115">
        <v>6</v>
      </c>
      <c r="W71" s="115">
        <v>6</v>
      </c>
      <c r="X71" s="115">
        <v>6</v>
      </c>
      <c r="Y71" s="115">
        <v>6</v>
      </c>
      <c r="Z71" s="115">
        <v>6</v>
      </c>
      <c r="AA71" s="115">
        <v>6</v>
      </c>
      <c r="AB71" s="115">
        <v>6</v>
      </c>
      <c r="AC71" s="115">
        <v>6</v>
      </c>
      <c r="AD71" s="115">
        <v>6</v>
      </c>
      <c r="AE71" s="115"/>
      <c r="AF71" s="115">
        <v>11</v>
      </c>
      <c r="AG71" s="115">
        <v>7</v>
      </c>
      <c r="AH71" s="115">
        <v>7</v>
      </c>
      <c r="AI71" s="115">
        <v>7</v>
      </c>
      <c r="AJ71" s="115">
        <v>7</v>
      </c>
      <c r="AK71" s="115">
        <v>7</v>
      </c>
      <c r="AL71" s="115">
        <v>7</v>
      </c>
      <c r="AM71" s="115">
        <v>7</v>
      </c>
      <c r="AN71" s="115">
        <v>7</v>
      </c>
      <c r="AO71" s="115">
        <v>7</v>
      </c>
      <c r="AP71" s="115">
        <v>7</v>
      </c>
      <c r="AQ71" s="115">
        <v>7</v>
      </c>
      <c r="AR71" s="115">
        <v>7</v>
      </c>
      <c r="AS71" s="115"/>
      <c r="AT71" s="115">
        <v>13</v>
      </c>
      <c r="AU71" s="115">
        <v>7</v>
      </c>
      <c r="AV71" s="115">
        <v>7</v>
      </c>
      <c r="AW71" s="115">
        <v>6</v>
      </c>
      <c r="AX71" s="115">
        <v>6</v>
      </c>
      <c r="AY71" s="115">
        <v>6</v>
      </c>
    </row>
    <row r="72" spans="1:52" x14ac:dyDescent="0.2">
      <c r="A72" s="115"/>
      <c r="B72" s="170" t="s">
        <v>349</v>
      </c>
      <c r="C72" s="115"/>
      <c r="D72" s="115">
        <f>D66-D69</f>
        <v>0</v>
      </c>
      <c r="E72" s="115">
        <f t="shared" ref="E72:AY72" si="21">E66-E69</f>
        <v>0</v>
      </c>
      <c r="F72" s="115">
        <f t="shared" si="21"/>
        <v>0</v>
      </c>
      <c r="G72" s="115">
        <f t="shared" si="21"/>
        <v>0</v>
      </c>
      <c r="H72" s="115">
        <f t="shared" si="21"/>
        <v>0</v>
      </c>
      <c r="I72" s="115">
        <f t="shared" si="21"/>
        <v>0</v>
      </c>
      <c r="J72" s="115">
        <f t="shared" si="21"/>
        <v>0</v>
      </c>
      <c r="K72" s="115">
        <f t="shared" si="21"/>
        <v>0</v>
      </c>
      <c r="L72" s="115">
        <f t="shared" si="21"/>
        <v>0</v>
      </c>
      <c r="M72" s="115">
        <f t="shared" si="21"/>
        <v>0</v>
      </c>
      <c r="N72" s="115">
        <f t="shared" si="21"/>
        <v>0</v>
      </c>
      <c r="O72" s="115">
        <f t="shared" si="21"/>
        <v>0</v>
      </c>
      <c r="P72" s="115">
        <f t="shared" si="21"/>
        <v>0</v>
      </c>
      <c r="Q72" s="115">
        <f t="shared" si="21"/>
        <v>0</v>
      </c>
      <c r="R72" s="115">
        <f t="shared" si="21"/>
        <v>0</v>
      </c>
      <c r="S72" s="115">
        <f t="shared" si="21"/>
        <v>0</v>
      </c>
      <c r="T72" s="115">
        <f t="shared" si="21"/>
        <v>0</v>
      </c>
      <c r="U72" s="115">
        <f t="shared" si="21"/>
        <v>0</v>
      </c>
      <c r="V72" s="115">
        <f t="shared" si="21"/>
        <v>0</v>
      </c>
      <c r="W72" s="115">
        <f t="shared" si="21"/>
        <v>0</v>
      </c>
      <c r="X72" s="115">
        <f t="shared" si="21"/>
        <v>0</v>
      </c>
      <c r="Y72" s="115">
        <f t="shared" si="21"/>
        <v>0</v>
      </c>
      <c r="Z72" s="115">
        <f t="shared" si="21"/>
        <v>0</v>
      </c>
      <c r="AA72" s="115">
        <f t="shared" si="21"/>
        <v>0</v>
      </c>
      <c r="AB72" s="115">
        <f t="shared" si="21"/>
        <v>0</v>
      </c>
      <c r="AC72" s="115">
        <f t="shared" si="21"/>
        <v>0</v>
      </c>
      <c r="AD72" s="115">
        <f t="shared" si="21"/>
        <v>0</v>
      </c>
      <c r="AE72" s="115">
        <f t="shared" si="21"/>
        <v>0</v>
      </c>
      <c r="AF72" s="115">
        <f t="shared" si="21"/>
        <v>0</v>
      </c>
      <c r="AG72" s="115">
        <f t="shared" si="21"/>
        <v>0</v>
      </c>
      <c r="AH72" s="115">
        <f t="shared" si="21"/>
        <v>0</v>
      </c>
      <c r="AI72" s="115">
        <f t="shared" si="21"/>
        <v>0</v>
      </c>
      <c r="AJ72" s="115">
        <f t="shared" si="21"/>
        <v>0</v>
      </c>
      <c r="AK72" s="115">
        <f t="shared" si="21"/>
        <v>0</v>
      </c>
      <c r="AL72" s="115">
        <f t="shared" si="21"/>
        <v>0</v>
      </c>
      <c r="AM72" s="115">
        <f t="shared" si="21"/>
        <v>0</v>
      </c>
      <c r="AN72" s="115">
        <f t="shared" si="21"/>
        <v>0</v>
      </c>
      <c r="AO72" s="115">
        <f t="shared" si="21"/>
        <v>0</v>
      </c>
      <c r="AP72" s="115">
        <f t="shared" si="21"/>
        <v>0</v>
      </c>
      <c r="AQ72" s="115">
        <f t="shared" si="21"/>
        <v>0</v>
      </c>
      <c r="AR72" s="115">
        <f t="shared" si="21"/>
        <v>0</v>
      </c>
      <c r="AS72" s="115">
        <f t="shared" si="21"/>
        <v>0</v>
      </c>
      <c r="AT72" s="115">
        <f t="shared" si="21"/>
        <v>0</v>
      </c>
      <c r="AU72" s="115">
        <f t="shared" si="21"/>
        <v>0</v>
      </c>
      <c r="AV72" s="115">
        <f t="shared" si="21"/>
        <v>0</v>
      </c>
      <c r="AW72" s="115">
        <f t="shared" si="21"/>
        <v>0</v>
      </c>
      <c r="AX72" s="115">
        <f t="shared" si="21"/>
        <v>0</v>
      </c>
      <c r="AY72" s="115">
        <f t="shared" si="21"/>
        <v>0</v>
      </c>
    </row>
    <row r="73" spans="1:52" x14ac:dyDescent="0.2">
      <c r="A73" s="115"/>
      <c r="B73" s="170" t="s">
        <v>350</v>
      </c>
      <c r="C73" s="115"/>
      <c r="D73" s="115">
        <f>D67-D70</f>
        <v>0</v>
      </c>
      <c r="E73" s="115">
        <f t="shared" ref="E73:AY73" si="22">E67-E70</f>
        <v>0</v>
      </c>
      <c r="F73" s="115">
        <f t="shared" si="22"/>
        <v>0</v>
      </c>
      <c r="G73" s="115">
        <f t="shared" si="22"/>
        <v>0</v>
      </c>
      <c r="H73" s="115">
        <f t="shared" si="22"/>
        <v>0</v>
      </c>
      <c r="I73" s="115">
        <f t="shared" si="22"/>
        <v>0</v>
      </c>
      <c r="J73" s="115">
        <f t="shared" si="22"/>
        <v>0</v>
      </c>
      <c r="K73" s="115">
        <f t="shared" si="22"/>
        <v>0</v>
      </c>
      <c r="L73" s="115">
        <f t="shared" si="22"/>
        <v>0</v>
      </c>
      <c r="M73" s="115">
        <f t="shared" si="22"/>
        <v>0</v>
      </c>
      <c r="N73" s="115">
        <f t="shared" si="22"/>
        <v>0</v>
      </c>
      <c r="O73" s="115">
        <f t="shared" si="22"/>
        <v>0</v>
      </c>
      <c r="P73" s="115">
        <f t="shared" si="22"/>
        <v>0</v>
      </c>
      <c r="Q73" s="115">
        <f t="shared" si="22"/>
        <v>0</v>
      </c>
      <c r="R73" s="115">
        <f t="shared" si="22"/>
        <v>0</v>
      </c>
      <c r="S73" s="115">
        <f t="shared" si="22"/>
        <v>0</v>
      </c>
      <c r="T73" s="115">
        <f t="shared" si="22"/>
        <v>0</v>
      </c>
      <c r="U73" s="115">
        <f t="shared" si="22"/>
        <v>0</v>
      </c>
      <c r="V73" s="115">
        <f t="shared" si="22"/>
        <v>0</v>
      </c>
      <c r="W73" s="115">
        <f t="shared" si="22"/>
        <v>0</v>
      </c>
      <c r="X73" s="115">
        <f t="shared" si="22"/>
        <v>0</v>
      </c>
      <c r="Y73" s="115">
        <f t="shared" si="22"/>
        <v>0</v>
      </c>
      <c r="Z73" s="115">
        <f t="shared" si="22"/>
        <v>0</v>
      </c>
      <c r="AA73" s="115">
        <f t="shared" si="22"/>
        <v>0</v>
      </c>
      <c r="AB73" s="115">
        <f t="shared" si="22"/>
        <v>0</v>
      </c>
      <c r="AC73" s="115">
        <f t="shared" si="22"/>
        <v>0</v>
      </c>
      <c r="AD73" s="115">
        <f t="shared" si="22"/>
        <v>0</v>
      </c>
      <c r="AE73" s="115">
        <f t="shared" si="22"/>
        <v>0</v>
      </c>
      <c r="AF73" s="115">
        <f t="shared" si="22"/>
        <v>0</v>
      </c>
      <c r="AG73" s="115">
        <f t="shared" si="22"/>
        <v>0</v>
      </c>
      <c r="AH73" s="115">
        <f t="shared" si="22"/>
        <v>0</v>
      </c>
      <c r="AI73" s="115">
        <f t="shared" si="22"/>
        <v>0</v>
      </c>
      <c r="AJ73" s="115">
        <f t="shared" si="22"/>
        <v>0</v>
      </c>
      <c r="AK73" s="115">
        <f t="shared" si="22"/>
        <v>0</v>
      </c>
      <c r="AL73" s="115">
        <f t="shared" si="22"/>
        <v>0</v>
      </c>
      <c r="AM73" s="115">
        <f t="shared" si="22"/>
        <v>0</v>
      </c>
      <c r="AN73" s="115">
        <f t="shared" si="22"/>
        <v>0</v>
      </c>
      <c r="AO73" s="115">
        <f t="shared" si="22"/>
        <v>0</v>
      </c>
      <c r="AP73" s="115">
        <f t="shared" si="22"/>
        <v>0</v>
      </c>
      <c r="AQ73" s="115">
        <f t="shared" si="22"/>
        <v>0</v>
      </c>
      <c r="AR73" s="115">
        <f t="shared" si="22"/>
        <v>0</v>
      </c>
      <c r="AS73" s="115">
        <f t="shared" si="22"/>
        <v>0</v>
      </c>
      <c r="AT73" s="115">
        <f t="shared" si="22"/>
        <v>0</v>
      </c>
      <c r="AU73" s="115">
        <f t="shared" si="22"/>
        <v>0</v>
      </c>
      <c r="AV73" s="115">
        <f t="shared" si="22"/>
        <v>0</v>
      </c>
      <c r="AW73" s="115">
        <f t="shared" si="22"/>
        <v>0</v>
      </c>
      <c r="AX73" s="115">
        <f t="shared" si="22"/>
        <v>0</v>
      </c>
      <c r="AY73" s="115">
        <f t="shared" si="22"/>
        <v>0</v>
      </c>
    </row>
    <row r="74" spans="1:52" x14ac:dyDescent="0.2">
      <c r="A74" s="115"/>
      <c r="B74" s="170" t="s">
        <v>351</v>
      </c>
      <c r="C74" s="115"/>
      <c r="D74" s="115">
        <v>1</v>
      </c>
      <c r="E74" s="115">
        <v>1</v>
      </c>
      <c r="F74" s="115">
        <v>2</v>
      </c>
      <c r="G74" s="115">
        <v>2</v>
      </c>
      <c r="H74" s="115">
        <v>1</v>
      </c>
      <c r="I74" s="115">
        <v>3</v>
      </c>
      <c r="J74" s="115">
        <v>2</v>
      </c>
      <c r="K74" s="115">
        <v>1</v>
      </c>
      <c r="L74" s="115">
        <v>1</v>
      </c>
      <c r="M74" s="115">
        <v>2</v>
      </c>
      <c r="N74" s="115">
        <v>1</v>
      </c>
      <c r="O74" s="115">
        <v>1</v>
      </c>
      <c r="P74" s="115">
        <v>1</v>
      </c>
      <c r="Q74" s="115">
        <v>2</v>
      </c>
      <c r="R74" s="115">
        <v>1</v>
      </c>
      <c r="S74" s="115">
        <v>1</v>
      </c>
      <c r="T74" s="115">
        <v>1</v>
      </c>
      <c r="U74" s="115">
        <v>1</v>
      </c>
      <c r="V74" s="115">
        <v>1</v>
      </c>
      <c r="W74" s="115">
        <v>2</v>
      </c>
      <c r="X74" s="115">
        <v>1</v>
      </c>
      <c r="Y74" s="115">
        <v>1</v>
      </c>
      <c r="Z74" s="115">
        <v>3</v>
      </c>
      <c r="AA74" s="115">
        <v>3</v>
      </c>
      <c r="AB74" s="115">
        <v>1</v>
      </c>
      <c r="AC74" s="115">
        <v>1</v>
      </c>
      <c r="AD74" s="115">
        <v>2</v>
      </c>
      <c r="AE74" s="115">
        <v>2</v>
      </c>
      <c r="AF74" s="115">
        <v>1</v>
      </c>
      <c r="AG74" s="115">
        <v>2</v>
      </c>
      <c r="AH74" s="115">
        <v>2</v>
      </c>
      <c r="AI74" s="115">
        <v>3</v>
      </c>
      <c r="AJ74" s="115">
        <v>1</v>
      </c>
      <c r="AK74" s="115">
        <v>2</v>
      </c>
      <c r="AL74" s="115">
        <v>1</v>
      </c>
      <c r="AM74" s="115">
        <v>1</v>
      </c>
      <c r="AN74" s="115">
        <v>1</v>
      </c>
      <c r="AO74" s="115">
        <v>2</v>
      </c>
      <c r="AP74" s="115">
        <v>1</v>
      </c>
      <c r="AQ74" s="115">
        <v>1</v>
      </c>
      <c r="AR74" s="115">
        <v>2</v>
      </c>
      <c r="AS74" s="115">
        <v>2</v>
      </c>
      <c r="AT74" s="115">
        <v>3</v>
      </c>
      <c r="AU74" s="115">
        <v>1</v>
      </c>
      <c r="AV74" s="115">
        <v>1</v>
      </c>
      <c r="AW74" s="115">
        <v>2</v>
      </c>
      <c r="AX74" s="115">
        <v>1</v>
      </c>
      <c r="AY74" s="115">
        <v>2</v>
      </c>
    </row>
    <row r="75" spans="1:52" x14ac:dyDescent="0.2">
      <c r="A75" s="115"/>
      <c r="B75" s="183" t="s">
        <v>352</v>
      </c>
      <c r="C75" s="115"/>
      <c r="D75" s="115">
        <v>0</v>
      </c>
      <c r="E75" s="115">
        <v>24696</v>
      </c>
      <c r="F75" s="115">
        <v>24696</v>
      </c>
      <c r="G75" s="115">
        <v>24696</v>
      </c>
      <c r="H75" s="115">
        <v>24696</v>
      </c>
      <c r="I75" s="115">
        <v>24696</v>
      </c>
      <c r="J75" s="115">
        <v>24696</v>
      </c>
      <c r="K75" s="115">
        <v>24696</v>
      </c>
      <c r="L75" s="115">
        <v>0</v>
      </c>
      <c r="M75" s="115">
        <v>49392</v>
      </c>
      <c r="N75" s="115">
        <v>24696</v>
      </c>
      <c r="O75" s="115">
        <v>24696</v>
      </c>
      <c r="P75" s="115">
        <v>24696</v>
      </c>
      <c r="Q75" s="115">
        <v>24696</v>
      </c>
      <c r="R75" s="115">
        <v>24696</v>
      </c>
      <c r="S75" s="115">
        <v>24696</v>
      </c>
      <c r="T75" s="115">
        <v>24696</v>
      </c>
      <c r="U75" s="115">
        <v>21168</v>
      </c>
      <c r="V75" s="115">
        <v>21168</v>
      </c>
      <c r="W75" s="115">
        <v>21168</v>
      </c>
      <c r="X75" s="115">
        <v>21168</v>
      </c>
      <c r="Y75" s="115">
        <v>21168</v>
      </c>
      <c r="Z75" s="115">
        <v>21168</v>
      </c>
      <c r="AA75" s="115">
        <v>21168</v>
      </c>
      <c r="AB75" s="115">
        <v>21168</v>
      </c>
      <c r="AC75" s="115">
        <v>21168</v>
      </c>
      <c r="AD75" s="115">
        <v>21168</v>
      </c>
      <c r="AE75" s="115">
        <v>0</v>
      </c>
      <c r="AF75" s="115">
        <v>38808</v>
      </c>
      <c r="AG75" s="115">
        <v>24696</v>
      </c>
      <c r="AH75" s="115">
        <v>24696</v>
      </c>
      <c r="AI75" s="115">
        <v>24696</v>
      </c>
      <c r="AJ75" s="115">
        <v>24696</v>
      </c>
      <c r="AK75" s="115">
        <v>24696</v>
      </c>
      <c r="AL75" s="115">
        <v>24696</v>
      </c>
      <c r="AM75" s="115">
        <v>24696</v>
      </c>
      <c r="AN75" s="115">
        <v>24696</v>
      </c>
      <c r="AO75" s="115">
        <v>24696</v>
      </c>
      <c r="AP75" s="115">
        <v>24696</v>
      </c>
      <c r="AQ75" s="115">
        <v>24696</v>
      </c>
      <c r="AR75" s="115">
        <v>24696</v>
      </c>
      <c r="AS75" s="115">
        <v>0</v>
      </c>
      <c r="AT75" s="115">
        <v>45864</v>
      </c>
      <c r="AU75" s="115">
        <v>24696</v>
      </c>
      <c r="AV75" s="115">
        <v>24696</v>
      </c>
      <c r="AW75" s="115">
        <v>21168</v>
      </c>
      <c r="AX75" s="115">
        <v>21168</v>
      </c>
      <c r="AY75" s="115">
        <v>21168</v>
      </c>
      <c r="AZ75" s="105">
        <f>SUM($D$75:$AY$75)</f>
        <v>1100736</v>
      </c>
    </row>
    <row r="76" spans="1:52" x14ac:dyDescent="0.2">
      <c r="A76" s="130"/>
      <c r="B76" s="145" t="s">
        <v>353</v>
      </c>
      <c r="C76" s="130"/>
      <c r="D76" s="130">
        <v>0</v>
      </c>
      <c r="E76" s="130">
        <v>0</v>
      </c>
      <c r="F76" s="130">
        <v>0</v>
      </c>
      <c r="G76" s="130">
        <v>0</v>
      </c>
      <c r="H76" s="130">
        <v>0</v>
      </c>
      <c r="I76" s="130">
        <v>0</v>
      </c>
      <c r="J76" s="130">
        <v>0</v>
      </c>
      <c r="K76" s="130">
        <v>0</v>
      </c>
      <c r="L76" s="130">
        <v>0</v>
      </c>
      <c r="M76" s="130">
        <v>0</v>
      </c>
      <c r="N76" s="130">
        <v>0</v>
      </c>
      <c r="O76" s="130">
        <v>0</v>
      </c>
      <c r="P76" s="130">
        <v>0</v>
      </c>
      <c r="Q76" s="130">
        <v>0</v>
      </c>
      <c r="R76" s="130">
        <v>0</v>
      </c>
      <c r="S76" s="130">
        <v>0</v>
      </c>
      <c r="T76" s="130">
        <v>0</v>
      </c>
      <c r="U76" s="130">
        <v>0</v>
      </c>
      <c r="V76" s="130">
        <v>0</v>
      </c>
      <c r="W76" s="130">
        <v>0</v>
      </c>
      <c r="X76" s="130">
        <v>0</v>
      </c>
      <c r="Y76" s="130">
        <v>0</v>
      </c>
      <c r="Z76" s="130">
        <v>0</v>
      </c>
      <c r="AA76" s="130">
        <v>0</v>
      </c>
      <c r="AB76" s="130">
        <v>0</v>
      </c>
      <c r="AC76" s="130">
        <v>0</v>
      </c>
      <c r="AD76" s="130">
        <v>0</v>
      </c>
      <c r="AE76" s="130">
        <v>0</v>
      </c>
      <c r="AF76" s="130">
        <v>0</v>
      </c>
      <c r="AG76" s="130">
        <v>0</v>
      </c>
      <c r="AH76" s="130">
        <v>0</v>
      </c>
      <c r="AI76" s="130">
        <v>0</v>
      </c>
      <c r="AJ76" s="130">
        <v>0</v>
      </c>
      <c r="AK76" s="130">
        <v>0</v>
      </c>
      <c r="AL76" s="130">
        <v>0</v>
      </c>
      <c r="AM76" s="130">
        <v>0</v>
      </c>
      <c r="AN76" s="130">
        <v>0</v>
      </c>
      <c r="AO76" s="130">
        <v>0</v>
      </c>
      <c r="AP76" s="130">
        <v>0</v>
      </c>
      <c r="AQ76" s="130">
        <v>0</v>
      </c>
      <c r="AR76" s="130">
        <v>0</v>
      </c>
      <c r="AS76" s="130">
        <v>0</v>
      </c>
      <c r="AT76" s="130">
        <v>0</v>
      </c>
      <c r="AU76" s="130">
        <v>0</v>
      </c>
      <c r="AV76" s="130">
        <v>0</v>
      </c>
      <c r="AW76" s="130">
        <v>0</v>
      </c>
      <c r="AX76" s="130">
        <v>0</v>
      </c>
      <c r="AY76" s="130">
        <v>0</v>
      </c>
      <c r="AZ76" s="105">
        <f>SUM($D$76:$AY$76)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14.7109375" style="105" customWidth="1"/>
    <col min="2" max="2" width="12.7109375" style="105" customWidth="1"/>
    <col min="3" max="16384" width="9.140625" style="105"/>
  </cols>
  <sheetData>
    <row r="1" spans="1:53" x14ac:dyDescent="0.2">
      <c r="A1" s="107" t="s">
        <v>286</v>
      </c>
    </row>
    <row r="2" spans="1:53" x14ac:dyDescent="0.2">
      <c r="A2" s="105" t="s">
        <v>287</v>
      </c>
      <c r="B2" s="112" t="s">
        <v>34</v>
      </c>
    </row>
    <row r="3" spans="1:53" x14ac:dyDescent="0.2">
      <c r="A3" s="105" t="s">
        <v>288</v>
      </c>
      <c r="B3" s="113">
        <v>3000</v>
      </c>
      <c r="C3" s="114"/>
    </row>
    <row r="4" spans="1:53" x14ac:dyDescent="0.2">
      <c r="B4" s="115"/>
      <c r="C4" s="115"/>
    </row>
    <row r="5" spans="1:53" x14ac:dyDescent="0.2">
      <c r="C5" s="116" t="s">
        <v>289</v>
      </c>
    </row>
    <row r="6" spans="1:53" x14ac:dyDescent="0.2">
      <c r="C6" s="117">
        <v>0</v>
      </c>
      <c r="D6" s="117">
        <v>1</v>
      </c>
      <c r="E6" s="117">
        <v>2</v>
      </c>
      <c r="F6" s="117">
        <v>3</v>
      </c>
      <c r="G6" s="117">
        <v>4</v>
      </c>
      <c r="H6" s="117">
        <v>5</v>
      </c>
      <c r="I6" s="117">
        <v>6</v>
      </c>
      <c r="J6" s="117">
        <v>7</v>
      </c>
      <c r="K6" s="117">
        <v>8</v>
      </c>
      <c r="L6" s="117">
        <v>9</v>
      </c>
      <c r="M6" s="117">
        <v>10</v>
      </c>
      <c r="N6" s="117">
        <v>11</v>
      </c>
      <c r="O6" s="117">
        <v>12</v>
      </c>
      <c r="P6" s="117">
        <v>13</v>
      </c>
      <c r="Q6" s="117">
        <v>14</v>
      </c>
      <c r="R6" s="117">
        <v>15</v>
      </c>
      <c r="S6" s="117">
        <v>16</v>
      </c>
      <c r="T6" s="117">
        <v>17</v>
      </c>
      <c r="U6" s="117">
        <v>18</v>
      </c>
      <c r="V6" s="117">
        <v>19</v>
      </c>
      <c r="W6" s="117">
        <v>20</v>
      </c>
      <c r="X6" s="117">
        <v>21</v>
      </c>
      <c r="Y6" s="117">
        <v>22</v>
      </c>
      <c r="Z6" s="117">
        <v>23</v>
      </c>
      <c r="AA6" s="117">
        <v>24</v>
      </c>
      <c r="AB6" s="117">
        <v>25</v>
      </c>
      <c r="AC6" s="117">
        <v>26</v>
      </c>
      <c r="AD6" s="117">
        <v>27</v>
      </c>
      <c r="AE6" s="117">
        <v>28</v>
      </c>
      <c r="AF6" s="117">
        <v>29</v>
      </c>
      <c r="AG6" s="117">
        <v>30</v>
      </c>
      <c r="AH6" s="117">
        <v>31</v>
      </c>
      <c r="AI6" s="117">
        <v>32</v>
      </c>
      <c r="AJ6" s="117">
        <v>33</v>
      </c>
      <c r="AK6" s="117">
        <v>34</v>
      </c>
      <c r="AL6" s="117">
        <v>35</v>
      </c>
      <c r="AM6" s="117">
        <v>36</v>
      </c>
      <c r="AN6" s="117">
        <v>37</v>
      </c>
      <c r="AO6" s="117">
        <v>38</v>
      </c>
      <c r="AP6" s="117">
        <v>39</v>
      </c>
      <c r="AQ6" s="117">
        <v>40</v>
      </c>
      <c r="AR6" s="117">
        <v>41</v>
      </c>
      <c r="AS6" s="117">
        <v>42</v>
      </c>
      <c r="AT6" s="117">
        <v>43</v>
      </c>
      <c r="AU6" s="117">
        <v>44</v>
      </c>
      <c r="AV6" s="117">
        <v>45</v>
      </c>
      <c r="AW6" s="117">
        <v>46</v>
      </c>
      <c r="AX6" s="117">
        <v>47</v>
      </c>
      <c r="AY6" s="117">
        <v>48</v>
      </c>
    </row>
    <row r="7" spans="1:53" x14ac:dyDescent="0.2">
      <c r="B7" s="115"/>
      <c r="C7" s="118" t="s">
        <v>290</v>
      </c>
      <c r="D7" s="117" t="s">
        <v>291</v>
      </c>
      <c r="E7" s="117" t="s">
        <v>291</v>
      </c>
      <c r="F7" s="117" t="s">
        <v>291</v>
      </c>
      <c r="G7" s="117" t="s">
        <v>291</v>
      </c>
      <c r="H7" s="117" t="s">
        <v>291</v>
      </c>
      <c r="I7" s="117" t="s">
        <v>291</v>
      </c>
      <c r="J7" s="117" t="s">
        <v>291</v>
      </c>
      <c r="K7" s="117" t="s">
        <v>291</v>
      </c>
      <c r="L7" s="117" t="s">
        <v>291</v>
      </c>
      <c r="M7" s="117" t="s">
        <v>291</v>
      </c>
      <c r="N7" s="117" t="s">
        <v>291</v>
      </c>
      <c r="O7" s="117" t="s">
        <v>291</v>
      </c>
      <c r="P7" s="117" t="s">
        <v>291</v>
      </c>
      <c r="Q7" s="117" t="s">
        <v>291</v>
      </c>
      <c r="R7" s="117" t="s">
        <v>291</v>
      </c>
      <c r="S7" s="117" t="s">
        <v>291</v>
      </c>
      <c r="T7" s="117" t="s">
        <v>291</v>
      </c>
      <c r="U7" s="117" t="s">
        <v>291</v>
      </c>
      <c r="V7" s="117" t="s">
        <v>291</v>
      </c>
      <c r="W7" s="117" t="s">
        <v>291</v>
      </c>
      <c r="X7" s="117" t="s">
        <v>291</v>
      </c>
      <c r="Y7" s="117" t="s">
        <v>291</v>
      </c>
      <c r="Z7" s="117" t="s">
        <v>291</v>
      </c>
      <c r="AA7" s="117" t="s">
        <v>291</v>
      </c>
      <c r="AB7" s="117" t="s">
        <v>291</v>
      </c>
      <c r="AC7" s="117" t="s">
        <v>291</v>
      </c>
      <c r="AD7" s="117" t="s">
        <v>291</v>
      </c>
      <c r="AE7" s="117" t="s">
        <v>291</v>
      </c>
      <c r="AF7" s="117" t="s">
        <v>291</v>
      </c>
      <c r="AG7" s="117" t="s">
        <v>291</v>
      </c>
      <c r="AH7" s="117" t="s">
        <v>291</v>
      </c>
      <c r="AI7" s="117" t="s">
        <v>291</v>
      </c>
      <c r="AJ7" s="117" t="s">
        <v>291</v>
      </c>
      <c r="AK7" s="117" t="s">
        <v>291</v>
      </c>
      <c r="AL7" s="117" t="s">
        <v>291</v>
      </c>
      <c r="AM7" s="117" t="s">
        <v>291</v>
      </c>
      <c r="AN7" s="117" t="s">
        <v>291</v>
      </c>
      <c r="AO7" s="117" t="s">
        <v>291</v>
      </c>
      <c r="AP7" s="117" t="s">
        <v>291</v>
      </c>
      <c r="AQ7" s="117" t="s">
        <v>291</v>
      </c>
      <c r="AR7" s="117" t="s">
        <v>291</v>
      </c>
      <c r="AS7" s="117" t="s">
        <v>291</v>
      </c>
      <c r="AT7" s="117" t="s">
        <v>291</v>
      </c>
      <c r="AU7" s="117" t="s">
        <v>291</v>
      </c>
      <c r="AV7" s="117" t="s">
        <v>291</v>
      </c>
      <c r="AW7" s="117" t="s">
        <v>291</v>
      </c>
      <c r="AX7" s="117" t="s">
        <v>291</v>
      </c>
      <c r="AY7" s="116" t="s">
        <v>292</v>
      </c>
      <c r="AZ7" s="116" t="s">
        <v>293</v>
      </c>
    </row>
    <row r="8" spans="1:53" x14ac:dyDescent="0.2">
      <c r="A8" s="107" t="s">
        <v>294</v>
      </c>
      <c r="B8" s="119"/>
      <c r="AY8" s="115"/>
    </row>
    <row r="9" spans="1:53" x14ac:dyDescent="0.2">
      <c r="A9" s="120" t="s">
        <v>125</v>
      </c>
      <c r="B9" s="121">
        <v>1</v>
      </c>
      <c r="C9" s="122" t="s">
        <v>295</v>
      </c>
      <c r="D9" s="122">
        <v>196</v>
      </c>
      <c r="E9" s="122">
        <v>196</v>
      </c>
      <c r="F9" s="122">
        <v>196</v>
      </c>
      <c r="G9" s="122">
        <v>196</v>
      </c>
      <c r="H9" s="122">
        <v>196</v>
      </c>
      <c r="I9" s="122">
        <v>196</v>
      </c>
      <c r="J9" s="122">
        <v>196</v>
      </c>
      <c r="K9" s="122">
        <v>196</v>
      </c>
      <c r="L9" s="122">
        <v>215.60000000000002</v>
      </c>
      <c r="M9" s="122">
        <v>215.60000000000002</v>
      </c>
      <c r="N9" s="122">
        <v>215.60000000000002</v>
      </c>
      <c r="O9" s="122">
        <v>215.60000000000002</v>
      </c>
      <c r="P9" s="122">
        <v>196</v>
      </c>
      <c r="Q9" s="122">
        <v>196</v>
      </c>
      <c r="R9" s="122">
        <v>196</v>
      </c>
      <c r="S9" s="122">
        <v>196</v>
      </c>
      <c r="T9" s="122">
        <v>215.60000000000002</v>
      </c>
      <c r="U9" s="122">
        <v>215.60000000000002</v>
      </c>
      <c r="V9" s="122">
        <v>215.60000000000002</v>
      </c>
      <c r="W9" s="122">
        <v>215.60000000000002</v>
      </c>
      <c r="X9" s="122">
        <v>196</v>
      </c>
      <c r="Y9" s="122">
        <v>196</v>
      </c>
      <c r="Z9" s="122">
        <v>196</v>
      </c>
      <c r="AA9" s="122">
        <v>196</v>
      </c>
      <c r="AB9" s="122">
        <v>215.60000000000002</v>
      </c>
      <c r="AC9" s="122">
        <v>215.60000000000002</v>
      </c>
      <c r="AD9" s="122">
        <v>215.60000000000002</v>
      </c>
      <c r="AE9" s="122">
        <v>215.60000000000002</v>
      </c>
      <c r="AF9" s="122">
        <v>196</v>
      </c>
      <c r="AG9" s="122">
        <v>196</v>
      </c>
      <c r="AH9" s="122">
        <v>196</v>
      </c>
      <c r="AI9" s="122">
        <v>196</v>
      </c>
      <c r="AJ9" s="122">
        <v>196</v>
      </c>
      <c r="AK9" s="122">
        <v>196</v>
      </c>
      <c r="AL9" s="122">
        <v>196</v>
      </c>
      <c r="AM9" s="122">
        <v>196</v>
      </c>
      <c r="AN9" s="122">
        <v>196</v>
      </c>
      <c r="AO9" s="122">
        <v>196</v>
      </c>
      <c r="AP9" s="122">
        <v>196</v>
      </c>
      <c r="AQ9" s="122">
        <v>196</v>
      </c>
      <c r="AR9" s="122">
        <v>176.4</v>
      </c>
      <c r="AS9" s="122">
        <v>176.4</v>
      </c>
      <c r="AT9" s="122">
        <v>176.4</v>
      </c>
      <c r="AU9" s="122">
        <v>176.4</v>
      </c>
      <c r="AV9" s="122">
        <v>196</v>
      </c>
      <c r="AW9" s="122">
        <v>196</v>
      </c>
      <c r="AX9" s="122">
        <v>196</v>
      </c>
      <c r="AY9" s="122">
        <v>196</v>
      </c>
    </row>
    <row r="10" spans="1:53" x14ac:dyDescent="0.2">
      <c r="A10" s="123" t="s">
        <v>133</v>
      </c>
      <c r="B10" s="124">
        <v>1</v>
      </c>
      <c r="C10" s="111" t="s">
        <v>295</v>
      </c>
      <c r="E10" s="105">
        <v>0</v>
      </c>
      <c r="F10" s="105">
        <v>146.00000000000003</v>
      </c>
      <c r="G10" s="105">
        <v>146.00000000000003</v>
      </c>
      <c r="H10" s="105">
        <v>146.00000000000003</v>
      </c>
      <c r="I10" s="105">
        <v>146.00000000000003</v>
      </c>
      <c r="J10" s="105">
        <v>146.00000000000003</v>
      </c>
      <c r="K10" s="105">
        <v>146.00000000000003</v>
      </c>
      <c r="L10" s="105">
        <v>146.00000000000003</v>
      </c>
      <c r="M10" s="105">
        <v>146.00000000000003</v>
      </c>
      <c r="N10" s="105">
        <v>160.60000000000005</v>
      </c>
      <c r="O10" s="105">
        <v>160.60000000000005</v>
      </c>
      <c r="P10" s="105">
        <v>160.60000000000005</v>
      </c>
      <c r="Q10" s="105">
        <v>160.60000000000005</v>
      </c>
      <c r="R10" s="105">
        <v>146.00000000000003</v>
      </c>
      <c r="S10" s="105">
        <v>146.00000000000003</v>
      </c>
      <c r="T10" s="105">
        <v>146.00000000000003</v>
      </c>
      <c r="U10" s="105">
        <v>146.00000000000003</v>
      </c>
      <c r="V10" s="105">
        <v>160.60000000000005</v>
      </c>
      <c r="W10" s="105">
        <v>160.60000000000005</v>
      </c>
      <c r="X10" s="105">
        <v>160.60000000000005</v>
      </c>
      <c r="Y10" s="105">
        <v>160.60000000000005</v>
      </c>
      <c r="Z10" s="105">
        <v>146.00000000000003</v>
      </c>
      <c r="AA10" s="105">
        <v>146.00000000000003</v>
      </c>
      <c r="AB10" s="105">
        <v>146.00000000000003</v>
      </c>
      <c r="AC10" s="105">
        <v>146.00000000000003</v>
      </c>
      <c r="AD10" s="105">
        <v>160.60000000000005</v>
      </c>
      <c r="AE10" s="105">
        <v>160.60000000000005</v>
      </c>
      <c r="AF10" s="105">
        <v>160.60000000000005</v>
      </c>
      <c r="AG10" s="105">
        <v>160.60000000000005</v>
      </c>
      <c r="AH10" s="105">
        <v>146.00000000000003</v>
      </c>
      <c r="AI10" s="105">
        <v>146.00000000000003</v>
      </c>
      <c r="AJ10" s="105">
        <v>146.00000000000003</v>
      </c>
      <c r="AK10" s="105">
        <v>146.00000000000003</v>
      </c>
      <c r="AL10" s="105">
        <v>146.00000000000003</v>
      </c>
      <c r="AM10" s="105">
        <v>146.00000000000003</v>
      </c>
      <c r="AN10" s="105">
        <v>146.00000000000003</v>
      </c>
      <c r="AO10" s="105">
        <v>146.00000000000003</v>
      </c>
      <c r="AP10" s="105">
        <v>146.00000000000003</v>
      </c>
      <c r="AQ10" s="105">
        <v>146.00000000000003</v>
      </c>
      <c r="AR10" s="105">
        <v>146.00000000000003</v>
      </c>
      <c r="AS10" s="105">
        <v>146.00000000000003</v>
      </c>
      <c r="AT10" s="105">
        <v>131.4</v>
      </c>
      <c r="AU10" s="105">
        <v>131.4</v>
      </c>
      <c r="AV10" s="105">
        <v>131.4</v>
      </c>
      <c r="AW10" s="105">
        <v>131.4</v>
      </c>
      <c r="AX10" s="105">
        <v>146.00000000000003</v>
      </c>
      <c r="AY10" s="105">
        <v>146.00000000000003</v>
      </c>
      <c r="AZ10" s="105">
        <v>146.00000000000003</v>
      </c>
    </row>
    <row r="11" spans="1:53" x14ac:dyDescent="0.2">
      <c r="B11" s="124">
        <v>2</v>
      </c>
      <c r="C11" s="111" t="s">
        <v>295</v>
      </c>
      <c r="F11" s="105">
        <v>0</v>
      </c>
      <c r="G11" s="105">
        <v>0</v>
      </c>
      <c r="I11" s="105">
        <v>0</v>
      </c>
      <c r="J11" s="105">
        <v>0</v>
      </c>
      <c r="L11" s="105">
        <v>0</v>
      </c>
      <c r="O11" s="105">
        <v>0</v>
      </c>
      <c r="P11" s="105">
        <v>0</v>
      </c>
      <c r="Q11" s="105">
        <v>0</v>
      </c>
      <c r="T11" s="105">
        <v>0</v>
      </c>
      <c r="U11" s="105">
        <v>0</v>
      </c>
      <c r="V11" s="105">
        <v>0</v>
      </c>
      <c r="W11" s="105">
        <v>0</v>
      </c>
      <c r="X11" s="105">
        <v>0</v>
      </c>
      <c r="AA11" s="105">
        <v>0</v>
      </c>
      <c r="AB11" s="105">
        <v>0</v>
      </c>
      <c r="AC11" s="105">
        <v>0</v>
      </c>
      <c r="AD11" s="105">
        <v>0</v>
      </c>
      <c r="AE11" s="105">
        <v>0</v>
      </c>
      <c r="AF11" s="105">
        <v>0</v>
      </c>
      <c r="AG11" s="105">
        <v>0</v>
      </c>
      <c r="AH11" s="105">
        <v>0</v>
      </c>
      <c r="AI11" s="105">
        <v>0</v>
      </c>
      <c r="AM11" s="105">
        <v>0</v>
      </c>
      <c r="AN11" s="105">
        <v>0</v>
      </c>
      <c r="AO11" s="105">
        <v>0</v>
      </c>
      <c r="AQ11" s="105">
        <v>0</v>
      </c>
      <c r="AR11" s="105">
        <v>0</v>
      </c>
      <c r="AS11" s="105">
        <v>0</v>
      </c>
      <c r="AT11" s="105">
        <v>0</v>
      </c>
      <c r="AU11" s="105">
        <v>0</v>
      </c>
      <c r="AV11" s="105">
        <v>0</v>
      </c>
      <c r="AW11" s="105">
        <v>0</v>
      </c>
      <c r="AX11" s="105">
        <v>0</v>
      </c>
      <c r="AY11" s="105">
        <v>0</v>
      </c>
      <c r="AZ11" s="105">
        <v>0</v>
      </c>
      <c r="BA11" s="105">
        <v>0</v>
      </c>
    </row>
    <row r="12" spans="1:53" x14ac:dyDescent="0.2">
      <c r="B12" s="125">
        <v>3</v>
      </c>
      <c r="C12" s="111" t="s">
        <v>295</v>
      </c>
      <c r="I12" s="105">
        <v>0</v>
      </c>
      <c r="N12" s="105">
        <v>0</v>
      </c>
      <c r="O12" s="105">
        <v>0</v>
      </c>
      <c r="P12" s="105">
        <v>0</v>
      </c>
      <c r="R12" s="105">
        <v>0</v>
      </c>
      <c r="S12" s="105">
        <v>0</v>
      </c>
      <c r="T12" s="105">
        <v>0</v>
      </c>
      <c r="X12" s="105">
        <v>0</v>
      </c>
      <c r="Y12" s="105">
        <v>0</v>
      </c>
      <c r="AA12" s="105">
        <v>0</v>
      </c>
      <c r="AJ12" s="105">
        <v>0</v>
      </c>
      <c r="AL12" s="105">
        <v>0</v>
      </c>
      <c r="AS12" s="105">
        <v>0</v>
      </c>
      <c r="AU12" s="105">
        <v>0</v>
      </c>
      <c r="AV12" s="105">
        <v>0</v>
      </c>
      <c r="AZ12" s="105">
        <v>0</v>
      </c>
      <c r="BA12" s="105">
        <v>0</v>
      </c>
    </row>
    <row r="13" spans="1:53" x14ac:dyDescent="0.2">
      <c r="B13" s="125">
        <v>4</v>
      </c>
      <c r="C13" s="111" t="s">
        <v>295</v>
      </c>
    </row>
    <row r="14" spans="1:53" x14ac:dyDescent="0.2">
      <c r="A14" s="120" t="s">
        <v>134</v>
      </c>
      <c r="B14" s="126">
        <v>1</v>
      </c>
      <c r="C14" s="122" t="s">
        <v>295</v>
      </c>
      <c r="D14" s="122"/>
      <c r="E14" s="122">
        <f t="shared" ref="E14:AZ14" si="0">D$172*SUM(D$122:D$169)</f>
        <v>47.006406195001773</v>
      </c>
      <c r="F14" s="122">
        <f t="shared" si="0"/>
        <v>47.006406195001773</v>
      </c>
      <c r="G14" s="122">
        <f t="shared" si="0"/>
        <v>51.706406195001762</v>
      </c>
      <c r="H14" s="122">
        <f t="shared" si="0"/>
        <v>51.706406195001762</v>
      </c>
      <c r="I14" s="122">
        <f t="shared" si="0"/>
        <v>51.706406195001762</v>
      </c>
      <c r="J14" s="122">
        <f t="shared" si="0"/>
        <v>51.706406195001762</v>
      </c>
      <c r="K14" s="122">
        <f t="shared" si="0"/>
        <v>51.706406195001762</v>
      </c>
      <c r="L14" s="122">
        <f t="shared" si="0"/>
        <v>51.706406195001762</v>
      </c>
      <c r="M14" s="122">
        <f t="shared" si="0"/>
        <v>55.576799335518857</v>
      </c>
      <c r="N14" s="122">
        <f t="shared" si="0"/>
        <v>51.706406195001762</v>
      </c>
      <c r="O14" s="122">
        <f t="shared" si="0"/>
        <v>52.176406195001768</v>
      </c>
      <c r="P14" s="122">
        <f t="shared" si="0"/>
        <v>52.176406195001768</v>
      </c>
      <c r="Q14" s="122">
        <f t="shared" si="0"/>
        <v>52.176406195001768</v>
      </c>
      <c r="R14" s="122">
        <f t="shared" si="0"/>
        <v>52.176406195001768</v>
      </c>
      <c r="S14" s="122">
        <f t="shared" si="0"/>
        <v>51.706406195001762</v>
      </c>
      <c r="T14" s="122">
        <f t="shared" si="0"/>
        <v>51.706406195001762</v>
      </c>
      <c r="U14" s="122">
        <f t="shared" si="0"/>
        <v>51.706406195001762</v>
      </c>
      <c r="V14" s="122">
        <f t="shared" si="0"/>
        <v>51.706406195001762</v>
      </c>
      <c r="W14" s="122">
        <f t="shared" si="0"/>
        <v>52.176406195001768</v>
      </c>
      <c r="X14" s="122">
        <f t="shared" si="0"/>
        <v>52.176406195001768</v>
      </c>
      <c r="Y14" s="122">
        <f t="shared" si="0"/>
        <v>52.176406195001768</v>
      </c>
      <c r="Z14" s="122">
        <f t="shared" si="0"/>
        <v>52.176406195001768</v>
      </c>
      <c r="AA14" s="122">
        <f t="shared" si="0"/>
        <v>51.706406195001762</v>
      </c>
      <c r="AB14" s="122">
        <f t="shared" si="0"/>
        <v>51.706406195001762</v>
      </c>
      <c r="AC14" s="122">
        <f t="shared" si="0"/>
        <v>51.706406195001762</v>
      </c>
      <c r="AD14" s="122">
        <f t="shared" si="0"/>
        <v>51.706406195001762</v>
      </c>
      <c r="AE14" s="122">
        <f t="shared" si="0"/>
        <v>52.176406195001768</v>
      </c>
      <c r="AF14" s="122">
        <f t="shared" si="0"/>
        <v>52.176406195001768</v>
      </c>
      <c r="AG14" s="122">
        <f t="shared" si="0"/>
        <v>52.176406195001768</v>
      </c>
      <c r="AH14" s="122">
        <f t="shared" si="0"/>
        <v>52.176406195001768</v>
      </c>
      <c r="AI14" s="122">
        <f t="shared" si="0"/>
        <v>51.706406195001762</v>
      </c>
      <c r="AJ14" s="122">
        <f t="shared" si="0"/>
        <v>51.706406195001762</v>
      </c>
      <c r="AK14" s="122">
        <f t="shared" si="0"/>
        <v>51.706406195001762</v>
      </c>
      <c r="AL14" s="122">
        <f t="shared" si="0"/>
        <v>51.706406195001762</v>
      </c>
      <c r="AM14" s="122">
        <f t="shared" si="0"/>
        <v>51.706406195001762</v>
      </c>
      <c r="AN14" s="122">
        <f t="shared" si="0"/>
        <v>51.706406195001762</v>
      </c>
      <c r="AO14" s="122">
        <f t="shared" si="0"/>
        <v>56.292397043294628</v>
      </c>
      <c r="AP14" s="122">
        <f t="shared" si="0"/>
        <v>56.292397043294628</v>
      </c>
      <c r="AQ14" s="122">
        <f t="shared" si="0"/>
        <v>56.292397043294628</v>
      </c>
      <c r="AR14" s="122">
        <f t="shared" si="0"/>
        <v>56.292397043294628</v>
      </c>
      <c r="AS14" s="122">
        <f t="shared" si="0"/>
        <v>56.292397043294628</v>
      </c>
      <c r="AT14" s="122">
        <f t="shared" si="0"/>
        <v>56.292397043294628</v>
      </c>
      <c r="AU14" s="122">
        <f t="shared" si="0"/>
        <v>55.822397043294622</v>
      </c>
      <c r="AV14" s="122">
        <f t="shared" si="0"/>
        <v>55.822397043294622</v>
      </c>
      <c r="AW14" s="122">
        <f t="shared" si="0"/>
        <v>51.23640619500177</v>
      </c>
      <c r="AX14" s="122">
        <f t="shared" si="0"/>
        <v>51.23640619500177</v>
      </c>
      <c r="AY14" s="122">
        <f t="shared" si="0"/>
        <v>51.706406195001762</v>
      </c>
      <c r="AZ14" s="115">
        <f t="shared" si="0"/>
        <v>51.706406195001762</v>
      </c>
      <c r="BA14" s="112">
        <f>SUM($E14:$AZ14)</f>
        <v>2516.8258172869459</v>
      </c>
    </row>
    <row r="15" spans="1:53" x14ac:dyDescent="0.2">
      <c r="A15" s="127" t="s">
        <v>123</v>
      </c>
      <c r="B15" s="128">
        <v>1</v>
      </c>
      <c r="C15" s="129" t="s">
        <v>295</v>
      </c>
      <c r="D15" s="129">
        <v>470.06406195001767</v>
      </c>
      <c r="E15" s="129">
        <v>470.06406195001767</v>
      </c>
      <c r="F15" s="129">
        <v>517.06406195001762</v>
      </c>
      <c r="G15" s="129">
        <v>517.06406195001762</v>
      </c>
      <c r="H15" s="129">
        <v>517.06406195001762</v>
      </c>
      <c r="I15" s="129">
        <v>517.06406195001762</v>
      </c>
      <c r="J15" s="129">
        <v>517.06406195001762</v>
      </c>
      <c r="K15" s="129">
        <v>517.06406195001762</v>
      </c>
      <c r="L15" s="129">
        <v>517.06406195001762</v>
      </c>
      <c r="M15" s="129">
        <v>517.06406195001762</v>
      </c>
      <c r="N15" s="129">
        <v>521.76406195001766</v>
      </c>
      <c r="O15" s="129">
        <v>521.76406195001766</v>
      </c>
      <c r="P15" s="129">
        <v>521.76406195001766</v>
      </c>
      <c r="Q15" s="129">
        <v>521.76406195001766</v>
      </c>
      <c r="R15" s="129">
        <v>517.06406195001762</v>
      </c>
      <c r="S15" s="129">
        <v>517.06406195001762</v>
      </c>
      <c r="T15" s="129">
        <v>517.06406195001762</v>
      </c>
      <c r="U15" s="129">
        <v>517.06406195001762</v>
      </c>
      <c r="V15" s="129">
        <v>521.76406195001766</v>
      </c>
      <c r="W15" s="129">
        <v>521.76406195001766</v>
      </c>
      <c r="X15" s="129">
        <v>521.76406195001766</v>
      </c>
      <c r="Y15" s="129">
        <v>521.76406195001766</v>
      </c>
      <c r="Z15" s="129">
        <v>517.06406195001762</v>
      </c>
      <c r="AA15" s="129">
        <v>517.06406195001762</v>
      </c>
      <c r="AB15" s="129">
        <v>517.06406195001762</v>
      </c>
      <c r="AC15" s="129">
        <v>517.06406195001762</v>
      </c>
      <c r="AD15" s="129">
        <v>521.76406195001766</v>
      </c>
      <c r="AE15" s="129">
        <v>521.76406195001766</v>
      </c>
      <c r="AF15" s="129">
        <v>521.76406195001766</v>
      </c>
      <c r="AG15" s="129">
        <v>521.76406195001766</v>
      </c>
      <c r="AH15" s="129">
        <v>517.06406195001762</v>
      </c>
      <c r="AI15" s="129">
        <v>517.06406195001762</v>
      </c>
      <c r="AJ15" s="129">
        <v>517.06406195001762</v>
      </c>
      <c r="AK15" s="129">
        <v>517.06406195001762</v>
      </c>
      <c r="AL15" s="129">
        <v>517.06406195001762</v>
      </c>
      <c r="AM15" s="129">
        <v>517.06406195001762</v>
      </c>
      <c r="AN15" s="129">
        <v>562.92397043294625</v>
      </c>
      <c r="AO15" s="129">
        <v>562.92397043294625</v>
      </c>
      <c r="AP15" s="129">
        <v>562.92397043294625</v>
      </c>
      <c r="AQ15" s="129">
        <v>562.92397043294625</v>
      </c>
      <c r="AR15" s="129">
        <v>562.92397043294625</v>
      </c>
      <c r="AS15" s="129">
        <v>562.92397043294625</v>
      </c>
      <c r="AT15" s="129">
        <v>558.2239704329462</v>
      </c>
      <c r="AU15" s="129">
        <v>558.2239704329462</v>
      </c>
      <c r="AV15" s="129">
        <v>512.36406195001769</v>
      </c>
      <c r="AW15" s="129">
        <v>512.36406195001769</v>
      </c>
      <c r="AX15" s="129">
        <v>517.06406195001762</v>
      </c>
      <c r="AY15" s="129">
        <v>517.06406195001762</v>
      </c>
      <c r="AZ15" s="105">
        <v>46.999999999999993</v>
      </c>
    </row>
    <row r="16" spans="1:53" x14ac:dyDescent="0.2">
      <c r="A16" s="115"/>
      <c r="B16" s="124">
        <v>2</v>
      </c>
      <c r="C16" s="114" t="s">
        <v>295</v>
      </c>
      <c r="D16" s="111"/>
      <c r="E16" s="115"/>
      <c r="F16" s="115">
        <v>0</v>
      </c>
      <c r="G16" s="115">
        <v>0</v>
      </c>
      <c r="H16" s="115"/>
      <c r="I16" s="115">
        <v>0</v>
      </c>
      <c r="J16" s="115">
        <v>0</v>
      </c>
      <c r="K16" s="115"/>
      <c r="L16" s="115">
        <v>0</v>
      </c>
      <c r="M16" s="115"/>
      <c r="N16" s="115"/>
      <c r="O16" s="115">
        <v>0</v>
      </c>
      <c r="P16" s="115">
        <v>0</v>
      </c>
      <c r="Q16" s="115">
        <v>0</v>
      </c>
      <c r="R16" s="115"/>
      <c r="S16" s="115"/>
      <c r="T16" s="115">
        <v>0</v>
      </c>
      <c r="U16" s="115">
        <v>0</v>
      </c>
      <c r="V16" s="115">
        <v>0</v>
      </c>
      <c r="W16" s="115">
        <v>0</v>
      </c>
      <c r="X16" s="115">
        <v>0</v>
      </c>
      <c r="Y16" s="115"/>
      <c r="Z16" s="115"/>
      <c r="AA16" s="115">
        <v>0</v>
      </c>
      <c r="AB16" s="115">
        <v>0</v>
      </c>
      <c r="AC16" s="115">
        <v>0</v>
      </c>
      <c r="AD16" s="115">
        <v>0</v>
      </c>
      <c r="AE16" s="115">
        <v>0</v>
      </c>
      <c r="AF16" s="115">
        <v>0</v>
      </c>
      <c r="AG16" s="115">
        <v>0</v>
      </c>
      <c r="AH16" s="115">
        <v>0</v>
      </c>
      <c r="AI16" s="115">
        <v>0</v>
      </c>
      <c r="AJ16" s="115"/>
      <c r="AK16" s="115"/>
      <c r="AL16" s="115"/>
      <c r="AM16" s="115">
        <v>0</v>
      </c>
      <c r="AN16" s="115">
        <v>0</v>
      </c>
      <c r="AO16" s="115">
        <v>0</v>
      </c>
      <c r="AP16" s="115"/>
      <c r="AQ16" s="115">
        <v>0</v>
      </c>
      <c r="AR16" s="115">
        <v>0</v>
      </c>
      <c r="AS16" s="115">
        <v>0</v>
      </c>
      <c r="AT16" s="115">
        <v>0</v>
      </c>
      <c r="AU16" s="115">
        <v>0</v>
      </c>
      <c r="AV16" s="115">
        <v>0</v>
      </c>
      <c r="AW16" s="115">
        <v>0</v>
      </c>
      <c r="AX16" s="115">
        <v>0</v>
      </c>
      <c r="AY16" s="115">
        <v>0</v>
      </c>
      <c r="AZ16" s="105">
        <v>0</v>
      </c>
      <c r="BA16" s="105">
        <v>0</v>
      </c>
    </row>
    <row r="17" spans="1:53" x14ac:dyDescent="0.2">
      <c r="A17" s="115"/>
      <c r="B17" s="124">
        <v>3</v>
      </c>
      <c r="C17" s="114" t="s">
        <v>295</v>
      </c>
      <c r="D17" s="111"/>
      <c r="E17" s="115"/>
      <c r="F17" s="115"/>
      <c r="G17" s="115"/>
      <c r="H17" s="115"/>
      <c r="I17" s="115">
        <v>0</v>
      </c>
      <c r="J17" s="115"/>
      <c r="K17" s="115"/>
      <c r="L17" s="115"/>
      <c r="M17" s="115"/>
      <c r="N17" s="115">
        <v>0</v>
      </c>
      <c r="O17" s="115">
        <v>0</v>
      </c>
      <c r="P17" s="115">
        <v>0</v>
      </c>
      <c r="Q17" s="115"/>
      <c r="R17" s="115">
        <v>0</v>
      </c>
      <c r="S17" s="115">
        <v>0</v>
      </c>
      <c r="T17" s="115">
        <v>0</v>
      </c>
      <c r="U17" s="115"/>
      <c r="V17" s="115"/>
      <c r="W17" s="115"/>
      <c r="X17" s="115">
        <v>0</v>
      </c>
      <c r="Y17" s="115">
        <v>0</v>
      </c>
      <c r="Z17" s="115"/>
      <c r="AA17" s="115">
        <v>0</v>
      </c>
      <c r="AB17" s="115"/>
      <c r="AC17" s="115"/>
      <c r="AD17" s="115"/>
      <c r="AE17" s="115"/>
      <c r="AF17" s="115"/>
      <c r="AG17" s="115"/>
      <c r="AH17" s="115"/>
      <c r="AI17" s="115"/>
      <c r="AJ17" s="115">
        <v>0</v>
      </c>
      <c r="AK17" s="115"/>
      <c r="AL17" s="115">
        <v>0</v>
      </c>
      <c r="AM17" s="115"/>
      <c r="AN17" s="115"/>
      <c r="AO17" s="115"/>
      <c r="AP17" s="115"/>
      <c r="AQ17" s="115"/>
      <c r="AR17" s="115"/>
      <c r="AS17" s="115">
        <v>0</v>
      </c>
      <c r="AT17" s="115"/>
      <c r="AU17" s="115">
        <v>0</v>
      </c>
      <c r="AV17" s="115">
        <v>0</v>
      </c>
      <c r="AW17" s="115"/>
      <c r="AX17" s="115"/>
      <c r="AY17" s="115"/>
      <c r="AZ17" s="105">
        <v>0</v>
      </c>
      <c r="BA17" s="105">
        <v>0</v>
      </c>
    </row>
    <row r="18" spans="1:53" x14ac:dyDescent="0.2">
      <c r="A18" s="130"/>
      <c r="B18" s="121">
        <v>4</v>
      </c>
      <c r="C18" s="130" t="s">
        <v>295</v>
      </c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0"/>
      <c r="AC18" s="130"/>
      <c r="AD18" s="130"/>
      <c r="AE18" s="130"/>
      <c r="AF18" s="130"/>
      <c r="AG18" s="130"/>
      <c r="AH18" s="130"/>
      <c r="AI18" s="130"/>
      <c r="AJ18" s="130"/>
      <c r="AK18" s="130"/>
      <c r="AL18" s="130"/>
      <c r="AM18" s="130"/>
      <c r="AN18" s="130"/>
      <c r="AO18" s="130"/>
      <c r="AP18" s="130"/>
      <c r="AQ18" s="130"/>
      <c r="AR18" s="130"/>
      <c r="AS18" s="130"/>
      <c r="AT18" s="130"/>
      <c r="AU18" s="130"/>
      <c r="AV18" s="130"/>
      <c r="AW18" s="130"/>
      <c r="AX18" s="130"/>
      <c r="AY18" s="130"/>
    </row>
    <row r="20" spans="1:53" x14ac:dyDescent="0.2">
      <c r="A20" s="107" t="s">
        <v>296</v>
      </c>
    </row>
    <row r="21" spans="1:53" x14ac:dyDescent="0.2">
      <c r="A21" s="131" t="s">
        <v>125</v>
      </c>
      <c r="B21" s="128">
        <v>1</v>
      </c>
      <c r="C21" s="129" t="s">
        <v>295</v>
      </c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29"/>
      <c r="AE21" s="129"/>
      <c r="AF21" s="129"/>
      <c r="AG21" s="129"/>
      <c r="AH21" s="129"/>
      <c r="AI21" s="129"/>
      <c r="AJ21" s="129"/>
      <c r="AK21" s="129"/>
      <c r="AL21" s="129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</row>
    <row r="22" spans="1:53" x14ac:dyDescent="0.2">
      <c r="A22" s="114"/>
      <c r="B22" s="125">
        <v>2</v>
      </c>
      <c r="C22" s="115" t="s">
        <v>295</v>
      </c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15"/>
      <c r="AS22" s="115"/>
      <c r="AT22" s="115"/>
      <c r="AU22" s="115"/>
      <c r="AV22" s="115"/>
      <c r="AW22" s="115"/>
      <c r="AX22" s="115"/>
      <c r="AY22" s="115"/>
    </row>
    <row r="23" spans="1:53" x14ac:dyDescent="0.2">
      <c r="A23" s="114"/>
      <c r="B23" s="132">
        <v>3</v>
      </c>
      <c r="C23" s="115" t="s">
        <v>295</v>
      </c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115"/>
      <c r="AK23" s="115"/>
      <c r="AL23" s="115"/>
      <c r="AM23" s="115"/>
      <c r="AN23" s="115"/>
      <c r="AO23" s="115"/>
      <c r="AP23" s="115"/>
      <c r="AQ23" s="115"/>
      <c r="AR23" s="115"/>
      <c r="AS23" s="115"/>
      <c r="AT23" s="115"/>
      <c r="AU23" s="115"/>
      <c r="AV23" s="115"/>
      <c r="AW23" s="115"/>
      <c r="AX23" s="115"/>
      <c r="AY23" s="115"/>
    </row>
    <row r="24" spans="1:53" x14ac:dyDescent="0.2">
      <c r="A24" s="133"/>
      <c r="B24" s="134">
        <v>4</v>
      </c>
      <c r="C24" s="133" t="s">
        <v>295</v>
      </c>
      <c r="D24" s="130">
        <v>0</v>
      </c>
      <c r="E24" s="130">
        <v>0</v>
      </c>
      <c r="F24" s="130">
        <v>0</v>
      </c>
      <c r="G24" s="130">
        <v>0</v>
      </c>
      <c r="H24" s="130">
        <v>0</v>
      </c>
      <c r="I24" s="130">
        <v>0</v>
      </c>
      <c r="J24" s="130">
        <v>0</v>
      </c>
      <c r="K24" s="130">
        <v>0</v>
      </c>
      <c r="L24" s="130">
        <v>0</v>
      </c>
      <c r="M24" s="130">
        <v>0</v>
      </c>
      <c r="N24" s="130">
        <v>0</v>
      </c>
      <c r="O24" s="130">
        <v>0</v>
      </c>
      <c r="P24" s="130">
        <v>0</v>
      </c>
      <c r="Q24" s="130">
        <v>0</v>
      </c>
      <c r="R24" s="130">
        <v>0</v>
      </c>
      <c r="S24" s="130">
        <v>0</v>
      </c>
      <c r="T24" s="130">
        <v>0</v>
      </c>
      <c r="U24" s="130">
        <v>0</v>
      </c>
      <c r="V24" s="130">
        <v>0</v>
      </c>
      <c r="W24" s="130">
        <v>0</v>
      </c>
      <c r="X24" s="130">
        <v>0</v>
      </c>
      <c r="Y24" s="130">
        <v>0</v>
      </c>
      <c r="Z24" s="130">
        <v>0</v>
      </c>
      <c r="AA24" s="130">
        <v>0</v>
      </c>
      <c r="AB24" s="130">
        <v>0</v>
      </c>
      <c r="AC24" s="130">
        <v>0</v>
      </c>
      <c r="AD24" s="130">
        <v>0</v>
      </c>
      <c r="AE24" s="130">
        <v>0</v>
      </c>
      <c r="AF24" s="130">
        <v>0</v>
      </c>
      <c r="AG24" s="130">
        <v>0</v>
      </c>
      <c r="AH24" s="130">
        <v>0</v>
      </c>
      <c r="AI24" s="130">
        <v>0</v>
      </c>
      <c r="AJ24" s="130">
        <v>0</v>
      </c>
      <c r="AK24" s="130">
        <v>0</v>
      </c>
      <c r="AL24" s="130">
        <v>0</v>
      </c>
      <c r="AM24" s="130">
        <v>0</v>
      </c>
      <c r="AN24" s="130">
        <v>0</v>
      </c>
      <c r="AO24" s="130">
        <v>0</v>
      </c>
      <c r="AP24" s="130">
        <v>0</v>
      </c>
      <c r="AQ24" s="130">
        <v>0</v>
      </c>
      <c r="AR24" s="130">
        <v>0</v>
      </c>
      <c r="AS24" s="130">
        <v>0</v>
      </c>
      <c r="AT24" s="130">
        <v>0</v>
      </c>
      <c r="AU24" s="130">
        <v>0</v>
      </c>
      <c r="AV24" s="130">
        <v>0</v>
      </c>
      <c r="AW24" s="130">
        <v>0</v>
      </c>
      <c r="AX24" s="130">
        <v>0</v>
      </c>
      <c r="AY24" s="130">
        <v>0</v>
      </c>
    </row>
    <row r="25" spans="1:53" x14ac:dyDescent="0.2">
      <c r="A25" s="131" t="s">
        <v>133</v>
      </c>
      <c r="B25" s="128">
        <v>1</v>
      </c>
      <c r="C25" s="114" t="s">
        <v>295</v>
      </c>
      <c r="D25" s="115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  <c r="AU25" s="115"/>
      <c r="AV25" s="115"/>
      <c r="AW25" s="115"/>
      <c r="AX25" s="115"/>
      <c r="AY25" s="115"/>
    </row>
    <row r="26" spans="1:53" x14ac:dyDescent="0.2">
      <c r="A26" s="114"/>
      <c r="B26" s="124">
        <v>2</v>
      </c>
      <c r="C26" s="114" t="s">
        <v>295</v>
      </c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5"/>
      <c r="AF26" s="115"/>
      <c r="AG26" s="115"/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115"/>
      <c r="AU26" s="115"/>
      <c r="AV26" s="115"/>
      <c r="AW26" s="115"/>
      <c r="AX26" s="115"/>
      <c r="AY26" s="115"/>
    </row>
    <row r="27" spans="1:53" x14ac:dyDescent="0.2">
      <c r="A27" s="114"/>
      <c r="B27" s="125">
        <v>3</v>
      </c>
      <c r="C27" s="114" t="s">
        <v>295</v>
      </c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</row>
    <row r="28" spans="1:53" x14ac:dyDescent="0.2">
      <c r="A28" s="114"/>
      <c r="B28" s="125">
        <v>4</v>
      </c>
      <c r="C28" s="114" t="s">
        <v>295</v>
      </c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115"/>
      <c r="AU28" s="115"/>
      <c r="AV28" s="115"/>
      <c r="AW28" s="115"/>
      <c r="AX28" s="115"/>
      <c r="AY28" s="115"/>
    </row>
    <row r="29" spans="1:53" x14ac:dyDescent="0.2">
      <c r="A29" s="114"/>
      <c r="B29" s="132">
        <v>5</v>
      </c>
      <c r="C29" s="114" t="s">
        <v>295</v>
      </c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5"/>
      <c r="AN29" s="115"/>
      <c r="AO29" s="115"/>
      <c r="AP29" s="115"/>
      <c r="AQ29" s="115"/>
      <c r="AR29" s="115"/>
      <c r="AS29" s="115"/>
      <c r="AT29" s="115"/>
      <c r="AU29" s="115"/>
      <c r="AV29" s="115"/>
      <c r="AW29" s="115"/>
      <c r="AX29" s="115"/>
      <c r="AY29" s="115"/>
    </row>
    <row r="30" spans="1:53" x14ac:dyDescent="0.2">
      <c r="A30" s="114"/>
      <c r="B30" s="132">
        <v>6</v>
      </c>
      <c r="C30" s="114" t="s">
        <v>295</v>
      </c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5"/>
      <c r="AF30" s="115"/>
      <c r="AG30" s="115"/>
      <c r="AH30" s="115"/>
      <c r="AI30" s="115"/>
      <c r="AJ30" s="115"/>
      <c r="AK30" s="115"/>
      <c r="AL30" s="115"/>
      <c r="AM30" s="115"/>
      <c r="AN30" s="115"/>
      <c r="AO30" s="115"/>
      <c r="AP30" s="115"/>
      <c r="AQ30" s="115"/>
      <c r="AR30" s="115"/>
      <c r="AS30" s="115"/>
      <c r="AT30" s="115"/>
      <c r="AU30" s="115"/>
      <c r="AV30" s="115"/>
      <c r="AW30" s="115"/>
      <c r="AX30" s="115"/>
      <c r="AY30" s="115"/>
    </row>
    <row r="31" spans="1:53" x14ac:dyDescent="0.2">
      <c r="A31" s="114"/>
      <c r="B31" s="135">
        <v>7</v>
      </c>
      <c r="C31" s="114" t="s">
        <v>295</v>
      </c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5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  <c r="AU31" s="115"/>
      <c r="AV31" s="115"/>
      <c r="AW31" s="115"/>
      <c r="AX31" s="115"/>
      <c r="AY31" s="115"/>
    </row>
    <row r="32" spans="1:53" x14ac:dyDescent="0.2">
      <c r="A32" s="133"/>
      <c r="B32" s="134">
        <v>8</v>
      </c>
      <c r="C32" s="133" t="s">
        <v>295</v>
      </c>
      <c r="D32" s="130">
        <v>0</v>
      </c>
      <c r="E32" s="130">
        <v>0</v>
      </c>
      <c r="F32" s="130">
        <v>0</v>
      </c>
      <c r="G32" s="130">
        <v>0</v>
      </c>
      <c r="H32" s="130">
        <v>0</v>
      </c>
      <c r="I32" s="130">
        <v>0</v>
      </c>
      <c r="J32" s="130">
        <v>0</v>
      </c>
      <c r="K32" s="130">
        <v>0</v>
      </c>
      <c r="L32" s="130">
        <v>0</v>
      </c>
      <c r="M32" s="130">
        <v>0</v>
      </c>
      <c r="N32" s="130">
        <v>0</v>
      </c>
      <c r="O32" s="130">
        <v>0</v>
      </c>
      <c r="P32" s="130">
        <v>0</v>
      </c>
      <c r="Q32" s="130">
        <v>0</v>
      </c>
      <c r="R32" s="130">
        <v>0</v>
      </c>
      <c r="S32" s="130">
        <v>0</v>
      </c>
      <c r="T32" s="130">
        <v>0</v>
      </c>
      <c r="U32" s="130">
        <v>0</v>
      </c>
      <c r="V32" s="130">
        <v>0</v>
      </c>
      <c r="W32" s="130">
        <v>0</v>
      </c>
      <c r="X32" s="130">
        <v>0</v>
      </c>
      <c r="Y32" s="130">
        <v>0</v>
      </c>
      <c r="Z32" s="130">
        <v>0</v>
      </c>
      <c r="AA32" s="130">
        <v>0</v>
      </c>
      <c r="AB32" s="130">
        <v>0</v>
      </c>
      <c r="AC32" s="130">
        <v>0</v>
      </c>
      <c r="AD32" s="130">
        <v>0</v>
      </c>
      <c r="AE32" s="130">
        <v>0</v>
      </c>
      <c r="AF32" s="130">
        <v>0</v>
      </c>
      <c r="AG32" s="130">
        <v>0</v>
      </c>
      <c r="AH32" s="130">
        <v>0</v>
      </c>
      <c r="AI32" s="130">
        <v>0</v>
      </c>
      <c r="AJ32" s="130">
        <v>0</v>
      </c>
      <c r="AK32" s="130">
        <v>0</v>
      </c>
      <c r="AL32" s="130">
        <v>0</v>
      </c>
      <c r="AM32" s="130">
        <v>0</v>
      </c>
      <c r="AN32" s="130">
        <v>0</v>
      </c>
      <c r="AO32" s="130">
        <v>0</v>
      </c>
      <c r="AP32" s="130">
        <v>0</v>
      </c>
      <c r="AQ32" s="130">
        <v>0</v>
      </c>
      <c r="AR32" s="130">
        <v>0</v>
      </c>
      <c r="AS32" s="130">
        <v>0</v>
      </c>
      <c r="AT32" s="130">
        <v>0</v>
      </c>
      <c r="AU32" s="130">
        <v>0</v>
      </c>
      <c r="AV32" s="130">
        <v>0</v>
      </c>
      <c r="AW32" s="130">
        <v>0</v>
      </c>
      <c r="AX32" s="130">
        <v>0</v>
      </c>
      <c r="AY32" s="130">
        <v>0</v>
      </c>
    </row>
    <row r="33" spans="1:51" x14ac:dyDescent="0.2">
      <c r="A33" s="136" t="s">
        <v>134</v>
      </c>
      <c r="B33" s="124">
        <v>1</v>
      </c>
      <c r="C33" s="114" t="s">
        <v>295</v>
      </c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  <c r="AW33" s="111"/>
      <c r="AX33" s="111"/>
      <c r="AY33" s="111"/>
    </row>
    <row r="34" spans="1:51" x14ac:dyDescent="0.2">
      <c r="A34" s="114"/>
      <c r="B34" s="124">
        <v>2</v>
      </c>
      <c r="C34" s="114" t="s">
        <v>295</v>
      </c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  <c r="AU34" s="111"/>
      <c r="AV34" s="111"/>
      <c r="AW34" s="111"/>
      <c r="AX34" s="111"/>
      <c r="AY34" s="111"/>
    </row>
    <row r="35" spans="1:51" x14ac:dyDescent="0.2">
      <c r="A35" s="114"/>
      <c r="B35" s="124">
        <v>3</v>
      </c>
      <c r="C35" s="114" t="s">
        <v>295</v>
      </c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1"/>
      <c r="AL35" s="111"/>
      <c r="AM35" s="111"/>
      <c r="AN35" s="111"/>
      <c r="AO35" s="111"/>
      <c r="AP35" s="111"/>
      <c r="AQ35" s="111"/>
      <c r="AR35" s="111"/>
      <c r="AS35" s="111"/>
      <c r="AT35" s="111"/>
      <c r="AU35" s="111"/>
      <c r="AV35" s="111"/>
      <c r="AW35" s="111"/>
      <c r="AX35" s="111"/>
      <c r="AY35" s="111"/>
    </row>
    <row r="36" spans="1:51" x14ac:dyDescent="0.2">
      <c r="A36" s="114"/>
      <c r="B36" s="125">
        <v>4</v>
      </c>
      <c r="C36" s="114" t="s">
        <v>295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  <c r="AL36" s="111"/>
      <c r="AM36" s="111"/>
      <c r="AN36" s="111"/>
      <c r="AO36" s="111"/>
      <c r="AP36" s="111"/>
      <c r="AQ36" s="111"/>
      <c r="AR36" s="111"/>
      <c r="AS36" s="111"/>
      <c r="AT36" s="111"/>
      <c r="AU36" s="111"/>
      <c r="AV36" s="111"/>
      <c r="AW36" s="111"/>
      <c r="AX36" s="111"/>
      <c r="AY36" s="111"/>
    </row>
    <row r="37" spans="1:51" x14ac:dyDescent="0.2">
      <c r="A37" s="114"/>
      <c r="B37" s="125">
        <v>5</v>
      </c>
      <c r="C37" s="114" t="s">
        <v>295</v>
      </c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  <c r="AH37" s="111"/>
      <c r="AI37" s="111"/>
      <c r="AJ37" s="111"/>
      <c r="AK37" s="111"/>
      <c r="AL37" s="111"/>
      <c r="AM37" s="111"/>
      <c r="AN37" s="111"/>
      <c r="AO37" s="111"/>
      <c r="AP37" s="111"/>
      <c r="AQ37" s="111"/>
      <c r="AR37" s="111"/>
      <c r="AS37" s="111"/>
      <c r="AT37" s="111"/>
      <c r="AU37" s="111"/>
      <c r="AV37" s="111"/>
      <c r="AW37" s="111"/>
      <c r="AX37" s="111"/>
      <c r="AY37" s="111"/>
    </row>
    <row r="38" spans="1:51" x14ac:dyDescent="0.2">
      <c r="A38" s="114"/>
      <c r="B38" s="125">
        <v>6</v>
      </c>
      <c r="C38" s="114" t="s">
        <v>295</v>
      </c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  <c r="AL38" s="111"/>
      <c r="AM38" s="111"/>
      <c r="AN38" s="111"/>
      <c r="AO38" s="111"/>
      <c r="AP38" s="111"/>
      <c r="AQ38" s="111"/>
      <c r="AR38" s="111"/>
      <c r="AS38" s="111"/>
      <c r="AT38" s="111"/>
      <c r="AU38" s="111"/>
      <c r="AV38" s="111"/>
      <c r="AW38" s="111"/>
      <c r="AX38" s="111"/>
      <c r="AY38" s="111"/>
    </row>
    <row r="39" spans="1:51" x14ac:dyDescent="0.2">
      <c r="A39" s="114"/>
      <c r="B39" s="132">
        <v>7</v>
      </c>
      <c r="C39" s="114" t="s">
        <v>295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  <c r="AU39" s="111"/>
      <c r="AV39" s="111"/>
      <c r="AW39" s="111"/>
      <c r="AX39" s="111"/>
      <c r="AY39" s="111"/>
    </row>
    <row r="40" spans="1:51" x14ac:dyDescent="0.2">
      <c r="A40" s="114"/>
      <c r="B40" s="132">
        <v>8</v>
      </c>
      <c r="C40" s="114" t="s">
        <v>295</v>
      </c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  <c r="AU40" s="111"/>
      <c r="AV40" s="111"/>
      <c r="AW40" s="111"/>
      <c r="AX40" s="111"/>
      <c r="AY40" s="111"/>
    </row>
    <row r="41" spans="1:51" x14ac:dyDescent="0.2">
      <c r="A41" s="114"/>
      <c r="B41" s="132">
        <v>9</v>
      </c>
      <c r="C41" s="114" t="s">
        <v>295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  <c r="AU41" s="111"/>
      <c r="AV41" s="111"/>
      <c r="AW41" s="111"/>
      <c r="AX41" s="111"/>
      <c r="AY41" s="111"/>
    </row>
    <row r="42" spans="1:51" x14ac:dyDescent="0.2">
      <c r="A42" s="114"/>
      <c r="B42" s="135">
        <v>10</v>
      </c>
      <c r="C42" s="114" t="s">
        <v>295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  <c r="AU42" s="111"/>
      <c r="AV42" s="111"/>
      <c r="AW42" s="111"/>
      <c r="AX42" s="111"/>
      <c r="AY42" s="111"/>
    </row>
    <row r="43" spans="1:51" x14ac:dyDescent="0.2">
      <c r="A43" s="114"/>
      <c r="B43" s="135">
        <v>11</v>
      </c>
      <c r="C43" s="114" t="s">
        <v>295</v>
      </c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  <c r="AB43" s="111"/>
      <c r="AC43" s="111"/>
      <c r="AD43" s="111"/>
      <c r="AE43" s="111"/>
      <c r="AF43" s="111"/>
      <c r="AG43" s="111"/>
      <c r="AH43" s="111"/>
      <c r="AI43" s="111"/>
      <c r="AJ43" s="111"/>
      <c r="AK43" s="111"/>
      <c r="AL43" s="111"/>
      <c r="AM43" s="111"/>
      <c r="AN43" s="111"/>
      <c r="AO43" s="111"/>
      <c r="AP43" s="111"/>
      <c r="AQ43" s="111"/>
      <c r="AR43" s="111"/>
      <c r="AS43" s="111"/>
      <c r="AT43" s="111"/>
      <c r="AU43" s="111"/>
      <c r="AV43" s="111"/>
      <c r="AW43" s="111"/>
      <c r="AX43" s="111"/>
      <c r="AY43" s="111"/>
    </row>
    <row r="44" spans="1:51" x14ac:dyDescent="0.2">
      <c r="A44" s="114"/>
      <c r="B44" s="135">
        <v>12</v>
      </c>
      <c r="C44" s="133" t="s">
        <v>295</v>
      </c>
      <c r="D44" s="111">
        <v>0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0</v>
      </c>
      <c r="K44" s="111">
        <v>0</v>
      </c>
      <c r="L44" s="111">
        <v>0</v>
      </c>
      <c r="M44" s="111">
        <v>0</v>
      </c>
      <c r="N44" s="111">
        <v>0</v>
      </c>
      <c r="O44" s="111">
        <v>0</v>
      </c>
      <c r="P44" s="111">
        <v>0</v>
      </c>
      <c r="Q44" s="111">
        <v>0</v>
      </c>
      <c r="R44" s="111">
        <v>0</v>
      </c>
      <c r="S44" s="111">
        <v>0</v>
      </c>
      <c r="T44" s="111">
        <v>0</v>
      </c>
      <c r="U44" s="111">
        <v>0</v>
      </c>
      <c r="V44" s="111">
        <v>0</v>
      </c>
      <c r="W44" s="111">
        <v>0</v>
      </c>
      <c r="X44" s="111">
        <v>0</v>
      </c>
      <c r="Y44" s="111">
        <v>0</v>
      </c>
      <c r="Z44" s="111">
        <v>0</v>
      </c>
      <c r="AA44" s="111">
        <v>0</v>
      </c>
      <c r="AB44" s="111">
        <v>0</v>
      </c>
      <c r="AC44" s="111">
        <v>0</v>
      </c>
      <c r="AD44" s="111">
        <v>0</v>
      </c>
      <c r="AE44" s="111">
        <v>0</v>
      </c>
      <c r="AF44" s="111">
        <v>0</v>
      </c>
      <c r="AG44" s="111">
        <v>0</v>
      </c>
      <c r="AH44" s="111">
        <v>0</v>
      </c>
      <c r="AI44" s="111">
        <v>0</v>
      </c>
      <c r="AJ44" s="111">
        <v>0</v>
      </c>
      <c r="AK44" s="111">
        <v>0</v>
      </c>
      <c r="AL44" s="111">
        <v>0</v>
      </c>
      <c r="AM44" s="111">
        <v>0</v>
      </c>
      <c r="AN44" s="111">
        <v>0</v>
      </c>
      <c r="AO44" s="111">
        <v>0</v>
      </c>
      <c r="AP44" s="111">
        <v>0</v>
      </c>
      <c r="AQ44" s="111">
        <v>0</v>
      </c>
      <c r="AR44" s="111">
        <v>0</v>
      </c>
      <c r="AS44" s="111">
        <v>0</v>
      </c>
      <c r="AT44" s="111">
        <v>0</v>
      </c>
      <c r="AU44" s="111">
        <v>0</v>
      </c>
      <c r="AV44" s="111">
        <v>0</v>
      </c>
      <c r="AW44" s="111">
        <v>0</v>
      </c>
      <c r="AX44" s="111">
        <v>0</v>
      </c>
      <c r="AY44" s="111">
        <v>0</v>
      </c>
    </row>
    <row r="45" spans="1:51" x14ac:dyDescent="0.2">
      <c r="A45" s="131" t="s">
        <v>123</v>
      </c>
      <c r="B45" s="128">
        <v>1</v>
      </c>
      <c r="C45" s="114" t="s">
        <v>295</v>
      </c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</row>
    <row r="46" spans="1:51" x14ac:dyDescent="0.2">
      <c r="A46" s="114"/>
      <c r="B46" s="124">
        <v>2</v>
      </c>
      <c r="C46" s="114" t="s">
        <v>295</v>
      </c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</row>
    <row r="47" spans="1:51" x14ac:dyDescent="0.2">
      <c r="A47" s="114"/>
      <c r="B47" s="124">
        <v>3</v>
      </c>
      <c r="C47" s="114" t="s">
        <v>295</v>
      </c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</row>
    <row r="48" spans="1:51" x14ac:dyDescent="0.2">
      <c r="A48" s="114"/>
      <c r="B48" s="124">
        <v>4</v>
      </c>
      <c r="C48" s="114" t="s">
        <v>295</v>
      </c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</row>
    <row r="49" spans="1:51" x14ac:dyDescent="0.2">
      <c r="A49" s="114"/>
      <c r="B49" s="124">
        <v>5</v>
      </c>
      <c r="C49" s="114" t="s">
        <v>295</v>
      </c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</row>
    <row r="50" spans="1:51" x14ac:dyDescent="0.2">
      <c r="A50" s="114"/>
      <c r="B50" s="124">
        <v>6</v>
      </c>
      <c r="C50" s="114" t="s">
        <v>295</v>
      </c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</row>
    <row r="51" spans="1:51" x14ac:dyDescent="0.2">
      <c r="A51" s="114"/>
      <c r="B51" s="124">
        <v>7</v>
      </c>
      <c r="C51" s="114" t="s">
        <v>295</v>
      </c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  <c r="AH51" s="115"/>
      <c r="AI51" s="115"/>
      <c r="AJ51" s="115"/>
      <c r="AK51" s="115"/>
      <c r="AL51" s="115"/>
      <c r="AM51" s="115"/>
      <c r="AN51" s="115"/>
      <c r="AO51" s="115"/>
      <c r="AP51" s="115"/>
      <c r="AQ51" s="115"/>
      <c r="AR51" s="115"/>
      <c r="AS51" s="115"/>
      <c r="AT51" s="115"/>
      <c r="AU51" s="115"/>
      <c r="AV51" s="115"/>
      <c r="AW51" s="115"/>
      <c r="AX51" s="115"/>
      <c r="AY51" s="115"/>
    </row>
    <row r="52" spans="1:51" x14ac:dyDescent="0.2">
      <c r="A52" s="114"/>
      <c r="B52" s="124">
        <v>8</v>
      </c>
      <c r="C52" s="114" t="s">
        <v>295</v>
      </c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5"/>
    </row>
    <row r="53" spans="1:51" x14ac:dyDescent="0.2">
      <c r="A53" s="114"/>
      <c r="B53" s="124">
        <v>9</v>
      </c>
      <c r="C53" s="114" t="s">
        <v>295</v>
      </c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</row>
    <row r="54" spans="1:51" x14ac:dyDescent="0.2">
      <c r="A54" s="114"/>
      <c r="B54" s="124">
        <v>10</v>
      </c>
      <c r="C54" s="114" t="s">
        <v>295</v>
      </c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</row>
    <row r="55" spans="1:51" x14ac:dyDescent="0.2">
      <c r="A55" s="114"/>
      <c r="B55" s="124">
        <v>11</v>
      </c>
      <c r="C55" s="114" t="s">
        <v>295</v>
      </c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115"/>
      <c r="AQ55" s="115"/>
      <c r="AR55" s="115"/>
      <c r="AS55" s="115"/>
      <c r="AT55" s="115"/>
      <c r="AU55" s="115"/>
      <c r="AV55" s="115"/>
      <c r="AW55" s="115"/>
      <c r="AX55" s="115"/>
      <c r="AY55" s="115"/>
    </row>
    <row r="56" spans="1:51" x14ac:dyDescent="0.2">
      <c r="A56" s="114"/>
      <c r="B56" s="124">
        <v>12</v>
      </c>
      <c r="C56" s="114" t="s">
        <v>295</v>
      </c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5"/>
      <c r="AP56" s="115"/>
      <c r="AQ56" s="115"/>
      <c r="AR56" s="115"/>
      <c r="AS56" s="115"/>
      <c r="AT56" s="115"/>
      <c r="AU56" s="115"/>
      <c r="AV56" s="115"/>
      <c r="AW56" s="115"/>
      <c r="AX56" s="115"/>
      <c r="AY56" s="115"/>
    </row>
    <row r="57" spans="1:51" x14ac:dyDescent="0.2">
      <c r="A57" s="114"/>
      <c r="B57" s="125">
        <v>13</v>
      </c>
      <c r="C57" s="114" t="s">
        <v>295</v>
      </c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  <c r="AY57" s="115"/>
    </row>
    <row r="58" spans="1:51" x14ac:dyDescent="0.2">
      <c r="A58" s="114"/>
      <c r="B58" s="125">
        <v>14</v>
      </c>
      <c r="C58" s="114" t="s">
        <v>295</v>
      </c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</row>
    <row r="59" spans="1:51" x14ac:dyDescent="0.2">
      <c r="A59" s="114"/>
      <c r="B59" s="125">
        <v>15</v>
      </c>
      <c r="C59" s="114" t="s">
        <v>295</v>
      </c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</row>
    <row r="60" spans="1:51" x14ac:dyDescent="0.2">
      <c r="A60" s="114"/>
      <c r="B60" s="125">
        <v>16</v>
      </c>
      <c r="C60" s="114" t="s">
        <v>295</v>
      </c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</row>
    <row r="61" spans="1:51" x14ac:dyDescent="0.2">
      <c r="A61" s="114"/>
      <c r="B61" s="125">
        <v>17</v>
      </c>
      <c r="C61" s="114" t="s">
        <v>295</v>
      </c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  <c r="AH61" s="115"/>
      <c r="AI61" s="115"/>
      <c r="AJ61" s="115"/>
      <c r="AK61" s="115"/>
      <c r="AL61" s="115"/>
      <c r="AM61" s="115"/>
      <c r="AN61" s="115"/>
      <c r="AO61" s="115"/>
      <c r="AP61" s="115"/>
      <c r="AQ61" s="115"/>
      <c r="AR61" s="115"/>
      <c r="AS61" s="115"/>
      <c r="AT61" s="115"/>
      <c r="AU61" s="115"/>
      <c r="AV61" s="115"/>
      <c r="AW61" s="115"/>
      <c r="AX61" s="115"/>
      <c r="AY61" s="115"/>
    </row>
    <row r="62" spans="1:51" x14ac:dyDescent="0.2">
      <c r="A62" s="114"/>
      <c r="B62" s="125">
        <v>18</v>
      </c>
      <c r="C62" s="114" t="s">
        <v>295</v>
      </c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5"/>
      <c r="AM62" s="115"/>
      <c r="AN62" s="115"/>
      <c r="AO62" s="115"/>
      <c r="AP62" s="115"/>
      <c r="AQ62" s="115"/>
      <c r="AR62" s="115"/>
      <c r="AS62" s="115"/>
      <c r="AT62" s="115"/>
      <c r="AU62" s="115"/>
      <c r="AV62" s="115"/>
      <c r="AW62" s="115"/>
      <c r="AX62" s="115"/>
      <c r="AY62" s="115"/>
    </row>
    <row r="63" spans="1:51" x14ac:dyDescent="0.2">
      <c r="A63" s="114"/>
      <c r="B63" s="125">
        <v>19</v>
      </c>
      <c r="C63" s="114" t="s">
        <v>295</v>
      </c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</row>
    <row r="64" spans="1:51" x14ac:dyDescent="0.2">
      <c r="A64" s="114"/>
      <c r="B64" s="125">
        <v>20</v>
      </c>
      <c r="C64" s="114" t="s">
        <v>295</v>
      </c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</row>
    <row r="65" spans="1:51" x14ac:dyDescent="0.2">
      <c r="A65" s="114"/>
      <c r="B65" s="125">
        <v>21</v>
      </c>
      <c r="C65" s="114" t="s">
        <v>295</v>
      </c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  <c r="AH65" s="115"/>
      <c r="AI65" s="115"/>
      <c r="AJ65" s="115"/>
      <c r="AK65" s="115"/>
      <c r="AL65" s="115"/>
      <c r="AM65" s="115"/>
      <c r="AN65" s="115"/>
      <c r="AO65" s="115"/>
      <c r="AP65" s="115"/>
      <c r="AQ65" s="115"/>
      <c r="AR65" s="115"/>
      <c r="AS65" s="115"/>
      <c r="AT65" s="115"/>
      <c r="AU65" s="115"/>
      <c r="AV65" s="115"/>
      <c r="AW65" s="115"/>
      <c r="AX65" s="115"/>
      <c r="AY65" s="115"/>
    </row>
    <row r="66" spans="1:51" x14ac:dyDescent="0.2">
      <c r="A66" s="114"/>
      <c r="B66" s="125">
        <v>22</v>
      </c>
      <c r="C66" s="114" t="s">
        <v>295</v>
      </c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  <c r="AH66" s="115"/>
      <c r="AI66" s="115"/>
      <c r="AJ66" s="115"/>
      <c r="AK66" s="115"/>
      <c r="AL66" s="115"/>
      <c r="AM66" s="115"/>
      <c r="AN66" s="115"/>
      <c r="AO66" s="115"/>
      <c r="AP66" s="115"/>
      <c r="AQ66" s="115"/>
      <c r="AR66" s="115"/>
      <c r="AS66" s="115"/>
      <c r="AT66" s="115"/>
      <c r="AU66" s="115"/>
      <c r="AV66" s="115"/>
      <c r="AW66" s="115"/>
      <c r="AX66" s="115"/>
      <c r="AY66" s="115"/>
    </row>
    <row r="67" spans="1:51" x14ac:dyDescent="0.2">
      <c r="A67" s="114"/>
      <c r="B67" s="125">
        <v>23</v>
      </c>
      <c r="C67" s="114" t="s">
        <v>295</v>
      </c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</row>
    <row r="68" spans="1:51" x14ac:dyDescent="0.2">
      <c r="A68" s="114"/>
      <c r="B68" s="125">
        <v>24</v>
      </c>
      <c r="C68" s="114" t="s">
        <v>295</v>
      </c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5"/>
      <c r="AI68" s="115"/>
      <c r="AJ68" s="115"/>
      <c r="AK68" s="115"/>
      <c r="AL68" s="115"/>
      <c r="AM68" s="115"/>
      <c r="AN68" s="115"/>
      <c r="AO68" s="115"/>
      <c r="AP68" s="115"/>
      <c r="AQ68" s="115"/>
      <c r="AR68" s="115"/>
      <c r="AS68" s="115"/>
      <c r="AT68" s="115"/>
      <c r="AU68" s="115"/>
      <c r="AV68" s="115"/>
      <c r="AW68" s="115"/>
      <c r="AX68" s="115"/>
      <c r="AY68" s="115"/>
    </row>
    <row r="69" spans="1:51" x14ac:dyDescent="0.2">
      <c r="A69" s="114"/>
      <c r="B69" s="132">
        <v>25</v>
      </c>
      <c r="C69" s="114" t="s">
        <v>295</v>
      </c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</row>
    <row r="70" spans="1:51" x14ac:dyDescent="0.2">
      <c r="A70" s="114"/>
      <c r="B70" s="132">
        <v>26</v>
      </c>
      <c r="C70" s="114" t="s">
        <v>295</v>
      </c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</row>
    <row r="71" spans="1:51" x14ac:dyDescent="0.2">
      <c r="A71" s="114"/>
      <c r="B71" s="132">
        <v>27</v>
      </c>
      <c r="C71" s="114" t="s">
        <v>295</v>
      </c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</row>
    <row r="72" spans="1:51" x14ac:dyDescent="0.2">
      <c r="A72" s="114"/>
      <c r="B72" s="132">
        <v>28</v>
      </c>
      <c r="C72" s="114" t="s">
        <v>295</v>
      </c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  <c r="AY72" s="115"/>
    </row>
    <row r="73" spans="1:51" x14ac:dyDescent="0.2">
      <c r="A73" s="114"/>
      <c r="B73" s="132">
        <v>29</v>
      </c>
      <c r="C73" s="114" t="s">
        <v>295</v>
      </c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  <c r="AY73" s="115"/>
    </row>
    <row r="74" spans="1:51" x14ac:dyDescent="0.2">
      <c r="A74" s="114"/>
      <c r="B74" s="132">
        <v>30</v>
      </c>
      <c r="C74" s="114" t="s">
        <v>295</v>
      </c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  <c r="AY74" s="115"/>
    </row>
    <row r="75" spans="1:51" x14ac:dyDescent="0.2">
      <c r="A75" s="114"/>
      <c r="B75" s="132">
        <v>31</v>
      </c>
      <c r="C75" s="114" t="s">
        <v>295</v>
      </c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  <c r="AY75" s="115"/>
    </row>
    <row r="76" spans="1:51" x14ac:dyDescent="0.2">
      <c r="A76" s="114"/>
      <c r="B76" s="132">
        <v>32</v>
      </c>
      <c r="C76" s="114" t="s">
        <v>295</v>
      </c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</row>
    <row r="77" spans="1:51" x14ac:dyDescent="0.2">
      <c r="A77" s="114"/>
      <c r="B77" s="132">
        <v>33</v>
      </c>
      <c r="C77" s="114" t="s">
        <v>295</v>
      </c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</row>
    <row r="78" spans="1:51" x14ac:dyDescent="0.2">
      <c r="A78" s="114"/>
      <c r="B78" s="132">
        <v>34</v>
      </c>
      <c r="C78" s="114" t="s">
        <v>295</v>
      </c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</row>
    <row r="79" spans="1:51" x14ac:dyDescent="0.2">
      <c r="A79" s="114"/>
      <c r="B79" s="132">
        <v>35</v>
      </c>
      <c r="C79" s="114" t="s">
        <v>295</v>
      </c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  <c r="AY79" s="115"/>
    </row>
    <row r="80" spans="1:51" x14ac:dyDescent="0.2">
      <c r="A80" s="114"/>
      <c r="B80" s="132">
        <v>36</v>
      </c>
      <c r="C80" s="114" t="s">
        <v>295</v>
      </c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</row>
    <row r="81" spans="1:52" x14ac:dyDescent="0.2">
      <c r="A81" s="114"/>
      <c r="B81" s="135">
        <v>37</v>
      </c>
      <c r="C81" s="114" t="s">
        <v>295</v>
      </c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</row>
    <row r="82" spans="1:52" x14ac:dyDescent="0.2">
      <c r="A82" s="114"/>
      <c r="B82" s="135">
        <v>38</v>
      </c>
      <c r="C82" s="114" t="s">
        <v>295</v>
      </c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</row>
    <row r="83" spans="1:52" x14ac:dyDescent="0.2">
      <c r="A83" s="114"/>
      <c r="B83" s="135">
        <v>39</v>
      </c>
      <c r="C83" s="114" t="s">
        <v>295</v>
      </c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</row>
    <row r="84" spans="1:52" x14ac:dyDescent="0.2">
      <c r="A84" s="114"/>
      <c r="B84" s="135">
        <v>40</v>
      </c>
      <c r="C84" s="114" t="s">
        <v>295</v>
      </c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  <c r="AY84" s="115"/>
    </row>
    <row r="85" spans="1:52" x14ac:dyDescent="0.2">
      <c r="A85" s="114"/>
      <c r="B85" s="135">
        <v>41</v>
      </c>
      <c r="C85" s="114" t="s">
        <v>295</v>
      </c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  <c r="AR85" s="115"/>
      <c r="AS85" s="115"/>
      <c r="AT85" s="115"/>
      <c r="AU85" s="115"/>
      <c r="AV85" s="115"/>
      <c r="AW85" s="115"/>
      <c r="AX85" s="115"/>
      <c r="AY85" s="115"/>
    </row>
    <row r="86" spans="1:52" x14ac:dyDescent="0.2">
      <c r="A86" s="114"/>
      <c r="B86" s="135">
        <v>42</v>
      </c>
      <c r="C86" s="114" t="s">
        <v>295</v>
      </c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  <c r="AR86" s="115"/>
      <c r="AS86" s="115"/>
      <c r="AT86" s="115"/>
      <c r="AU86" s="115"/>
      <c r="AV86" s="115"/>
      <c r="AW86" s="115"/>
      <c r="AX86" s="115"/>
      <c r="AY86" s="115"/>
    </row>
    <row r="87" spans="1:52" x14ac:dyDescent="0.2">
      <c r="A87" s="114"/>
      <c r="B87" s="135">
        <v>43</v>
      </c>
      <c r="C87" s="114" t="s">
        <v>295</v>
      </c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</row>
    <row r="88" spans="1:52" x14ac:dyDescent="0.2">
      <c r="A88" s="114"/>
      <c r="B88" s="135">
        <v>44</v>
      </c>
      <c r="C88" s="114" t="s">
        <v>295</v>
      </c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  <c r="AY88" s="115"/>
    </row>
    <row r="89" spans="1:52" x14ac:dyDescent="0.2">
      <c r="A89" s="114"/>
      <c r="B89" s="135">
        <v>45</v>
      </c>
      <c r="C89" s="114" t="s">
        <v>295</v>
      </c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  <c r="AH89" s="115"/>
      <c r="AI89" s="115"/>
      <c r="AJ89" s="115"/>
      <c r="AK89" s="115"/>
      <c r="AL89" s="115"/>
      <c r="AM89" s="115"/>
      <c r="AN89" s="115"/>
      <c r="AO89" s="115"/>
      <c r="AP89" s="115"/>
      <c r="AQ89" s="115"/>
      <c r="AR89" s="115"/>
      <c r="AS89" s="115"/>
      <c r="AT89" s="115"/>
      <c r="AU89" s="115"/>
      <c r="AV89" s="115"/>
      <c r="AW89" s="115"/>
      <c r="AX89" s="115"/>
      <c r="AY89" s="115"/>
    </row>
    <row r="90" spans="1:52" x14ac:dyDescent="0.2">
      <c r="A90" s="114"/>
      <c r="B90" s="135">
        <v>46</v>
      </c>
      <c r="C90" s="114" t="s">
        <v>295</v>
      </c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  <c r="AR90" s="115"/>
      <c r="AS90" s="115"/>
      <c r="AT90" s="115"/>
      <c r="AU90" s="115"/>
      <c r="AV90" s="115"/>
      <c r="AW90" s="115"/>
      <c r="AX90" s="115"/>
      <c r="AY90" s="115"/>
    </row>
    <row r="91" spans="1:52" x14ac:dyDescent="0.2">
      <c r="A91" s="114"/>
      <c r="B91" s="135">
        <v>47</v>
      </c>
      <c r="C91" s="114" t="s">
        <v>295</v>
      </c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/>
      <c r="AN91" s="115"/>
      <c r="AO91" s="115"/>
      <c r="AP91" s="115"/>
      <c r="AQ91" s="115"/>
      <c r="AR91" s="115"/>
      <c r="AS91" s="115"/>
      <c r="AT91" s="115"/>
      <c r="AU91" s="115"/>
      <c r="AV91" s="115"/>
      <c r="AW91" s="115"/>
      <c r="AX91" s="115"/>
      <c r="AY91" s="115"/>
    </row>
    <row r="92" spans="1:52" x14ac:dyDescent="0.2">
      <c r="A92" s="133"/>
      <c r="B92" s="134">
        <v>48</v>
      </c>
      <c r="C92" s="133" t="s">
        <v>295</v>
      </c>
      <c r="D92" s="130">
        <v>0</v>
      </c>
      <c r="E92" s="130">
        <v>0</v>
      </c>
      <c r="F92" s="130">
        <v>0</v>
      </c>
      <c r="G92" s="130">
        <v>0</v>
      </c>
      <c r="H92" s="130">
        <v>0</v>
      </c>
      <c r="I92" s="130">
        <v>0</v>
      </c>
      <c r="J92" s="130">
        <v>0</v>
      </c>
      <c r="K92" s="130">
        <v>0</v>
      </c>
      <c r="L92" s="130">
        <v>0</v>
      </c>
      <c r="M92" s="130">
        <v>0</v>
      </c>
      <c r="N92" s="130">
        <v>0</v>
      </c>
      <c r="O92" s="130">
        <v>0</v>
      </c>
      <c r="P92" s="130">
        <v>0</v>
      </c>
      <c r="Q92" s="130">
        <v>0</v>
      </c>
      <c r="R92" s="130">
        <v>0</v>
      </c>
      <c r="S92" s="130">
        <v>0</v>
      </c>
      <c r="T92" s="130">
        <v>0</v>
      </c>
      <c r="U92" s="130">
        <v>0</v>
      </c>
      <c r="V92" s="130">
        <v>0</v>
      </c>
      <c r="W92" s="130">
        <v>0</v>
      </c>
      <c r="X92" s="130">
        <v>0</v>
      </c>
      <c r="Y92" s="130">
        <v>0</v>
      </c>
      <c r="Z92" s="130">
        <v>0</v>
      </c>
      <c r="AA92" s="130">
        <v>0</v>
      </c>
      <c r="AB92" s="130">
        <v>0</v>
      </c>
      <c r="AC92" s="130">
        <v>0</v>
      </c>
      <c r="AD92" s="130">
        <v>0</v>
      </c>
      <c r="AE92" s="130">
        <v>0</v>
      </c>
      <c r="AF92" s="130">
        <v>0</v>
      </c>
      <c r="AG92" s="130">
        <v>0</v>
      </c>
      <c r="AH92" s="130">
        <v>0</v>
      </c>
      <c r="AI92" s="130">
        <v>0</v>
      </c>
      <c r="AJ92" s="130">
        <v>0</v>
      </c>
      <c r="AK92" s="130">
        <v>0</v>
      </c>
      <c r="AL92" s="130">
        <v>0</v>
      </c>
      <c r="AM92" s="130">
        <v>0</v>
      </c>
      <c r="AN92" s="130">
        <v>0</v>
      </c>
      <c r="AO92" s="130">
        <v>0</v>
      </c>
      <c r="AP92" s="130">
        <v>0</v>
      </c>
      <c r="AQ92" s="130">
        <v>0</v>
      </c>
      <c r="AR92" s="130">
        <v>0</v>
      </c>
      <c r="AS92" s="130">
        <v>0</v>
      </c>
      <c r="AT92" s="130">
        <v>0</v>
      </c>
      <c r="AU92" s="130">
        <v>0</v>
      </c>
      <c r="AV92" s="130">
        <v>0</v>
      </c>
      <c r="AW92" s="130">
        <v>0</v>
      </c>
      <c r="AX92" s="130">
        <v>0</v>
      </c>
      <c r="AY92" s="130">
        <v>0</v>
      </c>
      <c r="AZ92" s="112">
        <f>SUM(D21:AY92)</f>
        <v>0</v>
      </c>
    </row>
    <row r="94" spans="1:52" x14ac:dyDescent="0.2">
      <c r="A94" s="107" t="s">
        <v>297</v>
      </c>
      <c r="B94" s="111"/>
      <c r="C94" s="111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19"/>
      <c r="AQ94" s="119"/>
      <c r="AR94" s="119"/>
      <c r="AS94" s="119"/>
      <c r="AT94" s="119"/>
      <c r="AU94" s="119"/>
      <c r="AV94" s="119"/>
      <c r="AW94" s="119"/>
      <c r="AX94" s="119"/>
      <c r="AY94" s="119"/>
    </row>
    <row r="95" spans="1:52" x14ac:dyDescent="0.2">
      <c r="A95" s="131" t="s">
        <v>125</v>
      </c>
      <c r="B95" s="128">
        <v>1</v>
      </c>
      <c r="C95" s="129"/>
      <c r="D95" s="115">
        <v>196</v>
      </c>
      <c r="E95" s="115">
        <v>196</v>
      </c>
      <c r="F95" s="115">
        <v>196</v>
      </c>
      <c r="G95" s="115">
        <v>196</v>
      </c>
      <c r="H95" s="115">
        <v>196</v>
      </c>
      <c r="I95" s="115">
        <v>196</v>
      </c>
      <c r="J95" s="115">
        <v>196</v>
      </c>
      <c r="K95" s="115">
        <v>196</v>
      </c>
      <c r="L95" s="115">
        <v>215.60000000000002</v>
      </c>
      <c r="M95" s="115">
        <v>215.60000000000002</v>
      </c>
      <c r="N95" s="115">
        <v>215.60000000000002</v>
      </c>
      <c r="O95" s="115">
        <v>215.60000000000002</v>
      </c>
      <c r="P95" s="115">
        <v>196</v>
      </c>
      <c r="Q95" s="115">
        <v>196</v>
      </c>
      <c r="R95" s="115">
        <v>196</v>
      </c>
      <c r="S95" s="115">
        <v>196</v>
      </c>
      <c r="T95" s="115">
        <v>215.60000000000002</v>
      </c>
      <c r="U95" s="115">
        <v>215.60000000000002</v>
      </c>
      <c r="V95" s="115">
        <v>215.60000000000002</v>
      </c>
      <c r="W95" s="115">
        <v>215.60000000000002</v>
      </c>
      <c r="X95" s="115">
        <v>196</v>
      </c>
      <c r="Y95" s="115">
        <v>196</v>
      </c>
      <c r="Z95" s="115">
        <v>196</v>
      </c>
      <c r="AA95" s="115">
        <v>196</v>
      </c>
      <c r="AB95" s="115">
        <v>215.60000000000002</v>
      </c>
      <c r="AC95" s="115">
        <v>215.60000000000002</v>
      </c>
      <c r="AD95" s="115">
        <v>215.60000000000002</v>
      </c>
      <c r="AE95" s="115">
        <v>215.60000000000002</v>
      </c>
      <c r="AF95" s="115">
        <v>196</v>
      </c>
      <c r="AG95" s="115">
        <v>196</v>
      </c>
      <c r="AH95" s="115">
        <v>196</v>
      </c>
      <c r="AI95" s="115">
        <v>196</v>
      </c>
      <c r="AJ95" s="115">
        <v>196</v>
      </c>
      <c r="AK95" s="115">
        <v>196</v>
      </c>
      <c r="AL95" s="115">
        <v>196</v>
      </c>
      <c r="AM95" s="115">
        <v>196</v>
      </c>
      <c r="AN95" s="115">
        <v>196</v>
      </c>
      <c r="AO95" s="115">
        <v>196</v>
      </c>
      <c r="AP95" s="115">
        <v>196</v>
      </c>
      <c r="AQ95" s="115">
        <v>196</v>
      </c>
      <c r="AR95" s="115">
        <v>176.4</v>
      </c>
      <c r="AS95" s="115">
        <v>176.4</v>
      </c>
      <c r="AT95" s="115">
        <v>176.4</v>
      </c>
      <c r="AU95" s="115">
        <v>176.4</v>
      </c>
      <c r="AV95" s="115">
        <v>196</v>
      </c>
      <c r="AW95" s="115">
        <v>196</v>
      </c>
      <c r="AX95" s="115">
        <v>196</v>
      </c>
      <c r="AY95" s="115">
        <v>196</v>
      </c>
    </row>
    <row r="96" spans="1:52" x14ac:dyDescent="0.2">
      <c r="A96" s="114"/>
      <c r="B96" s="125">
        <v>2</v>
      </c>
      <c r="C96" s="115"/>
      <c r="D96" s="115">
        <v>0</v>
      </c>
      <c r="E96" s="115">
        <v>16</v>
      </c>
      <c r="F96" s="115">
        <v>51</v>
      </c>
      <c r="G96" s="115">
        <v>60</v>
      </c>
      <c r="H96" s="115">
        <v>24</v>
      </c>
      <c r="I96" s="115">
        <v>0</v>
      </c>
      <c r="J96" s="115">
        <v>0</v>
      </c>
      <c r="K96" s="115">
        <v>0</v>
      </c>
      <c r="L96" s="115">
        <v>0</v>
      </c>
      <c r="M96" s="115">
        <v>0</v>
      </c>
      <c r="N96" s="115">
        <v>0</v>
      </c>
      <c r="O96" s="115">
        <v>0</v>
      </c>
      <c r="P96" s="115">
        <v>53.600000000000023</v>
      </c>
      <c r="Q96" s="115">
        <v>29.600000000000023</v>
      </c>
      <c r="R96" s="115">
        <v>66.600000000000023</v>
      </c>
      <c r="S96" s="115">
        <v>22.600000000000023</v>
      </c>
      <c r="T96" s="115">
        <v>10.600000000000023</v>
      </c>
      <c r="U96" s="115">
        <v>31.200000000000045</v>
      </c>
      <c r="V96" s="115">
        <v>27.800000000000068</v>
      </c>
      <c r="W96" s="115">
        <v>74.400000000000091</v>
      </c>
      <c r="X96" s="115">
        <v>42.000000000000114</v>
      </c>
      <c r="Y96" s="115">
        <v>21.000000000000114</v>
      </c>
      <c r="Z96" s="115">
        <v>53.000000000000114</v>
      </c>
      <c r="AA96" s="115">
        <v>4.0000000000001137</v>
      </c>
      <c r="AB96" s="115">
        <v>15.000000000000114</v>
      </c>
      <c r="AC96" s="115">
        <v>6.6000000000001364</v>
      </c>
      <c r="AD96" s="115">
        <v>35.200000000000159</v>
      </c>
      <c r="AE96" s="115">
        <v>38.800000000000182</v>
      </c>
      <c r="AF96" s="115">
        <v>4.4000000000002046</v>
      </c>
      <c r="AG96" s="115">
        <v>22.400000000000205</v>
      </c>
      <c r="AH96" s="115">
        <v>50.400000000000205</v>
      </c>
      <c r="AI96" s="115">
        <v>84.400000000000205</v>
      </c>
      <c r="AJ96" s="115">
        <v>112.4000000000002</v>
      </c>
      <c r="AK96" s="115">
        <v>66.400000000000205</v>
      </c>
      <c r="AL96" s="115">
        <v>33.400000000000205</v>
      </c>
      <c r="AM96" s="115">
        <v>39.400000000000205</v>
      </c>
      <c r="AN96" s="115">
        <v>18.400000000000205</v>
      </c>
      <c r="AO96" s="115">
        <v>0</v>
      </c>
      <c r="AP96" s="115">
        <v>0</v>
      </c>
      <c r="AQ96" s="115">
        <v>0</v>
      </c>
      <c r="AR96" s="115">
        <v>0</v>
      </c>
      <c r="AS96" s="115">
        <v>0</v>
      </c>
      <c r="AT96" s="115">
        <v>15.400000000000006</v>
      </c>
      <c r="AU96" s="115">
        <v>0</v>
      </c>
      <c r="AV96" s="115">
        <v>0</v>
      </c>
      <c r="AW96" s="115">
        <v>0</v>
      </c>
      <c r="AX96" s="115">
        <v>0</v>
      </c>
      <c r="AY96" s="115">
        <v>0</v>
      </c>
    </row>
    <row r="97" spans="1:52" x14ac:dyDescent="0.2">
      <c r="A97" s="114"/>
      <c r="B97" s="132">
        <v>3</v>
      </c>
      <c r="C97" s="115"/>
      <c r="D97" s="115">
        <v>0</v>
      </c>
      <c r="E97" s="115">
        <v>0</v>
      </c>
      <c r="F97" s="115">
        <v>0</v>
      </c>
      <c r="G97" s="115">
        <v>0</v>
      </c>
      <c r="H97" s="115">
        <v>0</v>
      </c>
      <c r="I97" s="115">
        <v>0</v>
      </c>
      <c r="J97" s="115">
        <v>0</v>
      </c>
      <c r="K97" s="115">
        <v>0</v>
      </c>
      <c r="L97" s="115">
        <v>0</v>
      </c>
      <c r="M97" s="115">
        <v>0</v>
      </c>
      <c r="N97" s="115">
        <v>0</v>
      </c>
      <c r="O97" s="115">
        <v>0</v>
      </c>
      <c r="P97" s="115">
        <v>0</v>
      </c>
      <c r="Q97" s="115">
        <v>0</v>
      </c>
      <c r="R97" s="115">
        <v>0</v>
      </c>
      <c r="S97" s="115">
        <v>0</v>
      </c>
      <c r="T97" s="115">
        <v>0</v>
      </c>
      <c r="U97" s="115">
        <v>0</v>
      </c>
      <c r="V97" s="115">
        <v>0</v>
      </c>
      <c r="W97" s="115">
        <v>0</v>
      </c>
      <c r="X97" s="115">
        <v>0</v>
      </c>
      <c r="Y97" s="115">
        <v>0</v>
      </c>
      <c r="Z97" s="115">
        <v>0</v>
      </c>
      <c r="AA97" s="115">
        <v>0</v>
      </c>
      <c r="AB97" s="115">
        <v>0</v>
      </c>
      <c r="AC97" s="115">
        <v>0</v>
      </c>
      <c r="AD97" s="115">
        <v>0</v>
      </c>
      <c r="AE97" s="115">
        <v>0</v>
      </c>
      <c r="AF97" s="115">
        <v>0</v>
      </c>
      <c r="AG97" s="115">
        <v>0</v>
      </c>
      <c r="AH97" s="115">
        <v>0</v>
      </c>
      <c r="AI97" s="115">
        <v>0</v>
      </c>
      <c r="AJ97" s="115">
        <v>0</v>
      </c>
      <c r="AK97" s="115">
        <v>0</v>
      </c>
      <c r="AL97" s="115">
        <v>0</v>
      </c>
      <c r="AM97" s="115">
        <v>0</v>
      </c>
      <c r="AN97" s="115">
        <v>0</v>
      </c>
      <c r="AO97" s="115">
        <v>0</v>
      </c>
      <c r="AP97" s="115">
        <v>0</v>
      </c>
      <c r="AQ97" s="115">
        <v>0</v>
      </c>
      <c r="AR97" s="115">
        <v>0</v>
      </c>
      <c r="AS97" s="115">
        <v>0</v>
      </c>
      <c r="AT97" s="115">
        <v>0</v>
      </c>
      <c r="AU97" s="115">
        <v>0</v>
      </c>
      <c r="AV97" s="115">
        <v>0</v>
      </c>
      <c r="AW97" s="115">
        <v>0</v>
      </c>
      <c r="AX97" s="115">
        <v>0</v>
      </c>
      <c r="AY97" s="115">
        <v>0</v>
      </c>
    </row>
    <row r="98" spans="1:52" x14ac:dyDescent="0.2">
      <c r="A98" s="114"/>
      <c r="B98" s="135">
        <v>4</v>
      </c>
      <c r="C98" s="111"/>
      <c r="D98" s="115">
        <v>0</v>
      </c>
      <c r="E98" s="115">
        <v>0</v>
      </c>
      <c r="F98" s="115">
        <v>0</v>
      </c>
      <c r="G98" s="115">
        <v>0</v>
      </c>
      <c r="H98" s="115">
        <v>0</v>
      </c>
      <c r="I98" s="115">
        <v>0</v>
      </c>
      <c r="J98" s="115">
        <v>0</v>
      </c>
      <c r="K98" s="115">
        <v>0</v>
      </c>
      <c r="L98" s="115">
        <v>0</v>
      </c>
      <c r="M98" s="115">
        <v>0</v>
      </c>
      <c r="N98" s="115">
        <v>0</v>
      </c>
      <c r="O98" s="115">
        <v>0</v>
      </c>
      <c r="P98" s="115">
        <v>0</v>
      </c>
      <c r="Q98" s="115">
        <v>0</v>
      </c>
      <c r="R98" s="115">
        <v>0</v>
      </c>
      <c r="S98" s="115">
        <v>0</v>
      </c>
      <c r="T98" s="115">
        <v>0</v>
      </c>
      <c r="U98" s="115">
        <v>0</v>
      </c>
      <c r="V98" s="115">
        <v>0</v>
      </c>
      <c r="W98" s="115">
        <v>0</v>
      </c>
      <c r="X98" s="115">
        <v>0</v>
      </c>
      <c r="Y98" s="115">
        <v>0</v>
      </c>
      <c r="Z98" s="115">
        <v>0</v>
      </c>
      <c r="AA98" s="115">
        <v>0</v>
      </c>
      <c r="AB98" s="115">
        <v>0</v>
      </c>
      <c r="AC98" s="115">
        <v>0</v>
      </c>
      <c r="AD98" s="115">
        <v>0</v>
      </c>
      <c r="AE98" s="115">
        <v>0</v>
      </c>
      <c r="AF98" s="115">
        <v>0</v>
      </c>
      <c r="AG98" s="115">
        <v>0</v>
      </c>
      <c r="AH98" s="115">
        <v>0</v>
      </c>
      <c r="AI98" s="115">
        <v>0</v>
      </c>
      <c r="AJ98" s="115">
        <v>0</v>
      </c>
      <c r="AK98" s="115">
        <v>0</v>
      </c>
      <c r="AL98" s="115">
        <v>0</v>
      </c>
      <c r="AM98" s="115">
        <v>0</v>
      </c>
      <c r="AN98" s="115">
        <v>0</v>
      </c>
      <c r="AO98" s="115">
        <v>0</v>
      </c>
      <c r="AP98" s="115">
        <v>0</v>
      </c>
      <c r="AQ98" s="115">
        <v>0</v>
      </c>
      <c r="AR98" s="115">
        <v>0</v>
      </c>
      <c r="AS98" s="115">
        <v>0</v>
      </c>
      <c r="AT98" s="115">
        <v>0</v>
      </c>
      <c r="AU98" s="115">
        <v>0</v>
      </c>
      <c r="AV98" s="115">
        <v>0</v>
      </c>
      <c r="AW98" s="115">
        <v>0</v>
      </c>
      <c r="AX98" s="115">
        <v>0</v>
      </c>
      <c r="AY98" s="115">
        <v>0</v>
      </c>
    </row>
    <row r="99" spans="1:52" x14ac:dyDescent="0.2">
      <c r="A99" s="133"/>
      <c r="B99" s="137" t="s">
        <v>298</v>
      </c>
      <c r="C99" s="130"/>
      <c r="D99" s="130">
        <v>0</v>
      </c>
      <c r="E99" s="130">
        <v>0</v>
      </c>
      <c r="F99" s="130">
        <v>0</v>
      </c>
      <c r="G99" s="130">
        <v>0</v>
      </c>
      <c r="H99" s="130">
        <v>0</v>
      </c>
      <c r="I99" s="130">
        <v>0</v>
      </c>
      <c r="J99" s="130">
        <v>0</v>
      </c>
      <c r="K99" s="130">
        <v>0</v>
      </c>
      <c r="L99" s="130">
        <v>0</v>
      </c>
      <c r="M99" s="130">
        <v>0</v>
      </c>
      <c r="N99" s="130">
        <v>0</v>
      </c>
      <c r="O99" s="130">
        <v>0</v>
      </c>
      <c r="P99" s="130">
        <v>0</v>
      </c>
      <c r="Q99" s="130">
        <v>0</v>
      </c>
      <c r="R99" s="130">
        <v>0</v>
      </c>
      <c r="S99" s="130">
        <v>0</v>
      </c>
      <c r="T99" s="130">
        <v>0</v>
      </c>
      <c r="U99" s="130">
        <v>0</v>
      </c>
      <c r="V99" s="130">
        <v>0</v>
      </c>
      <c r="W99" s="130">
        <v>0</v>
      </c>
      <c r="X99" s="130">
        <v>0</v>
      </c>
      <c r="Y99" s="130">
        <v>0</v>
      </c>
      <c r="Z99" s="130">
        <v>0</v>
      </c>
      <c r="AA99" s="130">
        <v>0</v>
      </c>
      <c r="AB99" s="130">
        <v>0</v>
      </c>
      <c r="AC99" s="130">
        <v>0</v>
      </c>
      <c r="AD99" s="130">
        <v>0</v>
      </c>
      <c r="AE99" s="130">
        <v>0</v>
      </c>
      <c r="AF99" s="130">
        <v>0</v>
      </c>
      <c r="AG99" s="130">
        <v>0</v>
      </c>
      <c r="AH99" s="130">
        <v>0</v>
      </c>
      <c r="AI99" s="130">
        <v>0</v>
      </c>
      <c r="AJ99" s="130">
        <v>0</v>
      </c>
      <c r="AK99" s="130">
        <v>0</v>
      </c>
      <c r="AL99" s="130">
        <v>0</v>
      </c>
      <c r="AM99" s="130">
        <v>0</v>
      </c>
      <c r="AN99" s="130">
        <v>0</v>
      </c>
      <c r="AO99" s="130">
        <v>0</v>
      </c>
      <c r="AP99" s="130">
        <v>0</v>
      </c>
      <c r="AQ99" s="130">
        <v>0</v>
      </c>
      <c r="AR99" s="130">
        <v>0</v>
      </c>
      <c r="AS99" s="130">
        <v>0</v>
      </c>
      <c r="AT99" s="130">
        <v>0</v>
      </c>
      <c r="AU99" s="130">
        <v>0</v>
      </c>
      <c r="AV99" s="130">
        <v>0</v>
      </c>
      <c r="AW99" s="130">
        <v>0</v>
      </c>
      <c r="AX99" s="130">
        <v>0</v>
      </c>
      <c r="AY99" s="130">
        <v>0</v>
      </c>
      <c r="AZ99" s="112">
        <f>SUM($D99:$AY99)</f>
        <v>0</v>
      </c>
    </row>
    <row r="100" spans="1:52" x14ac:dyDescent="0.2">
      <c r="A100" s="136" t="s">
        <v>133</v>
      </c>
      <c r="B100" s="124">
        <v>1</v>
      </c>
      <c r="C100" s="111"/>
      <c r="D100" s="111">
        <v>0</v>
      </c>
      <c r="E100" s="111">
        <v>0</v>
      </c>
      <c r="F100" s="111">
        <v>146.00000000000003</v>
      </c>
      <c r="G100" s="111">
        <v>146.00000000000003</v>
      </c>
      <c r="H100" s="111">
        <v>146.00000000000003</v>
      </c>
      <c r="I100" s="111">
        <v>146.00000000000003</v>
      </c>
      <c r="J100" s="111">
        <v>146.00000000000003</v>
      </c>
      <c r="K100" s="111">
        <v>146.00000000000003</v>
      </c>
      <c r="L100" s="111">
        <v>146.00000000000003</v>
      </c>
      <c r="M100" s="111">
        <v>146.00000000000003</v>
      </c>
      <c r="N100" s="111">
        <v>160.60000000000005</v>
      </c>
      <c r="O100" s="111">
        <v>160.60000000000005</v>
      </c>
      <c r="P100" s="111">
        <v>160.60000000000005</v>
      </c>
      <c r="Q100" s="111">
        <v>160.60000000000005</v>
      </c>
      <c r="R100" s="111">
        <v>146.00000000000003</v>
      </c>
      <c r="S100" s="111">
        <v>146.00000000000003</v>
      </c>
      <c r="T100" s="111">
        <v>146.00000000000003</v>
      </c>
      <c r="U100" s="111">
        <v>146.00000000000003</v>
      </c>
      <c r="V100" s="111">
        <v>160.60000000000005</v>
      </c>
      <c r="W100" s="111">
        <v>160.60000000000005</v>
      </c>
      <c r="X100" s="111">
        <v>160.60000000000005</v>
      </c>
      <c r="Y100" s="111">
        <v>160.60000000000005</v>
      </c>
      <c r="Z100" s="111">
        <v>146.00000000000003</v>
      </c>
      <c r="AA100" s="111">
        <v>146.00000000000003</v>
      </c>
      <c r="AB100" s="111">
        <v>146.00000000000003</v>
      </c>
      <c r="AC100" s="111">
        <v>146.00000000000003</v>
      </c>
      <c r="AD100" s="111">
        <v>160.60000000000005</v>
      </c>
      <c r="AE100" s="111">
        <v>160.60000000000005</v>
      </c>
      <c r="AF100" s="111">
        <v>160.60000000000005</v>
      </c>
      <c r="AG100" s="111">
        <v>160.60000000000005</v>
      </c>
      <c r="AH100" s="111">
        <v>146.00000000000003</v>
      </c>
      <c r="AI100" s="111">
        <v>146.00000000000003</v>
      </c>
      <c r="AJ100" s="111">
        <v>146.00000000000003</v>
      </c>
      <c r="AK100" s="111">
        <v>146.00000000000003</v>
      </c>
      <c r="AL100" s="111">
        <v>146.00000000000003</v>
      </c>
      <c r="AM100" s="111">
        <v>146.00000000000003</v>
      </c>
      <c r="AN100" s="111">
        <v>146.00000000000003</v>
      </c>
      <c r="AO100" s="111">
        <v>146.00000000000003</v>
      </c>
      <c r="AP100" s="111">
        <v>146.00000000000003</v>
      </c>
      <c r="AQ100" s="111">
        <v>146.00000000000003</v>
      </c>
      <c r="AR100" s="111">
        <v>146.00000000000003</v>
      </c>
      <c r="AS100" s="111">
        <v>146.00000000000003</v>
      </c>
      <c r="AT100" s="111">
        <v>131.4</v>
      </c>
      <c r="AU100" s="111">
        <v>131.4</v>
      </c>
      <c r="AV100" s="111">
        <v>131.4</v>
      </c>
      <c r="AW100" s="111">
        <v>131.4</v>
      </c>
      <c r="AX100" s="111">
        <v>146.00000000000003</v>
      </c>
      <c r="AY100" s="111">
        <v>146.00000000000003</v>
      </c>
    </row>
    <row r="101" spans="1:52" x14ac:dyDescent="0.2">
      <c r="A101" s="114"/>
      <c r="B101" s="124">
        <v>2</v>
      </c>
      <c r="C101" s="111"/>
      <c r="D101" s="111">
        <v>0</v>
      </c>
      <c r="E101" s="111">
        <v>0</v>
      </c>
      <c r="F101" s="111">
        <v>0</v>
      </c>
      <c r="G101" s="111">
        <v>0</v>
      </c>
      <c r="H101" s="111">
        <v>21.000000000000028</v>
      </c>
      <c r="I101" s="111">
        <v>8.0000000000000568</v>
      </c>
      <c r="J101" s="111">
        <v>0</v>
      </c>
      <c r="K101" s="111">
        <v>0</v>
      </c>
      <c r="L101" s="111">
        <v>16.000000000000028</v>
      </c>
      <c r="M101" s="111">
        <v>37.000000000000057</v>
      </c>
      <c r="N101" s="111">
        <v>50.000000000000085</v>
      </c>
      <c r="O101" s="111">
        <v>0</v>
      </c>
      <c r="P101" s="111">
        <v>33.600000000000051</v>
      </c>
      <c r="Q101" s="111">
        <v>48.200000000000102</v>
      </c>
      <c r="R101" s="111">
        <v>36.800000000000153</v>
      </c>
      <c r="S101" s="111">
        <v>32.800000000000182</v>
      </c>
      <c r="T101" s="111">
        <v>0</v>
      </c>
      <c r="U101" s="111">
        <v>14.000000000000028</v>
      </c>
      <c r="V101" s="111">
        <v>33.000000000000057</v>
      </c>
      <c r="W101" s="111">
        <v>20.600000000000108</v>
      </c>
      <c r="X101" s="111">
        <v>44.200000000000159</v>
      </c>
      <c r="Y101" s="111">
        <v>83.80000000000021</v>
      </c>
      <c r="Z101" s="111">
        <v>93.400000000000261</v>
      </c>
      <c r="AA101" s="111">
        <v>61.40000000000029</v>
      </c>
      <c r="AB101" s="111">
        <v>47.400000000000318</v>
      </c>
      <c r="AC101" s="111">
        <v>74.400000000000347</v>
      </c>
      <c r="AD101" s="111">
        <v>2.4000000000003752</v>
      </c>
      <c r="AE101" s="111">
        <v>22.000000000000426</v>
      </c>
      <c r="AF101" s="111">
        <v>28.600000000000477</v>
      </c>
      <c r="AG101" s="111">
        <v>9.2000000000005286</v>
      </c>
      <c r="AH101" s="111">
        <v>0</v>
      </c>
      <c r="AI101" s="111">
        <v>0</v>
      </c>
      <c r="AJ101" s="111">
        <v>0</v>
      </c>
      <c r="AK101" s="111">
        <v>0</v>
      </c>
      <c r="AL101" s="111">
        <v>0</v>
      </c>
      <c r="AM101" s="111">
        <v>0</v>
      </c>
      <c r="AN101" s="111">
        <v>5.0000000000000284</v>
      </c>
      <c r="AO101" s="111">
        <v>23.000000000000057</v>
      </c>
      <c r="AP101" s="111">
        <v>0</v>
      </c>
      <c r="AQ101" s="111">
        <v>0</v>
      </c>
      <c r="AR101" s="111">
        <v>0</v>
      </c>
      <c r="AS101" s="111">
        <v>0</v>
      </c>
      <c r="AT101" s="111">
        <v>0</v>
      </c>
      <c r="AU101" s="111">
        <v>0</v>
      </c>
      <c r="AV101" s="111">
        <v>0</v>
      </c>
      <c r="AW101" s="111">
        <v>0</v>
      </c>
      <c r="AX101" s="111">
        <v>0</v>
      </c>
      <c r="AY101" s="111">
        <v>0</v>
      </c>
    </row>
    <row r="102" spans="1:52" x14ac:dyDescent="0.2">
      <c r="A102" s="114"/>
      <c r="B102" s="125">
        <v>3</v>
      </c>
      <c r="C102" s="111"/>
      <c r="D102" s="111">
        <v>0</v>
      </c>
      <c r="E102" s="111">
        <v>0</v>
      </c>
      <c r="F102" s="111">
        <v>0</v>
      </c>
      <c r="G102" s="111">
        <v>0</v>
      </c>
      <c r="H102" s="111">
        <v>0</v>
      </c>
      <c r="I102" s="111">
        <v>0</v>
      </c>
      <c r="J102" s="111">
        <v>0</v>
      </c>
      <c r="K102" s="111">
        <v>0</v>
      </c>
      <c r="L102" s="111">
        <v>0</v>
      </c>
      <c r="M102" s="111">
        <v>0</v>
      </c>
      <c r="N102" s="111">
        <v>0</v>
      </c>
      <c r="O102" s="111">
        <v>0</v>
      </c>
      <c r="P102" s="111">
        <v>0</v>
      </c>
      <c r="Q102" s="111">
        <v>0</v>
      </c>
      <c r="R102" s="111">
        <v>0</v>
      </c>
      <c r="S102" s="111">
        <v>0</v>
      </c>
      <c r="T102" s="111">
        <v>0</v>
      </c>
      <c r="U102" s="111">
        <v>0</v>
      </c>
      <c r="V102" s="111">
        <v>0</v>
      </c>
      <c r="W102" s="111">
        <v>0</v>
      </c>
      <c r="X102" s="111">
        <v>0</v>
      </c>
      <c r="Y102" s="111">
        <v>0</v>
      </c>
      <c r="Z102" s="111">
        <v>0</v>
      </c>
      <c r="AA102" s="111">
        <v>0</v>
      </c>
      <c r="AB102" s="111">
        <v>0</v>
      </c>
      <c r="AC102" s="111">
        <v>0</v>
      </c>
      <c r="AD102" s="111">
        <v>0</v>
      </c>
      <c r="AE102" s="111">
        <v>0</v>
      </c>
      <c r="AF102" s="111">
        <v>0</v>
      </c>
      <c r="AG102" s="111">
        <v>0</v>
      </c>
      <c r="AH102" s="111">
        <v>0</v>
      </c>
      <c r="AI102" s="111">
        <v>0</v>
      </c>
      <c r="AJ102" s="111">
        <v>0</v>
      </c>
      <c r="AK102" s="111">
        <v>0</v>
      </c>
      <c r="AL102" s="111">
        <v>0</v>
      </c>
      <c r="AM102" s="111">
        <v>0</v>
      </c>
      <c r="AN102" s="111">
        <v>0</v>
      </c>
      <c r="AO102" s="111">
        <v>0</v>
      </c>
      <c r="AP102" s="111">
        <v>0</v>
      </c>
      <c r="AQ102" s="111">
        <v>0</v>
      </c>
      <c r="AR102" s="111">
        <v>0</v>
      </c>
      <c r="AS102" s="111">
        <v>0</v>
      </c>
      <c r="AT102" s="111">
        <v>0</v>
      </c>
      <c r="AU102" s="111">
        <v>0</v>
      </c>
      <c r="AV102" s="111">
        <v>0</v>
      </c>
      <c r="AW102" s="111">
        <v>0</v>
      </c>
      <c r="AX102" s="111">
        <v>0</v>
      </c>
      <c r="AY102" s="111">
        <v>0</v>
      </c>
    </row>
    <row r="103" spans="1:52" x14ac:dyDescent="0.2">
      <c r="A103" s="114"/>
      <c r="B103" s="125">
        <v>4</v>
      </c>
      <c r="C103" s="111"/>
      <c r="D103" s="111">
        <v>0</v>
      </c>
      <c r="E103" s="111">
        <v>0</v>
      </c>
      <c r="F103" s="111">
        <v>0</v>
      </c>
      <c r="G103" s="111">
        <v>0</v>
      </c>
      <c r="H103" s="111">
        <v>0</v>
      </c>
      <c r="I103" s="111">
        <v>0</v>
      </c>
      <c r="J103" s="111">
        <v>0</v>
      </c>
      <c r="K103" s="111">
        <v>0</v>
      </c>
      <c r="L103" s="111">
        <v>0</v>
      </c>
      <c r="M103" s="111">
        <v>0</v>
      </c>
      <c r="N103" s="111">
        <v>0</v>
      </c>
      <c r="O103" s="111">
        <v>0</v>
      </c>
      <c r="P103" s="111">
        <v>0</v>
      </c>
      <c r="Q103" s="111">
        <v>0</v>
      </c>
      <c r="R103" s="111">
        <v>0</v>
      </c>
      <c r="S103" s="111">
        <v>0</v>
      </c>
      <c r="T103" s="111">
        <v>0</v>
      </c>
      <c r="U103" s="111">
        <v>0</v>
      </c>
      <c r="V103" s="111">
        <v>0</v>
      </c>
      <c r="W103" s="111">
        <v>0</v>
      </c>
      <c r="X103" s="111">
        <v>0</v>
      </c>
      <c r="Y103" s="111">
        <v>0</v>
      </c>
      <c r="Z103" s="111">
        <v>0</v>
      </c>
      <c r="AA103" s="111">
        <v>0</v>
      </c>
      <c r="AB103" s="111">
        <v>0</v>
      </c>
      <c r="AC103" s="111">
        <v>0</v>
      </c>
      <c r="AD103" s="111">
        <v>0</v>
      </c>
      <c r="AE103" s="111">
        <v>0</v>
      </c>
      <c r="AF103" s="111">
        <v>0</v>
      </c>
      <c r="AG103" s="111">
        <v>0</v>
      </c>
      <c r="AH103" s="111">
        <v>0</v>
      </c>
      <c r="AI103" s="111">
        <v>0</v>
      </c>
      <c r="AJ103" s="111">
        <v>0</v>
      </c>
      <c r="AK103" s="111">
        <v>0</v>
      </c>
      <c r="AL103" s="111">
        <v>0</v>
      </c>
      <c r="AM103" s="111">
        <v>0</v>
      </c>
      <c r="AN103" s="111">
        <v>0</v>
      </c>
      <c r="AO103" s="111">
        <v>0</v>
      </c>
      <c r="AP103" s="111">
        <v>0</v>
      </c>
      <c r="AQ103" s="111">
        <v>0</v>
      </c>
      <c r="AR103" s="111">
        <v>0</v>
      </c>
      <c r="AS103" s="111">
        <v>0</v>
      </c>
      <c r="AT103" s="111">
        <v>0</v>
      </c>
      <c r="AU103" s="111">
        <v>0</v>
      </c>
      <c r="AV103" s="111">
        <v>0</v>
      </c>
      <c r="AW103" s="111">
        <v>0</v>
      </c>
      <c r="AX103" s="111">
        <v>0</v>
      </c>
      <c r="AY103" s="111">
        <v>0</v>
      </c>
    </row>
    <row r="104" spans="1:52" x14ac:dyDescent="0.2">
      <c r="A104" s="114"/>
      <c r="B104" s="132">
        <v>5</v>
      </c>
      <c r="C104" s="111"/>
      <c r="D104" s="111">
        <v>0</v>
      </c>
      <c r="E104" s="111">
        <v>0</v>
      </c>
      <c r="F104" s="111">
        <v>0</v>
      </c>
      <c r="G104" s="111">
        <v>0</v>
      </c>
      <c r="H104" s="111">
        <v>0</v>
      </c>
      <c r="I104" s="111">
        <v>0</v>
      </c>
      <c r="J104" s="111">
        <v>0</v>
      </c>
      <c r="K104" s="111">
        <v>0</v>
      </c>
      <c r="L104" s="111">
        <v>0</v>
      </c>
      <c r="M104" s="111">
        <v>0</v>
      </c>
      <c r="N104" s="111">
        <v>0</v>
      </c>
      <c r="O104" s="111">
        <v>0</v>
      </c>
      <c r="P104" s="111">
        <v>0</v>
      </c>
      <c r="Q104" s="111">
        <v>0</v>
      </c>
      <c r="R104" s="111">
        <v>0</v>
      </c>
      <c r="S104" s="111">
        <v>0</v>
      </c>
      <c r="T104" s="111">
        <v>0</v>
      </c>
      <c r="U104" s="111">
        <v>0</v>
      </c>
      <c r="V104" s="111">
        <v>0</v>
      </c>
      <c r="W104" s="111">
        <v>0</v>
      </c>
      <c r="X104" s="111">
        <v>0</v>
      </c>
      <c r="Y104" s="111">
        <v>0</v>
      </c>
      <c r="Z104" s="111">
        <v>0</v>
      </c>
      <c r="AA104" s="111">
        <v>0</v>
      </c>
      <c r="AB104" s="111">
        <v>0</v>
      </c>
      <c r="AC104" s="111">
        <v>0</v>
      </c>
      <c r="AD104" s="111">
        <v>0</v>
      </c>
      <c r="AE104" s="111">
        <v>0</v>
      </c>
      <c r="AF104" s="111">
        <v>0</v>
      </c>
      <c r="AG104" s="111">
        <v>0</v>
      </c>
      <c r="AH104" s="111">
        <v>0</v>
      </c>
      <c r="AI104" s="111">
        <v>0</v>
      </c>
      <c r="AJ104" s="111">
        <v>0</v>
      </c>
      <c r="AK104" s="111">
        <v>0</v>
      </c>
      <c r="AL104" s="111">
        <v>0</v>
      </c>
      <c r="AM104" s="111">
        <v>0</v>
      </c>
      <c r="AN104" s="111">
        <v>0</v>
      </c>
      <c r="AO104" s="111">
        <v>0</v>
      </c>
      <c r="AP104" s="111">
        <v>0</v>
      </c>
      <c r="AQ104" s="111">
        <v>0</v>
      </c>
      <c r="AR104" s="111">
        <v>0</v>
      </c>
      <c r="AS104" s="111">
        <v>0</v>
      </c>
      <c r="AT104" s="111">
        <v>0</v>
      </c>
      <c r="AU104" s="111">
        <v>0</v>
      </c>
      <c r="AV104" s="111">
        <v>0</v>
      </c>
      <c r="AW104" s="111">
        <v>0</v>
      </c>
      <c r="AX104" s="111">
        <v>0</v>
      </c>
      <c r="AY104" s="111">
        <v>0</v>
      </c>
    </row>
    <row r="105" spans="1:52" x14ac:dyDescent="0.2">
      <c r="A105" s="114"/>
      <c r="B105" s="132">
        <v>6</v>
      </c>
      <c r="C105" s="111"/>
      <c r="D105" s="111">
        <v>0</v>
      </c>
      <c r="E105" s="111">
        <v>0</v>
      </c>
      <c r="F105" s="111">
        <v>0</v>
      </c>
      <c r="G105" s="111">
        <v>0</v>
      </c>
      <c r="H105" s="111">
        <v>0</v>
      </c>
      <c r="I105" s="111">
        <v>0</v>
      </c>
      <c r="J105" s="111">
        <v>0</v>
      </c>
      <c r="K105" s="111">
        <v>0</v>
      </c>
      <c r="L105" s="111">
        <v>0</v>
      </c>
      <c r="M105" s="111">
        <v>0</v>
      </c>
      <c r="N105" s="111">
        <v>0</v>
      </c>
      <c r="O105" s="111">
        <v>0</v>
      </c>
      <c r="P105" s="111">
        <v>0</v>
      </c>
      <c r="Q105" s="111">
        <v>0</v>
      </c>
      <c r="R105" s="111">
        <v>0</v>
      </c>
      <c r="S105" s="111">
        <v>0</v>
      </c>
      <c r="T105" s="111">
        <v>0</v>
      </c>
      <c r="U105" s="111">
        <v>0</v>
      </c>
      <c r="V105" s="111">
        <v>0</v>
      </c>
      <c r="W105" s="111">
        <v>0</v>
      </c>
      <c r="X105" s="111">
        <v>0</v>
      </c>
      <c r="Y105" s="111">
        <v>0</v>
      </c>
      <c r="Z105" s="111">
        <v>0</v>
      </c>
      <c r="AA105" s="111">
        <v>0</v>
      </c>
      <c r="AB105" s="111">
        <v>0</v>
      </c>
      <c r="AC105" s="111">
        <v>0</v>
      </c>
      <c r="AD105" s="111">
        <v>0</v>
      </c>
      <c r="AE105" s="111">
        <v>0</v>
      </c>
      <c r="AF105" s="111">
        <v>0</v>
      </c>
      <c r="AG105" s="111">
        <v>0</v>
      </c>
      <c r="AH105" s="111">
        <v>0</v>
      </c>
      <c r="AI105" s="111">
        <v>0</v>
      </c>
      <c r="AJ105" s="111">
        <v>0</v>
      </c>
      <c r="AK105" s="111">
        <v>0</v>
      </c>
      <c r="AL105" s="111">
        <v>0</v>
      </c>
      <c r="AM105" s="111">
        <v>0</v>
      </c>
      <c r="AN105" s="111">
        <v>0</v>
      </c>
      <c r="AO105" s="111">
        <v>0</v>
      </c>
      <c r="AP105" s="111">
        <v>0</v>
      </c>
      <c r="AQ105" s="111">
        <v>0</v>
      </c>
      <c r="AR105" s="111">
        <v>0</v>
      </c>
      <c r="AS105" s="111">
        <v>0</v>
      </c>
      <c r="AT105" s="111">
        <v>0</v>
      </c>
      <c r="AU105" s="111">
        <v>0</v>
      </c>
      <c r="AV105" s="111">
        <v>0</v>
      </c>
      <c r="AW105" s="111">
        <v>0</v>
      </c>
      <c r="AX105" s="111">
        <v>0</v>
      </c>
      <c r="AY105" s="111">
        <v>0</v>
      </c>
    </row>
    <row r="106" spans="1:52" x14ac:dyDescent="0.2">
      <c r="A106" s="114"/>
      <c r="B106" s="135">
        <v>7</v>
      </c>
      <c r="C106" s="111"/>
      <c r="D106" s="111">
        <v>0</v>
      </c>
      <c r="E106" s="111">
        <v>0</v>
      </c>
      <c r="F106" s="111">
        <v>0</v>
      </c>
      <c r="G106" s="111">
        <v>0</v>
      </c>
      <c r="H106" s="111">
        <v>0</v>
      </c>
      <c r="I106" s="111">
        <v>0</v>
      </c>
      <c r="J106" s="111">
        <v>0</v>
      </c>
      <c r="K106" s="111">
        <v>0</v>
      </c>
      <c r="L106" s="111">
        <v>0</v>
      </c>
      <c r="M106" s="111">
        <v>0</v>
      </c>
      <c r="N106" s="111">
        <v>0</v>
      </c>
      <c r="O106" s="111">
        <v>0</v>
      </c>
      <c r="P106" s="111">
        <v>0</v>
      </c>
      <c r="Q106" s="111">
        <v>0</v>
      </c>
      <c r="R106" s="111">
        <v>0</v>
      </c>
      <c r="S106" s="111">
        <v>0</v>
      </c>
      <c r="T106" s="111">
        <v>0</v>
      </c>
      <c r="U106" s="111">
        <v>0</v>
      </c>
      <c r="V106" s="111">
        <v>0</v>
      </c>
      <c r="W106" s="111">
        <v>0</v>
      </c>
      <c r="X106" s="111">
        <v>0</v>
      </c>
      <c r="Y106" s="111">
        <v>0</v>
      </c>
      <c r="Z106" s="111">
        <v>0</v>
      </c>
      <c r="AA106" s="111">
        <v>0</v>
      </c>
      <c r="AB106" s="111">
        <v>0</v>
      </c>
      <c r="AC106" s="111">
        <v>0</v>
      </c>
      <c r="AD106" s="111">
        <v>0</v>
      </c>
      <c r="AE106" s="111">
        <v>0</v>
      </c>
      <c r="AF106" s="111">
        <v>0</v>
      </c>
      <c r="AG106" s="111">
        <v>0</v>
      </c>
      <c r="AH106" s="111">
        <v>0</v>
      </c>
      <c r="AI106" s="111">
        <v>0</v>
      </c>
      <c r="AJ106" s="111">
        <v>0</v>
      </c>
      <c r="AK106" s="111">
        <v>0</v>
      </c>
      <c r="AL106" s="111">
        <v>0</v>
      </c>
      <c r="AM106" s="111">
        <v>0</v>
      </c>
      <c r="AN106" s="111">
        <v>0</v>
      </c>
      <c r="AO106" s="111">
        <v>0</v>
      </c>
      <c r="AP106" s="111">
        <v>0</v>
      </c>
      <c r="AQ106" s="111">
        <v>0</v>
      </c>
      <c r="AR106" s="111">
        <v>0</v>
      </c>
      <c r="AS106" s="111">
        <v>0</v>
      </c>
      <c r="AT106" s="111">
        <v>0</v>
      </c>
      <c r="AU106" s="111">
        <v>0</v>
      </c>
      <c r="AV106" s="111">
        <v>0</v>
      </c>
      <c r="AW106" s="111">
        <v>0</v>
      </c>
      <c r="AX106" s="111">
        <v>0</v>
      </c>
      <c r="AY106" s="111">
        <v>0</v>
      </c>
    </row>
    <row r="107" spans="1:52" x14ac:dyDescent="0.2">
      <c r="A107" s="114"/>
      <c r="B107" s="135">
        <v>8</v>
      </c>
      <c r="C107" s="111"/>
      <c r="D107" s="111">
        <v>0</v>
      </c>
      <c r="E107" s="111">
        <v>0</v>
      </c>
      <c r="F107" s="111">
        <v>0</v>
      </c>
      <c r="G107" s="111">
        <v>0</v>
      </c>
      <c r="H107" s="111">
        <v>0</v>
      </c>
      <c r="I107" s="111">
        <v>0</v>
      </c>
      <c r="J107" s="111">
        <v>0</v>
      </c>
      <c r="K107" s="111">
        <v>0</v>
      </c>
      <c r="L107" s="111">
        <v>0</v>
      </c>
      <c r="M107" s="111">
        <v>0</v>
      </c>
      <c r="N107" s="111">
        <v>0</v>
      </c>
      <c r="O107" s="111">
        <v>0</v>
      </c>
      <c r="P107" s="111">
        <v>0</v>
      </c>
      <c r="Q107" s="111">
        <v>0</v>
      </c>
      <c r="R107" s="111">
        <v>0</v>
      </c>
      <c r="S107" s="111">
        <v>0</v>
      </c>
      <c r="T107" s="111">
        <v>0</v>
      </c>
      <c r="U107" s="111">
        <v>0</v>
      </c>
      <c r="V107" s="111">
        <v>0</v>
      </c>
      <c r="W107" s="111">
        <v>0</v>
      </c>
      <c r="X107" s="111">
        <v>0</v>
      </c>
      <c r="Y107" s="111">
        <v>0</v>
      </c>
      <c r="Z107" s="111">
        <v>0</v>
      </c>
      <c r="AA107" s="111">
        <v>0</v>
      </c>
      <c r="AB107" s="111">
        <v>0</v>
      </c>
      <c r="AC107" s="111">
        <v>0</v>
      </c>
      <c r="AD107" s="111">
        <v>0</v>
      </c>
      <c r="AE107" s="111">
        <v>0</v>
      </c>
      <c r="AF107" s="111">
        <v>0</v>
      </c>
      <c r="AG107" s="111">
        <v>0</v>
      </c>
      <c r="AH107" s="111">
        <v>0</v>
      </c>
      <c r="AI107" s="111">
        <v>0</v>
      </c>
      <c r="AJ107" s="111">
        <v>0</v>
      </c>
      <c r="AK107" s="111">
        <v>0</v>
      </c>
      <c r="AL107" s="111">
        <v>0</v>
      </c>
      <c r="AM107" s="111">
        <v>0</v>
      </c>
      <c r="AN107" s="111">
        <v>0</v>
      </c>
      <c r="AO107" s="111">
        <v>0</v>
      </c>
      <c r="AP107" s="111">
        <v>0</v>
      </c>
      <c r="AQ107" s="111">
        <v>0</v>
      </c>
      <c r="AR107" s="111">
        <v>0</v>
      </c>
      <c r="AS107" s="111">
        <v>0</v>
      </c>
      <c r="AT107" s="111">
        <v>0</v>
      </c>
      <c r="AU107" s="111">
        <v>0</v>
      </c>
      <c r="AV107" s="111">
        <v>0</v>
      </c>
      <c r="AW107" s="111">
        <v>0</v>
      </c>
      <c r="AX107" s="111">
        <v>0</v>
      </c>
      <c r="AY107" s="111">
        <v>0</v>
      </c>
    </row>
    <row r="108" spans="1:52" x14ac:dyDescent="0.2">
      <c r="A108" s="133"/>
      <c r="B108" s="137" t="s">
        <v>298</v>
      </c>
      <c r="C108" s="119"/>
      <c r="D108" s="130">
        <v>0</v>
      </c>
      <c r="E108" s="130">
        <v>0</v>
      </c>
      <c r="F108" s="130">
        <v>0</v>
      </c>
      <c r="G108" s="130">
        <v>0</v>
      </c>
      <c r="H108" s="130">
        <v>0</v>
      </c>
      <c r="I108" s="130">
        <v>0</v>
      </c>
      <c r="J108" s="130">
        <v>0</v>
      </c>
      <c r="K108" s="130">
        <v>0</v>
      </c>
      <c r="L108" s="130">
        <v>0</v>
      </c>
      <c r="M108" s="130">
        <v>0</v>
      </c>
      <c r="N108" s="130">
        <v>0</v>
      </c>
      <c r="O108" s="130">
        <v>0</v>
      </c>
      <c r="P108" s="130">
        <v>0</v>
      </c>
      <c r="Q108" s="130">
        <v>0</v>
      </c>
      <c r="R108" s="130">
        <v>0</v>
      </c>
      <c r="S108" s="130">
        <v>0</v>
      </c>
      <c r="T108" s="130">
        <v>0</v>
      </c>
      <c r="U108" s="130">
        <v>0</v>
      </c>
      <c r="V108" s="130">
        <v>0</v>
      </c>
      <c r="W108" s="130">
        <v>0</v>
      </c>
      <c r="X108" s="130">
        <v>0</v>
      </c>
      <c r="Y108" s="130">
        <v>0</v>
      </c>
      <c r="Z108" s="130">
        <v>0</v>
      </c>
      <c r="AA108" s="130">
        <v>0</v>
      </c>
      <c r="AB108" s="130">
        <v>0</v>
      </c>
      <c r="AC108" s="130">
        <v>0</v>
      </c>
      <c r="AD108" s="130">
        <v>0</v>
      </c>
      <c r="AE108" s="130">
        <v>0</v>
      </c>
      <c r="AF108" s="130">
        <v>0</v>
      </c>
      <c r="AG108" s="130">
        <v>0</v>
      </c>
      <c r="AH108" s="130">
        <v>0</v>
      </c>
      <c r="AI108" s="130">
        <v>0</v>
      </c>
      <c r="AJ108" s="130">
        <v>0</v>
      </c>
      <c r="AK108" s="130">
        <v>0</v>
      </c>
      <c r="AL108" s="130">
        <v>0</v>
      </c>
      <c r="AM108" s="130">
        <v>0</v>
      </c>
      <c r="AN108" s="130">
        <v>0</v>
      </c>
      <c r="AO108" s="130">
        <v>0</v>
      </c>
      <c r="AP108" s="130">
        <v>0</v>
      </c>
      <c r="AQ108" s="130">
        <v>0</v>
      </c>
      <c r="AR108" s="130">
        <v>0</v>
      </c>
      <c r="AS108" s="130">
        <v>0</v>
      </c>
      <c r="AT108" s="130">
        <v>0</v>
      </c>
      <c r="AU108" s="130">
        <v>0</v>
      </c>
      <c r="AV108" s="130">
        <v>0</v>
      </c>
      <c r="AW108" s="130">
        <v>0</v>
      </c>
      <c r="AX108" s="130">
        <v>0</v>
      </c>
      <c r="AY108" s="130">
        <v>0</v>
      </c>
      <c r="AZ108" s="112">
        <f>SUM($D108:$AY108)</f>
        <v>0</v>
      </c>
    </row>
    <row r="109" spans="1:52" x14ac:dyDescent="0.2">
      <c r="A109" s="136" t="s">
        <v>134</v>
      </c>
      <c r="B109" s="124">
        <v>1</v>
      </c>
      <c r="C109" s="111"/>
      <c r="D109" s="111">
        <v>0</v>
      </c>
      <c r="E109" s="111">
        <v>47.006406195001773</v>
      </c>
      <c r="F109" s="111">
        <v>47.006406195001773</v>
      </c>
      <c r="G109" s="111">
        <v>51.706406195001762</v>
      </c>
      <c r="H109" s="111">
        <v>51.706406195001762</v>
      </c>
      <c r="I109" s="111">
        <v>51.706406195001762</v>
      </c>
      <c r="J109" s="111">
        <v>51.706406195001762</v>
      </c>
      <c r="K109" s="111">
        <v>51.706406195001762</v>
      </c>
      <c r="L109" s="111">
        <v>51.706406195001762</v>
      </c>
      <c r="M109" s="111">
        <v>55.576799335518857</v>
      </c>
      <c r="N109" s="111">
        <v>51.706406195001762</v>
      </c>
      <c r="O109" s="111">
        <v>52.176406195001768</v>
      </c>
      <c r="P109" s="111">
        <v>52.176406195001768</v>
      </c>
      <c r="Q109" s="111">
        <v>52.176406195001768</v>
      </c>
      <c r="R109" s="111">
        <v>52.176406195001768</v>
      </c>
      <c r="S109" s="111">
        <v>51.706406195001762</v>
      </c>
      <c r="T109" s="111">
        <v>51.706406195001762</v>
      </c>
      <c r="U109" s="111">
        <v>51.706406195001762</v>
      </c>
      <c r="V109" s="111">
        <v>51.706406195001762</v>
      </c>
      <c r="W109" s="111">
        <v>52.176406195001768</v>
      </c>
      <c r="X109" s="111">
        <v>52.176406195001768</v>
      </c>
      <c r="Y109" s="111">
        <v>52.176406195001768</v>
      </c>
      <c r="Z109" s="111">
        <v>52.176406195001768</v>
      </c>
      <c r="AA109" s="111">
        <v>51.706406195001762</v>
      </c>
      <c r="AB109" s="111">
        <v>51.706406195001762</v>
      </c>
      <c r="AC109" s="111">
        <v>51.706406195001762</v>
      </c>
      <c r="AD109" s="111">
        <v>51.706406195001762</v>
      </c>
      <c r="AE109" s="111">
        <v>52.176406195001768</v>
      </c>
      <c r="AF109" s="111">
        <v>52.176406195001768</v>
      </c>
      <c r="AG109" s="111">
        <v>52.176406195001768</v>
      </c>
      <c r="AH109" s="111">
        <v>52.176406195001768</v>
      </c>
      <c r="AI109" s="111">
        <v>51.706406195001762</v>
      </c>
      <c r="AJ109" s="111">
        <v>51.706406195001762</v>
      </c>
      <c r="AK109" s="111">
        <v>51.706406195001762</v>
      </c>
      <c r="AL109" s="111">
        <v>51.706406195001762</v>
      </c>
      <c r="AM109" s="111">
        <v>51.706406195001762</v>
      </c>
      <c r="AN109" s="111">
        <v>51.706406195001762</v>
      </c>
      <c r="AO109" s="111">
        <v>56.292397043294628</v>
      </c>
      <c r="AP109" s="111">
        <v>56.292397043294628</v>
      </c>
      <c r="AQ109" s="111">
        <v>56.292397043294628</v>
      </c>
      <c r="AR109" s="111">
        <v>56.292397043294628</v>
      </c>
      <c r="AS109" s="111">
        <v>56.292397043294628</v>
      </c>
      <c r="AT109" s="111">
        <v>56.292397043294628</v>
      </c>
      <c r="AU109" s="111">
        <v>55.822397043294622</v>
      </c>
      <c r="AV109" s="111">
        <v>55.822397043294622</v>
      </c>
      <c r="AW109" s="111">
        <v>51.23640619500177</v>
      </c>
      <c r="AX109" s="111">
        <v>51.23640619500177</v>
      </c>
      <c r="AY109" s="111">
        <v>51.706406195001762</v>
      </c>
    </row>
    <row r="110" spans="1:52" x14ac:dyDescent="0.2">
      <c r="A110" s="114"/>
      <c r="B110" s="124">
        <v>2</v>
      </c>
      <c r="C110" s="111"/>
      <c r="D110" s="111">
        <v>0</v>
      </c>
      <c r="E110" s="111">
        <v>0</v>
      </c>
      <c r="F110" s="111">
        <v>0</v>
      </c>
      <c r="G110" s="111">
        <v>0</v>
      </c>
      <c r="H110" s="111">
        <v>0</v>
      </c>
      <c r="I110" s="111">
        <v>0</v>
      </c>
      <c r="J110" s="111">
        <v>0</v>
      </c>
      <c r="K110" s="111">
        <v>0</v>
      </c>
      <c r="L110" s="111">
        <v>0</v>
      </c>
      <c r="M110" s="111">
        <v>0</v>
      </c>
      <c r="N110" s="111">
        <v>5.5767993355188565</v>
      </c>
      <c r="O110" s="111">
        <v>0</v>
      </c>
      <c r="P110" s="111">
        <v>0</v>
      </c>
      <c r="Q110" s="111">
        <v>0</v>
      </c>
      <c r="R110" s="111">
        <v>0</v>
      </c>
      <c r="S110" s="111">
        <v>0</v>
      </c>
      <c r="T110" s="111">
        <v>5.2071530094062055</v>
      </c>
      <c r="U110" s="111">
        <v>0</v>
      </c>
      <c r="V110" s="111">
        <v>0</v>
      </c>
      <c r="W110" s="111">
        <v>0</v>
      </c>
      <c r="X110" s="111">
        <v>0</v>
      </c>
      <c r="Y110" s="111">
        <v>0</v>
      </c>
      <c r="Z110" s="111">
        <v>0</v>
      </c>
      <c r="AA110" s="111">
        <v>0</v>
      </c>
      <c r="AB110" s="111">
        <v>0</v>
      </c>
      <c r="AC110" s="111">
        <v>0</v>
      </c>
      <c r="AD110" s="111">
        <v>0</v>
      </c>
      <c r="AE110" s="111">
        <v>0</v>
      </c>
      <c r="AF110" s="111">
        <v>0</v>
      </c>
      <c r="AG110" s="111">
        <v>0</v>
      </c>
      <c r="AH110" s="111">
        <v>0</v>
      </c>
      <c r="AI110" s="111">
        <v>0</v>
      </c>
      <c r="AJ110" s="111">
        <v>0</v>
      </c>
      <c r="AK110" s="111">
        <v>0</v>
      </c>
      <c r="AL110" s="111">
        <v>0</v>
      </c>
      <c r="AM110" s="111">
        <v>0</v>
      </c>
      <c r="AN110" s="111">
        <v>0</v>
      </c>
      <c r="AO110" s="111">
        <v>0</v>
      </c>
      <c r="AP110" s="111">
        <v>0</v>
      </c>
      <c r="AQ110" s="111">
        <v>0</v>
      </c>
      <c r="AR110" s="111">
        <v>0</v>
      </c>
      <c r="AS110" s="111">
        <v>0</v>
      </c>
      <c r="AT110" s="111">
        <v>0</v>
      </c>
      <c r="AU110" s="111">
        <v>0.36512066138507748</v>
      </c>
      <c r="AV110" s="111">
        <v>0</v>
      </c>
      <c r="AW110" s="111">
        <v>0</v>
      </c>
      <c r="AX110" s="111">
        <v>0</v>
      </c>
      <c r="AY110" s="111">
        <v>0</v>
      </c>
    </row>
    <row r="111" spans="1:52" x14ac:dyDescent="0.2">
      <c r="A111" s="114"/>
      <c r="B111" s="124">
        <v>3</v>
      </c>
      <c r="C111" s="111"/>
      <c r="D111" s="111">
        <v>0</v>
      </c>
      <c r="E111" s="111">
        <v>0</v>
      </c>
      <c r="F111" s="111">
        <v>0</v>
      </c>
      <c r="G111" s="111">
        <v>0</v>
      </c>
      <c r="H111" s="111">
        <v>0</v>
      </c>
      <c r="I111" s="111">
        <v>0</v>
      </c>
      <c r="J111" s="111">
        <v>0</v>
      </c>
      <c r="K111" s="111">
        <v>0</v>
      </c>
      <c r="L111" s="111">
        <v>0</v>
      </c>
      <c r="M111" s="111">
        <v>0</v>
      </c>
      <c r="N111" s="111">
        <v>0</v>
      </c>
      <c r="O111" s="111">
        <v>0</v>
      </c>
      <c r="P111" s="111">
        <v>0</v>
      </c>
      <c r="Q111" s="111">
        <v>0</v>
      </c>
      <c r="R111" s="111">
        <v>0</v>
      </c>
      <c r="S111" s="111">
        <v>0</v>
      </c>
      <c r="T111" s="111">
        <v>0</v>
      </c>
      <c r="U111" s="111">
        <v>0</v>
      </c>
      <c r="V111" s="111">
        <v>0</v>
      </c>
      <c r="W111" s="111">
        <v>0</v>
      </c>
      <c r="X111" s="111">
        <v>0</v>
      </c>
      <c r="Y111" s="111">
        <v>0</v>
      </c>
      <c r="Z111" s="111">
        <v>0</v>
      </c>
      <c r="AA111" s="111">
        <v>0</v>
      </c>
      <c r="AB111" s="111">
        <v>0</v>
      </c>
      <c r="AC111" s="111">
        <v>0</v>
      </c>
      <c r="AD111" s="111">
        <v>0</v>
      </c>
      <c r="AE111" s="111">
        <v>0</v>
      </c>
      <c r="AF111" s="111">
        <v>0</v>
      </c>
      <c r="AG111" s="111">
        <v>0</v>
      </c>
      <c r="AH111" s="111">
        <v>0</v>
      </c>
      <c r="AI111" s="111">
        <v>0</v>
      </c>
      <c r="AJ111" s="111">
        <v>0</v>
      </c>
      <c r="AK111" s="111">
        <v>0</v>
      </c>
      <c r="AL111" s="111">
        <v>0</v>
      </c>
      <c r="AM111" s="111">
        <v>0</v>
      </c>
      <c r="AN111" s="111">
        <v>0</v>
      </c>
      <c r="AO111" s="111">
        <v>0</v>
      </c>
      <c r="AP111" s="111">
        <v>0</v>
      </c>
      <c r="AQ111" s="111">
        <v>0</v>
      </c>
      <c r="AR111" s="111">
        <v>0</v>
      </c>
      <c r="AS111" s="111">
        <v>0</v>
      </c>
      <c r="AT111" s="111">
        <v>0</v>
      </c>
      <c r="AU111" s="111">
        <v>0</v>
      </c>
      <c r="AV111" s="111">
        <v>0</v>
      </c>
      <c r="AW111" s="111">
        <v>0</v>
      </c>
      <c r="AX111" s="111">
        <v>0</v>
      </c>
      <c r="AY111" s="111">
        <v>0</v>
      </c>
    </row>
    <row r="112" spans="1:52" x14ac:dyDescent="0.2">
      <c r="A112" s="114"/>
      <c r="B112" s="125">
        <v>4</v>
      </c>
      <c r="C112" s="111"/>
      <c r="D112" s="111">
        <v>0</v>
      </c>
      <c r="E112" s="111">
        <v>0</v>
      </c>
      <c r="F112" s="111">
        <v>0</v>
      </c>
      <c r="G112" s="111">
        <v>0</v>
      </c>
      <c r="H112" s="111">
        <v>0</v>
      </c>
      <c r="I112" s="111">
        <v>0</v>
      </c>
      <c r="J112" s="111">
        <v>0</v>
      </c>
      <c r="K112" s="111">
        <v>0</v>
      </c>
      <c r="L112" s="111">
        <v>0</v>
      </c>
      <c r="M112" s="111">
        <v>0</v>
      </c>
      <c r="N112" s="111">
        <v>0</v>
      </c>
      <c r="O112" s="111">
        <v>0</v>
      </c>
      <c r="P112" s="111">
        <v>0</v>
      </c>
      <c r="Q112" s="111">
        <v>0</v>
      </c>
      <c r="R112" s="111">
        <v>0</v>
      </c>
      <c r="S112" s="111">
        <v>0</v>
      </c>
      <c r="T112" s="111">
        <v>0</v>
      </c>
      <c r="U112" s="111">
        <v>0</v>
      </c>
      <c r="V112" s="111">
        <v>0</v>
      </c>
      <c r="W112" s="111">
        <v>0</v>
      </c>
      <c r="X112" s="111">
        <v>0</v>
      </c>
      <c r="Y112" s="111">
        <v>0</v>
      </c>
      <c r="Z112" s="111">
        <v>0</v>
      </c>
      <c r="AA112" s="111">
        <v>0</v>
      </c>
      <c r="AB112" s="111">
        <v>0</v>
      </c>
      <c r="AC112" s="111">
        <v>0</v>
      </c>
      <c r="AD112" s="111">
        <v>0</v>
      </c>
      <c r="AE112" s="111">
        <v>0</v>
      </c>
      <c r="AF112" s="111">
        <v>0</v>
      </c>
      <c r="AG112" s="111">
        <v>0</v>
      </c>
      <c r="AH112" s="111">
        <v>0</v>
      </c>
      <c r="AI112" s="111">
        <v>0</v>
      </c>
      <c r="AJ112" s="111">
        <v>0</v>
      </c>
      <c r="AK112" s="111">
        <v>0</v>
      </c>
      <c r="AL112" s="111">
        <v>0</v>
      </c>
      <c r="AM112" s="111">
        <v>0</v>
      </c>
      <c r="AN112" s="111">
        <v>0</v>
      </c>
      <c r="AO112" s="111">
        <v>0</v>
      </c>
      <c r="AP112" s="111">
        <v>0</v>
      </c>
      <c r="AQ112" s="111">
        <v>0</v>
      </c>
      <c r="AR112" s="111">
        <v>0</v>
      </c>
      <c r="AS112" s="111">
        <v>0</v>
      </c>
      <c r="AT112" s="111">
        <v>0</v>
      </c>
      <c r="AU112" s="111">
        <v>0</v>
      </c>
      <c r="AV112" s="111">
        <v>0</v>
      </c>
      <c r="AW112" s="111">
        <v>0</v>
      </c>
      <c r="AX112" s="111">
        <v>0</v>
      </c>
      <c r="AY112" s="111">
        <v>0</v>
      </c>
    </row>
    <row r="113" spans="1:52" x14ac:dyDescent="0.2">
      <c r="A113" s="114"/>
      <c r="B113" s="125">
        <v>5</v>
      </c>
      <c r="C113" s="111"/>
      <c r="D113" s="111">
        <v>0</v>
      </c>
      <c r="E113" s="111">
        <v>0</v>
      </c>
      <c r="F113" s="111">
        <v>0</v>
      </c>
      <c r="G113" s="111">
        <v>0</v>
      </c>
      <c r="H113" s="111">
        <v>0</v>
      </c>
      <c r="I113" s="111">
        <v>0</v>
      </c>
      <c r="J113" s="111">
        <v>0</v>
      </c>
      <c r="K113" s="111">
        <v>0</v>
      </c>
      <c r="L113" s="111">
        <v>0</v>
      </c>
      <c r="M113" s="111">
        <v>0</v>
      </c>
      <c r="N113" s="111">
        <v>0</v>
      </c>
      <c r="O113" s="111">
        <v>0</v>
      </c>
      <c r="P113" s="111">
        <v>0</v>
      </c>
      <c r="Q113" s="111">
        <v>0</v>
      </c>
      <c r="R113" s="111">
        <v>0</v>
      </c>
      <c r="S113" s="111">
        <v>0</v>
      </c>
      <c r="T113" s="111">
        <v>0</v>
      </c>
      <c r="U113" s="111">
        <v>0</v>
      </c>
      <c r="V113" s="111">
        <v>0</v>
      </c>
      <c r="W113" s="111">
        <v>0</v>
      </c>
      <c r="X113" s="111">
        <v>0</v>
      </c>
      <c r="Y113" s="111">
        <v>0</v>
      </c>
      <c r="Z113" s="111">
        <v>0</v>
      </c>
      <c r="AA113" s="111">
        <v>0</v>
      </c>
      <c r="AB113" s="111">
        <v>0</v>
      </c>
      <c r="AC113" s="111">
        <v>0</v>
      </c>
      <c r="AD113" s="111">
        <v>0</v>
      </c>
      <c r="AE113" s="111">
        <v>0</v>
      </c>
      <c r="AF113" s="111">
        <v>0</v>
      </c>
      <c r="AG113" s="111">
        <v>0</v>
      </c>
      <c r="AH113" s="111">
        <v>0</v>
      </c>
      <c r="AI113" s="111">
        <v>0</v>
      </c>
      <c r="AJ113" s="111">
        <v>0</v>
      </c>
      <c r="AK113" s="111">
        <v>0</v>
      </c>
      <c r="AL113" s="111">
        <v>0</v>
      </c>
      <c r="AM113" s="111">
        <v>0</v>
      </c>
      <c r="AN113" s="111">
        <v>0</v>
      </c>
      <c r="AO113" s="111">
        <v>0</v>
      </c>
      <c r="AP113" s="111">
        <v>0</v>
      </c>
      <c r="AQ113" s="111">
        <v>0</v>
      </c>
      <c r="AR113" s="111">
        <v>0</v>
      </c>
      <c r="AS113" s="111">
        <v>0</v>
      </c>
      <c r="AT113" s="111">
        <v>0</v>
      </c>
      <c r="AU113" s="111">
        <v>0</v>
      </c>
      <c r="AV113" s="111">
        <v>0</v>
      </c>
      <c r="AW113" s="111">
        <v>0</v>
      </c>
      <c r="AX113" s="111">
        <v>0</v>
      </c>
      <c r="AY113" s="111">
        <v>0</v>
      </c>
    </row>
    <row r="114" spans="1:52" x14ac:dyDescent="0.2">
      <c r="A114" s="114"/>
      <c r="B114" s="125">
        <v>6</v>
      </c>
      <c r="C114" s="111"/>
      <c r="D114" s="111">
        <v>0</v>
      </c>
      <c r="E114" s="111">
        <v>0</v>
      </c>
      <c r="F114" s="111">
        <v>0</v>
      </c>
      <c r="G114" s="111">
        <v>0</v>
      </c>
      <c r="H114" s="111">
        <v>0</v>
      </c>
      <c r="I114" s="111">
        <v>0</v>
      </c>
      <c r="J114" s="111">
        <v>0</v>
      </c>
      <c r="K114" s="111">
        <v>0</v>
      </c>
      <c r="L114" s="111">
        <v>0</v>
      </c>
      <c r="M114" s="111">
        <v>0</v>
      </c>
      <c r="N114" s="111">
        <v>0</v>
      </c>
      <c r="O114" s="111">
        <v>0</v>
      </c>
      <c r="P114" s="111">
        <v>0</v>
      </c>
      <c r="Q114" s="111">
        <v>0</v>
      </c>
      <c r="R114" s="111">
        <v>0</v>
      </c>
      <c r="S114" s="111">
        <v>0</v>
      </c>
      <c r="T114" s="111">
        <v>0</v>
      </c>
      <c r="U114" s="111">
        <v>0</v>
      </c>
      <c r="V114" s="111">
        <v>0</v>
      </c>
      <c r="W114" s="111">
        <v>0</v>
      </c>
      <c r="X114" s="111">
        <v>0</v>
      </c>
      <c r="Y114" s="111">
        <v>0</v>
      </c>
      <c r="Z114" s="111">
        <v>0</v>
      </c>
      <c r="AA114" s="111">
        <v>0</v>
      </c>
      <c r="AB114" s="111">
        <v>0</v>
      </c>
      <c r="AC114" s="111">
        <v>0</v>
      </c>
      <c r="AD114" s="111">
        <v>0</v>
      </c>
      <c r="AE114" s="111">
        <v>0</v>
      </c>
      <c r="AF114" s="111">
        <v>0</v>
      </c>
      <c r="AG114" s="111">
        <v>0</v>
      </c>
      <c r="AH114" s="111">
        <v>0</v>
      </c>
      <c r="AI114" s="111">
        <v>0</v>
      </c>
      <c r="AJ114" s="111">
        <v>0</v>
      </c>
      <c r="AK114" s="111">
        <v>0</v>
      </c>
      <c r="AL114" s="111">
        <v>0</v>
      </c>
      <c r="AM114" s="111">
        <v>0</v>
      </c>
      <c r="AN114" s="111">
        <v>0</v>
      </c>
      <c r="AO114" s="111">
        <v>0</v>
      </c>
      <c r="AP114" s="111">
        <v>0</v>
      </c>
      <c r="AQ114" s="111">
        <v>0</v>
      </c>
      <c r="AR114" s="111">
        <v>0</v>
      </c>
      <c r="AS114" s="111">
        <v>0</v>
      </c>
      <c r="AT114" s="111">
        <v>0</v>
      </c>
      <c r="AU114" s="111">
        <v>0</v>
      </c>
      <c r="AV114" s="111">
        <v>0</v>
      </c>
      <c r="AW114" s="111">
        <v>0</v>
      </c>
      <c r="AX114" s="111">
        <v>0</v>
      </c>
      <c r="AY114" s="111">
        <v>0</v>
      </c>
    </row>
    <row r="115" spans="1:52" x14ac:dyDescent="0.2">
      <c r="A115" s="114"/>
      <c r="B115" s="132">
        <v>7</v>
      </c>
      <c r="C115" s="111"/>
      <c r="D115" s="111">
        <v>0</v>
      </c>
      <c r="E115" s="111">
        <v>0</v>
      </c>
      <c r="F115" s="111">
        <v>0</v>
      </c>
      <c r="G115" s="111">
        <v>0</v>
      </c>
      <c r="H115" s="111">
        <v>0</v>
      </c>
      <c r="I115" s="111">
        <v>0</v>
      </c>
      <c r="J115" s="111">
        <v>0</v>
      </c>
      <c r="K115" s="111">
        <v>0</v>
      </c>
      <c r="L115" s="111">
        <v>0</v>
      </c>
      <c r="M115" s="111">
        <v>0</v>
      </c>
      <c r="N115" s="111">
        <v>0</v>
      </c>
      <c r="O115" s="111">
        <v>0</v>
      </c>
      <c r="P115" s="111">
        <v>0</v>
      </c>
      <c r="Q115" s="111">
        <v>0</v>
      </c>
      <c r="R115" s="111">
        <v>0</v>
      </c>
      <c r="S115" s="111">
        <v>0</v>
      </c>
      <c r="T115" s="111">
        <v>0</v>
      </c>
      <c r="U115" s="111">
        <v>0</v>
      </c>
      <c r="V115" s="111">
        <v>0</v>
      </c>
      <c r="W115" s="111">
        <v>0</v>
      </c>
      <c r="X115" s="111">
        <v>0</v>
      </c>
      <c r="Y115" s="111">
        <v>0</v>
      </c>
      <c r="Z115" s="111">
        <v>0</v>
      </c>
      <c r="AA115" s="111">
        <v>0</v>
      </c>
      <c r="AB115" s="111">
        <v>0</v>
      </c>
      <c r="AC115" s="111">
        <v>0</v>
      </c>
      <c r="AD115" s="111">
        <v>0</v>
      </c>
      <c r="AE115" s="111">
        <v>0</v>
      </c>
      <c r="AF115" s="111">
        <v>0</v>
      </c>
      <c r="AG115" s="111">
        <v>0</v>
      </c>
      <c r="AH115" s="111">
        <v>0</v>
      </c>
      <c r="AI115" s="111">
        <v>0</v>
      </c>
      <c r="AJ115" s="111">
        <v>0</v>
      </c>
      <c r="AK115" s="111">
        <v>0</v>
      </c>
      <c r="AL115" s="111">
        <v>0</v>
      </c>
      <c r="AM115" s="111">
        <v>0</v>
      </c>
      <c r="AN115" s="111">
        <v>0</v>
      </c>
      <c r="AO115" s="111">
        <v>0</v>
      </c>
      <c r="AP115" s="111">
        <v>0</v>
      </c>
      <c r="AQ115" s="111">
        <v>0</v>
      </c>
      <c r="AR115" s="111">
        <v>0</v>
      </c>
      <c r="AS115" s="111">
        <v>0</v>
      </c>
      <c r="AT115" s="111">
        <v>0</v>
      </c>
      <c r="AU115" s="111">
        <v>0</v>
      </c>
      <c r="AV115" s="111">
        <v>0</v>
      </c>
      <c r="AW115" s="111">
        <v>0</v>
      </c>
      <c r="AX115" s="111">
        <v>0</v>
      </c>
      <c r="AY115" s="111">
        <v>0</v>
      </c>
    </row>
    <row r="116" spans="1:52" x14ac:dyDescent="0.2">
      <c r="A116" s="114"/>
      <c r="B116" s="132">
        <v>8</v>
      </c>
      <c r="C116" s="111"/>
      <c r="D116" s="111">
        <v>0</v>
      </c>
      <c r="E116" s="111">
        <v>0</v>
      </c>
      <c r="F116" s="111">
        <v>0</v>
      </c>
      <c r="G116" s="111">
        <v>0</v>
      </c>
      <c r="H116" s="111">
        <v>0</v>
      </c>
      <c r="I116" s="111">
        <v>0</v>
      </c>
      <c r="J116" s="111">
        <v>0</v>
      </c>
      <c r="K116" s="111">
        <v>0</v>
      </c>
      <c r="L116" s="111">
        <v>0</v>
      </c>
      <c r="M116" s="111">
        <v>0</v>
      </c>
      <c r="N116" s="111">
        <v>0</v>
      </c>
      <c r="O116" s="111">
        <v>0</v>
      </c>
      <c r="P116" s="111">
        <v>0</v>
      </c>
      <c r="Q116" s="111">
        <v>0</v>
      </c>
      <c r="R116" s="111">
        <v>0</v>
      </c>
      <c r="S116" s="111">
        <v>0</v>
      </c>
      <c r="T116" s="111">
        <v>0</v>
      </c>
      <c r="U116" s="111">
        <v>0</v>
      </c>
      <c r="V116" s="111">
        <v>0</v>
      </c>
      <c r="W116" s="111">
        <v>0</v>
      </c>
      <c r="X116" s="111">
        <v>0</v>
      </c>
      <c r="Y116" s="111">
        <v>0</v>
      </c>
      <c r="Z116" s="111">
        <v>0</v>
      </c>
      <c r="AA116" s="111">
        <v>0</v>
      </c>
      <c r="AB116" s="111">
        <v>0</v>
      </c>
      <c r="AC116" s="111">
        <v>0</v>
      </c>
      <c r="AD116" s="111">
        <v>0</v>
      </c>
      <c r="AE116" s="111">
        <v>0</v>
      </c>
      <c r="AF116" s="111">
        <v>0</v>
      </c>
      <c r="AG116" s="111">
        <v>0</v>
      </c>
      <c r="AH116" s="111">
        <v>0</v>
      </c>
      <c r="AI116" s="111">
        <v>0</v>
      </c>
      <c r="AJ116" s="111">
        <v>0</v>
      </c>
      <c r="AK116" s="111">
        <v>0</v>
      </c>
      <c r="AL116" s="111">
        <v>0</v>
      </c>
      <c r="AM116" s="111">
        <v>0</v>
      </c>
      <c r="AN116" s="111">
        <v>0</v>
      </c>
      <c r="AO116" s="111">
        <v>0</v>
      </c>
      <c r="AP116" s="111">
        <v>0</v>
      </c>
      <c r="AQ116" s="111">
        <v>0</v>
      </c>
      <c r="AR116" s="111">
        <v>0</v>
      </c>
      <c r="AS116" s="111">
        <v>0</v>
      </c>
      <c r="AT116" s="111">
        <v>0</v>
      </c>
      <c r="AU116" s="111">
        <v>0</v>
      </c>
      <c r="AV116" s="111">
        <v>0</v>
      </c>
      <c r="AW116" s="111">
        <v>0</v>
      </c>
      <c r="AX116" s="111">
        <v>0</v>
      </c>
      <c r="AY116" s="111">
        <v>0</v>
      </c>
    </row>
    <row r="117" spans="1:52" x14ac:dyDescent="0.2">
      <c r="A117" s="114"/>
      <c r="B117" s="132">
        <v>9</v>
      </c>
      <c r="C117" s="111"/>
      <c r="D117" s="111">
        <v>0</v>
      </c>
      <c r="E117" s="111">
        <v>0</v>
      </c>
      <c r="F117" s="111">
        <v>0</v>
      </c>
      <c r="G117" s="111">
        <v>0</v>
      </c>
      <c r="H117" s="111">
        <v>0</v>
      </c>
      <c r="I117" s="111">
        <v>0</v>
      </c>
      <c r="J117" s="111">
        <v>0</v>
      </c>
      <c r="K117" s="111">
        <v>0</v>
      </c>
      <c r="L117" s="111">
        <v>0</v>
      </c>
      <c r="M117" s="111">
        <v>0</v>
      </c>
      <c r="N117" s="111">
        <v>0</v>
      </c>
      <c r="O117" s="111">
        <v>0</v>
      </c>
      <c r="P117" s="111">
        <v>0</v>
      </c>
      <c r="Q117" s="111">
        <v>0</v>
      </c>
      <c r="R117" s="111">
        <v>0</v>
      </c>
      <c r="S117" s="111">
        <v>0</v>
      </c>
      <c r="T117" s="111">
        <v>0</v>
      </c>
      <c r="U117" s="111">
        <v>0</v>
      </c>
      <c r="V117" s="111">
        <v>0</v>
      </c>
      <c r="W117" s="111">
        <v>0</v>
      </c>
      <c r="X117" s="111">
        <v>0</v>
      </c>
      <c r="Y117" s="111">
        <v>0</v>
      </c>
      <c r="Z117" s="111">
        <v>0</v>
      </c>
      <c r="AA117" s="111">
        <v>0</v>
      </c>
      <c r="AB117" s="111">
        <v>0</v>
      </c>
      <c r="AC117" s="111">
        <v>0</v>
      </c>
      <c r="AD117" s="111">
        <v>0</v>
      </c>
      <c r="AE117" s="111">
        <v>0</v>
      </c>
      <c r="AF117" s="111">
        <v>0</v>
      </c>
      <c r="AG117" s="111">
        <v>0</v>
      </c>
      <c r="AH117" s="111">
        <v>0</v>
      </c>
      <c r="AI117" s="111">
        <v>0</v>
      </c>
      <c r="AJ117" s="111">
        <v>0</v>
      </c>
      <c r="AK117" s="111">
        <v>0</v>
      </c>
      <c r="AL117" s="111">
        <v>0</v>
      </c>
      <c r="AM117" s="111">
        <v>0</v>
      </c>
      <c r="AN117" s="111">
        <v>0</v>
      </c>
      <c r="AO117" s="111">
        <v>0</v>
      </c>
      <c r="AP117" s="111">
        <v>0</v>
      </c>
      <c r="AQ117" s="111">
        <v>0</v>
      </c>
      <c r="AR117" s="111">
        <v>0</v>
      </c>
      <c r="AS117" s="111">
        <v>0</v>
      </c>
      <c r="AT117" s="111">
        <v>0</v>
      </c>
      <c r="AU117" s="111">
        <v>0</v>
      </c>
      <c r="AV117" s="111">
        <v>0</v>
      </c>
      <c r="AW117" s="111">
        <v>0</v>
      </c>
      <c r="AX117" s="111">
        <v>0</v>
      </c>
      <c r="AY117" s="111">
        <v>0</v>
      </c>
    </row>
    <row r="118" spans="1:52" x14ac:dyDescent="0.2">
      <c r="A118" s="114"/>
      <c r="B118" s="135">
        <v>10</v>
      </c>
      <c r="C118" s="111"/>
      <c r="D118" s="111">
        <v>0</v>
      </c>
      <c r="E118" s="111">
        <v>0</v>
      </c>
      <c r="F118" s="111">
        <v>0</v>
      </c>
      <c r="G118" s="111">
        <v>0</v>
      </c>
      <c r="H118" s="111">
        <v>0</v>
      </c>
      <c r="I118" s="111">
        <v>0</v>
      </c>
      <c r="J118" s="111">
        <v>0</v>
      </c>
      <c r="K118" s="111">
        <v>0</v>
      </c>
      <c r="L118" s="111">
        <v>0</v>
      </c>
      <c r="M118" s="111">
        <v>0</v>
      </c>
      <c r="N118" s="111">
        <v>0</v>
      </c>
      <c r="O118" s="111">
        <v>0</v>
      </c>
      <c r="P118" s="111">
        <v>0</v>
      </c>
      <c r="Q118" s="111">
        <v>0</v>
      </c>
      <c r="R118" s="111">
        <v>0</v>
      </c>
      <c r="S118" s="111">
        <v>0</v>
      </c>
      <c r="T118" s="111">
        <v>0</v>
      </c>
      <c r="U118" s="111">
        <v>0</v>
      </c>
      <c r="V118" s="111">
        <v>0</v>
      </c>
      <c r="W118" s="111">
        <v>0</v>
      </c>
      <c r="X118" s="111">
        <v>0</v>
      </c>
      <c r="Y118" s="111">
        <v>0</v>
      </c>
      <c r="Z118" s="111">
        <v>0</v>
      </c>
      <c r="AA118" s="111">
        <v>0</v>
      </c>
      <c r="AB118" s="111">
        <v>0</v>
      </c>
      <c r="AC118" s="111">
        <v>0</v>
      </c>
      <c r="AD118" s="111">
        <v>0</v>
      </c>
      <c r="AE118" s="111">
        <v>0</v>
      </c>
      <c r="AF118" s="111">
        <v>0</v>
      </c>
      <c r="AG118" s="111">
        <v>0</v>
      </c>
      <c r="AH118" s="111">
        <v>0</v>
      </c>
      <c r="AI118" s="111">
        <v>0</v>
      </c>
      <c r="AJ118" s="111">
        <v>0</v>
      </c>
      <c r="AK118" s="111">
        <v>0</v>
      </c>
      <c r="AL118" s="111">
        <v>0</v>
      </c>
      <c r="AM118" s="111">
        <v>0</v>
      </c>
      <c r="AN118" s="111">
        <v>0</v>
      </c>
      <c r="AO118" s="111">
        <v>0</v>
      </c>
      <c r="AP118" s="111">
        <v>0</v>
      </c>
      <c r="AQ118" s="111">
        <v>0</v>
      </c>
      <c r="AR118" s="111">
        <v>0</v>
      </c>
      <c r="AS118" s="111">
        <v>0</v>
      </c>
      <c r="AT118" s="111">
        <v>0</v>
      </c>
      <c r="AU118" s="111">
        <v>0</v>
      </c>
      <c r="AV118" s="111">
        <v>0</v>
      </c>
      <c r="AW118" s="111">
        <v>0</v>
      </c>
      <c r="AX118" s="111">
        <v>0</v>
      </c>
      <c r="AY118" s="111">
        <v>0</v>
      </c>
    </row>
    <row r="119" spans="1:52" x14ac:dyDescent="0.2">
      <c r="A119" s="114"/>
      <c r="B119" s="135">
        <v>11</v>
      </c>
      <c r="C119" s="111"/>
      <c r="D119" s="111">
        <v>0</v>
      </c>
      <c r="E119" s="111">
        <v>0</v>
      </c>
      <c r="F119" s="111">
        <v>0</v>
      </c>
      <c r="G119" s="111">
        <v>0</v>
      </c>
      <c r="H119" s="111">
        <v>0</v>
      </c>
      <c r="I119" s="111">
        <v>0</v>
      </c>
      <c r="J119" s="111">
        <v>0</v>
      </c>
      <c r="K119" s="111">
        <v>0</v>
      </c>
      <c r="L119" s="111">
        <v>0</v>
      </c>
      <c r="M119" s="111">
        <v>0</v>
      </c>
      <c r="N119" s="111">
        <v>0</v>
      </c>
      <c r="O119" s="111">
        <v>0</v>
      </c>
      <c r="P119" s="111">
        <v>0</v>
      </c>
      <c r="Q119" s="111">
        <v>0</v>
      </c>
      <c r="R119" s="111">
        <v>0</v>
      </c>
      <c r="S119" s="111">
        <v>0</v>
      </c>
      <c r="T119" s="111">
        <v>0</v>
      </c>
      <c r="U119" s="111">
        <v>0</v>
      </c>
      <c r="V119" s="111">
        <v>0</v>
      </c>
      <c r="W119" s="111">
        <v>0</v>
      </c>
      <c r="X119" s="111">
        <v>0</v>
      </c>
      <c r="Y119" s="111">
        <v>0</v>
      </c>
      <c r="Z119" s="111">
        <v>0</v>
      </c>
      <c r="AA119" s="111">
        <v>0</v>
      </c>
      <c r="AB119" s="111">
        <v>0</v>
      </c>
      <c r="AC119" s="111">
        <v>0</v>
      </c>
      <c r="AD119" s="111">
        <v>0</v>
      </c>
      <c r="AE119" s="111">
        <v>0</v>
      </c>
      <c r="AF119" s="111">
        <v>0</v>
      </c>
      <c r="AG119" s="111">
        <v>0</v>
      </c>
      <c r="AH119" s="111">
        <v>0</v>
      </c>
      <c r="AI119" s="111">
        <v>0</v>
      </c>
      <c r="AJ119" s="111">
        <v>0</v>
      </c>
      <c r="AK119" s="111">
        <v>0</v>
      </c>
      <c r="AL119" s="111">
        <v>0</v>
      </c>
      <c r="AM119" s="111">
        <v>0</v>
      </c>
      <c r="AN119" s="111">
        <v>0</v>
      </c>
      <c r="AO119" s="111">
        <v>0</v>
      </c>
      <c r="AP119" s="111">
        <v>0</v>
      </c>
      <c r="AQ119" s="111">
        <v>0</v>
      </c>
      <c r="AR119" s="111">
        <v>0</v>
      </c>
      <c r="AS119" s="111">
        <v>0</v>
      </c>
      <c r="AT119" s="111">
        <v>0</v>
      </c>
      <c r="AU119" s="111">
        <v>0</v>
      </c>
      <c r="AV119" s="111">
        <v>0</v>
      </c>
      <c r="AW119" s="111">
        <v>0</v>
      </c>
      <c r="AX119" s="111">
        <v>0</v>
      </c>
      <c r="AY119" s="111">
        <v>0</v>
      </c>
    </row>
    <row r="120" spans="1:52" x14ac:dyDescent="0.2">
      <c r="A120" s="114"/>
      <c r="B120" s="135">
        <v>12</v>
      </c>
      <c r="C120" s="111"/>
      <c r="D120" s="111">
        <v>0</v>
      </c>
      <c r="E120" s="111">
        <v>0</v>
      </c>
      <c r="F120" s="111">
        <v>0</v>
      </c>
      <c r="G120" s="111">
        <v>0</v>
      </c>
      <c r="H120" s="111">
        <v>0</v>
      </c>
      <c r="I120" s="111">
        <v>0</v>
      </c>
      <c r="J120" s="111">
        <v>0</v>
      </c>
      <c r="K120" s="111">
        <v>0</v>
      </c>
      <c r="L120" s="111">
        <v>0</v>
      </c>
      <c r="M120" s="111">
        <v>0</v>
      </c>
      <c r="N120" s="111">
        <v>0</v>
      </c>
      <c r="O120" s="111">
        <v>0</v>
      </c>
      <c r="P120" s="111">
        <v>0</v>
      </c>
      <c r="Q120" s="111">
        <v>0</v>
      </c>
      <c r="R120" s="111">
        <v>0</v>
      </c>
      <c r="S120" s="111">
        <v>0</v>
      </c>
      <c r="T120" s="111">
        <v>0</v>
      </c>
      <c r="U120" s="111">
        <v>0</v>
      </c>
      <c r="V120" s="111">
        <v>0</v>
      </c>
      <c r="W120" s="111">
        <v>0</v>
      </c>
      <c r="X120" s="111">
        <v>0</v>
      </c>
      <c r="Y120" s="111">
        <v>0</v>
      </c>
      <c r="Z120" s="111">
        <v>0</v>
      </c>
      <c r="AA120" s="111">
        <v>0</v>
      </c>
      <c r="AB120" s="111">
        <v>0</v>
      </c>
      <c r="AC120" s="111">
        <v>0</v>
      </c>
      <c r="AD120" s="111">
        <v>0</v>
      </c>
      <c r="AE120" s="111">
        <v>0</v>
      </c>
      <c r="AF120" s="111">
        <v>0</v>
      </c>
      <c r="AG120" s="111">
        <v>0</v>
      </c>
      <c r="AH120" s="111">
        <v>0</v>
      </c>
      <c r="AI120" s="111">
        <v>0</v>
      </c>
      <c r="AJ120" s="111">
        <v>0</v>
      </c>
      <c r="AK120" s="111">
        <v>0</v>
      </c>
      <c r="AL120" s="111">
        <v>0</v>
      </c>
      <c r="AM120" s="111">
        <v>0</v>
      </c>
      <c r="AN120" s="111">
        <v>0</v>
      </c>
      <c r="AO120" s="111">
        <v>0</v>
      </c>
      <c r="AP120" s="111">
        <v>0</v>
      </c>
      <c r="AQ120" s="111">
        <v>0</v>
      </c>
      <c r="AR120" s="111">
        <v>0</v>
      </c>
      <c r="AS120" s="111">
        <v>0</v>
      </c>
      <c r="AT120" s="111">
        <v>0</v>
      </c>
      <c r="AU120" s="111">
        <v>0</v>
      </c>
      <c r="AV120" s="111">
        <v>0</v>
      </c>
      <c r="AW120" s="111">
        <v>0</v>
      </c>
      <c r="AX120" s="111">
        <v>0</v>
      </c>
      <c r="AY120" s="111">
        <v>0</v>
      </c>
    </row>
    <row r="121" spans="1:52" x14ac:dyDescent="0.2">
      <c r="A121" s="133"/>
      <c r="B121" s="137" t="s">
        <v>298</v>
      </c>
      <c r="C121" s="119"/>
      <c r="D121" s="130">
        <v>0</v>
      </c>
      <c r="E121" s="130">
        <v>0</v>
      </c>
      <c r="F121" s="130">
        <v>0</v>
      </c>
      <c r="G121" s="130">
        <v>0</v>
      </c>
      <c r="H121" s="130">
        <v>0</v>
      </c>
      <c r="I121" s="130">
        <v>0</v>
      </c>
      <c r="J121" s="130">
        <v>0</v>
      </c>
      <c r="K121" s="130">
        <v>0</v>
      </c>
      <c r="L121" s="130">
        <v>0</v>
      </c>
      <c r="M121" s="130">
        <v>0</v>
      </c>
      <c r="N121" s="130">
        <v>0</v>
      </c>
      <c r="O121" s="130">
        <v>0</v>
      </c>
      <c r="P121" s="130">
        <v>0</v>
      </c>
      <c r="Q121" s="130">
        <v>0</v>
      </c>
      <c r="R121" s="130">
        <v>0</v>
      </c>
      <c r="S121" s="130">
        <v>0</v>
      </c>
      <c r="T121" s="130">
        <v>0</v>
      </c>
      <c r="U121" s="130">
        <v>0</v>
      </c>
      <c r="V121" s="130">
        <v>0</v>
      </c>
      <c r="W121" s="130">
        <v>0</v>
      </c>
      <c r="X121" s="130">
        <v>0</v>
      </c>
      <c r="Y121" s="130">
        <v>0</v>
      </c>
      <c r="Z121" s="130">
        <v>0</v>
      </c>
      <c r="AA121" s="130">
        <v>0</v>
      </c>
      <c r="AB121" s="130">
        <v>0</v>
      </c>
      <c r="AC121" s="130">
        <v>0</v>
      </c>
      <c r="AD121" s="130">
        <v>0</v>
      </c>
      <c r="AE121" s="130">
        <v>0</v>
      </c>
      <c r="AF121" s="130">
        <v>0</v>
      </c>
      <c r="AG121" s="130">
        <v>0</v>
      </c>
      <c r="AH121" s="130">
        <v>0</v>
      </c>
      <c r="AI121" s="130">
        <v>0</v>
      </c>
      <c r="AJ121" s="130">
        <v>0</v>
      </c>
      <c r="AK121" s="130">
        <v>0</v>
      </c>
      <c r="AL121" s="130">
        <v>0</v>
      </c>
      <c r="AM121" s="130">
        <v>0</v>
      </c>
      <c r="AN121" s="130">
        <v>0</v>
      </c>
      <c r="AO121" s="130">
        <v>0</v>
      </c>
      <c r="AP121" s="130">
        <v>0</v>
      </c>
      <c r="AQ121" s="130">
        <v>0</v>
      </c>
      <c r="AR121" s="130">
        <v>0</v>
      </c>
      <c r="AS121" s="130">
        <v>0</v>
      </c>
      <c r="AT121" s="130">
        <v>0</v>
      </c>
      <c r="AU121" s="130">
        <v>0</v>
      </c>
      <c r="AV121" s="130">
        <v>0</v>
      </c>
      <c r="AW121" s="130">
        <v>0</v>
      </c>
      <c r="AX121" s="130">
        <v>0</v>
      </c>
      <c r="AY121" s="130">
        <v>0</v>
      </c>
      <c r="AZ121" s="112">
        <f>SUM($D121:$AY121)</f>
        <v>0</v>
      </c>
    </row>
    <row r="122" spans="1:52" x14ac:dyDescent="0.2">
      <c r="A122" s="136" t="s">
        <v>123</v>
      </c>
      <c r="B122" s="124">
        <v>1</v>
      </c>
      <c r="C122" s="111"/>
      <c r="D122" s="111">
        <v>470.06406195001767</v>
      </c>
      <c r="E122" s="111">
        <v>470.06406195001767</v>
      </c>
      <c r="F122" s="111">
        <v>517.06406195001762</v>
      </c>
      <c r="G122" s="111">
        <v>517.06406195001762</v>
      </c>
      <c r="H122" s="111">
        <v>517.06406195001762</v>
      </c>
      <c r="I122" s="111">
        <v>517.06406195001762</v>
      </c>
      <c r="J122" s="111">
        <v>517.06406195001762</v>
      </c>
      <c r="K122" s="111">
        <v>517.06406195001762</v>
      </c>
      <c r="L122" s="111">
        <v>517.06406195001762</v>
      </c>
      <c r="M122" s="111">
        <v>517.06406195001762</v>
      </c>
      <c r="N122" s="111">
        <v>521.76406195001766</v>
      </c>
      <c r="O122" s="111">
        <v>521.76406195001766</v>
      </c>
      <c r="P122" s="111">
        <v>521.76406195001766</v>
      </c>
      <c r="Q122" s="111">
        <v>521.76406195001766</v>
      </c>
      <c r="R122" s="111">
        <v>517.06406195001762</v>
      </c>
      <c r="S122" s="111">
        <v>517.06406195001762</v>
      </c>
      <c r="T122" s="111">
        <v>517.06406195001762</v>
      </c>
      <c r="U122" s="111">
        <v>517.06406195001762</v>
      </c>
      <c r="V122" s="111">
        <v>521.76406195001766</v>
      </c>
      <c r="W122" s="111">
        <v>521.76406195001766</v>
      </c>
      <c r="X122" s="111">
        <v>521.76406195001766</v>
      </c>
      <c r="Y122" s="111">
        <v>521.76406195001766</v>
      </c>
      <c r="Z122" s="111">
        <v>517.06406195001762</v>
      </c>
      <c r="AA122" s="111">
        <v>517.06406195001762</v>
      </c>
      <c r="AB122" s="111">
        <v>517.06406195001762</v>
      </c>
      <c r="AC122" s="111">
        <v>517.06406195001762</v>
      </c>
      <c r="AD122" s="111">
        <v>521.76406195001766</v>
      </c>
      <c r="AE122" s="111">
        <v>521.76406195001766</v>
      </c>
      <c r="AF122" s="111">
        <v>521.76406195001766</v>
      </c>
      <c r="AG122" s="111">
        <v>521.76406195001766</v>
      </c>
      <c r="AH122" s="111">
        <v>517.06406195001762</v>
      </c>
      <c r="AI122" s="111">
        <v>517.06406195001762</v>
      </c>
      <c r="AJ122" s="111">
        <v>517.06406195001762</v>
      </c>
      <c r="AK122" s="111">
        <v>517.06406195001762</v>
      </c>
      <c r="AL122" s="111">
        <v>517.06406195001762</v>
      </c>
      <c r="AM122" s="111">
        <v>517.06406195001762</v>
      </c>
      <c r="AN122" s="111">
        <v>562.92397043294625</v>
      </c>
      <c r="AO122" s="111">
        <v>562.92397043294625</v>
      </c>
      <c r="AP122" s="111">
        <v>562.92397043294625</v>
      </c>
      <c r="AQ122" s="111">
        <v>562.92397043294625</v>
      </c>
      <c r="AR122" s="111">
        <v>562.92397043294625</v>
      </c>
      <c r="AS122" s="111">
        <v>562.92397043294625</v>
      </c>
      <c r="AT122" s="111">
        <v>558.2239704329462</v>
      </c>
      <c r="AU122" s="111">
        <v>558.2239704329462</v>
      </c>
      <c r="AV122" s="111">
        <v>512.36406195001769</v>
      </c>
      <c r="AW122" s="111">
        <v>512.36406195001769</v>
      </c>
      <c r="AX122" s="111">
        <v>517.06406195001762</v>
      </c>
      <c r="AY122" s="111">
        <v>517.06406195001762</v>
      </c>
    </row>
    <row r="123" spans="1:52" x14ac:dyDescent="0.2">
      <c r="A123" s="114"/>
      <c r="B123" s="124">
        <v>2</v>
      </c>
      <c r="C123" s="111"/>
      <c r="D123" s="111">
        <v>0</v>
      </c>
      <c r="E123" s="111">
        <v>0</v>
      </c>
      <c r="F123" s="111">
        <v>0</v>
      </c>
      <c r="G123" s="111">
        <v>0</v>
      </c>
      <c r="H123" s="111">
        <v>0</v>
      </c>
      <c r="I123" s="111">
        <v>0</v>
      </c>
      <c r="J123" s="111">
        <v>0</v>
      </c>
      <c r="K123" s="111">
        <v>0</v>
      </c>
      <c r="L123" s="111">
        <v>38.703931405170863</v>
      </c>
      <c r="M123" s="111">
        <v>0</v>
      </c>
      <c r="N123" s="111">
        <v>0</v>
      </c>
      <c r="O123" s="111">
        <v>0</v>
      </c>
      <c r="P123" s="111">
        <v>0</v>
      </c>
      <c r="Q123" s="111">
        <v>0</v>
      </c>
      <c r="R123" s="111">
        <v>0</v>
      </c>
      <c r="S123" s="111">
        <v>0</v>
      </c>
      <c r="T123" s="111">
        <v>0</v>
      </c>
      <c r="U123" s="111">
        <v>0</v>
      </c>
      <c r="V123" s="111">
        <v>0</v>
      </c>
      <c r="W123" s="111">
        <v>0</v>
      </c>
      <c r="X123" s="111">
        <v>0</v>
      </c>
      <c r="Y123" s="111">
        <v>0</v>
      </c>
      <c r="Z123" s="111">
        <v>0</v>
      </c>
      <c r="AA123" s="111">
        <v>0</v>
      </c>
      <c r="AB123" s="111">
        <v>0</v>
      </c>
      <c r="AC123" s="111">
        <v>0</v>
      </c>
      <c r="AD123" s="111">
        <v>0</v>
      </c>
      <c r="AE123" s="111">
        <v>0</v>
      </c>
      <c r="AF123" s="111">
        <v>0</v>
      </c>
      <c r="AG123" s="111">
        <v>0</v>
      </c>
      <c r="AH123" s="111">
        <v>0</v>
      </c>
      <c r="AI123" s="111">
        <v>0</v>
      </c>
      <c r="AJ123" s="111">
        <v>0</v>
      </c>
      <c r="AK123" s="111">
        <v>0</v>
      </c>
      <c r="AL123" s="111">
        <v>0</v>
      </c>
      <c r="AM123" s="111">
        <v>0</v>
      </c>
      <c r="AN123" s="111">
        <v>0</v>
      </c>
      <c r="AO123" s="111">
        <v>0</v>
      </c>
      <c r="AP123" s="111">
        <v>0</v>
      </c>
      <c r="AQ123" s="111">
        <v>0</v>
      </c>
      <c r="AR123" s="111">
        <v>0</v>
      </c>
      <c r="AS123" s="111">
        <v>0</v>
      </c>
      <c r="AT123" s="111">
        <v>0</v>
      </c>
      <c r="AU123" s="111">
        <v>0</v>
      </c>
      <c r="AV123" s="111">
        <v>0</v>
      </c>
      <c r="AW123" s="111">
        <v>0</v>
      </c>
      <c r="AX123" s="111">
        <v>0</v>
      </c>
      <c r="AY123" s="111">
        <v>0</v>
      </c>
    </row>
    <row r="124" spans="1:52" x14ac:dyDescent="0.2">
      <c r="A124" s="114"/>
      <c r="B124" s="124">
        <v>3</v>
      </c>
      <c r="C124" s="111"/>
      <c r="D124" s="111">
        <v>0</v>
      </c>
      <c r="E124" s="111">
        <v>0</v>
      </c>
      <c r="F124" s="111">
        <v>0</v>
      </c>
      <c r="G124" s="111">
        <v>0</v>
      </c>
      <c r="H124" s="111">
        <v>0</v>
      </c>
      <c r="I124" s="111">
        <v>0</v>
      </c>
      <c r="J124" s="111">
        <v>0</v>
      </c>
      <c r="K124" s="111">
        <v>0</v>
      </c>
      <c r="L124" s="111">
        <v>0</v>
      </c>
      <c r="M124" s="111">
        <v>0</v>
      </c>
      <c r="N124" s="111">
        <v>0</v>
      </c>
      <c r="O124" s="111">
        <v>0</v>
      </c>
      <c r="P124" s="111">
        <v>0</v>
      </c>
      <c r="Q124" s="111">
        <v>0</v>
      </c>
      <c r="R124" s="111">
        <v>0</v>
      </c>
      <c r="S124" s="111">
        <v>0</v>
      </c>
      <c r="T124" s="111">
        <v>0</v>
      </c>
      <c r="U124" s="111">
        <v>0</v>
      </c>
      <c r="V124" s="111">
        <v>0</v>
      </c>
      <c r="W124" s="111">
        <v>0</v>
      </c>
      <c r="X124" s="111">
        <v>0</v>
      </c>
      <c r="Y124" s="111">
        <v>0</v>
      </c>
      <c r="Z124" s="111">
        <v>0</v>
      </c>
      <c r="AA124" s="111">
        <v>0</v>
      </c>
      <c r="AB124" s="111">
        <v>0</v>
      </c>
      <c r="AC124" s="111">
        <v>0</v>
      </c>
      <c r="AD124" s="111">
        <v>0</v>
      </c>
      <c r="AE124" s="111">
        <v>0</v>
      </c>
      <c r="AF124" s="111">
        <v>0</v>
      </c>
      <c r="AG124" s="111">
        <v>0</v>
      </c>
      <c r="AH124" s="111">
        <v>0</v>
      </c>
      <c r="AI124" s="111">
        <v>0</v>
      </c>
      <c r="AJ124" s="111">
        <v>0</v>
      </c>
      <c r="AK124" s="111">
        <v>0</v>
      </c>
      <c r="AL124" s="111">
        <v>0</v>
      </c>
      <c r="AM124" s="111">
        <v>0</v>
      </c>
      <c r="AN124" s="111">
        <v>0</v>
      </c>
      <c r="AO124" s="111">
        <v>0</v>
      </c>
      <c r="AP124" s="111">
        <v>0</v>
      </c>
      <c r="AQ124" s="111">
        <v>0</v>
      </c>
      <c r="AR124" s="111">
        <v>0</v>
      </c>
      <c r="AS124" s="111">
        <v>0</v>
      </c>
      <c r="AT124" s="111">
        <v>0</v>
      </c>
      <c r="AU124" s="111">
        <v>0</v>
      </c>
      <c r="AV124" s="111">
        <v>0</v>
      </c>
      <c r="AW124" s="111">
        <v>0</v>
      </c>
      <c r="AX124" s="111">
        <v>0</v>
      </c>
      <c r="AY124" s="111">
        <v>0</v>
      </c>
    </row>
    <row r="125" spans="1:52" x14ac:dyDescent="0.2">
      <c r="A125" s="114"/>
      <c r="B125" s="124">
        <v>4</v>
      </c>
      <c r="C125" s="111"/>
      <c r="D125" s="111">
        <v>0</v>
      </c>
      <c r="E125" s="111">
        <v>0</v>
      </c>
      <c r="F125" s="111">
        <v>0</v>
      </c>
      <c r="G125" s="111">
        <v>0</v>
      </c>
      <c r="H125" s="111">
        <v>0</v>
      </c>
      <c r="I125" s="111">
        <v>0</v>
      </c>
      <c r="J125" s="111">
        <v>0</v>
      </c>
      <c r="K125" s="111">
        <v>0</v>
      </c>
      <c r="L125" s="111">
        <v>0</v>
      </c>
      <c r="M125" s="111">
        <v>0</v>
      </c>
      <c r="N125" s="111">
        <v>0</v>
      </c>
      <c r="O125" s="111">
        <v>0</v>
      </c>
      <c r="P125" s="111">
        <v>0</v>
      </c>
      <c r="Q125" s="111">
        <v>0</v>
      </c>
      <c r="R125" s="111">
        <v>0</v>
      </c>
      <c r="S125" s="111">
        <v>0</v>
      </c>
      <c r="T125" s="111">
        <v>0</v>
      </c>
      <c r="U125" s="111">
        <v>0</v>
      </c>
      <c r="V125" s="111">
        <v>0</v>
      </c>
      <c r="W125" s="111">
        <v>0</v>
      </c>
      <c r="X125" s="111">
        <v>0</v>
      </c>
      <c r="Y125" s="111">
        <v>0</v>
      </c>
      <c r="Z125" s="111">
        <v>0</v>
      </c>
      <c r="AA125" s="111">
        <v>0</v>
      </c>
      <c r="AB125" s="111">
        <v>0</v>
      </c>
      <c r="AC125" s="111">
        <v>0</v>
      </c>
      <c r="AD125" s="111">
        <v>0</v>
      </c>
      <c r="AE125" s="111">
        <v>0</v>
      </c>
      <c r="AF125" s="111">
        <v>0</v>
      </c>
      <c r="AG125" s="111">
        <v>0</v>
      </c>
      <c r="AH125" s="111">
        <v>0</v>
      </c>
      <c r="AI125" s="111">
        <v>0</v>
      </c>
      <c r="AJ125" s="111">
        <v>0</v>
      </c>
      <c r="AK125" s="111">
        <v>0</v>
      </c>
      <c r="AL125" s="111">
        <v>0</v>
      </c>
      <c r="AM125" s="111">
        <v>0</v>
      </c>
      <c r="AN125" s="111">
        <v>0</v>
      </c>
      <c r="AO125" s="111">
        <v>0</v>
      </c>
      <c r="AP125" s="111">
        <v>0</v>
      </c>
      <c r="AQ125" s="111">
        <v>0</v>
      </c>
      <c r="AR125" s="111">
        <v>0</v>
      </c>
      <c r="AS125" s="111">
        <v>0</v>
      </c>
      <c r="AT125" s="111">
        <v>0</v>
      </c>
      <c r="AU125" s="111">
        <v>0</v>
      </c>
      <c r="AV125" s="111">
        <v>0</v>
      </c>
      <c r="AW125" s="111">
        <v>0</v>
      </c>
      <c r="AX125" s="111">
        <v>0</v>
      </c>
      <c r="AY125" s="111">
        <v>0</v>
      </c>
    </row>
    <row r="126" spans="1:52" x14ac:dyDescent="0.2">
      <c r="A126" s="114"/>
      <c r="B126" s="124">
        <v>5</v>
      </c>
      <c r="C126" s="111"/>
      <c r="D126" s="111">
        <v>0</v>
      </c>
      <c r="E126" s="111">
        <v>0</v>
      </c>
      <c r="F126" s="111">
        <v>0</v>
      </c>
      <c r="G126" s="111">
        <v>0</v>
      </c>
      <c r="H126" s="111">
        <v>0</v>
      </c>
      <c r="I126" s="111">
        <v>0</v>
      </c>
      <c r="J126" s="111">
        <v>0</v>
      </c>
      <c r="K126" s="111">
        <v>0</v>
      </c>
      <c r="L126" s="111">
        <v>0</v>
      </c>
      <c r="M126" s="111">
        <v>0</v>
      </c>
      <c r="N126" s="111">
        <v>0</v>
      </c>
      <c r="O126" s="111">
        <v>0</v>
      </c>
      <c r="P126" s="111">
        <v>0</v>
      </c>
      <c r="Q126" s="111">
        <v>0</v>
      </c>
      <c r="R126" s="111">
        <v>0</v>
      </c>
      <c r="S126" s="111">
        <v>0</v>
      </c>
      <c r="T126" s="111">
        <v>0</v>
      </c>
      <c r="U126" s="111">
        <v>0</v>
      </c>
      <c r="V126" s="111">
        <v>0</v>
      </c>
      <c r="W126" s="111">
        <v>0</v>
      </c>
      <c r="X126" s="111">
        <v>0</v>
      </c>
      <c r="Y126" s="111">
        <v>0</v>
      </c>
      <c r="Z126" s="111">
        <v>0</v>
      </c>
      <c r="AA126" s="111">
        <v>0</v>
      </c>
      <c r="AB126" s="111">
        <v>0</v>
      </c>
      <c r="AC126" s="111">
        <v>0</v>
      </c>
      <c r="AD126" s="111">
        <v>0</v>
      </c>
      <c r="AE126" s="111">
        <v>0</v>
      </c>
      <c r="AF126" s="111">
        <v>0</v>
      </c>
      <c r="AG126" s="111">
        <v>0</v>
      </c>
      <c r="AH126" s="111">
        <v>0</v>
      </c>
      <c r="AI126" s="111">
        <v>0</v>
      </c>
      <c r="AJ126" s="111">
        <v>0</v>
      </c>
      <c r="AK126" s="111">
        <v>0</v>
      </c>
      <c r="AL126" s="111">
        <v>0</v>
      </c>
      <c r="AM126" s="111">
        <v>0</v>
      </c>
      <c r="AN126" s="111">
        <v>0</v>
      </c>
      <c r="AO126" s="111">
        <v>0</v>
      </c>
      <c r="AP126" s="111">
        <v>0</v>
      </c>
      <c r="AQ126" s="111">
        <v>0</v>
      </c>
      <c r="AR126" s="111">
        <v>0</v>
      </c>
      <c r="AS126" s="111">
        <v>0</v>
      </c>
      <c r="AT126" s="111">
        <v>0</v>
      </c>
      <c r="AU126" s="111">
        <v>0</v>
      </c>
      <c r="AV126" s="111">
        <v>0</v>
      </c>
      <c r="AW126" s="111">
        <v>0</v>
      </c>
      <c r="AX126" s="111">
        <v>0</v>
      </c>
      <c r="AY126" s="111">
        <v>0</v>
      </c>
    </row>
    <row r="127" spans="1:52" x14ac:dyDescent="0.2">
      <c r="A127" s="114"/>
      <c r="B127" s="124">
        <v>6</v>
      </c>
      <c r="C127" s="111"/>
      <c r="D127" s="111">
        <v>0</v>
      </c>
      <c r="E127" s="111">
        <v>0</v>
      </c>
      <c r="F127" s="111">
        <v>0</v>
      </c>
      <c r="G127" s="111">
        <v>0</v>
      </c>
      <c r="H127" s="111">
        <v>0</v>
      </c>
      <c r="I127" s="111">
        <v>0</v>
      </c>
      <c r="J127" s="111">
        <v>0</v>
      </c>
      <c r="K127" s="111">
        <v>0</v>
      </c>
      <c r="L127" s="111">
        <v>0</v>
      </c>
      <c r="M127" s="111">
        <v>0</v>
      </c>
      <c r="N127" s="111">
        <v>0</v>
      </c>
      <c r="O127" s="111">
        <v>0</v>
      </c>
      <c r="P127" s="111">
        <v>0</v>
      </c>
      <c r="Q127" s="111">
        <v>0</v>
      </c>
      <c r="R127" s="111">
        <v>0</v>
      </c>
      <c r="S127" s="111">
        <v>0</v>
      </c>
      <c r="T127" s="111">
        <v>0</v>
      </c>
      <c r="U127" s="111">
        <v>0</v>
      </c>
      <c r="V127" s="111">
        <v>0</v>
      </c>
      <c r="W127" s="111">
        <v>0</v>
      </c>
      <c r="X127" s="111">
        <v>0</v>
      </c>
      <c r="Y127" s="111">
        <v>0</v>
      </c>
      <c r="Z127" s="111">
        <v>0</v>
      </c>
      <c r="AA127" s="111">
        <v>0</v>
      </c>
      <c r="AB127" s="111">
        <v>0</v>
      </c>
      <c r="AC127" s="111">
        <v>0</v>
      </c>
      <c r="AD127" s="111">
        <v>0</v>
      </c>
      <c r="AE127" s="111">
        <v>0</v>
      </c>
      <c r="AF127" s="111">
        <v>0</v>
      </c>
      <c r="AG127" s="111">
        <v>0</v>
      </c>
      <c r="AH127" s="111">
        <v>0</v>
      </c>
      <c r="AI127" s="111">
        <v>0</v>
      </c>
      <c r="AJ127" s="111">
        <v>0</v>
      </c>
      <c r="AK127" s="111">
        <v>0</v>
      </c>
      <c r="AL127" s="111">
        <v>0</v>
      </c>
      <c r="AM127" s="111">
        <v>0</v>
      </c>
      <c r="AN127" s="111">
        <v>0</v>
      </c>
      <c r="AO127" s="111">
        <v>0</v>
      </c>
      <c r="AP127" s="111">
        <v>0</v>
      </c>
      <c r="AQ127" s="111">
        <v>0</v>
      </c>
      <c r="AR127" s="111">
        <v>0</v>
      </c>
      <c r="AS127" s="111">
        <v>0</v>
      </c>
      <c r="AT127" s="111">
        <v>0</v>
      </c>
      <c r="AU127" s="111">
        <v>0</v>
      </c>
      <c r="AV127" s="111">
        <v>0</v>
      </c>
      <c r="AW127" s="111">
        <v>0</v>
      </c>
      <c r="AX127" s="111">
        <v>0</v>
      </c>
      <c r="AY127" s="111">
        <v>0</v>
      </c>
    </row>
    <row r="128" spans="1:52" x14ac:dyDescent="0.2">
      <c r="A128" s="114"/>
      <c r="B128" s="124">
        <v>7</v>
      </c>
      <c r="C128" s="111"/>
      <c r="D128" s="111">
        <v>0</v>
      </c>
      <c r="E128" s="111">
        <v>0</v>
      </c>
      <c r="F128" s="111">
        <v>0</v>
      </c>
      <c r="G128" s="111">
        <v>0</v>
      </c>
      <c r="H128" s="111">
        <v>0</v>
      </c>
      <c r="I128" s="111">
        <v>0</v>
      </c>
      <c r="J128" s="111">
        <v>0</v>
      </c>
      <c r="K128" s="111">
        <v>0</v>
      </c>
      <c r="L128" s="111">
        <v>0</v>
      </c>
      <c r="M128" s="111">
        <v>0</v>
      </c>
      <c r="N128" s="111">
        <v>0</v>
      </c>
      <c r="O128" s="111">
        <v>0</v>
      </c>
      <c r="P128" s="111">
        <v>0</v>
      </c>
      <c r="Q128" s="111">
        <v>0</v>
      </c>
      <c r="R128" s="111">
        <v>0</v>
      </c>
      <c r="S128" s="111">
        <v>0</v>
      </c>
      <c r="T128" s="111">
        <v>0</v>
      </c>
      <c r="U128" s="111">
        <v>0</v>
      </c>
      <c r="V128" s="111">
        <v>0</v>
      </c>
      <c r="W128" s="111">
        <v>0</v>
      </c>
      <c r="X128" s="111">
        <v>0</v>
      </c>
      <c r="Y128" s="111">
        <v>0</v>
      </c>
      <c r="Z128" s="111">
        <v>0</v>
      </c>
      <c r="AA128" s="111">
        <v>0</v>
      </c>
      <c r="AB128" s="111">
        <v>0</v>
      </c>
      <c r="AC128" s="111">
        <v>0</v>
      </c>
      <c r="AD128" s="111">
        <v>0</v>
      </c>
      <c r="AE128" s="111">
        <v>0</v>
      </c>
      <c r="AF128" s="111">
        <v>0</v>
      </c>
      <c r="AG128" s="111">
        <v>0</v>
      </c>
      <c r="AH128" s="111">
        <v>0</v>
      </c>
      <c r="AI128" s="111">
        <v>0</v>
      </c>
      <c r="AJ128" s="111">
        <v>0</v>
      </c>
      <c r="AK128" s="111">
        <v>0</v>
      </c>
      <c r="AL128" s="111">
        <v>0</v>
      </c>
      <c r="AM128" s="111">
        <v>0</v>
      </c>
      <c r="AN128" s="111">
        <v>0</v>
      </c>
      <c r="AO128" s="111">
        <v>0</v>
      </c>
      <c r="AP128" s="111">
        <v>0</v>
      </c>
      <c r="AQ128" s="111">
        <v>0</v>
      </c>
      <c r="AR128" s="111">
        <v>0</v>
      </c>
      <c r="AS128" s="111">
        <v>0</v>
      </c>
      <c r="AT128" s="111">
        <v>0</v>
      </c>
      <c r="AU128" s="111">
        <v>0</v>
      </c>
      <c r="AV128" s="111">
        <v>0</v>
      </c>
      <c r="AW128" s="111">
        <v>0</v>
      </c>
      <c r="AX128" s="111">
        <v>0</v>
      </c>
      <c r="AY128" s="111">
        <v>0</v>
      </c>
    </row>
    <row r="129" spans="1:51" x14ac:dyDescent="0.2">
      <c r="A129" s="114"/>
      <c r="B129" s="124">
        <v>8</v>
      </c>
      <c r="C129" s="111"/>
      <c r="D129" s="111">
        <v>0</v>
      </c>
      <c r="E129" s="111">
        <v>0</v>
      </c>
      <c r="F129" s="111">
        <v>0</v>
      </c>
      <c r="G129" s="111">
        <v>0</v>
      </c>
      <c r="H129" s="111">
        <v>0</v>
      </c>
      <c r="I129" s="111">
        <v>0</v>
      </c>
      <c r="J129" s="111">
        <v>0</v>
      </c>
      <c r="K129" s="111">
        <v>0</v>
      </c>
      <c r="L129" s="111">
        <v>0</v>
      </c>
      <c r="M129" s="111">
        <v>0</v>
      </c>
      <c r="N129" s="111">
        <v>0</v>
      </c>
      <c r="O129" s="111">
        <v>0</v>
      </c>
      <c r="P129" s="111">
        <v>0</v>
      </c>
      <c r="Q129" s="111">
        <v>0</v>
      </c>
      <c r="R129" s="111">
        <v>0</v>
      </c>
      <c r="S129" s="111">
        <v>0</v>
      </c>
      <c r="T129" s="111">
        <v>0</v>
      </c>
      <c r="U129" s="111">
        <v>0</v>
      </c>
      <c r="V129" s="111">
        <v>0</v>
      </c>
      <c r="W129" s="111">
        <v>0</v>
      </c>
      <c r="X129" s="111">
        <v>0</v>
      </c>
      <c r="Y129" s="111">
        <v>0</v>
      </c>
      <c r="Z129" s="111">
        <v>0</v>
      </c>
      <c r="AA129" s="111">
        <v>0</v>
      </c>
      <c r="AB129" s="111">
        <v>0</v>
      </c>
      <c r="AC129" s="111">
        <v>0</v>
      </c>
      <c r="AD129" s="111">
        <v>0</v>
      </c>
      <c r="AE129" s="111">
        <v>0</v>
      </c>
      <c r="AF129" s="111">
        <v>0</v>
      </c>
      <c r="AG129" s="111">
        <v>0</v>
      </c>
      <c r="AH129" s="111">
        <v>0</v>
      </c>
      <c r="AI129" s="111">
        <v>0</v>
      </c>
      <c r="AJ129" s="111">
        <v>0</v>
      </c>
      <c r="AK129" s="111">
        <v>0</v>
      </c>
      <c r="AL129" s="111">
        <v>0</v>
      </c>
      <c r="AM129" s="111">
        <v>0</v>
      </c>
      <c r="AN129" s="111">
        <v>0</v>
      </c>
      <c r="AO129" s="111">
        <v>0</v>
      </c>
      <c r="AP129" s="111">
        <v>0</v>
      </c>
      <c r="AQ129" s="111">
        <v>0</v>
      </c>
      <c r="AR129" s="111">
        <v>0</v>
      </c>
      <c r="AS129" s="111">
        <v>0</v>
      </c>
      <c r="AT129" s="111">
        <v>0</v>
      </c>
      <c r="AU129" s="111">
        <v>0</v>
      </c>
      <c r="AV129" s="111">
        <v>0</v>
      </c>
      <c r="AW129" s="111">
        <v>0</v>
      </c>
      <c r="AX129" s="111">
        <v>0</v>
      </c>
      <c r="AY129" s="111">
        <v>0</v>
      </c>
    </row>
    <row r="130" spans="1:51" x14ac:dyDescent="0.2">
      <c r="A130" s="114"/>
      <c r="B130" s="124">
        <v>9</v>
      </c>
      <c r="C130" s="111"/>
      <c r="D130" s="111">
        <v>0</v>
      </c>
      <c r="E130" s="111">
        <v>0</v>
      </c>
      <c r="F130" s="111">
        <v>0</v>
      </c>
      <c r="G130" s="111">
        <v>0</v>
      </c>
      <c r="H130" s="111">
        <v>0</v>
      </c>
      <c r="I130" s="111">
        <v>0</v>
      </c>
      <c r="J130" s="111">
        <v>0</v>
      </c>
      <c r="K130" s="111">
        <v>0</v>
      </c>
      <c r="L130" s="111">
        <v>0</v>
      </c>
      <c r="M130" s="111">
        <v>0</v>
      </c>
      <c r="N130" s="111">
        <v>0</v>
      </c>
      <c r="O130" s="111">
        <v>0</v>
      </c>
      <c r="P130" s="111">
        <v>0</v>
      </c>
      <c r="Q130" s="111">
        <v>0</v>
      </c>
      <c r="R130" s="111">
        <v>0</v>
      </c>
      <c r="S130" s="111">
        <v>0</v>
      </c>
      <c r="T130" s="111">
        <v>0</v>
      </c>
      <c r="U130" s="111">
        <v>0</v>
      </c>
      <c r="V130" s="111">
        <v>0</v>
      </c>
      <c r="W130" s="111">
        <v>0</v>
      </c>
      <c r="X130" s="111">
        <v>0</v>
      </c>
      <c r="Y130" s="111">
        <v>0</v>
      </c>
      <c r="Z130" s="111">
        <v>0</v>
      </c>
      <c r="AA130" s="111">
        <v>0</v>
      </c>
      <c r="AB130" s="111">
        <v>0</v>
      </c>
      <c r="AC130" s="111">
        <v>0</v>
      </c>
      <c r="AD130" s="111">
        <v>0</v>
      </c>
      <c r="AE130" s="111">
        <v>0</v>
      </c>
      <c r="AF130" s="111">
        <v>0</v>
      </c>
      <c r="AG130" s="111">
        <v>0</v>
      </c>
      <c r="AH130" s="111">
        <v>0</v>
      </c>
      <c r="AI130" s="111">
        <v>0</v>
      </c>
      <c r="AJ130" s="111">
        <v>0</v>
      </c>
      <c r="AK130" s="111">
        <v>0</v>
      </c>
      <c r="AL130" s="111">
        <v>0</v>
      </c>
      <c r="AM130" s="111">
        <v>0</v>
      </c>
      <c r="AN130" s="111">
        <v>0</v>
      </c>
      <c r="AO130" s="111">
        <v>0</v>
      </c>
      <c r="AP130" s="111">
        <v>0</v>
      </c>
      <c r="AQ130" s="111">
        <v>0</v>
      </c>
      <c r="AR130" s="111">
        <v>0</v>
      </c>
      <c r="AS130" s="111">
        <v>0</v>
      </c>
      <c r="AT130" s="111">
        <v>0</v>
      </c>
      <c r="AU130" s="111">
        <v>0</v>
      </c>
      <c r="AV130" s="111">
        <v>0</v>
      </c>
      <c r="AW130" s="111">
        <v>0</v>
      </c>
      <c r="AX130" s="111">
        <v>0</v>
      </c>
      <c r="AY130" s="111">
        <v>0</v>
      </c>
    </row>
    <row r="131" spans="1:51" x14ac:dyDescent="0.2">
      <c r="A131" s="114"/>
      <c r="B131" s="124">
        <v>10</v>
      </c>
      <c r="C131" s="111"/>
      <c r="D131" s="111">
        <v>0</v>
      </c>
      <c r="E131" s="111">
        <v>0</v>
      </c>
      <c r="F131" s="111">
        <v>0</v>
      </c>
      <c r="G131" s="111">
        <v>0</v>
      </c>
      <c r="H131" s="111">
        <v>0</v>
      </c>
      <c r="I131" s="111">
        <v>0</v>
      </c>
      <c r="J131" s="111">
        <v>0</v>
      </c>
      <c r="K131" s="111">
        <v>0</v>
      </c>
      <c r="L131" s="111">
        <v>0</v>
      </c>
      <c r="M131" s="111">
        <v>0</v>
      </c>
      <c r="N131" s="111">
        <v>0</v>
      </c>
      <c r="O131" s="111">
        <v>0</v>
      </c>
      <c r="P131" s="111">
        <v>0</v>
      </c>
      <c r="Q131" s="111">
        <v>0</v>
      </c>
      <c r="R131" s="111">
        <v>0</v>
      </c>
      <c r="S131" s="111">
        <v>0</v>
      </c>
      <c r="T131" s="111">
        <v>0</v>
      </c>
      <c r="U131" s="111">
        <v>0</v>
      </c>
      <c r="V131" s="111">
        <v>0</v>
      </c>
      <c r="W131" s="111">
        <v>0</v>
      </c>
      <c r="X131" s="111">
        <v>0</v>
      </c>
      <c r="Y131" s="111">
        <v>0</v>
      </c>
      <c r="Z131" s="111">
        <v>0</v>
      </c>
      <c r="AA131" s="111">
        <v>0</v>
      </c>
      <c r="AB131" s="111">
        <v>0</v>
      </c>
      <c r="AC131" s="111">
        <v>0</v>
      </c>
      <c r="AD131" s="111">
        <v>0</v>
      </c>
      <c r="AE131" s="111">
        <v>0</v>
      </c>
      <c r="AF131" s="111">
        <v>0</v>
      </c>
      <c r="AG131" s="111">
        <v>0</v>
      </c>
      <c r="AH131" s="111">
        <v>0</v>
      </c>
      <c r="AI131" s="111">
        <v>0</v>
      </c>
      <c r="AJ131" s="111">
        <v>0</v>
      </c>
      <c r="AK131" s="111">
        <v>0</v>
      </c>
      <c r="AL131" s="111">
        <v>0</v>
      </c>
      <c r="AM131" s="111">
        <v>0</v>
      </c>
      <c r="AN131" s="111">
        <v>0</v>
      </c>
      <c r="AO131" s="111">
        <v>0</v>
      </c>
      <c r="AP131" s="111">
        <v>0</v>
      </c>
      <c r="AQ131" s="111">
        <v>0</v>
      </c>
      <c r="AR131" s="111">
        <v>0</v>
      </c>
      <c r="AS131" s="111">
        <v>0</v>
      </c>
      <c r="AT131" s="111">
        <v>0</v>
      </c>
      <c r="AU131" s="111">
        <v>0</v>
      </c>
      <c r="AV131" s="111">
        <v>0</v>
      </c>
      <c r="AW131" s="111">
        <v>0</v>
      </c>
      <c r="AX131" s="111">
        <v>0</v>
      </c>
      <c r="AY131" s="111">
        <v>0</v>
      </c>
    </row>
    <row r="132" spans="1:51" x14ac:dyDescent="0.2">
      <c r="A132" s="114"/>
      <c r="B132" s="124">
        <v>11</v>
      </c>
      <c r="C132" s="111"/>
      <c r="D132" s="111">
        <v>0</v>
      </c>
      <c r="E132" s="111">
        <v>0</v>
      </c>
      <c r="F132" s="111">
        <v>0</v>
      </c>
      <c r="G132" s="111">
        <v>0</v>
      </c>
      <c r="H132" s="111">
        <v>0</v>
      </c>
      <c r="I132" s="111">
        <v>0</v>
      </c>
      <c r="J132" s="111">
        <v>0</v>
      </c>
      <c r="K132" s="111">
        <v>0</v>
      </c>
      <c r="L132" s="111">
        <v>0</v>
      </c>
      <c r="M132" s="111">
        <v>0</v>
      </c>
      <c r="N132" s="111">
        <v>0</v>
      </c>
      <c r="O132" s="111">
        <v>0</v>
      </c>
      <c r="P132" s="111">
        <v>0</v>
      </c>
      <c r="Q132" s="111">
        <v>0</v>
      </c>
      <c r="R132" s="111">
        <v>0</v>
      </c>
      <c r="S132" s="111">
        <v>0</v>
      </c>
      <c r="T132" s="111">
        <v>0</v>
      </c>
      <c r="U132" s="111">
        <v>0</v>
      </c>
      <c r="V132" s="111">
        <v>0</v>
      </c>
      <c r="W132" s="111">
        <v>0</v>
      </c>
      <c r="X132" s="111">
        <v>0</v>
      </c>
      <c r="Y132" s="111">
        <v>0</v>
      </c>
      <c r="Z132" s="111">
        <v>0</v>
      </c>
      <c r="AA132" s="111">
        <v>0</v>
      </c>
      <c r="AB132" s="111">
        <v>0</v>
      </c>
      <c r="AC132" s="111">
        <v>0</v>
      </c>
      <c r="AD132" s="111">
        <v>0</v>
      </c>
      <c r="AE132" s="111">
        <v>0</v>
      </c>
      <c r="AF132" s="111">
        <v>0</v>
      </c>
      <c r="AG132" s="111">
        <v>0</v>
      </c>
      <c r="AH132" s="111">
        <v>0</v>
      </c>
      <c r="AI132" s="111">
        <v>0</v>
      </c>
      <c r="AJ132" s="111">
        <v>0</v>
      </c>
      <c r="AK132" s="111">
        <v>0</v>
      </c>
      <c r="AL132" s="111">
        <v>0</v>
      </c>
      <c r="AM132" s="111">
        <v>0</v>
      </c>
      <c r="AN132" s="111">
        <v>0</v>
      </c>
      <c r="AO132" s="111">
        <v>0</v>
      </c>
      <c r="AP132" s="111">
        <v>0</v>
      </c>
      <c r="AQ132" s="111">
        <v>0</v>
      </c>
      <c r="AR132" s="111">
        <v>0</v>
      </c>
      <c r="AS132" s="111">
        <v>0</v>
      </c>
      <c r="AT132" s="111">
        <v>0</v>
      </c>
      <c r="AU132" s="111">
        <v>0</v>
      </c>
      <c r="AV132" s="111">
        <v>0</v>
      </c>
      <c r="AW132" s="111">
        <v>0</v>
      </c>
      <c r="AX132" s="111">
        <v>0</v>
      </c>
      <c r="AY132" s="111">
        <v>0</v>
      </c>
    </row>
    <row r="133" spans="1:51" x14ac:dyDescent="0.2">
      <c r="A133" s="114"/>
      <c r="B133" s="124">
        <v>12</v>
      </c>
      <c r="C133" s="111"/>
      <c r="D133" s="111">
        <v>0</v>
      </c>
      <c r="E133" s="111">
        <v>0</v>
      </c>
      <c r="F133" s="111">
        <v>0</v>
      </c>
      <c r="G133" s="111">
        <v>0</v>
      </c>
      <c r="H133" s="111">
        <v>0</v>
      </c>
      <c r="I133" s="111">
        <v>0</v>
      </c>
      <c r="J133" s="111">
        <v>0</v>
      </c>
      <c r="K133" s="111">
        <v>0</v>
      </c>
      <c r="L133" s="111">
        <v>0</v>
      </c>
      <c r="M133" s="111">
        <v>0</v>
      </c>
      <c r="N133" s="111">
        <v>0</v>
      </c>
      <c r="O133" s="111">
        <v>0</v>
      </c>
      <c r="P133" s="111">
        <v>0</v>
      </c>
      <c r="Q133" s="111">
        <v>0</v>
      </c>
      <c r="R133" s="111">
        <v>0</v>
      </c>
      <c r="S133" s="111">
        <v>0</v>
      </c>
      <c r="T133" s="111">
        <v>0</v>
      </c>
      <c r="U133" s="111">
        <v>0</v>
      </c>
      <c r="V133" s="111">
        <v>0</v>
      </c>
      <c r="W133" s="111">
        <v>0</v>
      </c>
      <c r="X133" s="111">
        <v>0</v>
      </c>
      <c r="Y133" s="111">
        <v>0</v>
      </c>
      <c r="Z133" s="111">
        <v>0</v>
      </c>
      <c r="AA133" s="111">
        <v>0</v>
      </c>
      <c r="AB133" s="111">
        <v>0</v>
      </c>
      <c r="AC133" s="111">
        <v>0</v>
      </c>
      <c r="AD133" s="111">
        <v>0</v>
      </c>
      <c r="AE133" s="111">
        <v>0</v>
      </c>
      <c r="AF133" s="111">
        <v>0</v>
      </c>
      <c r="AG133" s="111">
        <v>0</v>
      </c>
      <c r="AH133" s="111">
        <v>0</v>
      </c>
      <c r="AI133" s="111">
        <v>0</v>
      </c>
      <c r="AJ133" s="111">
        <v>0</v>
      </c>
      <c r="AK133" s="111">
        <v>0</v>
      </c>
      <c r="AL133" s="111">
        <v>0</v>
      </c>
      <c r="AM133" s="111">
        <v>0</v>
      </c>
      <c r="AN133" s="111">
        <v>0</v>
      </c>
      <c r="AO133" s="111">
        <v>0</v>
      </c>
      <c r="AP133" s="111">
        <v>0</v>
      </c>
      <c r="AQ133" s="111">
        <v>0</v>
      </c>
      <c r="AR133" s="111">
        <v>0</v>
      </c>
      <c r="AS133" s="111">
        <v>0</v>
      </c>
      <c r="AT133" s="111">
        <v>0</v>
      </c>
      <c r="AU133" s="111">
        <v>0</v>
      </c>
      <c r="AV133" s="111">
        <v>0</v>
      </c>
      <c r="AW133" s="111">
        <v>0</v>
      </c>
      <c r="AX133" s="111">
        <v>0</v>
      </c>
      <c r="AY133" s="111">
        <v>0</v>
      </c>
    </row>
    <row r="134" spans="1:51" x14ac:dyDescent="0.2">
      <c r="A134" s="114"/>
      <c r="B134" s="125">
        <v>13</v>
      </c>
      <c r="C134" s="111"/>
      <c r="D134" s="111">
        <v>0</v>
      </c>
      <c r="E134" s="111">
        <v>0</v>
      </c>
      <c r="F134" s="111">
        <v>0</v>
      </c>
      <c r="G134" s="111">
        <v>0</v>
      </c>
      <c r="H134" s="111">
        <v>0</v>
      </c>
      <c r="I134" s="111">
        <v>0</v>
      </c>
      <c r="J134" s="111">
        <v>0</v>
      </c>
      <c r="K134" s="111">
        <v>0</v>
      </c>
      <c r="L134" s="111">
        <v>0</v>
      </c>
      <c r="M134" s="111">
        <v>0</v>
      </c>
      <c r="N134" s="111">
        <v>0</v>
      </c>
      <c r="O134" s="111">
        <v>0</v>
      </c>
      <c r="P134" s="111">
        <v>0</v>
      </c>
      <c r="Q134" s="111">
        <v>0</v>
      </c>
      <c r="R134" s="111">
        <v>0</v>
      </c>
      <c r="S134" s="111">
        <v>0</v>
      </c>
      <c r="T134" s="111">
        <v>0</v>
      </c>
      <c r="U134" s="111">
        <v>0</v>
      </c>
      <c r="V134" s="111">
        <v>0</v>
      </c>
      <c r="W134" s="111">
        <v>0</v>
      </c>
      <c r="X134" s="111">
        <v>0</v>
      </c>
      <c r="Y134" s="111">
        <v>0</v>
      </c>
      <c r="Z134" s="111">
        <v>0</v>
      </c>
      <c r="AA134" s="111">
        <v>0</v>
      </c>
      <c r="AB134" s="111">
        <v>0</v>
      </c>
      <c r="AC134" s="111">
        <v>0</v>
      </c>
      <c r="AD134" s="111">
        <v>0</v>
      </c>
      <c r="AE134" s="111">
        <v>0</v>
      </c>
      <c r="AF134" s="111">
        <v>0</v>
      </c>
      <c r="AG134" s="111">
        <v>0</v>
      </c>
      <c r="AH134" s="111">
        <v>0</v>
      </c>
      <c r="AI134" s="111">
        <v>0</v>
      </c>
      <c r="AJ134" s="111">
        <v>0</v>
      </c>
      <c r="AK134" s="111">
        <v>0</v>
      </c>
      <c r="AL134" s="111">
        <v>0</v>
      </c>
      <c r="AM134" s="111">
        <v>0</v>
      </c>
      <c r="AN134" s="111">
        <v>0</v>
      </c>
      <c r="AO134" s="111">
        <v>0</v>
      </c>
      <c r="AP134" s="111">
        <v>0</v>
      </c>
      <c r="AQ134" s="111">
        <v>0</v>
      </c>
      <c r="AR134" s="111">
        <v>0</v>
      </c>
      <c r="AS134" s="111">
        <v>0</v>
      </c>
      <c r="AT134" s="111">
        <v>0</v>
      </c>
      <c r="AU134" s="111">
        <v>0</v>
      </c>
      <c r="AV134" s="111">
        <v>0</v>
      </c>
      <c r="AW134" s="111">
        <v>0</v>
      </c>
      <c r="AX134" s="111">
        <v>0</v>
      </c>
      <c r="AY134" s="111">
        <v>0</v>
      </c>
    </row>
    <row r="135" spans="1:51" x14ac:dyDescent="0.2">
      <c r="A135" s="114"/>
      <c r="B135" s="125">
        <v>14</v>
      </c>
      <c r="C135" s="111"/>
      <c r="D135" s="111">
        <v>0</v>
      </c>
      <c r="E135" s="111">
        <v>0</v>
      </c>
      <c r="F135" s="111">
        <v>0</v>
      </c>
      <c r="G135" s="111">
        <v>0</v>
      </c>
      <c r="H135" s="111">
        <v>0</v>
      </c>
      <c r="I135" s="111">
        <v>0</v>
      </c>
      <c r="J135" s="111">
        <v>0</v>
      </c>
      <c r="K135" s="111">
        <v>0</v>
      </c>
      <c r="L135" s="111">
        <v>0</v>
      </c>
      <c r="M135" s="111">
        <v>0</v>
      </c>
      <c r="N135" s="111">
        <v>0</v>
      </c>
      <c r="O135" s="111">
        <v>0</v>
      </c>
      <c r="P135" s="111">
        <v>0</v>
      </c>
      <c r="Q135" s="111">
        <v>0</v>
      </c>
      <c r="R135" s="111">
        <v>0</v>
      </c>
      <c r="S135" s="111">
        <v>0</v>
      </c>
      <c r="T135" s="111">
        <v>0</v>
      </c>
      <c r="U135" s="111">
        <v>0</v>
      </c>
      <c r="V135" s="111">
        <v>0</v>
      </c>
      <c r="W135" s="111">
        <v>0</v>
      </c>
      <c r="X135" s="111">
        <v>0</v>
      </c>
      <c r="Y135" s="111">
        <v>0</v>
      </c>
      <c r="Z135" s="111">
        <v>0</v>
      </c>
      <c r="AA135" s="111">
        <v>0</v>
      </c>
      <c r="AB135" s="111">
        <v>0</v>
      </c>
      <c r="AC135" s="111">
        <v>0</v>
      </c>
      <c r="AD135" s="111">
        <v>0</v>
      </c>
      <c r="AE135" s="111">
        <v>0</v>
      </c>
      <c r="AF135" s="111">
        <v>0</v>
      </c>
      <c r="AG135" s="111">
        <v>0</v>
      </c>
      <c r="AH135" s="111">
        <v>0</v>
      </c>
      <c r="AI135" s="111">
        <v>0</v>
      </c>
      <c r="AJ135" s="111">
        <v>0</v>
      </c>
      <c r="AK135" s="111">
        <v>0</v>
      </c>
      <c r="AL135" s="111">
        <v>0</v>
      </c>
      <c r="AM135" s="111">
        <v>0</v>
      </c>
      <c r="AN135" s="111">
        <v>0</v>
      </c>
      <c r="AO135" s="111">
        <v>0</v>
      </c>
      <c r="AP135" s="111">
        <v>0</v>
      </c>
      <c r="AQ135" s="111">
        <v>0</v>
      </c>
      <c r="AR135" s="111">
        <v>0</v>
      </c>
      <c r="AS135" s="111">
        <v>0</v>
      </c>
      <c r="AT135" s="111">
        <v>0</v>
      </c>
      <c r="AU135" s="111">
        <v>0</v>
      </c>
      <c r="AV135" s="111">
        <v>0</v>
      </c>
      <c r="AW135" s="111">
        <v>0</v>
      </c>
      <c r="AX135" s="111">
        <v>0</v>
      </c>
      <c r="AY135" s="111">
        <v>0</v>
      </c>
    </row>
    <row r="136" spans="1:51" x14ac:dyDescent="0.2">
      <c r="A136" s="114"/>
      <c r="B136" s="125">
        <v>15</v>
      </c>
      <c r="C136" s="111"/>
      <c r="D136" s="111">
        <v>0</v>
      </c>
      <c r="E136" s="111">
        <v>0</v>
      </c>
      <c r="F136" s="111">
        <v>0</v>
      </c>
      <c r="G136" s="111">
        <v>0</v>
      </c>
      <c r="H136" s="111">
        <v>0</v>
      </c>
      <c r="I136" s="111">
        <v>0</v>
      </c>
      <c r="J136" s="111">
        <v>0</v>
      </c>
      <c r="K136" s="111">
        <v>0</v>
      </c>
      <c r="L136" s="111">
        <v>0</v>
      </c>
      <c r="M136" s="111">
        <v>0</v>
      </c>
      <c r="N136" s="111">
        <v>0</v>
      </c>
      <c r="O136" s="111">
        <v>0</v>
      </c>
      <c r="P136" s="111">
        <v>0</v>
      </c>
      <c r="Q136" s="111">
        <v>0</v>
      </c>
      <c r="R136" s="111">
        <v>0</v>
      </c>
      <c r="S136" s="111">
        <v>0</v>
      </c>
      <c r="T136" s="111">
        <v>0</v>
      </c>
      <c r="U136" s="111">
        <v>0</v>
      </c>
      <c r="V136" s="111">
        <v>0</v>
      </c>
      <c r="W136" s="111">
        <v>0</v>
      </c>
      <c r="X136" s="111">
        <v>0</v>
      </c>
      <c r="Y136" s="111">
        <v>0</v>
      </c>
      <c r="Z136" s="111">
        <v>0</v>
      </c>
      <c r="AA136" s="111">
        <v>0</v>
      </c>
      <c r="AB136" s="111">
        <v>0</v>
      </c>
      <c r="AC136" s="111">
        <v>0</v>
      </c>
      <c r="AD136" s="111">
        <v>0</v>
      </c>
      <c r="AE136" s="111">
        <v>0</v>
      </c>
      <c r="AF136" s="111">
        <v>0</v>
      </c>
      <c r="AG136" s="111">
        <v>0</v>
      </c>
      <c r="AH136" s="111">
        <v>0</v>
      </c>
      <c r="AI136" s="111">
        <v>0</v>
      </c>
      <c r="AJ136" s="111">
        <v>0</v>
      </c>
      <c r="AK136" s="111">
        <v>0</v>
      </c>
      <c r="AL136" s="111">
        <v>0</v>
      </c>
      <c r="AM136" s="111">
        <v>0</v>
      </c>
      <c r="AN136" s="111">
        <v>0</v>
      </c>
      <c r="AO136" s="111">
        <v>0</v>
      </c>
      <c r="AP136" s="111">
        <v>0</v>
      </c>
      <c r="AQ136" s="111">
        <v>0</v>
      </c>
      <c r="AR136" s="111">
        <v>0</v>
      </c>
      <c r="AS136" s="111">
        <v>0</v>
      </c>
      <c r="AT136" s="111">
        <v>0</v>
      </c>
      <c r="AU136" s="111">
        <v>0</v>
      </c>
      <c r="AV136" s="111">
        <v>0</v>
      </c>
      <c r="AW136" s="111">
        <v>0</v>
      </c>
      <c r="AX136" s="111">
        <v>0</v>
      </c>
      <c r="AY136" s="111">
        <v>0</v>
      </c>
    </row>
    <row r="137" spans="1:51" x14ac:dyDescent="0.2">
      <c r="A137" s="114"/>
      <c r="B137" s="125">
        <v>16</v>
      </c>
      <c r="C137" s="111"/>
      <c r="D137" s="111">
        <v>0</v>
      </c>
      <c r="E137" s="111">
        <v>0</v>
      </c>
      <c r="F137" s="111">
        <v>0</v>
      </c>
      <c r="G137" s="111">
        <v>0</v>
      </c>
      <c r="H137" s="111">
        <v>0</v>
      </c>
      <c r="I137" s="111">
        <v>0</v>
      </c>
      <c r="J137" s="111">
        <v>0</v>
      </c>
      <c r="K137" s="111">
        <v>0</v>
      </c>
      <c r="L137" s="111">
        <v>0</v>
      </c>
      <c r="M137" s="111">
        <v>0</v>
      </c>
      <c r="N137" s="111">
        <v>0</v>
      </c>
      <c r="O137" s="111">
        <v>0</v>
      </c>
      <c r="P137" s="111">
        <v>0</v>
      </c>
      <c r="Q137" s="111">
        <v>0</v>
      </c>
      <c r="R137" s="111">
        <v>0</v>
      </c>
      <c r="S137" s="111">
        <v>0</v>
      </c>
      <c r="T137" s="111">
        <v>0</v>
      </c>
      <c r="U137" s="111">
        <v>0</v>
      </c>
      <c r="V137" s="111">
        <v>0</v>
      </c>
      <c r="W137" s="111">
        <v>0</v>
      </c>
      <c r="X137" s="111">
        <v>0</v>
      </c>
      <c r="Y137" s="111">
        <v>0</v>
      </c>
      <c r="Z137" s="111">
        <v>0</v>
      </c>
      <c r="AA137" s="111">
        <v>0</v>
      </c>
      <c r="AB137" s="111">
        <v>0</v>
      </c>
      <c r="AC137" s="111">
        <v>0</v>
      </c>
      <c r="AD137" s="111">
        <v>0</v>
      </c>
      <c r="AE137" s="111">
        <v>0</v>
      </c>
      <c r="AF137" s="111">
        <v>0</v>
      </c>
      <c r="AG137" s="111">
        <v>0</v>
      </c>
      <c r="AH137" s="111">
        <v>0</v>
      </c>
      <c r="AI137" s="111">
        <v>0</v>
      </c>
      <c r="AJ137" s="111">
        <v>0</v>
      </c>
      <c r="AK137" s="111">
        <v>0</v>
      </c>
      <c r="AL137" s="111">
        <v>0</v>
      </c>
      <c r="AM137" s="111">
        <v>0</v>
      </c>
      <c r="AN137" s="111">
        <v>0</v>
      </c>
      <c r="AO137" s="111">
        <v>0</v>
      </c>
      <c r="AP137" s="111">
        <v>0</v>
      </c>
      <c r="AQ137" s="111">
        <v>0</v>
      </c>
      <c r="AR137" s="111">
        <v>0</v>
      </c>
      <c r="AS137" s="111">
        <v>0</v>
      </c>
      <c r="AT137" s="111">
        <v>0</v>
      </c>
      <c r="AU137" s="111">
        <v>0</v>
      </c>
      <c r="AV137" s="111">
        <v>0</v>
      </c>
      <c r="AW137" s="111">
        <v>0</v>
      </c>
      <c r="AX137" s="111">
        <v>0</v>
      </c>
      <c r="AY137" s="111">
        <v>0</v>
      </c>
    </row>
    <row r="138" spans="1:51" x14ac:dyDescent="0.2">
      <c r="A138" s="114"/>
      <c r="B138" s="125">
        <v>17</v>
      </c>
      <c r="C138" s="111"/>
      <c r="D138" s="111">
        <v>0</v>
      </c>
      <c r="E138" s="111">
        <v>0</v>
      </c>
      <c r="F138" s="111">
        <v>0</v>
      </c>
      <c r="G138" s="111">
        <v>0</v>
      </c>
      <c r="H138" s="111">
        <v>0</v>
      </c>
      <c r="I138" s="111">
        <v>0</v>
      </c>
      <c r="J138" s="111">
        <v>0</v>
      </c>
      <c r="K138" s="111">
        <v>0</v>
      </c>
      <c r="L138" s="111">
        <v>0</v>
      </c>
      <c r="M138" s="111">
        <v>0</v>
      </c>
      <c r="N138" s="111">
        <v>0</v>
      </c>
      <c r="O138" s="111">
        <v>0</v>
      </c>
      <c r="P138" s="111">
        <v>0</v>
      </c>
      <c r="Q138" s="111">
        <v>0</v>
      </c>
      <c r="R138" s="111">
        <v>0</v>
      </c>
      <c r="S138" s="111">
        <v>0</v>
      </c>
      <c r="T138" s="111">
        <v>0</v>
      </c>
      <c r="U138" s="111">
        <v>0</v>
      </c>
      <c r="V138" s="111">
        <v>0</v>
      </c>
      <c r="W138" s="111">
        <v>0</v>
      </c>
      <c r="X138" s="111">
        <v>0</v>
      </c>
      <c r="Y138" s="111">
        <v>0</v>
      </c>
      <c r="Z138" s="111">
        <v>0</v>
      </c>
      <c r="AA138" s="111">
        <v>0</v>
      </c>
      <c r="AB138" s="111">
        <v>0</v>
      </c>
      <c r="AC138" s="111">
        <v>0</v>
      </c>
      <c r="AD138" s="111">
        <v>0</v>
      </c>
      <c r="AE138" s="111">
        <v>0</v>
      </c>
      <c r="AF138" s="111">
        <v>0</v>
      </c>
      <c r="AG138" s="111">
        <v>0</v>
      </c>
      <c r="AH138" s="111">
        <v>0</v>
      </c>
      <c r="AI138" s="111">
        <v>0</v>
      </c>
      <c r="AJ138" s="111">
        <v>0</v>
      </c>
      <c r="AK138" s="111">
        <v>0</v>
      </c>
      <c r="AL138" s="111">
        <v>0</v>
      </c>
      <c r="AM138" s="111">
        <v>0</v>
      </c>
      <c r="AN138" s="111">
        <v>0</v>
      </c>
      <c r="AO138" s="111">
        <v>0</v>
      </c>
      <c r="AP138" s="111">
        <v>0</v>
      </c>
      <c r="AQ138" s="111">
        <v>0</v>
      </c>
      <c r="AR138" s="111">
        <v>0</v>
      </c>
      <c r="AS138" s="111">
        <v>0</v>
      </c>
      <c r="AT138" s="111">
        <v>0</v>
      </c>
      <c r="AU138" s="111">
        <v>0</v>
      </c>
      <c r="AV138" s="111">
        <v>0</v>
      </c>
      <c r="AW138" s="111">
        <v>0</v>
      </c>
      <c r="AX138" s="111">
        <v>0</v>
      </c>
      <c r="AY138" s="111">
        <v>0</v>
      </c>
    </row>
    <row r="139" spans="1:51" x14ac:dyDescent="0.2">
      <c r="A139" s="114"/>
      <c r="B139" s="125">
        <v>18</v>
      </c>
      <c r="C139" s="111"/>
      <c r="D139" s="111">
        <v>0</v>
      </c>
      <c r="E139" s="111">
        <v>0</v>
      </c>
      <c r="F139" s="111">
        <v>0</v>
      </c>
      <c r="G139" s="111">
        <v>0</v>
      </c>
      <c r="H139" s="111">
        <v>0</v>
      </c>
      <c r="I139" s="111">
        <v>0</v>
      </c>
      <c r="J139" s="111">
        <v>0</v>
      </c>
      <c r="K139" s="111">
        <v>0</v>
      </c>
      <c r="L139" s="111">
        <v>0</v>
      </c>
      <c r="M139" s="111">
        <v>0</v>
      </c>
      <c r="N139" s="111">
        <v>0</v>
      </c>
      <c r="O139" s="111">
        <v>0</v>
      </c>
      <c r="P139" s="111">
        <v>0</v>
      </c>
      <c r="Q139" s="111">
        <v>0</v>
      </c>
      <c r="R139" s="111">
        <v>0</v>
      </c>
      <c r="S139" s="111">
        <v>0</v>
      </c>
      <c r="T139" s="111">
        <v>0</v>
      </c>
      <c r="U139" s="111">
        <v>0</v>
      </c>
      <c r="V139" s="111">
        <v>0</v>
      </c>
      <c r="W139" s="111">
        <v>0</v>
      </c>
      <c r="X139" s="111">
        <v>0</v>
      </c>
      <c r="Y139" s="111">
        <v>0</v>
      </c>
      <c r="Z139" s="111">
        <v>0</v>
      </c>
      <c r="AA139" s="111">
        <v>0</v>
      </c>
      <c r="AB139" s="111">
        <v>0</v>
      </c>
      <c r="AC139" s="111">
        <v>0</v>
      </c>
      <c r="AD139" s="111">
        <v>0</v>
      </c>
      <c r="AE139" s="111">
        <v>0</v>
      </c>
      <c r="AF139" s="111">
        <v>0</v>
      </c>
      <c r="AG139" s="111">
        <v>0</v>
      </c>
      <c r="AH139" s="111">
        <v>0</v>
      </c>
      <c r="AI139" s="111">
        <v>0</v>
      </c>
      <c r="AJ139" s="111">
        <v>0</v>
      </c>
      <c r="AK139" s="111">
        <v>0</v>
      </c>
      <c r="AL139" s="111">
        <v>0</v>
      </c>
      <c r="AM139" s="111">
        <v>0</v>
      </c>
      <c r="AN139" s="111">
        <v>0</v>
      </c>
      <c r="AO139" s="111">
        <v>0</v>
      </c>
      <c r="AP139" s="111">
        <v>0</v>
      </c>
      <c r="AQ139" s="111">
        <v>0</v>
      </c>
      <c r="AR139" s="111">
        <v>0</v>
      </c>
      <c r="AS139" s="111">
        <v>0</v>
      </c>
      <c r="AT139" s="111">
        <v>0</v>
      </c>
      <c r="AU139" s="111">
        <v>0</v>
      </c>
      <c r="AV139" s="111">
        <v>0</v>
      </c>
      <c r="AW139" s="111">
        <v>0</v>
      </c>
      <c r="AX139" s="111">
        <v>0</v>
      </c>
      <c r="AY139" s="111">
        <v>0</v>
      </c>
    </row>
    <row r="140" spans="1:51" x14ac:dyDescent="0.2">
      <c r="A140" s="114"/>
      <c r="B140" s="125">
        <v>19</v>
      </c>
      <c r="C140" s="111"/>
      <c r="D140" s="111">
        <v>0</v>
      </c>
      <c r="E140" s="111">
        <v>0</v>
      </c>
      <c r="F140" s="111">
        <v>0</v>
      </c>
      <c r="G140" s="111">
        <v>0</v>
      </c>
      <c r="H140" s="111">
        <v>0</v>
      </c>
      <c r="I140" s="111">
        <v>0</v>
      </c>
      <c r="J140" s="111">
        <v>0</v>
      </c>
      <c r="K140" s="111">
        <v>0</v>
      </c>
      <c r="L140" s="111">
        <v>0</v>
      </c>
      <c r="M140" s="111">
        <v>0</v>
      </c>
      <c r="N140" s="111">
        <v>0</v>
      </c>
      <c r="O140" s="111">
        <v>0</v>
      </c>
      <c r="P140" s="111">
        <v>0</v>
      </c>
      <c r="Q140" s="111">
        <v>0</v>
      </c>
      <c r="R140" s="111">
        <v>0</v>
      </c>
      <c r="S140" s="111">
        <v>0</v>
      </c>
      <c r="T140" s="111">
        <v>0</v>
      </c>
      <c r="U140" s="111">
        <v>0</v>
      </c>
      <c r="V140" s="111">
        <v>0</v>
      </c>
      <c r="W140" s="111">
        <v>0</v>
      </c>
      <c r="X140" s="111">
        <v>0</v>
      </c>
      <c r="Y140" s="111">
        <v>0</v>
      </c>
      <c r="Z140" s="111">
        <v>0</v>
      </c>
      <c r="AA140" s="111">
        <v>0</v>
      </c>
      <c r="AB140" s="111">
        <v>0</v>
      </c>
      <c r="AC140" s="111">
        <v>0</v>
      </c>
      <c r="AD140" s="111">
        <v>0</v>
      </c>
      <c r="AE140" s="111">
        <v>0</v>
      </c>
      <c r="AF140" s="111">
        <v>0</v>
      </c>
      <c r="AG140" s="111">
        <v>0</v>
      </c>
      <c r="AH140" s="111">
        <v>0</v>
      </c>
      <c r="AI140" s="111">
        <v>0</v>
      </c>
      <c r="AJ140" s="111">
        <v>0</v>
      </c>
      <c r="AK140" s="111">
        <v>0</v>
      </c>
      <c r="AL140" s="111">
        <v>0</v>
      </c>
      <c r="AM140" s="111">
        <v>0</v>
      </c>
      <c r="AN140" s="111">
        <v>0</v>
      </c>
      <c r="AO140" s="111">
        <v>0</v>
      </c>
      <c r="AP140" s="111">
        <v>0</v>
      </c>
      <c r="AQ140" s="111">
        <v>0</v>
      </c>
      <c r="AR140" s="111">
        <v>0</v>
      </c>
      <c r="AS140" s="111">
        <v>0</v>
      </c>
      <c r="AT140" s="111">
        <v>0</v>
      </c>
      <c r="AU140" s="111">
        <v>0</v>
      </c>
      <c r="AV140" s="111">
        <v>0</v>
      </c>
      <c r="AW140" s="111">
        <v>0</v>
      </c>
      <c r="AX140" s="111">
        <v>0</v>
      </c>
      <c r="AY140" s="111">
        <v>0</v>
      </c>
    </row>
    <row r="141" spans="1:51" x14ac:dyDescent="0.2">
      <c r="A141" s="114"/>
      <c r="B141" s="125">
        <v>20</v>
      </c>
      <c r="C141" s="111"/>
      <c r="D141" s="111">
        <v>0</v>
      </c>
      <c r="E141" s="111">
        <v>0</v>
      </c>
      <c r="F141" s="111">
        <v>0</v>
      </c>
      <c r="G141" s="111">
        <v>0</v>
      </c>
      <c r="H141" s="111">
        <v>0</v>
      </c>
      <c r="I141" s="111">
        <v>0</v>
      </c>
      <c r="J141" s="111">
        <v>0</v>
      </c>
      <c r="K141" s="111">
        <v>0</v>
      </c>
      <c r="L141" s="111">
        <v>0</v>
      </c>
      <c r="M141" s="111">
        <v>0</v>
      </c>
      <c r="N141" s="111">
        <v>0</v>
      </c>
      <c r="O141" s="111">
        <v>0</v>
      </c>
      <c r="P141" s="111">
        <v>0</v>
      </c>
      <c r="Q141" s="111">
        <v>0</v>
      </c>
      <c r="R141" s="111">
        <v>0</v>
      </c>
      <c r="S141" s="111">
        <v>0</v>
      </c>
      <c r="T141" s="111">
        <v>0</v>
      </c>
      <c r="U141" s="111">
        <v>0</v>
      </c>
      <c r="V141" s="111">
        <v>0</v>
      </c>
      <c r="W141" s="111">
        <v>0</v>
      </c>
      <c r="X141" s="111">
        <v>0</v>
      </c>
      <c r="Y141" s="111">
        <v>0</v>
      </c>
      <c r="Z141" s="111">
        <v>0</v>
      </c>
      <c r="AA141" s="111">
        <v>0</v>
      </c>
      <c r="AB141" s="111">
        <v>0</v>
      </c>
      <c r="AC141" s="111">
        <v>0</v>
      </c>
      <c r="AD141" s="111">
        <v>0</v>
      </c>
      <c r="AE141" s="111">
        <v>0</v>
      </c>
      <c r="AF141" s="111">
        <v>0</v>
      </c>
      <c r="AG141" s="111">
        <v>0</v>
      </c>
      <c r="AH141" s="111">
        <v>0</v>
      </c>
      <c r="AI141" s="111">
        <v>0</v>
      </c>
      <c r="AJ141" s="111">
        <v>0</v>
      </c>
      <c r="AK141" s="111">
        <v>0</v>
      </c>
      <c r="AL141" s="111">
        <v>0</v>
      </c>
      <c r="AM141" s="111">
        <v>0</v>
      </c>
      <c r="AN141" s="111">
        <v>0</v>
      </c>
      <c r="AO141" s="111">
        <v>0</v>
      </c>
      <c r="AP141" s="111">
        <v>0</v>
      </c>
      <c r="AQ141" s="111">
        <v>0</v>
      </c>
      <c r="AR141" s="111">
        <v>0</v>
      </c>
      <c r="AS141" s="111">
        <v>0</v>
      </c>
      <c r="AT141" s="111">
        <v>0</v>
      </c>
      <c r="AU141" s="111">
        <v>0</v>
      </c>
      <c r="AV141" s="111">
        <v>0</v>
      </c>
      <c r="AW141" s="111">
        <v>0</v>
      </c>
      <c r="AX141" s="111">
        <v>0</v>
      </c>
      <c r="AY141" s="111">
        <v>0</v>
      </c>
    </row>
    <row r="142" spans="1:51" x14ac:dyDescent="0.2">
      <c r="A142" s="114"/>
      <c r="B142" s="125">
        <v>21</v>
      </c>
      <c r="C142" s="111"/>
      <c r="D142" s="111">
        <v>0</v>
      </c>
      <c r="E142" s="111">
        <v>0</v>
      </c>
      <c r="F142" s="111">
        <v>0</v>
      </c>
      <c r="G142" s="111">
        <v>0</v>
      </c>
      <c r="H142" s="111">
        <v>0</v>
      </c>
      <c r="I142" s="111">
        <v>0</v>
      </c>
      <c r="J142" s="111">
        <v>0</v>
      </c>
      <c r="K142" s="111">
        <v>0</v>
      </c>
      <c r="L142" s="111">
        <v>0</v>
      </c>
      <c r="M142" s="111">
        <v>0</v>
      </c>
      <c r="N142" s="111">
        <v>0</v>
      </c>
      <c r="O142" s="111">
        <v>0</v>
      </c>
      <c r="P142" s="111">
        <v>0</v>
      </c>
      <c r="Q142" s="111">
        <v>0</v>
      </c>
      <c r="R142" s="111">
        <v>0</v>
      </c>
      <c r="S142" s="111">
        <v>0</v>
      </c>
      <c r="T142" s="111">
        <v>0</v>
      </c>
      <c r="U142" s="111">
        <v>0</v>
      </c>
      <c r="V142" s="111">
        <v>0</v>
      </c>
      <c r="W142" s="111">
        <v>0</v>
      </c>
      <c r="X142" s="111">
        <v>0</v>
      </c>
      <c r="Y142" s="111">
        <v>0</v>
      </c>
      <c r="Z142" s="111">
        <v>0</v>
      </c>
      <c r="AA142" s="111">
        <v>0</v>
      </c>
      <c r="AB142" s="111">
        <v>0</v>
      </c>
      <c r="AC142" s="111">
        <v>0</v>
      </c>
      <c r="AD142" s="111">
        <v>0</v>
      </c>
      <c r="AE142" s="111">
        <v>0</v>
      </c>
      <c r="AF142" s="111">
        <v>0</v>
      </c>
      <c r="AG142" s="111">
        <v>0</v>
      </c>
      <c r="AH142" s="111">
        <v>0</v>
      </c>
      <c r="AI142" s="111">
        <v>0</v>
      </c>
      <c r="AJ142" s="111">
        <v>0</v>
      </c>
      <c r="AK142" s="111">
        <v>0</v>
      </c>
      <c r="AL142" s="111">
        <v>0</v>
      </c>
      <c r="AM142" s="111">
        <v>0</v>
      </c>
      <c r="AN142" s="111">
        <v>0</v>
      </c>
      <c r="AO142" s="111">
        <v>0</v>
      </c>
      <c r="AP142" s="111">
        <v>0</v>
      </c>
      <c r="AQ142" s="111">
        <v>0</v>
      </c>
      <c r="AR142" s="111">
        <v>0</v>
      </c>
      <c r="AS142" s="111">
        <v>0</v>
      </c>
      <c r="AT142" s="111">
        <v>0</v>
      </c>
      <c r="AU142" s="111">
        <v>0</v>
      </c>
      <c r="AV142" s="111">
        <v>0</v>
      </c>
      <c r="AW142" s="111">
        <v>0</v>
      </c>
      <c r="AX142" s="111">
        <v>0</v>
      </c>
      <c r="AY142" s="111">
        <v>0</v>
      </c>
    </row>
    <row r="143" spans="1:51" x14ac:dyDescent="0.2">
      <c r="A143" s="114"/>
      <c r="B143" s="125">
        <v>22</v>
      </c>
      <c r="C143" s="111"/>
      <c r="D143" s="111">
        <v>0</v>
      </c>
      <c r="E143" s="111">
        <v>0</v>
      </c>
      <c r="F143" s="111">
        <v>0</v>
      </c>
      <c r="G143" s="111">
        <v>0</v>
      </c>
      <c r="H143" s="111">
        <v>0</v>
      </c>
      <c r="I143" s="111">
        <v>0</v>
      </c>
      <c r="J143" s="111">
        <v>0</v>
      </c>
      <c r="K143" s="111">
        <v>0</v>
      </c>
      <c r="L143" s="111">
        <v>0</v>
      </c>
      <c r="M143" s="111">
        <v>0</v>
      </c>
      <c r="N143" s="111">
        <v>0</v>
      </c>
      <c r="O143" s="111">
        <v>0</v>
      </c>
      <c r="P143" s="111">
        <v>0</v>
      </c>
      <c r="Q143" s="111">
        <v>0</v>
      </c>
      <c r="R143" s="111">
        <v>0</v>
      </c>
      <c r="S143" s="111">
        <v>0</v>
      </c>
      <c r="T143" s="111">
        <v>0</v>
      </c>
      <c r="U143" s="111">
        <v>0</v>
      </c>
      <c r="V143" s="111">
        <v>0</v>
      </c>
      <c r="W143" s="111">
        <v>0</v>
      </c>
      <c r="X143" s="111">
        <v>0</v>
      </c>
      <c r="Y143" s="111">
        <v>0</v>
      </c>
      <c r="Z143" s="111">
        <v>0</v>
      </c>
      <c r="AA143" s="111">
        <v>0</v>
      </c>
      <c r="AB143" s="111">
        <v>0</v>
      </c>
      <c r="AC143" s="111">
        <v>0</v>
      </c>
      <c r="AD143" s="111">
        <v>0</v>
      </c>
      <c r="AE143" s="111">
        <v>0</v>
      </c>
      <c r="AF143" s="111">
        <v>0</v>
      </c>
      <c r="AG143" s="111">
        <v>0</v>
      </c>
      <c r="AH143" s="111">
        <v>0</v>
      </c>
      <c r="AI143" s="111">
        <v>0</v>
      </c>
      <c r="AJ143" s="111">
        <v>0</v>
      </c>
      <c r="AK143" s="111">
        <v>0</v>
      </c>
      <c r="AL143" s="111">
        <v>0</v>
      </c>
      <c r="AM143" s="111">
        <v>0</v>
      </c>
      <c r="AN143" s="111">
        <v>0</v>
      </c>
      <c r="AO143" s="111">
        <v>0</v>
      </c>
      <c r="AP143" s="111">
        <v>0</v>
      </c>
      <c r="AQ143" s="111">
        <v>0</v>
      </c>
      <c r="AR143" s="111">
        <v>0</v>
      </c>
      <c r="AS143" s="111">
        <v>0</v>
      </c>
      <c r="AT143" s="111">
        <v>0</v>
      </c>
      <c r="AU143" s="111">
        <v>0</v>
      </c>
      <c r="AV143" s="111">
        <v>0</v>
      </c>
      <c r="AW143" s="111">
        <v>0</v>
      </c>
      <c r="AX143" s="111">
        <v>0</v>
      </c>
      <c r="AY143" s="111">
        <v>0</v>
      </c>
    </row>
    <row r="144" spans="1:51" x14ac:dyDescent="0.2">
      <c r="A144" s="114"/>
      <c r="B144" s="125">
        <v>23</v>
      </c>
      <c r="C144" s="111"/>
      <c r="D144" s="111">
        <v>0</v>
      </c>
      <c r="E144" s="111">
        <v>0</v>
      </c>
      <c r="F144" s="111">
        <v>0</v>
      </c>
      <c r="G144" s="111">
        <v>0</v>
      </c>
      <c r="H144" s="111">
        <v>0</v>
      </c>
      <c r="I144" s="111">
        <v>0</v>
      </c>
      <c r="J144" s="111">
        <v>0</v>
      </c>
      <c r="K144" s="111">
        <v>0</v>
      </c>
      <c r="L144" s="111">
        <v>0</v>
      </c>
      <c r="M144" s="111">
        <v>0</v>
      </c>
      <c r="N144" s="111">
        <v>0</v>
      </c>
      <c r="O144" s="111">
        <v>0</v>
      </c>
      <c r="P144" s="111">
        <v>0</v>
      </c>
      <c r="Q144" s="111">
        <v>0</v>
      </c>
      <c r="R144" s="111">
        <v>0</v>
      </c>
      <c r="S144" s="111">
        <v>0</v>
      </c>
      <c r="T144" s="111">
        <v>0</v>
      </c>
      <c r="U144" s="111">
        <v>0</v>
      </c>
      <c r="V144" s="111">
        <v>0</v>
      </c>
      <c r="W144" s="111">
        <v>0</v>
      </c>
      <c r="X144" s="111">
        <v>0</v>
      </c>
      <c r="Y144" s="111">
        <v>0</v>
      </c>
      <c r="Z144" s="111">
        <v>0</v>
      </c>
      <c r="AA144" s="111">
        <v>0</v>
      </c>
      <c r="AB144" s="111">
        <v>0</v>
      </c>
      <c r="AC144" s="111">
        <v>0</v>
      </c>
      <c r="AD144" s="111">
        <v>0</v>
      </c>
      <c r="AE144" s="111">
        <v>0</v>
      </c>
      <c r="AF144" s="111">
        <v>0</v>
      </c>
      <c r="AG144" s="111">
        <v>0</v>
      </c>
      <c r="AH144" s="111">
        <v>0</v>
      </c>
      <c r="AI144" s="111">
        <v>0</v>
      </c>
      <c r="AJ144" s="111">
        <v>0</v>
      </c>
      <c r="AK144" s="111">
        <v>0</v>
      </c>
      <c r="AL144" s="111">
        <v>0</v>
      </c>
      <c r="AM144" s="111">
        <v>0</v>
      </c>
      <c r="AN144" s="111">
        <v>0</v>
      </c>
      <c r="AO144" s="111">
        <v>0</v>
      </c>
      <c r="AP144" s="111">
        <v>0</v>
      </c>
      <c r="AQ144" s="111">
        <v>0</v>
      </c>
      <c r="AR144" s="111">
        <v>0</v>
      </c>
      <c r="AS144" s="111">
        <v>0</v>
      </c>
      <c r="AT144" s="111">
        <v>0</v>
      </c>
      <c r="AU144" s="111">
        <v>0</v>
      </c>
      <c r="AV144" s="111">
        <v>0</v>
      </c>
      <c r="AW144" s="111">
        <v>0</v>
      </c>
      <c r="AX144" s="111">
        <v>0</v>
      </c>
      <c r="AY144" s="111">
        <v>0</v>
      </c>
    </row>
    <row r="145" spans="1:51" x14ac:dyDescent="0.2">
      <c r="A145" s="114"/>
      <c r="B145" s="125">
        <v>24</v>
      </c>
      <c r="C145" s="111"/>
      <c r="D145" s="111">
        <v>0</v>
      </c>
      <c r="E145" s="111">
        <v>0</v>
      </c>
      <c r="F145" s="111">
        <v>0</v>
      </c>
      <c r="G145" s="111">
        <v>0</v>
      </c>
      <c r="H145" s="111">
        <v>0</v>
      </c>
      <c r="I145" s="111">
        <v>0</v>
      </c>
      <c r="J145" s="111">
        <v>0</v>
      </c>
      <c r="K145" s="111">
        <v>0</v>
      </c>
      <c r="L145" s="111">
        <v>0</v>
      </c>
      <c r="M145" s="111">
        <v>0</v>
      </c>
      <c r="N145" s="111">
        <v>0</v>
      </c>
      <c r="O145" s="111">
        <v>0</v>
      </c>
      <c r="P145" s="111">
        <v>0</v>
      </c>
      <c r="Q145" s="111">
        <v>0</v>
      </c>
      <c r="R145" s="111">
        <v>0</v>
      </c>
      <c r="S145" s="111">
        <v>0</v>
      </c>
      <c r="T145" s="111">
        <v>0</v>
      </c>
      <c r="U145" s="111">
        <v>0</v>
      </c>
      <c r="V145" s="111">
        <v>0</v>
      </c>
      <c r="W145" s="111">
        <v>0</v>
      </c>
      <c r="X145" s="111">
        <v>0</v>
      </c>
      <c r="Y145" s="111">
        <v>0</v>
      </c>
      <c r="Z145" s="111">
        <v>0</v>
      </c>
      <c r="AA145" s="111">
        <v>0</v>
      </c>
      <c r="AB145" s="111">
        <v>0</v>
      </c>
      <c r="AC145" s="111">
        <v>0</v>
      </c>
      <c r="AD145" s="111">
        <v>0</v>
      </c>
      <c r="AE145" s="111">
        <v>0</v>
      </c>
      <c r="AF145" s="111">
        <v>0</v>
      </c>
      <c r="AG145" s="111">
        <v>0</v>
      </c>
      <c r="AH145" s="111">
        <v>0</v>
      </c>
      <c r="AI145" s="111">
        <v>0</v>
      </c>
      <c r="AJ145" s="111">
        <v>0</v>
      </c>
      <c r="AK145" s="111">
        <v>0</v>
      </c>
      <c r="AL145" s="111">
        <v>0</v>
      </c>
      <c r="AM145" s="111">
        <v>0</v>
      </c>
      <c r="AN145" s="111">
        <v>0</v>
      </c>
      <c r="AO145" s="111">
        <v>0</v>
      </c>
      <c r="AP145" s="111">
        <v>0</v>
      </c>
      <c r="AQ145" s="111">
        <v>0</v>
      </c>
      <c r="AR145" s="111">
        <v>0</v>
      </c>
      <c r="AS145" s="111">
        <v>0</v>
      </c>
      <c r="AT145" s="111">
        <v>0</v>
      </c>
      <c r="AU145" s="111">
        <v>0</v>
      </c>
      <c r="AV145" s="111">
        <v>0</v>
      </c>
      <c r="AW145" s="111">
        <v>0</v>
      </c>
      <c r="AX145" s="111">
        <v>0</v>
      </c>
      <c r="AY145" s="111">
        <v>0</v>
      </c>
    </row>
    <row r="146" spans="1:51" x14ac:dyDescent="0.2">
      <c r="A146" s="114"/>
      <c r="B146" s="132">
        <v>25</v>
      </c>
      <c r="C146" s="111"/>
      <c r="D146" s="111">
        <v>0</v>
      </c>
      <c r="E146" s="111">
        <v>0</v>
      </c>
      <c r="F146" s="111">
        <v>0</v>
      </c>
      <c r="G146" s="111">
        <v>0</v>
      </c>
      <c r="H146" s="111">
        <v>0</v>
      </c>
      <c r="I146" s="111">
        <v>0</v>
      </c>
      <c r="J146" s="111">
        <v>0</v>
      </c>
      <c r="K146" s="111">
        <v>0</v>
      </c>
      <c r="L146" s="111">
        <v>0</v>
      </c>
      <c r="M146" s="111">
        <v>0</v>
      </c>
      <c r="N146" s="111">
        <v>0</v>
      </c>
      <c r="O146" s="111">
        <v>0</v>
      </c>
      <c r="P146" s="111">
        <v>0</v>
      </c>
      <c r="Q146" s="111">
        <v>0</v>
      </c>
      <c r="R146" s="111">
        <v>0</v>
      </c>
      <c r="S146" s="111">
        <v>0</v>
      </c>
      <c r="T146" s="111">
        <v>0</v>
      </c>
      <c r="U146" s="111">
        <v>0</v>
      </c>
      <c r="V146" s="111">
        <v>0</v>
      </c>
      <c r="W146" s="111">
        <v>0</v>
      </c>
      <c r="X146" s="111">
        <v>0</v>
      </c>
      <c r="Y146" s="111">
        <v>0</v>
      </c>
      <c r="Z146" s="111">
        <v>0</v>
      </c>
      <c r="AA146" s="111">
        <v>0</v>
      </c>
      <c r="AB146" s="111">
        <v>0</v>
      </c>
      <c r="AC146" s="111">
        <v>0</v>
      </c>
      <c r="AD146" s="111">
        <v>0</v>
      </c>
      <c r="AE146" s="111">
        <v>0</v>
      </c>
      <c r="AF146" s="111">
        <v>0</v>
      </c>
      <c r="AG146" s="111">
        <v>0</v>
      </c>
      <c r="AH146" s="111">
        <v>0</v>
      </c>
      <c r="AI146" s="111">
        <v>0</v>
      </c>
      <c r="AJ146" s="111">
        <v>0</v>
      </c>
      <c r="AK146" s="111">
        <v>0</v>
      </c>
      <c r="AL146" s="111">
        <v>0</v>
      </c>
      <c r="AM146" s="111">
        <v>0</v>
      </c>
      <c r="AN146" s="111">
        <v>0</v>
      </c>
      <c r="AO146" s="111">
        <v>0</v>
      </c>
      <c r="AP146" s="111">
        <v>0</v>
      </c>
      <c r="AQ146" s="111">
        <v>0</v>
      </c>
      <c r="AR146" s="111">
        <v>0</v>
      </c>
      <c r="AS146" s="111">
        <v>0</v>
      </c>
      <c r="AT146" s="111">
        <v>0</v>
      </c>
      <c r="AU146" s="111">
        <v>0</v>
      </c>
      <c r="AV146" s="111">
        <v>0</v>
      </c>
      <c r="AW146" s="111">
        <v>0</v>
      </c>
      <c r="AX146" s="111">
        <v>0</v>
      </c>
      <c r="AY146" s="111">
        <v>0</v>
      </c>
    </row>
    <row r="147" spans="1:51" x14ac:dyDescent="0.2">
      <c r="A147" s="114"/>
      <c r="B147" s="132">
        <v>26</v>
      </c>
      <c r="C147" s="111"/>
      <c r="D147" s="111">
        <v>0</v>
      </c>
      <c r="E147" s="111">
        <v>0</v>
      </c>
      <c r="F147" s="111">
        <v>0</v>
      </c>
      <c r="G147" s="111">
        <v>0</v>
      </c>
      <c r="H147" s="111">
        <v>0</v>
      </c>
      <c r="I147" s="111">
        <v>0</v>
      </c>
      <c r="J147" s="111">
        <v>0</v>
      </c>
      <c r="K147" s="111">
        <v>0</v>
      </c>
      <c r="L147" s="111">
        <v>0</v>
      </c>
      <c r="M147" s="111">
        <v>0</v>
      </c>
      <c r="N147" s="111">
        <v>0</v>
      </c>
      <c r="O147" s="111">
        <v>0</v>
      </c>
      <c r="P147" s="111">
        <v>0</v>
      </c>
      <c r="Q147" s="111">
        <v>0</v>
      </c>
      <c r="R147" s="111">
        <v>0</v>
      </c>
      <c r="S147" s="111">
        <v>0</v>
      </c>
      <c r="T147" s="111">
        <v>0</v>
      </c>
      <c r="U147" s="111">
        <v>0</v>
      </c>
      <c r="V147" s="111">
        <v>0</v>
      </c>
      <c r="W147" s="111">
        <v>0</v>
      </c>
      <c r="X147" s="111">
        <v>0</v>
      </c>
      <c r="Y147" s="111">
        <v>0</v>
      </c>
      <c r="Z147" s="111">
        <v>0</v>
      </c>
      <c r="AA147" s="111">
        <v>0</v>
      </c>
      <c r="AB147" s="111">
        <v>0</v>
      </c>
      <c r="AC147" s="111">
        <v>0</v>
      </c>
      <c r="AD147" s="111">
        <v>0</v>
      </c>
      <c r="AE147" s="111">
        <v>0</v>
      </c>
      <c r="AF147" s="111">
        <v>0</v>
      </c>
      <c r="AG147" s="111">
        <v>0</v>
      </c>
      <c r="AH147" s="111">
        <v>0</v>
      </c>
      <c r="AI147" s="111">
        <v>0</v>
      </c>
      <c r="AJ147" s="111">
        <v>0</v>
      </c>
      <c r="AK147" s="111">
        <v>0</v>
      </c>
      <c r="AL147" s="111">
        <v>0</v>
      </c>
      <c r="AM147" s="111">
        <v>0</v>
      </c>
      <c r="AN147" s="111">
        <v>0</v>
      </c>
      <c r="AO147" s="111">
        <v>0</v>
      </c>
      <c r="AP147" s="111">
        <v>0</v>
      </c>
      <c r="AQ147" s="111">
        <v>0</v>
      </c>
      <c r="AR147" s="111">
        <v>0</v>
      </c>
      <c r="AS147" s="111">
        <v>0</v>
      </c>
      <c r="AT147" s="111">
        <v>0</v>
      </c>
      <c r="AU147" s="111">
        <v>0</v>
      </c>
      <c r="AV147" s="111">
        <v>0</v>
      </c>
      <c r="AW147" s="111">
        <v>0</v>
      </c>
      <c r="AX147" s="111">
        <v>0</v>
      </c>
      <c r="AY147" s="111">
        <v>0</v>
      </c>
    </row>
    <row r="148" spans="1:51" x14ac:dyDescent="0.2">
      <c r="A148" s="114"/>
      <c r="B148" s="132">
        <v>27</v>
      </c>
      <c r="C148" s="111"/>
      <c r="D148" s="111">
        <v>0</v>
      </c>
      <c r="E148" s="111">
        <v>0</v>
      </c>
      <c r="F148" s="111">
        <v>0</v>
      </c>
      <c r="G148" s="111">
        <v>0</v>
      </c>
      <c r="H148" s="111">
        <v>0</v>
      </c>
      <c r="I148" s="111">
        <v>0</v>
      </c>
      <c r="J148" s="111">
        <v>0</v>
      </c>
      <c r="K148" s="111">
        <v>0</v>
      </c>
      <c r="L148" s="111">
        <v>0</v>
      </c>
      <c r="M148" s="111">
        <v>0</v>
      </c>
      <c r="N148" s="111">
        <v>0</v>
      </c>
      <c r="O148" s="111">
        <v>0</v>
      </c>
      <c r="P148" s="111">
        <v>0</v>
      </c>
      <c r="Q148" s="111">
        <v>0</v>
      </c>
      <c r="R148" s="111">
        <v>0</v>
      </c>
      <c r="S148" s="111">
        <v>0</v>
      </c>
      <c r="T148" s="111">
        <v>0</v>
      </c>
      <c r="U148" s="111">
        <v>0</v>
      </c>
      <c r="V148" s="111">
        <v>0</v>
      </c>
      <c r="W148" s="111">
        <v>0</v>
      </c>
      <c r="X148" s="111">
        <v>0</v>
      </c>
      <c r="Y148" s="111">
        <v>0</v>
      </c>
      <c r="Z148" s="111">
        <v>0</v>
      </c>
      <c r="AA148" s="111">
        <v>0</v>
      </c>
      <c r="AB148" s="111">
        <v>0</v>
      </c>
      <c r="AC148" s="111">
        <v>0</v>
      </c>
      <c r="AD148" s="111">
        <v>0</v>
      </c>
      <c r="AE148" s="111">
        <v>0</v>
      </c>
      <c r="AF148" s="111">
        <v>0</v>
      </c>
      <c r="AG148" s="111">
        <v>0</v>
      </c>
      <c r="AH148" s="111">
        <v>0</v>
      </c>
      <c r="AI148" s="111">
        <v>0</v>
      </c>
      <c r="AJ148" s="111">
        <v>0</v>
      </c>
      <c r="AK148" s="111">
        <v>0</v>
      </c>
      <c r="AL148" s="111">
        <v>0</v>
      </c>
      <c r="AM148" s="111">
        <v>0</v>
      </c>
      <c r="AN148" s="111">
        <v>0</v>
      </c>
      <c r="AO148" s="111">
        <v>0</v>
      </c>
      <c r="AP148" s="111">
        <v>0</v>
      </c>
      <c r="AQ148" s="111">
        <v>0</v>
      </c>
      <c r="AR148" s="111">
        <v>0</v>
      </c>
      <c r="AS148" s="111">
        <v>0</v>
      </c>
      <c r="AT148" s="111">
        <v>0</v>
      </c>
      <c r="AU148" s="111">
        <v>0</v>
      </c>
      <c r="AV148" s="111">
        <v>0</v>
      </c>
      <c r="AW148" s="111">
        <v>0</v>
      </c>
      <c r="AX148" s="111">
        <v>0</v>
      </c>
      <c r="AY148" s="111">
        <v>0</v>
      </c>
    </row>
    <row r="149" spans="1:51" x14ac:dyDescent="0.2">
      <c r="A149" s="114"/>
      <c r="B149" s="132">
        <v>28</v>
      </c>
      <c r="C149" s="111"/>
      <c r="D149" s="111">
        <v>0</v>
      </c>
      <c r="E149" s="111">
        <v>0</v>
      </c>
      <c r="F149" s="111">
        <v>0</v>
      </c>
      <c r="G149" s="111">
        <v>0</v>
      </c>
      <c r="H149" s="111">
        <v>0</v>
      </c>
      <c r="I149" s="111">
        <v>0</v>
      </c>
      <c r="J149" s="111">
        <v>0</v>
      </c>
      <c r="K149" s="111">
        <v>0</v>
      </c>
      <c r="L149" s="111">
        <v>0</v>
      </c>
      <c r="M149" s="111">
        <v>0</v>
      </c>
      <c r="N149" s="111">
        <v>0</v>
      </c>
      <c r="O149" s="111">
        <v>0</v>
      </c>
      <c r="P149" s="111">
        <v>0</v>
      </c>
      <c r="Q149" s="111">
        <v>0</v>
      </c>
      <c r="R149" s="111">
        <v>0</v>
      </c>
      <c r="S149" s="111">
        <v>0</v>
      </c>
      <c r="T149" s="111">
        <v>0</v>
      </c>
      <c r="U149" s="111">
        <v>0</v>
      </c>
      <c r="V149" s="111">
        <v>0</v>
      </c>
      <c r="W149" s="111">
        <v>0</v>
      </c>
      <c r="X149" s="111">
        <v>0</v>
      </c>
      <c r="Y149" s="111">
        <v>0</v>
      </c>
      <c r="Z149" s="111">
        <v>0</v>
      </c>
      <c r="AA149" s="111">
        <v>0</v>
      </c>
      <c r="AB149" s="111">
        <v>0</v>
      </c>
      <c r="AC149" s="111">
        <v>0</v>
      </c>
      <c r="AD149" s="111">
        <v>0</v>
      </c>
      <c r="AE149" s="111">
        <v>0</v>
      </c>
      <c r="AF149" s="111">
        <v>0</v>
      </c>
      <c r="AG149" s="111">
        <v>0</v>
      </c>
      <c r="AH149" s="111">
        <v>0</v>
      </c>
      <c r="AI149" s="111">
        <v>0</v>
      </c>
      <c r="AJ149" s="111">
        <v>0</v>
      </c>
      <c r="AK149" s="111">
        <v>0</v>
      </c>
      <c r="AL149" s="111">
        <v>0</v>
      </c>
      <c r="AM149" s="111">
        <v>0</v>
      </c>
      <c r="AN149" s="111">
        <v>0</v>
      </c>
      <c r="AO149" s="111">
        <v>0</v>
      </c>
      <c r="AP149" s="111">
        <v>0</v>
      </c>
      <c r="AQ149" s="111">
        <v>0</v>
      </c>
      <c r="AR149" s="111">
        <v>0</v>
      </c>
      <c r="AS149" s="111">
        <v>0</v>
      </c>
      <c r="AT149" s="111">
        <v>0</v>
      </c>
      <c r="AU149" s="111">
        <v>0</v>
      </c>
      <c r="AV149" s="111">
        <v>0</v>
      </c>
      <c r="AW149" s="111">
        <v>0</v>
      </c>
      <c r="AX149" s="111">
        <v>0</v>
      </c>
      <c r="AY149" s="111">
        <v>0</v>
      </c>
    </row>
    <row r="150" spans="1:51" x14ac:dyDescent="0.2">
      <c r="A150" s="114"/>
      <c r="B150" s="132">
        <v>29</v>
      </c>
      <c r="C150" s="111"/>
      <c r="D150" s="111">
        <v>0</v>
      </c>
      <c r="E150" s="111">
        <v>0</v>
      </c>
      <c r="F150" s="111">
        <v>0</v>
      </c>
      <c r="G150" s="111">
        <v>0</v>
      </c>
      <c r="H150" s="111">
        <v>0</v>
      </c>
      <c r="I150" s="111">
        <v>0</v>
      </c>
      <c r="J150" s="111">
        <v>0</v>
      </c>
      <c r="K150" s="111">
        <v>0</v>
      </c>
      <c r="L150" s="111">
        <v>0</v>
      </c>
      <c r="M150" s="111">
        <v>0</v>
      </c>
      <c r="N150" s="111">
        <v>0</v>
      </c>
      <c r="O150" s="111">
        <v>0</v>
      </c>
      <c r="P150" s="111">
        <v>0</v>
      </c>
      <c r="Q150" s="111">
        <v>0</v>
      </c>
      <c r="R150" s="111">
        <v>0</v>
      </c>
      <c r="S150" s="111">
        <v>0</v>
      </c>
      <c r="T150" s="111">
        <v>0</v>
      </c>
      <c r="U150" s="111">
        <v>0</v>
      </c>
      <c r="V150" s="111">
        <v>0</v>
      </c>
      <c r="W150" s="111">
        <v>0</v>
      </c>
      <c r="X150" s="111">
        <v>0</v>
      </c>
      <c r="Y150" s="111">
        <v>0</v>
      </c>
      <c r="Z150" s="111">
        <v>0</v>
      </c>
      <c r="AA150" s="111">
        <v>0</v>
      </c>
      <c r="AB150" s="111">
        <v>0</v>
      </c>
      <c r="AC150" s="111">
        <v>0</v>
      </c>
      <c r="AD150" s="111">
        <v>0</v>
      </c>
      <c r="AE150" s="111">
        <v>0</v>
      </c>
      <c r="AF150" s="111">
        <v>0</v>
      </c>
      <c r="AG150" s="111">
        <v>0</v>
      </c>
      <c r="AH150" s="111">
        <v>0</v>
      </c>
      <c r="AI150" s="111">
        <v>0</v>
      </c>
      <c r="AJ150" s="111">
        <v>0</v>
      </c>
      <c r="AK150" s="111">
        <v>0</v>
      </c>
      <c r="AL150" s="111">
        <v>0</v>
      </c>
      <c r="AM150" s="111">
        <v>0</v>
      </c>
      <c r="AN150" s="111">
        <v>0</v>
      </c>
      <c r="AO150" s="111">
        <v>0</v>
      </c>
      <c r="AP150" s="111">
        <v>0</v>
      </c>
      <c r="AQ150" s="111">
        <v>0</v>
      </c>
      <c r="AR150" s="111">
        <v>0</v>
      </c>
      <c r="AS150" s="111">
        <v>0</v>
      </c>
      <c r="AT150" s="111">
        <v>0</v>
      </c>
      <c r="AU150" s="111">
        <v>0</v>
      </c>
      <c r="AV150" s="111">
        <v>0</v>
      </c>
      <c r="AW150" s="111">
        <v>0</v>
      </c>
      <c r="AX150" s="111">
        <v>0</v>
      </c>
      <c r="AY150" s="111">
        <v>0</v>
      </c>
    </row>
    <row r="151" spans="1:51" x14ac:dyDescent="0.2">
      <c r="A151" s="114"/>
      <c r="B151" s="132">
        <v>30</v>
      </c>
      <c r="C151" s="111"/>
      <c r="D151" s="111">
        <v>0</v>
      </c>
      <c r="E151" s="111">
        <v>0</v>
      </c>
      <c r="F151" s="111">
        <v>0</v>
      </c>
      <c r="G151" s="111">
        <v>0</v>
      </c>
      <c r="H151" s="111">
        <v>0</v>
      </c>
      <c r="I151" s="111">
        <v>0</v>
      </c>
      <c r="J151" s="111">
        <v>0</v>
      </c>
      <c r="K151" s="111">
        <v>0</v>
      </c>
      <c r="L151" s="111">
        <v>0</v>
      </c>
      <c r="M151" s="111">
        <v>0</v>
      </c>
      <c r="N151" s="111">
        <v>0</v>
      </c>
      <c r="O151" s="111">
        <v>0</v>
      </c>
      <c r="P151" s="111">
        <v>0</v>
      </c>
      <c r="Q151" s="111">
        <v>0</v>
      </c>
      <c r="R151" s="111">
        <v>0</v>
      </c>
      <c r="S151" s="111">
        <v>0</v>
      </c>
      <c r="T151" s="111">
        <v>0</v>
      </c>
      <c r="U151" s="111">
        <v>0</v>
      </c>
      <c r="V151" s="111">
        <v>0</v>
      </c>
      <c r="W151" s="111">
        <v>0</v>
      </c>
      <c r="X151" s="111">
        <v>0</v>
      </c>
      <c r="Y151" s="111">
        <v>0</v>
      </c>
      <c r="Z151" s="111">
        <v>0</v>
      </c>
      <c r="AA151" s="111">
        <v>0</v>
      </c>
      <c r="AB151" s="111">
        <v>0</v>
      </c>
      <c r="AC151" s="111">
        <v>0</v>
      </c>
      <c r="AD151" s="111">
        <v>0</v>
      </c>
      <c r="AE151" s="111">
        <v>0</v>
      </c>
      <c r="AF151" s="111">
        <v>0</v>
      </c>
      <c r="AG151" s="111">
        <v>0</v>
      </c>
      <c r="AH151" s="111">
        <v>0</v>
      </c>
      <c r="AI151" s="111">
        <v>0</v>
      </c>
      <c r="AJ151" s="111">
        <v>0</v>
      </c>
      <c r="AK151" s="111">
        <v>0</v>
      </c>
      <c r="AL151" s="111">
        <v>0</v>
      </c>
      <c r="AM151" s="111">
        <v>0</v>
      </c>
      <c r="AN151" s="111">
        <v>0</v>
      </c>
      <c r="AO151" s="111">
        <v>0</v>
      </c>
      <c r="AP151" s="111">
        <v>0</v>
      </c>
      <c r="AQ151" s="111">
        <v>0</v>
      </c>
      <c r="AR151" s="111">
        <v>0</v>
      </c>
      <c r="AS151" s="111">
        <v>0</v>
      </c>
      <c r="AT151" s="111">
        <v>0</v>
      </c>
      <c r="AU151" s="111">
        <v>0</v>
      </c>
      <c r="AV151" s="111">
        <v>0</v>
      </c>
      <c r="AW151" s="111">
        <v>0</v>
      </c>
      <c r="AX151" s="111">
        <v>0</v>
      </c>
      <c r="AY151" s="111">
        <v>0</v>
      </c>
    </row>
    <row r="152" spans="1:51" x14ac:dyDescent="0.2">
      <c r="A152" s="114"/>
      <c r="B152" s="132">
        <v>31</v>
      </c>
      <c r="C152" s="111"/>
      <c r="D152" s="111">
        <v>0</v>
      </c>
      <c r="E152" s="111">
        <v>0</v>
      </c>
      <c r="F152" s="111">
        <v>0</v>
      </c>
      <c r="G152" s="111">
        <v>0</v>
      </c>
      <c r="H152" s="111">
        <v>0</v>
      </c>
      <c r="I152" s="111">
        <v>0</v>
      </c>
      <c r="J152" s="111">
        <v>0</v>
      </c>
      <c r="K152" s="111">
        <v>0</v>
      </c>
      <c r="L152" s="111">
        <v>0</v>
      </c>
      <c r="M152" s="111">
        <v>0</v>
      </c>
      <c r="N152" s="111">
        <v>0</v>
      </c>
      <c r="O152" s="111">
        <v>0</v>
      </c>
      <c r="P152" s="111">
        <v>0</v>
      </c>
      <c r="Q152" s="111">
        <v>0</v>
      </c>
      <c r="R152" s="111">
        <v>0</v>
      </c>
      <c r="S152" s="111">
        <v>0</v>
      </c>
      <c r="T152" s="111">
        <v>0</v>
      </c>
      <c r="U152" s="111">
        <v>0</v>
      </c>
      <c r="V152" s="111">
        <v>0</v>
      </c>
      <c r="W152" s="111">
        <v>0</v>
      </c>
      <c r="X152" s="111">
        <v>0</v>
      </c>
      <c r="Y152" s="111">
        <v>0</v>
      </c>
      <c r="Z152" s="111">
        <v>0</v>
      </c>
      <c r="AA152" s="111">
        <v>0</v>
      </c>
      <c r="AB152" s="111">
        <v>0</v>
      </c>
      <c r="AC152" s="111">
        <v>0</v>
      </c>
      <c r="AD152" s="111">
        <v>0</v>
      </c>
      <c r="AE152" s="111">
        <v>0</v>
      </c>
      <c r="AF152" s="111">
        <v>0</v>
      </c>
      <c r="AG152" s="111">
        <v>0</v>
      </c>
      <c r="AH152" s="111">
        <v>0</v>
      </c>
      <c r="AI152" s="111">
        <v>0</v>
      </c>
      <c r="AJ152" s="111">
        <v>0</v>
      </c>
      <c r="AK152" s="111">
        <v>0</v>
      </c>
      <c r="AL152" s="111">
        <v>0</v>
      </c>
      <c r="AM152" s="111">
        <v>0</v>
      </c>
      <c r="AN152" s="111">
        <v>0</v>
      </c>
      <c r="AO152" s="111">
        <v>0</v>
      </c>
      <c r="AP152" s="111">
        <v>0</v>
      </c>
      <c r="AQ152" s="111">
        <v>0</v>
      </c>
      <c r="AR152" s="111">
        <v>0</v>
      </c>
      <c r="AS152" s="111">
        <v>0</v>
      </c>
      <c r="AT152" s="111">
        <v>0</v>
      </c>
      <c r="AU152" s="111">
        <v>0</v>
      </c>
      <c r="AV152" s="111">
        <v>0</v>
      </c>
      <c r="AW152" s="111">
        <v>0</v>
      </c>
      <c r="AX152" s="111">
        <v>0</v>
      </c>
      <c r="AY152" s="111">
        <v>0</v>
      </c>
    </row>
    <row r="153" spans="1:51" x14ac:dyDescent="0.2">
      <c r="A153" s="114"/>
      <c r="B153" s="132">
        <v>32</v>
      </c>
      <c r="C153" s="111"/>
      <c r="D153" s="111">
        <v>0</v>
      </c>
      <c r="E153" s="111">
        <v>0</v>
      </c>
      <c r="F153" s="111">
        <v>0</v>
      </c>
      <c r="G153" s="111">
        <v>0</v>
      </c>
      <c r="H153" s="111">
        <v>0</v>
      </c>
      <c r="I153" s="111">
        <v>0</v>
      </c>
      <c r="J153" s="111">
        <v>0</v>
      </c>
      <c r="K153" s="111">
        <v>0</v>
      </c>
      <c r="L153" s="111">
        <v>0</v>
      </c>
      <c r="M153" s="111">
        <v>0</v>
      </c>
      <c r="N153" s="111">
        <v>0</v>
      </c>
      <c r="O153" s="111">
        <v>0</v>
      </c>
      <c r="P153" s="111">
        <v>0</v>
      </c>
      <c r="Q153" s="111">
        <v>0</v>
      </c>
      <c r="R153" s="111">
        <v>0</v>
      </c>
      <c r="S153" s="111">
        <v>0</v>
      </c>
      <c r="T153" s="111">
        <v>0</v>
      </c>
      <c r="U153" s="111">
        <v>0</v>
      </c>
      <c r="V153" s="111">
        <v>0</v>
      </c>
      <c r="W153" s="111">
        <v>0</v>
      </c>
      <c r="X153" s="111">
        <v>0</v>
      </c>
      <c r="Y153" s="111">
        <v>0</v>
      </c>
      <c r="Z153" s="111">
        <v>0</v>
      </c>
      <c r="AA153" s="111">
        <v>0</v>
      </c>
      <c r="AB153" s="111">
        <v>0</v>
      </c>
      <c r="AC153" s="111">
        <v>0</v>
      </c>
      <c r="AD153" s="111">
        <v>0</v>
      </c>
      <c r="AE153" s="111">
        <v>0</v>
      </c>
      <c r="AF153" s="111">
        <v>0</v>
      </c>
      <c r="AG153" s="111">
        <v>0</v>
      </c>
      <c r="AH153" s="111">
        <v>0</v>
      </c>
      <c r="AI153" s="111">
        <v>0</v>
      </c>
      <c r="AJ153" s="111">
        <v>0</v>
      </c>
      <c r="AK153" s="111">
        <v>0</v>
      </c>
      <c r="AL153" s="111">
        <v>0</v>
      </c>
      <c r="AM153" s="111">
        <v>0</v>
      </c>
      <c r="AN153" s="111">
        <v>0</v>
      </c>
      <c r="AO153" s="111">
        <v>0</v>
      </c>
      <c r="AP153" s="111">
        <v>0</v>
      </c>
      <c r="AQ153" s="111">
        <v>0</v>
      </c>
      <c r="AR153" s="111">
        <v>0</v>
      </c>
      <c r="AS153" s="111">
        <v>0</v>
      </c>
      <c r="AT153" s="111">
        <v>0</v>
      </c>
      <c r="AU153" s="111">
        <v>0</v>
      </c>
      <c r="AV153" s="111">
        <v>0</v>
      </c>
      <c r="AW153" s="111">
        <v>0</v>
      </c>
      <c r="AX153" s="111">
        <v>0</v>
      </c>
      <c r="AY153" s="111">
        <v>0</v>
      </c>
    </row>
    <row r="154" spans="1:51" x14ac:dyDescent="0.2">
      <c r="A154" s="114"/>
      <c r="B154" s="132">
        <v>33</v>
      </c>
      <c r="C154" s="111"/>
      <c r="D154" s="111">
        <v>0</v>
      </c>
      <c r="E154" s="111">
        <v>0</v>
      </c>
      <c r="F154" s="111">
        <v>0</v>
      </c>
      <c r="G154" s="111">
        <v>0</v>
      </c>
      <c r="H154" s="111">
        <v>0</v>
      </c>
      <c r="I154" s="111">
        <v>0</v>
      </c>
      <c r="J154" s="111">
        <v>0</v>
      </c>
      <c r="K154" s="111">
        <v>0</v>
      </c>
      <c r="L154" s="111">
        <v>0</v>
      </c>
      <c r="M154" s="111">
        <v>0</v>
      </c>
      <c r="N154" s="111">
        <v>0</v>
      </c>
      <c r="O154" s="111">
        <v>0</v>
      </c>
      <c r="P154" s="111">
        <v>0</v>
      </c>
      <c r="Q154" s="111">
        <v>0</v>
      </c>
      <c r="R154" s="111">
        <v>0</v>
      </c>
      <c r="S154" s="111">
        <v>0</v>
      </c>
      <c r="T154" s="111">
        <v>0</v>
      </c>
      <c r="U154" s="111">
        <v>0</v>
      </c>
      <c r="V154" s="111">
        <v>0</v>
      </c>
      <c r="W154" s="111">
        <v>0</v>
      </c>
      <c r="X154" s="111">
        <v>0</v>
      </c>
      <c r="Y154" s="111">
        <v>0</v>
      </c>
      <c r="Z154" s="111">
        <v>0</v>
      </c>
      <c r="AA154" s="111">
        <v>0</v>
      </c>
      <c r="AB154" s="111">
        <v>0</v>
      </c>
      <c r="AC154" s="111">
        <v>0</v>
      </c>
      <c r="AD154" s="111">
        <v>0</v>
      </c>
      <c r="AE154" s="111">
        <v>0</v>
      </c>
      <c r="AF154" s="111">
        <v>0</v>
      </c>
      <c r="AG154" s="111">
        <v>0</v>
      </c>
      <c r="AH154" s="111">
        <v>0</v>
      </c>
      <c r="AI154" s="111">
        <v>0</v>
      </c>
      <c r="AJ154" s="111">
        <v>0</v>
      </c>
      <c r="AK154" s="111">
        <v>0</v>
      </c>
      <c r="AL154" s="111">
        <v>0</v>
      </c>
      <c r="AM154" s="111">
        <v>0</v>
      </c>
      <c r="AN154" s="111">
        <v>0</v>
      </c>
      <c r="AO154" s="111">
        <v>0</v>
      </c>
      <c r="AP154" s="111">
        <v>0</v>
      </c>
      <c r="AQ154" s="111">
        <v>0</v>
      </c>
      <c r="AR154" s="111">
        <v>0</v>
      </c>
      <c r="AS154" s="111">
        <v>0</v>
      </c>
      <c r="AT154" s="111">
        <v>0</v>
      </c>
      <c r="AU154" s="111">
        <v>0</v>
      </c>
      <c r="AV154" s="111">
        <v>0</v>
      </c>
      <c r="AW154" s="111">
        <v>0</v>
      </c>
      <c r="AX154" s="111">
        <v>0</v>
      </c>
      <c r="AY154" s="111">
        <v>0</v>
      </c>
    </row>
    <row r="155" spans="1:51" x14ac:dyDescent="0.2">
      <c r="A155" s="114"/>
      <c r="B155" s="132">
        <v>34</v>
      </c>
      <c r="C155" s="111"/>
      <c r="D155" s="111">
        <v>0</v>
      </c>
      <c r="E155" s="111">
        <v>0</v>
      </c>
      <c r="F155" s="111">
        <v>0</v>
      </c>
      <c r="G155" s="111">
        <v>0</v>
      </c>
      <c r="H155" s="111">
        <v>0</v>
      </c>
      <c r="I155" s="111">
        <v>0</v>
      </c>
      <c r="J155" s="111">
        <v>0</v>
      </c>
      <c r="K155" s="111">
        <v>0</v>
      </c>
      <c r="L155" s="111">
        <v>0</v>
      </c>
      <c r="M155" s="111">
        <v>0</v>
      </c>
      <c r="N155" s="111">
        <v>0</v>
      </c>
      <c r="O155" s="111">
        <v>0</v>
      </c>
      <c r="P155" s="111">
        <v>0</v>
      </c>
      <c r="Q155" s="111">
        <v>0</v>
      </c>
      <c r="R155" s="111">
        <v>0</v>
      </c>
      <c r="S155" s="111">
        <v>0</v>
      </c>
      <c r="T155" s="111">
        <v>0</v>
      </c>
      <c r="U155" s="111">
        <v>0</v>
      </c>
      <c r="V155" s="111">
        <v>0</v>
      </c>
      <c r="W155" s="111">
        <v>0</v>
      </c>
      <c r="X155" s="111">
        <v>0</v>
      </c>
      <c r="Y155" s="111">
        <v>0</v>
      </c>
      <c r="Z155" s="111">
        <v>0</v>
      </c>
      <c r="AA155" s="111">
        <v>0</v>
      </c>
      <c r="AB155" s="111">
        <v>0</v>
      </c>
      <c r="AC155" s="111">
        <v>0</v>
      </c>
      <c r="AD155" s="111">
        <v>0</v>
      </c>
      <c r="AE155" s="111">
        <v>0</v>
      </c>
      <c r="AF155" s="111">
        <v>0</v>
      </c>
      <c r="AG155" s="111">
        <v>0</v>
      </c>
      <c r="AH155" s="111">
        <v>0</v>
      </c>
      <c r="AI155" s="111">
        <v>0</v>
      </c>
      <c r="AJ155" s="111">
        <v>0</v>
      </c>
      <c r="AK155" s="111">
        <v>0</v>
      </c>
      <c r="AL155" s="111">
        <v>0</v>
      </c>
      <c r="AM155" s="111">
        <v>0</v>
      </c>
      <c r="AN155" s="111">
        <v>0</v>
      </c>
      <c r="AO155" s="111">
        <v>0</v>
      </c>
      <c r="AP155" s="111">
        <v>0</v>
      </c>
      <c r="AQ155" s="111">
        <v>0</v>
      </c>
      <c r="AR155" s="111">
        <v>0</v>
      </c>
      <c r="AS155" s="111">
        <v>0</v>
      </c>
      <c r="AT155" s="111">
        <v>0</v>
      </c>
      <c r="AU155" s="111">
        <v>0</v>
      </c>
      <c r="AV155" s="111">
        <v>0</v>
      </c>
      <c r="AW155" s="111">
        <v>0</v>
      </c>
      <c r="AX155" s="111">
        <v>0</v>
      </c>
      <c r="AY155" s="111">
        <v>0</v>
      </c>
    </row>
    <row r="156" spans="1:51" x14ac:dyDescent="0.2">
      <c r="A156" s="114"/>
      <c r="B156" s="132">
        <v>35</v>
      </c>
      <c r="C156" s="111"/>
      <c r="D156" s="111">
        <v>0</v>
      </c>
      <c r="E156" s="111">
        <v>0</v>
      </c>
      <c r="F156" s="111">
        <v>0</v>
      </c>
      <c r="G156" s="111">
        <v>0</v>
      </c>
      <c r="H156" s="111">
        <v>0</v>
      </c>
      <c r="I156" s="111">
        <v>0</v>
      </c>
      <c r="J156" s="111">
        <v>0</v>
      </c>
      <c r="K156" s="111">
        <v>0</v>
      </c>
      <c r="L156" s="111">
        <v>0</v>
      </c>
      <c r="M156" s="111">
        <v>0</v>
      </c>
      <c r="N156" s="111">
        <v>0</v>
      </c>
      <c r="O156" s="111">
        <v>0</v>
      </c>
      <c r="P156" s="111">
        <v>0</v>
      </c>
      <c r="Q156" s="111">
        <v>0</v>
      </c>
      <c r="R156" s="111">
        <v>0</v>
      </c>
      <c r="S156" s="111">
        <v>0</v>
      </c>
      <c r="T156" s="111">
        <v>0</v>
      </c>
      <c r="U156" s="111">
        <v>0</v>
      </c>
      <c r="V156" s="111">
        <v>0</v>
      </c>
      <c r="W156" s="111">
        <v>0</v>
      </c>
      <c r="X156" s="111">
        <v>0</v>
      </c>
      <c r="Y156" s="111">
        <v>0</v>
      </c>
      <c r="Z156" s="111">
        <v>0</v>
      </c>
      <c r="AA156" s="111">
        <v>0</v>
      </c>
      <c r="AB156" s="111">
        <v>0</v>
      </c>
      <c r="AC156" s="111">
        <v>0</v>
      </c>
      <c r="AD156" s="111">
        <v>0</v>
      </c>
      <c r="AE156" s="111">
        <v>0</v>
      </c>
      <c r="AF156" s="111">
        <v>0</v>
      </c>
      <c r="AG156" s="111">
        <v>0</v>
      </c>
      <c r="AH156" s="111">
        <v>0</v>
      </c>
      <c r="AI156" s="111">
        <v>0</v>
      </c>
      <c r="AJ156" s="111">
        <v>0</v>
      </c>
      <c r="AK156" s="111">
        <v>0</v>
      </c>
      <c r="AL156" s="111">
        <v>0</v>
      </c>
      <c r="AM156" s="111">
        <v>0</v>
      </c>
      <c r="AN156" s="111">
        <v>0</v>
      </c>
      <c r="AO156" s="111">
        <v>0</v>
      </c>
      <c r="AP156" s="111">
        <v>0</v>
      </c>
      <c r="AQ156" s="111">
        <v>0</v>
      </c>
      <c r="AR156" s="111">
        <v>0</v>
      </c>
      <c r="AS156" s="111">
        <v>0</v>
      </c>
      <c r="AT156" s="111">
        <v>0</v>
      </c>
      <c r="AU156" s="111">
        <v>0</v>
      </c>
      <c r="AV156" s="111">
        <v>0</v>
      </c>
      <c r="AW156" s="111">
        <v>0</v>
      </c>
      <c r="AX156" s="111">
        <v>0</v>
      </c>
      <c r="AY156" s="111">
        <v>0</v>
      </c>
    </row>
    <row r="157" spans="1:51" x14ac:dyDescent="0.2">
      <c r="A157" s="114"/>
      <c r="B157" s="132">
        <v>36</v>
      </c>
      <c r="C157" s="111"/>
      <c r="D157" s="111">
        <v>0</v>
      </c>
      <c r="E157" s="111">
        <v>0</v>
      </c>
      <c r="F157" s="111">
        <v>0</v>
      </c>
      <c r="G157" s="111">
        <v>0</v>
      </c>
      <c r="H157" s="111">
        <v>0</v>
      </c>
      <c r="I157" s="111">
        <v>0</v>
      </c>
      <c r="J157" s="111">
        <v>0</v>
      </c>
      <c r="K157" s="111">
        <v>0</v>
      </c>
      <c r="L157" s="111">
        <v>0</v>
      </c>
      <c r="M157" s="111">
        <v>0</v>
      </c>
      <c r="N157" s="111">
        <v>0</v>
      </c>
      <c r="O157" s="111">
        <v>0</v>
      </c>
      <c r="P157" s="111">
        <v>0</v>
      </c>
      <c r="Q157" s="111">
        <v>0</v>
      </c>
      <c r="R157" s="111">
        <v>0</v>
      </c>
      <c r="S157" s="111">
        <v>0</v>
      </c>
      <c r="T157" s="111">
        <v>0</v>
      </c>
      <c r="U157" s="111">
        <v>0</v>
      </c>
      <c r="V157" s="111">
        <v>0</v>
      </c>
      <c r="W157" s="111">
        <v>0</v>
      </c>
      <c r="X157" s="111">
        <v>0</v>
      </c>
      <c r="Y157" s="111">
        <v>0</v>
      </c>
      <c r="Z157" s="111">
        <v>0</v>
      </c>
      <c r="AA157" s="111">
        <v>0</v>
      </c>
      <c r="AB157" s="111">
        <v>0</v>
      </c>
      <c r="AC157" s="111">
        <v>0</v>
      </c>
      <c r="AD157" s="111">
        <v>0</v>
      </c>
      <c r="AE157" s="111">
        <v>0</v>
      </c>
      <c r="AF157" s="111">
        <v>0</v>
      </c>
      <c r="AG157" s="111">
        <v>0</v>
      </c>
      <c r="AH157" s="111">
        <v>0</v>
      </c>
      <c r="AI157" s="111">
        <v>0</v>
      </c>
      <c r="AJ157" s="111">
        <v>0</v>
      </c>
      <c r="AK157" s="111">
        <v>0</v>
      </c>
      <c r="AL157" s="111">
        <v>0</v>
      </c>
      <c r="AM157" s="111">
        <v>0</v>
      </c>
      <c r="AN157" s="111">
        <v>0</v>
      </c>
      <c r="AO157" s="111">
        <v>0</v>
      </c>
      <c r="AP157" s="111">
        <v>0</v>
      </c>
      <c r="AQ157" s="111">
        <v>0</v>
      </c>
      <c r="AR157" s="111">
        <v>0</v>
      </c>
      <c r="AS157" s="111">
        <v>0</v>
      </c>
      <c r="AT157" s="111">
        <v>0</v>
      </c>
      <c r="AU157" s="111">
        <v>0</v>
      </c>
      <c r="AV157" s="111">
        <v>0</v>
      </c>
      <c r="AW157" s="111">
        <v>0</v>
      </c>
      <c r="AX157" s="111">
        <v>0</v>
      </c>
      <c r="AY157" s="111">
        <v>0</v>
      </c>
    </row>
    <row r="158" spans="1:51" x14ac:dyDescent="0.2">
      <c r="A158" s="114"/>
      <c r="B158" s="135">
        <v>37</v>
      </c>
      <c r="C158" s="111"/>
      <c r="D158" s="111">
        <v>0</v>
      </c>
      <c r="E158" s="111">
        <v>0</v>
      </c>
      <c r="F158" s="111">
        <v>0</v>
      </c>
      <c r="G158" s="111">
        <v>0</v>
      </c>
      <c r="H158" s="111">
        <v>0</v>
      </c>
      <c r="I158" s="111">
        <v>0</v>
      </c>
      <c r="J158" s="111">
        <v>0</v>
      </c>
      <c r="K158" s="111">
        <v>0</v>
      </c>
      <c r="L158" s="111">
        <v>0</v>
      </c>
      <c r="M158" s="111">
        <v>0</v>
      </c>
      <c r="N158" s="111">
        <v>0</v>
      </c>
      <c r="O158" s="111">
        <v>0</v>
      </c>
      <c r="P158" s="111">
        <v>0</v>
      </c>
      <c r="Q158" s="111">
        <v>0</v>
      </c>
      <c r="R158" s="111">
        <v>0</v>
      </c>
      <c r="S158" s="111">
        <v>0</v>
      </c>
      <c r="T158" s="111">
        <v>0</v>
      </c>
      <c r="U158" s="111">
        <v>0</v>
      </c>
      <c r="V158" s="111">
        <v>0</v>
      </c>
      <c r="W158" s="111">
        <v>0</v>
      </c>
      <c r="X158" s="111">
        <v>0</v>
      </c>
      <c r="Y158" s="111">
        <v>0</v>
      </c>
      <c r="Z158" s="111">
        <v>0</v>
      </c>
      <c r="AA158" s="111">
        <v>0</v>
      </c>
      <c r="AB158" s="111">
        <v>0</v>
      </c>
      <c r="AC158" s="111">
        <v>0</v>
      </c>
      <c r="AD158" s="111">
        <v>0</v>
      </c>
      <c r="AE158" s="111">
        <v>0</v>
      </c>
      <c r="AF158" s="111">
        <v>0</v>
      </c>
      <c r="AG158" s="111">
        <v>0</v>
      </c>
      <c r="AH158" s="111">
        <v>0</v>
      </c>
      <c r="AI158" s="111">
        <v>0</v>
      </c>
      <c r="AJ158" s="111">
        <v>0</v>
      </c>
      <c r="AK158" s="111">
        <v>0</v>
      </c>
      <c r="AL158" s="111">
        <v>0</v>
      </c>
      <c r="AM158" s="111">
        <v>0</v>
      </c>
      <c r="AN158" s="111">
        <v>0</v>
      </c>
      <c r="AO158" s="111">
        <v>0</v>
      </c>
      <c r="AP158" s="111">
        <v>0</v>
      </c>
      <c r="AQ158" s="111">
        <v>0</v>
      </c>
      <c r="AR158" s="111">
        <v>0</v>
      </c>
      <c r="AS158" s="111">
        <v>0</v>
      </c>
      <c r="AT158" s="111">
        <v>0</v>
      </c>
      <c r="AU158" s="111">
        <v>0</v>
      </c>
      <c r="AV158" s="111">
        <v>0</v>
      </c>
      <c r="AW158" s="111">
        <v>0</v>
      </c>
      <c r="AX158" s="111">
        <v>0</v>
      </c>
      <c r="AY158" s="111">
        <v>0</v>
      </c>
    </row>
    <row r="159" spans="1:51" x14ac:dyDescent="0.2">
      <c r="A159" s="114"/>
      <c r="B159" s="135">
        <v>38</v>
      </c>
      <c r="C159" s="111"/>
      <c r="D159" s="111">
        <v>0</v>
      </c>
      <c r="E159" s="111">
        <v>0</v>
      </c>
      <c r="F159" s="111">
        <v>0</v>
      </c>
      <c r="G159" s="111">
        <v>0</v>
      </c>
      <c r="H159" s="111">
        <v>0</v>
      </c>
      <c r="I159" s="111">
        <v>0</v>
      </c>
      <c r="J159" s="111">
        <v>0</v>
      </c>
      <c r="K159" s="111">
        <v>0</v>
      </c>
      <c r="L159" s="111">
        <v>0</v>
      </c>
      <c r="M159" s="111">
        <v>0</v>
      </c>
      <c r="N159" s="111">
        <v>0</v>
      </c>
      <c r="O159" s="111">
        <v>0</v>
      </c>
      <c r="P159" s="111">
        <v>0</v>
      </c>
      <c r="Q159" s="111">
        <v>0</v>
      </c>
      <c r="R159" s="111">
        <v>0</v>
      </c>
      <c r="S159" s="111">
        <v>0</v>
      </c>
      <c r="T159" s="111">
        <v>0</v>
      </c>
      <c r="U159" s="111">
        <v>0</v>
      </c>
      <c r="V159" s="111">
        <v>0</v>
      </c>
      <c r="W159" s="111">
        <v>0</v>
      </c>
      <c r="X159" s="111">
        <v>0</v>
      </c>
      <c r="Y159" s="111">
        <v>0</v>
      </c>
      <c r="Z159" s="111">
        <v>0</v>
      </c>
      <c r="AA159" s="111">
        <v>0</v>
      </c>
      <c r="AB159" s="111">
        <v>0</v>
      </c>
      <c r="AC159" s="111">
        <v>0</v>
      </c>
      <c r="AD159" s="111">
        <v>0</v>
      </c>
      <c r="AE159" s="111">
        <v>0</v>
      </c>
      <c r="AF159" s="111">
        <v>0</v>
      </c>
      <c r="AG159" s="111">
        <v>0</v>
      </c>
      <c r="AH159" s="111">
        <v>0</v>
      </c>
      <c r="AI159" s="111">
        <v>0</v>
      </c>
      <c r="AJ159" s="111">
        <v>0</v>
      </c>
      <c r="AK159" s="111">
        <v>0</v>
      </c>
      <c r="AL159" s="111">
        <v>0</v>
      </c>
      <c r="AM159" s="111">
        <v>0</v>
      </c>
      <c r="AN159" s="111">
        <v>0</v>
      </c>
      <c r="AO159" s="111">
        <v>0</v>
      </c>
      <c r="AP159" s="111">
        <v>0</v>
      </c>
      <c r="AQ159" s="111">
        <v>0</v>
      </c>
      <c r="AR159" s="111">
        <v>0</v>
      </c>
      <c r="AS159" s="111">
        <v>0</v>
      </c>
      <c r="AT159" s="111">
        <v>0</v>
      </c>
      <c r="AU159" s="111">
        <v>0</v>
      </c>
      <c r="AV159" s="111">
        <v>0</v>
      </c>
      <c r="AW159" s="111">
        <v>0</v>
      </c>
      <c r="AX159" s="111">
        <v>0</v>
      </c>
      <c r="AY159" s="111">
        <v>0</v>
      </c>
    </row>
    <row r="160" spans="1:51" x14ac:dyDescent="0.2">
      <c r="A160" s="114"/>
      <c r="B160" s="135">
        <v>39</v>
      </c>
      <c r="C160" s="111"/>
      <c r="D160" s="111">
        <v>0</v>
      </c>
      <c r="E160" s="111">
        <v>0</v>
      </c>
      <c r="F160" s="111">
        <v>0</v>
      </c>
      <c r="G160" s="111">
        <v>0</v>
      </c>
      <c r="H160" s="111">
        <v>0</v>
      </c>
      <c r="I160" s="111">
        <v>0</v>
      </c>
      <c r="J160" s="111">
        <v>0</v>
      </c>
      <c r="K160" s="111">
        <v>0</v>
      </c>
      <c r="L160" s="111">
        <v>0</v>
      </c>
      <c r="M160" s="111">
        <v>0</v>
      </c>
      <c r="N160" s="111">
        <v>0</v>
      </c>
      <c r="O160" s="111">
        <v>0</v>
      </c>
      <c r="P160" s="111">
        <v>0</v>
      </c>
      <c r="Q160" s="111">
        <v>0</v>
      </c>
      <c r="R160" s="111">
        <v>0</v>
      </c>
      <c r="S160" s="111">
        <v>0</v>
      </c>
      <c r="T160" s="111">
        <v>0</v>
      </c>
      <c r="U160" s="111">
        <v>0</v>
      </c>
      <c r="V160" s="111">
        <v>0</v>
      </c>
      <c r="W160" s="111">
        <v>0</v>
      </c>
      <c r="X160" s="111">
        <v>0</v>
      </c>
      <c r="Y160" s="111">
        <v>0</v>
      </c>
      <c r="Z160" s="111">
        <v>0</v>
      </c>
      <c r="AA160" s="111">
        <v>0</v>
      </c>
      <c r="AB160" s="111">
        <v>0</v>
      </c>
      <c r="AC160" s="111">
        <v>0</v>
      </c>
      <c r="AD160" s="111">
        <v>0</v>
      </c>
      <c r="AE160" s="111">
        <v>0</v>
      </c>
      <c r="AF160" s="111">
        <v>0</v>
      </c>
      <c r="AG160" s="111">
        <v>0</v>
      </c>
      <c r="AH160" s="111">
        <v>0</v>
      </c>
      <c r="AI160" s="111">
        <v>0</v>
      </c>
      <c r="AJ160" s="111">
        <v>0</v>
      </c>
      <c r="AK160" s="111">
        <v>0</v>
      </c>
      <c r="AL160" s="111">
        <v>0</v>
      </c>
      <c r="AM160" s="111">
        <v>0</v>
      </c>
      <c r="AN160" s="111">
        <v>0</v>
      </c>
      <c r="AO160" s="111">
        <v>0</v>
      </c>
      <c r="AP160" s="111">
        <v>0</v>
      </c>
      <c r="AQ160" s="111">
        <v>0</v>
      </c>
      <c r="AR160" s="111">
        <v>0</v>
      </c>
      <c r="AS160" s="111">
        <v>0</v>
      </c>
      <c r="AT160" s="111">
        <v>0</v>
      </c>
      <c r="AU160" s="111">
        <v>0</v>
      </c>
      <c r="AV160" s="111">
        <v>0</v>
      </c>
      <c r="AW160" s="111">
        <v>0</v>
      </c>
      <c r="AX160" s="111">
        <v>0</v>
      </c>
      <c r="AY160" s="111">
        <v>0</v>
      </c>
    </row>
    <row r="161" spans="1:52" x14ac:dyDescent="0.2">
      <c r="A161" s="114"/>
      <c r="B161" s="135">
        <v>40</v>
      </c>
      <c r="C161" s="111"/>
      <c r="D161" s="111">
        <v>0</v>
      </c>
      <c r="E161" s="111">
        <v>0</v>
      </c>
      <c r="F161" s="111">
        <v>0</v>
      </c>
      <c r="G161" s="111">
        <v>0</v>
      </c>
      <c r="H161" s="111">
        <v>0</v>
      </c>
      <c r="I161" s="111">
        <v>0</v>
      </c>
      <c r="J161" s="111">
        <v>0</v>
      </c>
      <c r="K161" s="111">
        <v>0</v>
      </c>
      <c r="L161" s="111">
        <v>0</v>
      </c>
      <c r="M161" s="111">
        <v>0</v>
      </c>
      <c r="N161" s="111">
        <v>0</v>
      </c>
      <c r="O161" s="111">
        <v>0</v>
      </c>
      <c r="P161" s="111">
        <v>0</v>
      </c>
      <c r="Q161" s="111">
        <v>0</v>
      </c>
      <c r="R161" s="111">
        <v>0</v>
      </c>
      <c r="S161" s="111">
        <v>0</v>
      </c>
      <c r="T161" s="111">
        <v>0</v>
      </c>
      <c r="U161" s="111">
        <v>0</v>
      </c>
      <c r="V161" s="111">
        <v>0</v>
      </c>
      <c r="W161" s="111">
        <v>0</v>
      </c>
      <c r="X161" s="111">
        <v>0</v>
      </c>
      <c r="Y161" s="111">
        <v>0</v>
      </c>
      <c r="Z161" s="111">
        <v>0</v>
      </c>
      <c r="AA161" s="111">
        <v>0</v>
      </c>
      <c r="AB161" s="111">
        <v>0</v>
      </c>
      <c r="AC161" s="111">
        <v>0</v>
      </c>
      <c r="AD161" s="111">
        <v>0</v>
      </c>
      <c r="AE161" s="111">
        <v>0</v>
      </c>
      <c r="AF161" s="111">
        <v>0</v>
      </c>
      <c r="AG161" s="111">
        <v>0</v>
      </c>
      <c r="AH161" s="111">
        <v>0</v>
      </c>
      <c r="AI161" s="111">
        <v>0</v>
      </c>
      <c r="AJ161" s="111">
        <v>0</v>
      </c>
      <c r="AK161" s="111">
        <v>0</v>
      </c>
      <c r="AL161" s="111">
        <v>0</v>
      </c>
      <c r="AM161" s="111">
        <v>0</v>
      </c>
      <c r="AN161" s="111">
        <v>0</v>
      </c>
      <c r="AO161" s="111">
        <v>0</v>
      </c>
      <c r="AP161" s="111">
        <v>0</v>
      </c>
      <c r="AQ161" s="111">
        <v>0</v>
      </c>
      <c r="AR161" s="111">
        <v>0</v>
      </c>
      <c r="AS161" s="111">
        <v>0</v>
      </c>
      <c r="AT161" s="111">
        <v>0</v>
      </c>
      <c r="AU161" s="111">
        <v>0</v>
      </c>
      <c r="AV161" s="111">
        <v>0</v>
      </c>
      <c r="AW161" s="111">
        <v>0</v>
      </c>
      <c r="AX161" s="111">
        <v>0</v>
      </c>
      <c r="AY161" s="111">
        <v>0</v>
      </c>
    </row>
    <row r="162" spans="1:52" x14ac:dyDescent="0.2">
      <c r="A162" s="114"/>
      <c r="B162" s="135">
        <v>41</v>
      </c>
      <c r="C162" s="111"/>
      <c r="D162" s="111">
        <v>0</v>
      </c>
      <c r="E162" s="111">
        <v>0</v>
      </c>
      <c r="F162" s="111">
        <v>0</v>
      </c>
      <c r="G162" s="111">
        <v>0</v>
      </c>
      <c r="H162" s="111">
        <v>0</v>
      </c>
      <c r="I162" s="111">
        <v>0</v>
      </c>
      <c r="J162" s="111">
        <v>0</v>
      </c>
      <c r="K162" s="111">
        <v>0</v>
      </c>
      <c r="L162" s="111">
        <v>0</v>
      </c>
      <c r="M162" s="111">
        <v>0</v>
      </c>
      <c r="N162" s="111">
        <v>0</v>
      </c>
      <c r="O162" s="111">
        <v>0</v>
      </c>
      <c r="P162" s="111">
        <v>0</v>
      </c>
      <c r="Q162" s="111">
        <v>0</v>
      </c>
      <c r="R162" s="111">
        <v>0</v>
      </c>
      <c r="S162" s="111">
        <v>0</v>
      </c>
      <c r="T162" s="111">
        <v>0</v>
      </c>
      <c r="U162" s="111">
        <v>0</v>
      </c>
      <c r="V162" s="111">
        <v>0</v>
      </c>
      <c r="W162" s="111">
        <v>0</v>
      </c>
      <c r="X162" s="111">
        <v>0</v>
      </c>
      <c r="Y162" s="111">
        <v>0</v>
      </c>
      <c r="Z162" s="111">
        <v>0</v>
      </c>
      <c r="AA162" s="111">
        <v>0</v>
      </c>
      <c r="AB162" s="111">
        <v>0</v>
      </c>
      <c r="AC162" s="111">
        <v>0</v>
      </c>
      <c r="AD162" s="111">
        <v>0</v>
      </c>
      <c r="AE162" s="111">
        <v>0</v>
      </c>
      <c r="AF162" s="111">
        <v>0</v>
      </c>
      <c r="AG162" s="111">
        <v>0</v>
      </c>
      <c r="AH162" s="111">
        <v>0</v>
      </c>
      <c r="AI162" s="111">
        <v>0</v>
      </c>
      <c r="AJ162" s="111">
        <v>0</v>
      </c>
      <c r="AK162" s="111">
        <v>0</v>
      </c>
      <c r="AL162" s="111">
        <v>0</v>
      </c>
      <c r="AM162" s="111">
        <v>0</v>
      </c>
      <c r="AN162" s="111">
        <v>0</v>
      </c>
      <c r="AO162" s="111">
        <v>0</v>
      </c>
      <c r="AP162" s="111">
        <v>0</v>
      </c>
      <c r="AQ162" s="111">
        <v>0</v>
      </c>
      <c r="AR162" s="111">
        <v>0</v>
      </c>
      <c r="AS162" s="111">
        <v>0</v>
      </c>
      <c r="AT162" s="111">
        <v>0</v>
      </c>
      <c r="AU162" s="111">
        <v>0</v>
      </c>
      <c r="AV162" s="111">
        <v>0</v>
      </c>
      <c r="AW162" s="111">
        <v>0</v>
      </c>
      <c r="AX162" s="111">
        <v>0</v>
      </c>
      <c r="AY162" s="111">
        <v>0</v>
      </c>
    </row>
    <row r="163" spans="1:52" x14ac:dyDescent="0.2">
      <c r="A163" s="114"/>
      <c r="B163" s="135">
        <v>42</v>
      </c>
      <c r="C163" s="111"/>
      <c r="D163" s="111">
        <v>0</v>
      </c>
      <c r="E163" s="111">
        <v>0</v>
      </c>
      <c r="F163" s="111">
        <v>0</v>
      </c>
      <c r="G163" s="111">
        <v>0</v>
      </c>
      <c r="H163" s="111">
        <v>0</v>
      </c>
      <c r="I163" s="111">
        <v>0</v>
      </c>
      <c r="J163" s="111">
        <v>0</v>
      </c>
      <c r="K163" s="111">
        <v>0</v>
      </c>
      <c r="L163" s="111">
        <v>0</v>
      </c>
      <c r="M163" s="111">
        <v>0</v>
      </c>
      <c r="N163" s="111">
        <v>0</v>
      </c>
      <c r="O163" s="111">
        <v>0</v>
      </c>
      <c r="P163" s="111">
        <v>0</v>
      </c>
      <c r="Q163" s="111">
        <v>0</v>
      </c>
      <c r="R163" s="111">
        <v>0</v>
      </c>
      <c r="S163" s="111">
        <v>0</v>
      </c>
      <c r="T163" s="111">
        <v>0</v>
      </c>
      <c r="U163" s="111">
        <v>0</v>
      </c>
      <c r="V163" s="111">
        <v>0</v>
      </c>
      <c r="W163" s="111">
        <v>0</v>
      </c>
      <c r="X163" s="111">
        <v>0</v>
      </c>
      <c r="Y163" s="111">
        <v>0</v>
      </c>
      <c r="Z163" s="111">
        <v>0</v>
      </c>
      <c r="AA163" s="111">
        <v>0</v>
      </c>
      <c r="AB163" s="111">
        <v>0</v>
      </c>
      <c r="AC163" s="111">
        <v>0</v>
      </c>
      <c r="AD163" s="111">
        <v>0</v>
      </c>
      <c r="AE163" s="111">
        <v>0</v>
      </c>
      <c r="AF163" s="111">
        <v>0</v>
      </c>
      <c r="AG163" s="111">
        <v>0</v>
      </c>
      <c r="AH163" s="111">
        <v>0</v>
      </c>
      <c r="AI163" s="111">
        <v>0</v>
      </c>
      <c r="AJ163" s="111">
        <v>0</v>
      </c>
      <c r="AK163" s="111">
        <v>0</v>
      </c>
      <c r="AL163" s="111">
        <v>0</v>
      </c>
      <c r="AM163" s="111">
        <v>0</v>
      </c>
      <c r="AN163" s="111">
        <v>0</v>
      </c>
      <c r="AO163" s="111">
        <v>0</v>
      </c>
      <c r="AP163" s="111">
        <v>0</v>
      </c>
      <c r="AQ163" s="111">
        <v>0</v>
      </c>
      <c r="AR163" s="111">
        <v>0</v>
      </c>
      <c r="AS163" s="111">
        <v>0</v>
      </c>
      <c r="AT163" s="111">
        <v>0</v>
      </c>
      <c r="AU163" s="111">
        <v>0</v>
      </c>
      <c r="AV163" s="111">
        <v>0</v>
      </c>
      <c r="AW163" s="111">
        <v>0</v>
      </c>
      <c r="AX163" s="111">
        <v>0</v>
      </c>
      <c r="AY163" s="111">
        <v>0</v>
      </c>
    </row>
    <row r="164" spans="1:52" x14ac:dyDescent="0.2">
      <c r="A164" s="114"/>
      <c r="B164" s="135">
        <v>43</v>
      </c>
      <c r="C164" s="111"/>
      <c r="D164" s="111">
        <v>0</v>
      </c>
      <c r="E164" s="111">
        <v>0</v>
      </c>
      <c r="F164" s="111">
        <v>0</v>
      </c>
      <c r="G164" s="111">
        <v>0</v>
      </c>
      <c r="H164" s="111">
        <v>0</v>
      </c>
      <c r="I164" s="111">
        <v>0</v>
      </c>
      <c r="J164" s="111">
        <v>0</v>
      </c>
      <c r="K164" s="111">
        <v>0</v>
      </c>
      <c r="L164" s="111">
        <v>0</v>
      </c>
      <c r="M164" s="111">
        <v>0</v>
      </c>
      <c r="N164" s="111">
        <v>0</v>
      </c>
      <c r="O164" s="111">
        <v>0</v>
      </c>
      <c r="P164" s="111">
        <v>0</v>
      </c>
      <c r="Q164" s="111">
        <v>0</v>
      </c>
      <c r="R164" s="111">
        <v>0</v>
      </c>
      <c r="S164" s="111">
        <v>0</v>
      </c>
      <c r="T164" s="111">
        <v>0</v>
      </c>
      <c r="U164" s="111">
        <v>0</v>
      </c>
      <c r="V164" s="111">
        <v>0</v>
      </c>
      <c r="W164" s="111">
        <v>0</v>
      </c>
      <c r="X164" s="111">
        <v>0</v>
      </c>
      <c r="Y164" s="111">
        <v>0</v>
      </c>
      <c r="Z164" s="111">
        <v>0</v>
      </c>
      <c r="AA164" s="111">
        <v>0</v>
      </c>
      <c r="AB164" s="111">
        <v>0</v>
      </c>
      <c r="AC164" s="111">
        <v>0</v>
      </c>
      <c r="AD164" s="111">
        <v>0</v>
      </c>
      <c r="AE164" s="111">
        <v>0</v>
      </c>
      <c r="AF164" s="111">
        <v>0</v>
      </c>
      <c r="AG164" s="111">
        <v>0</v>
      </c>
      <c r="AH164" s="111">
        <v>0</v>
      </c>
      <c r="AI164" s="111">
        <v>0</v>
      </c>
      <c r="AJ164" s="111">
        <v>0</v>
      </c>
      <c r="AK164" s="111">
        <v>0</v>
      </c>
      <c r="AL164" s="111">
        <v>0</v>
      </c>
      <c r="AM164" s="111">
        <v>0</v>
      </c>
      <c r="AN164" s="111">
        <v>0</v>
      </c>
      <c r="AO164" s="111">
        <v>0</v>
      </c>
      <c r="AP164" s="111">
        <v>0</v>
      </c>
      <c r="AQ164" s="111">
        <v>0</v>
      </c>
      <c r="AR164" s="111">
        <v>0</v>
      </c>
      <c r="AS164" s="111">
        <v>0</v>
      </c>
      <c r="AT164" s="111">
        <v>0</v>
      </c>
      <c r="AU164" s="111">
        <v>0</v>
      </c>
      <c r="AV164" s="111">
        <v>0</v>
      </c>
      <c r="AW164" s="111">
        <v>0</v>
      </c>
      <c r="AX164" s="111">
        <v>0</v>
      </c>
      <c r="AY164" s="111">
        <v>0</v>
      </c>
    </row>
    <row r="165" spans="1:52" x14ac:dyDescent="0.2">
      <c r="A165" s="114"/>
      <c r="B165" s="135">
        <v>44</v>
      </c>
      <c r="C165" s="111"/>
      <c r="D165" s="111">
        <v>0</v>
      </c>
      <c r="E165" s="111">
        <v>0</v>
      </c>
      <c r="F165" s="111">
        <v>0</v>
      </c>
      <c r="G165" s="111">
        <v>0</v>
      </c>
      <c r="H165" s="111">
        <v>0</v>
      </c>
      <c r="I165" s="111">
        <v>0</v>
      </c>
      <c r="J165" s="111">
        <v>0</v>
      </c>
      <c r="K165" s="111">
        <v>0</v>
      </c>
      <c r="L165" s="111">
        <v>0</v>
      </c>
      <c r="M165" s="111">
        <v>0</v>
      </c>
      <c r="N165" s="111">
        <v>0</v>
      </c>
      <c r="O165" s="111">
        <v>0</v>
      </c>
      <c r="P165" s="111">
        <v>0</v>
      </c>
      <c r="Q165" s="111">
        <v>0</v>
      </c>
      <c r="R165" s="111">
        <v>0</v>
      </c>
      <c r="S165" s="111">
        <v>0</v>
      </c>
      <c r="T165" s="111">
        <v>0</v>
      </c>
      <c r="U165" s="111">
        <v>0</v>
      </c>
      <c r="V165" s="111">
        <v>0</v>
      </c>
      <c r="W165" s="111">
        <v>0</v>
      </c>
      <c r="X165" s="111">
        <v>0</v>
      </c>
      <c r="Y165" s="111">
        <v>0</v>
      </c>
      <c r="Z165" s="111">
        <v>0</v>
      </c>
      <c r="AA165" s="111">
        <v>0</v>
      </c>
      <c r="AB165" s="111">
        <v>0</v>
      </c>
      <c r="AC165" s="111">
        <v>0</v>
      </c>
      <c r="AD165" s="111">
        <v>0</v>
      </c>
      <c r="AE165" s="111">
        <v>0</v>
      </c>
      <c r="AF165" s="111">
        <v>0</v>
      </c>
      <c r="AG165" s="111">
        <v>0</v>
      </c>
      <c r="AH165" s="111">
        <v>0</v>
      </c>
      <c r="AI165" s="111">
        <v>0</v>
      </c>
      <c r="AJ165" s="111">
        <v>0</v>
      </c>
      <c r="AK165" s="111">
        <v>0</v>
      </c>
      <c r="AL165" s="111">
        <v>0</v>
      </c>
      <c r="AM165" s="111">
        <v>0</v>
      </c>
      <c r="AN165" s="111">
        <v>0</v>
      </c>
      <c r="AO165" s="111">
        <v>0</v>
      </c>
      <c r="AP165" s="111">
        <v>0</v>
      </c>
      <c r="AQ165" s="111">
        <v>0</v>
      </c>
      <c r="AR165" s="111">
        <v>0</v>
      </c>
      <c r="AS165" s="111">
        <v>0</v>
      </c>
      <c r="AT165" s="111">
        <v>0</v>
      </c>
      <c r="AU165" s="111">
        <v>0</v>
      </c>
      <c r="AV165" s="111">
        <v>0</v>
      </c>
      <c r="AW165" s="111">
        <v>0</v>
      </c>
      <c r="AX165" s="111">
        <v>0</v>
      </c>
      <c r="AY165" s="111">
        <v>0</v>
      </c>
    </row>
    <row r="166" spans="1:52" x14ac:dyDescent="0.2">
      <c r="A166" s="114"/>
      <c r="B166" s="135">
        <v>45</v>
      </c>
      <c r="C166" s="111"/>
      <c r="D166" s="111">
        <v>0</v>
      </c>
      <c r="E166" s="111">
        <v>0</v>
      </c>
      <c r="F166" s="111">
        <v>0</v>
      </c>
      <c r="G166" s="111">
        <v>0</v>
      </c>
      <c r="H166" s="111">
        <v>0</v>
      </c>
      <c r="I166" s="111">
        <v>0</v>
      </c>
      <c r="J166" s="111">
        <v>0</v>
      </c>
      <c r="K166" s="111">
        <v>0</v>
      </c>
      <c r="L166" s="111">
        <v>0</v>
      </c>
      <c r="M166" s="111">
        <v>0</v>
      </c>
      <c r="N166" s="111">
        <v>0</v>
      </c>
      <c r="O166" s="111">
        <v>0</v>
      </c>
      <c r="P166" s="111">
        <v>0</v>
      </c>
      <c r="Q166" s="111">
        <v>0</v>
      </c>
      <c r="R166" s="111">
        <v>0</v>
      </c>
      <c r="S166" s="111">
        <v>0</v>
      </c>
      <c r="T166" s="111">
        <v>0</v>
      </c>
      <c r="U166" s="111">
        <v>0</v>
      </c>
      <c r="V166" s="111">
        <v>0</v>
      </c>
      <c r="W166" s="111">
        <v>0</v>
      </c>
      <c r="X166" s="111">
        <v>0</v>
      </c>
      <c r="Y166" s="111">
        <v>0</v>
      </c>
      <c r="Z166" s="111">
        <v>0</v>
      </c>
      <c r="AA166" s="111">
        <v>0</v>
      </c>
      <c r="AB166" s="111">
        <v>0</v>
      </c>
      <c r="AC166" s="111">
        <v>0</v>
      </c>
      <c r="AD166" s="111">
        <v>0</v>
      </c>
      <c r="AE166" s="111">
        <v>0</v>
      </c>
      <c r="AF166" s="111">
        <v>0</v>
      </c>
      <c r="AG166" s="111">
        <v>0</v>
      </c>
      <c r="AH166" s="111">
        <v>0</v>
      </c>
      <c r="AI166" s="111">
        <v>0</v>
      </c>
      <c r="AJ166" s="111">
        <v>0</v>
      </c>
      <c r="AK166" s="111">
        <v>0</v>
      </c>
      <c r="AL166" s="111">
        <v>0</v>
      </c>
      <c r="AM166" s="111">
        <v>0</v>
      </c>
      <c r="AN166" s="111">
        <v>0</v>
      </c>
      <c r="AO166" s="111">
        <v>0</v>
      </c>
      <c r="AP166" s="111">
        <v>0</v>
      </c>
      <c r="AQ166" s="111">
        <v>0</v>
      </c>
      <c r="AR166" s="111">
        <v>0</v>
      </c>
      <c r="AS166" s="111">
        <v>0</v>
      </c>
      <c r="AT166" s="111">
        <v>0</v>
      </c>
      <c r="AU166" s="111">
        <v>0</v>
      </c>
      <c r="AV166" s="111">
        <v>0</v>
      </c>
      <c r="AW166" s="111">
        <v>0</v>
      </c>
      <c r="AX166" s="111">
        <v>0</v>
      </c>
      <c r="AY166" s="111">
        <v>0</v>
      </c>
    </row>
    <row r="167" spans="1:52" x14ac:dyDescent="0.2">
      <c r="A167" s="114"/>
      <c r="B167" s="135">
        <v>46</v>
      </c>
      <c r="C167" s="111"/>
      <c r="D167" s="111">
        <v>0</v>
      </c>
      <c r="E167" s="111">
        <v>0</v>
      </c>
      <c r="F167" s="111">
        <v>0</v>
      </c>
      <c r="G167" s="111">
        <v>0</v>
      </c>
      <c r="H167" s="111">
        <v>0</v>
      </c>
      <c r="I167" s="111">
        <v>0</v>
      </c>
      <c r="J167" s="111">
        <v>0</v>
      </c>
      <c r="K167" s="111">
        <v>0</v>
      </c>
      <c r="L167" s="111">
        <v>0</v>
      </c>
      <c r="M167" s="111">
        <v>0</v>
      </c>
      <c r="N167" s="111">
        <v>0</v>
      </c>
      <c r="O167" s="111">
        <v>0</v>
      </c>
      <c r="P167" s="111">
        <v>0</v>
      </c>
      <c r="Q167" s="111">
        <v>0</v>
      </c>
      <c r="R167" s="111">
        <v>0</v>
      </c>
      <c r="S167" s="111">
        <v>0</v>
      </c>
      <c r="T167" s="111">
        <v>0</v>
      </c>
      <c r="U167" s="111">
        <v>0</v>
      </c>
      <c r="V167" s="111">
        <v>0</v>
      </c>
      <c r="W167" s="111">
        <v>0</v>
      </c>
      <c r="X167" s="111">
        <v>0</v>
      </c>
      <c r="Y167" s="111">
        <v>0</v>
      </c>
      <c r="Z167" s="111">
        <v>0</v>
      </c>
      <c r="AA167" s="111">
        <v>0</v>
      </c>
      <c r="AB167" s="111">
        <v>0</v>
      </c>
      <c r="AC167" s="111">
        <v>0</v>
      </c>
      <c r="AD167" s="111">
        <v>0</v>
      </c>
      <c r="AE167" s="111">
        <v>0</v>
      </c>
      <c r="AF167" s="111">
        <v>0</v>
      </c>
      <c r="AG167" s="111">
        <v>0</v>
      </c>
      <c r="AH167" s="111">
        <v>0</v>
      </c>
      <c r="AI167" s="111">
        <v>0</v>
      </c>
      <c r="AJ167" s="111">
        <v>0</v>
      </c>
      <c r="AK167" s="111">
        <v>0</v>
      </c>
      <c r="AL167" s="111">
        <v>0</v>
      </c>
      <c r="AM167" s="111">
        <v>0</v>
      </c>
      <c r="AN167" s="111">
        <v>0</v>
      </c>
      <c r="AO167" s="111">
        <v>0</v>
      </c>
      <c r="AP167" s="111">
        <v>0</v>
      </c>
      <c r="AQ167" s="111">
        <v>0</v>
      </c>
      <c r="AR167" s="111">
        <v>0</v>
      </c>
      <c r="AS167" s="111">
        <v>0</v>
      </c>
      <c r="AT167" s="111">
        <v>0</v>
      </c>
      <c r="AU167" s="111">
        <v>0</v>
      </c>
      <c r="AV167" s="111">
        <v>0</v>
      </c>
      <c r="AW167" s="111">
        <v>0</v>
      </c>
      <c r="AX167" s="111">
        <v>0</v>
      </c>
      <c r="AY167" s="111">
        <v>0</v>
      </c>
    </row>
    <row r="168" spans="1:52" x14ac:dyDescent="0.2">
      <c r="A168" s="114"/>
      <c r="B168" s="135">
        <v>47</v>
      </c>
      <c r="C168" s="111"/>
      <c r="D168" s="111">
        <v>0</v>
      </c>
      <c r="E168" s="111">
        <v>0</v>
      </c>
      <c r="F168" s="111">
        <v>0</v>
      </c>
      <c r="G168" s="111">
        <v>0</v>
      </c>
      <c r="H168" s="111">
        <v>0</v>
      </c>
      <c r="I168" s="111">
        <v>0</v>
      </c>
      <c r="J168" s="111">
        <v>0</v>
      </c>
      <c r="K168" s="111">
        <v>0</v>
      </c>
      <c r="L168" s="111">
        <v>0</v>
      </c>
      <c r="M168" s="111">
        <v>0</v>
      </c>
      <c r="N168" s="111">
        <v>0</v>
      </c>
      <c r="O168" s="111">
        <v>0</v>
      </c>
      <c r="P168" s="111">
        <v>0</v>
      </c>
      <c r="Q168" s="111">
        <v>0</v>
      </c>
      <c r="R168" s="111">
        <v>0</v>
      </c>
      <c r="S168" s="111">
        <v>0</v>
      </c>
      <c r="T168" s="111">
        <v>0</v>
      </c>
      <c r="U168" s="111">
        <v>0</v>
      </c>
      <c r="V168" s="111">
        <v>0</v>
      </c>
      <c r="W168" s="111">
        <v>0</v>
      </c>
      <c r="X168" s="111">
        <v>0</v>
      </c>
      <c r="Y168" s="111">
        <v>0</v>
      </c>
      <c r="Z168" s="111">
        <v>0</v>
      </c>
      <c r="AA168" s="111">
        <v>0</v>
      </c>
      <c r="AB168" s="111">
        <v>0</v>
      </c>
      <c r="AC168" s="111">
        <v>0</v>
      </c>
      <c r="AD168" s="111">
        <v>0</v>
      </c>
      <c r="AE168" s="111">
        <v>0</v>
      </c>
      <c r="AF168" s="111">
        <v>0</v>
      </c>
      <c r="AG168" s="111">
        <v>0</v>
      </c>
      <c r="AH168" s="111">
        <v>0</v>
      </c>
      <c r="AI168" s="111">
        <v>0</v>
      </c>
      <c r="AJ168" s="111">
        <v>0</v>
      </c>
      <c r="AK168" s="111">
        <v>0</v>
      </c>
      <c r="AL168" s="111">
        <v>0</v>
      </c>
      <c r="AM168" s="111">
        <v>0</v>
      </c>
      <c r="AN168" s="111">
        <v>0</v>
      </c>
      <c r="AO168" s="111">
        <v>0</v>
      </c>
      <c r="AP168" s="111">
        <v>0</v>
      </c>
      <c r="AQ168" s="111">
        <v>0</v>
      </c>
      <c r="AR168" s="111">
        <v>0</v>
      </c>
      <c r="AS168" s="111">
        <v>0</v>
      </c>
      <c r="AT168" s="111">
        <v>0</v>
      </c>
      <c r="AU168" s="111">
        <v>0</v>
      </c>
      <c r="AV168" s="111">
        <v>0</v>
      </c>
      <c r="AW168" s="111">
        <v>0</v>
      </c>
      <c r="AX168" s="111">
        <v>0</v>
      </c>
      <c r="AY168" s="111">
        <v>0</v>
      </c>
    </row>
    <row r="169" spans="1:52" x14ac:dyDescent="0.2">
      <c r="A169" s="114"/>
      <c r="B169" s="135">
        <v>48</v>
      </c>
      <c r="C169" s="111"/>
      <c r="D169" s="111">
        <v>0</v>
      </c>
      <c r="E169" s="111">
        <v>0</v>
      </c>
      <c r="F169" s="111">
        <v>0</v>
      </c>
      <c r="G169" s="111">
        <v>0</v>
      </c>
      <c r="H169" s="111">
        <v>0</v>
      </c>
      <c r="I169" s="111">
        <v>0</v>
      </c>
      <c r="J169" s="111">
        <v>0</v>
      </c>
      <c r="K169" s="111">
        <v>0</v>
      </c>
      <c r="L169" s="111">
        <v>0</v>
      </c>
      <c r="M169" s="111">
        <v>0</v>
      </c>
      <c r="N169" s="111">
        <v>0</v>
      </c>
      <c r="O169" s="111">
        <v>0</v>
      </c>
      <c r="P169" s="111">
        <v>0</v>
      </c>
      <c r="Q169" s="111">
        <v>0</v>
      </c>
      <c r="R169" s="111">
        <v>0</v>
      </c>
      <c r="S169" s="111">
        <v>0</v>
      </c>
      <c r="T169" s="111">
        <v>0</v>
      </c>
      <c r="U169" s="111">
        <v>0</v>
      </c>
      <c r="V169" s="111">
        <v>0</v>
      </c>
      <c r="W169" s="111">
        <v>0</v>
      </c>
      <c r="X169" s="111">
        <v>0</v>
      </c>
      <c r="Y169" s="111">
        <v>0</v>
      </c>
      <c r="Z169" s="111">
        <v>0</v>
      </c>
      <c r="AA169" s="111">
        <v>0</v>
      </c>
      <c r="AB169" s="111">
        <v>0</v>
      </c>
      <c r="AC169" s="111">
        <v>0</v>
      </c>
      <c r="AD169" s="111">
        <v>0</v>
      </c>
      <c r="AE169" s="111">
        <v>0</v>
      </c>
      <c r="AF169" s="111">
        <v>0</v>
      </c>
      <c r="AG169" s="111">
        <v>0</v>
      </c>
      <c r="AH169" s="111">
        <v>0</v>
      </c>
      <c r="AI169" s="111">
        <v>0</v>
      </c>
      <c r="AJ169" s="111">
        <v>0</v>
      </c>
      <c r="AK169" s="111">
        <v>0</v>
      </c>
      <c r="AL169" s="111">
        <v>0</v>
      </c>
      <c r="AM169" s="111">
        <v>0</v>
      </c>
      <c r="AN169" s="111">
        <v>0</v>
      </c>
      <c r="AO169" s="111">
        <v>0</v>
      </c>
      <c r="AP169" s="111">
        <v>0</v>
      </c>
      <c r="AQ169" s="111">
        <v>0</v>
      </c>
      <c r="AR169" s="111">
        <v>0</v>
      </c>
      <c r="AS169" s="111">
        <v>0</v>
      </c>
      <c r="AT169" s="111">
        <v>0</v>
      </c>
      <c r="AU169" s="111">
        <v>0</v>
      </c>
      <c r="AV169" s="111">
        <v>0</v>
      </c>
      <c r="AW169" s="111">
        <v>0</v>
      </c>
      <c r="AX169" s="111">
        <v>0</v>
      </c>
      <c r="AY169" s="111">
        <v>0</v>
      </c>
    </row>
    <row r="170" spans="1:52" x14ac:dyDescent="0.2">
      <c r="A170" s="133"/>
      <c r="B170" s="137" t="s">
        <v>298</v>
      </c>
      <c r="C170" s="119"/>
      <c r="D170" s="130">
        <v>0</v>
      </c>
      <c r="E170" s="130">
        <v>0</v>
      </c>
      <c r="F170" s="130">
        <v>0</v>
      </c>
      <c r="G170" s="130">
        <v>0</v>
      </c>
      <c r="H170" s="130">
        <v>0</v>
      </c>
      <c r="I170" s="130">
        <v>0</v>
      </c>
      <c r="J170" s="130">
        <v>0</v>
      </c>
      <c r="K170" s="130">
        <v>0</v>
      </c>
      <c r="L170" s="130">
        <v>0</v>
      </c>
      <c r="M170" s="130">
        <v>0</v>
      </c>
      <c r="N170" s="130">
        <v>0</v>
      </c>
      <c r="O170" s="130">
        <v>0</v>
      </c>
      <c r="P170" s="130">
        <v>0</v>
      </c>
      <c r="Q170" s="130">
        <v>0</v>
      </c>
      <c r="R170" s="130">
        <v>0</v>
      </c>
      <c r="S170" s="130">
        <v>0</v>
      </c>
      <c r="T170" s="130">
        <v>0</v>
      </c>
      <c r="U170" s="130">
        <v>0</v>
      </c>
      <c r="V170" s="130">
        <v>0</v>
      </c>
      <c r="W170" s="130">
        <v>0</v>
      </c>
      <c r="X170" s="130">
        <v>0</v>
      </c>
      <c r="Y170" s="130">
        <v>0</v>
      </c>
      <c r="Z170" s="130">
        <v>0</v>
      </c>
      <c r="AA170" s="130">
        <v>0</v>
      </c>
      <c r="AB170" s="130">
        <v>0</v>
      </c>
      <c r="AC170" s="130">
        <v>0</v>
      </c>
      <c r="AD170" s="130">
        <v>0</v>
      </c>
      <c r="AE170" s="130">
        <v>0</v>
      </c>
      <c r="AF170" s="130">
        <v>0</v>
      </c>
      <c r="AG170" s="130">
        <v>0</v>
      </c>
      <c r="AH170" s="130">
        <v>0</v>
      </c>
      <c r="AI170" s="130">
        <v>0</v>
      </c>
      <c r="AJ170" s="130">
        <v>0</v>
      </c>
      <c r="AK170" s="130">
        <v>0</v>
      </c>
      <c r="AL170" s="130">
        <v>0</v>
      </c>
      <c r="AM170" s="130">
        <v>0</v>
      </c>
      <c r="AN170" s="130">
        <v>0</v>
      </c>
      <c r="AO170" s="130">
        <v>0</v>
      </c>
      <c r="AP170" s="130">
        <v>0</v>
      </c>
      <c r="AQ170" s="130">
        <v>0</v>
      </c>
      <c r="AR170" s="130">
        <v>0</v>
      </c>
      <c r="AS170" s="130">
        <v>0</v>
      </c>
      <c r="AT170" s="130">
        <v>0</v>
      </c>
      <c r="AU170" s="130">
        <v>0</v>
      </c>
      <c r="AV170" s="130">
        <v>0</v>
      </c>
      <c r="AW170" s="130">
        <v>0</v>
      </c>
      <c r="AX170" s="130">
        <v>0</v>
      </c>
      <c r="AY170" s="130">
        <v>0</v>
      </c>
      <c r="AZ170" s="112">
        <f>SUM($D170:$AY170)</f>
        <v>0</v>
      </c>
    </row>
    <row r="172" spans="1:52" x14ac:dyDescent="0.2">
      <c r="A172" s="107" t="s">
        <v>124</v>
      </c>
      <c r="B172" s="138" t="s">
        <v>299</v>
      </c>
      <c r="C172" s="139"/>
      <c r="D172" s="139">
        <v>0.1</v>
      </c>
      <c r="E172" s="139">
        <v>0.1</v>
      </c>
      <c r="F172" s="139">
        <v>0.1</v>
      </c>
      <c r="G172" s="139">
        <v>0.1</v>
      </c>
      <c r="H172" s="139">
        <v>0.1</v>
      </c>
      <c r="I172" s="139">
        <v>0.1</v>
      </c>
      <c r="J172" s="139">
        <v>0.1</v>
      </c>
      <c r="K172" s="139">
        <v>0.1</v>
      </c>
      <c r="L172" s="139">
        <v>0.1</v>
      </c>
      <c r="M172" s="139">
        <v>0.1</v>
      </c>
      <c r="N172" s="139">
        <v>0.1</v>
      </c>
      <c r="O172" s="139">
        <v>0.1</v>
      </c>
      <c r="P172" s="139">
        <v>0.1</v>
      </c>
      <c r="Q172" s="139">
        <v>0.1</v>
      </c>
      <c r="R172" s="139">
        <v>0.1</v>
      </c>
      <c r="S172" s="139">
        <v>0.1</v>
      </c>
      <c r="T172" s="139">
        <v>0.1</v>
      </c>
      <c r="U172" s="139">
        <v>0.1</v>
      </c>
      <c r="V172" s="139">
        <v>0.1</v>
      </c>
      <c r="W172" s="139">
        <v>0.1</v>
      </c>
      <c r="X172" s="139">
        <v>0.1</v>
      </c>
      <c r="Y172" s="139">
        <v>0.1</v>
      </c>
      <c r="Z172" s="139">
        <v>0.1</v>
      </c>
      <c r="AA172" s="139">
        <v>0.1</v>
      </c>
      <c r="AB172" s="139">
        <v>0.1</v>
      </c>
      <c r="AC172" s="139">
        <v>0.1</v>
      </c>
      <c r="AD172" s="139">
        <v>0.1</v>
      </c>
      <c r="AE172" s="139">
        <v>0.1</v>
      </c>
      <c r="AF172" s="139">
        <v>0.1</v>
      </c>
      <c r="AG172" s="139">
        <v>0.1</v>
      </c>
      <c r="AH172" s="139">
        <v>0.1</v>
      </c>
      <c r="AI172" s="139">
        <v>0.1</v>
      </c>
      <c r="AJ172" s="139">
        <v>0.1</v>
      </c>
      <c r="AK172" s="139">
        <v>0.1</v>
      </c>
      <c r="AL172" s="139">
        <v>0.1</v>
      </c>
      <c r="AM172" s="139">
        <v>0.1</v>
      </c>
      <c r="AN172" s="139">
        <v>0.1</v>
      </c>
      <c r="AO172" s="139">
        <v>0.1</v>
      </c>
      <c r="AP172" s="139">
        <v>0.1</v>
      </c>
      <c r="AQ172" s="139">
        <v>0.1</v>
      </c>
      <c r="AR172" s="139">
        <v>0.1</v>
      </c>
      <c r="AS172" s="139">
        <v>0.1</v>
      </c>
      <c r="AT172" s="139">
        <v>0.1</v>
      </c>
      <c r="AU172" s="139">
        <v>0.1</v>
      </c>
      <c r="AV172" s="139">
        <v>0.1</v>
      </c>
      <c r="AW172" s="139">
        <v>0.1</v>
      </c>
      <c r="AX172" s="139">
        <v>0.1</v>
      </c>
      <c r="AY172" s="139">
        <v>0.1</v>
      </c>
    </row>
    <row r="174" spans="1:52" x14ac:dyDescent="0.2">
      <c r="A174" s="107" t="s">
        <v>274</v>
      </c>
    </row>
    <row r="175" spans="1:52" x14ac:dyDescent="0.2">
      <c r="A175" s="140" t="s">
        <v>125</v>
      </c>
      <c r="B175" s="140" t="s">
        <v>300</v>
      </c>
      <c r="C175" s="129" t="s">
        <v>295</v>
      </c>
      <c r="D175" s="129">
        <f t="shared" ref="D175:AY175" si="1">SUM(D95:D98)</f>
        <v>196</v>
      </c>
      <c r="E175" s="129">
        <f t="shared" si="1"/>
        <v>212</v>
      </c>
      <c r="F175" s="129">
        <f t="shared" si="1"/>
        <v>247</v>
      </c>
      <c r="G175" s="129">
        <f t="shared" si="1"/>
        <v>256</v>
      </c>
      <c r="H175" s="129">
        <f t="shared" si="1"/>
        <v>220</v>
      </c>
      <c r="I175" s="129">
        <f t="shared" si="1"/>
        <v>196</v>
      </c>
      <c r="J175" s="129">
        <f t="shared" si="1"/>
        <v>196</v>
      </c>
      <c r="K175" s="129">
        <f t="shared" si="1"/>
        <v>196</v>
      </c>
      <c r="L175" s="129">
        <f t="shared" si="1"/>
        <v>215.60000000000002</v>
      </c>
      <c r="M175" s="129">
        <f t="shared" si="1"/>
        <v>215.60000000000002</v>
      </c>
      <c r="N175" s="129">
        <f t="shared" si="1"/>
        <v>215.60000000000002</v>
      </c>
      <c r="O175" s="129">
        <f t="shared" si="1"/>
        <v>215.60000000000002</v>
      </c>
      <c r="P175" s="129">
        <f t="shared" si="1"/>
        <v>249.60000000000002</v>
      </c>
      <c r="Q175" s="129">
        <f t="shared" si="1"/>
        <v>225.60000000000002</v>
      </c>
      <c r="R175" s="129">
        <f t="shared" si="1"/>
        <v>262.60000000000002</v>
      </c>
      <c r="S175" s="129">
        <f t="shared" si="1"/>
        <v>218.60000000000002</v>
      </c>
      <c r="T175" s="129">
        <f t="shared" si="1"/>
        <v>226.20000000000005</v>
      </c>
      <c r="U175" s="129">
        <f t="shared" si="1"/>
        <v>246.80000000000007</v>
      </c>
      <c r="V175" s="129">
        <f t="shared" si="1"/>
        <v>243.40000000000009</v>
      </c>
      <c r="W175" s="129">
        <f t="shared" si="1"/>
        <v>290.00000000000011</v>
      </c>
      <c r="X175" s="129">
        <f t="shared" si="1"/>
        <v>238.00000000000011</v>
      </c>
      <c r="Y175" s="129">
        <f t="shared" si="1"/>
        <v>217.00000000000011</v>
      </c>
      <c r="Z175" s="129">
        <f t="shared" si="1"/>
        <v>249.00000000000011</v>
      </c>
      <c r="AA175" s="129">
        <f t="shared" si="1"/>
        <v>200.00000000000011</v>
      </c>
      <c r="AB175" s="129">
        <f t="shared" si="1"/>
        <v>230.60000000000014</v>
      </c>
      <c r="AC175" s="129">
        <f t="shared" si="1"/>
        <v>222.20000000000016</v>
      </c>
      <c r="AD175" s="129">
        <f t="shared" si="1"/>
        <v>250.80000000000018</v>
      </c>
      <c r="AE175" s="129">
        <f t="shared" si="1"/>
        <v>254.4000000000002</v>
      </c>
      <c r="AF175" s="129">
        <f t="shared" si="1"/>
        <v>200.4000000000002</v>
      </c>
      <c r="AG175" s="129">
        <f t="shared" si="1"/>
        <v>218.4000000000002</v>
      </c>
      <c r="AH175" s="129">
        <f t="shared" si="1"/>
        <v>246.4000000000002</v>
      </c>
      <c r="AI175" s="129">
        <f t="shared" si="1"/>
        <v>280.4000000000002</v>
      </c>
      <c r="AJ175" s="129">
        <f t="shared" si="1"/>
        <v>308.4000000000002</v>
      </c>
      <c r="AK175" s="129">
        <f t="shared" si="1"/>
        <v>262.4000000000002</v>
      </c>
      <c r="AL175" s="129">
        <f t="shared" si="1"/>
        <v>229.4000000000002</v>
      </c>
      <c r="AM175" s="129">
        <f t="shared" si="1"/>
        <v>235.4000000000002</v>
      </c>
      <c r="AN175" s="129">
        <f t="shared" si="1"/>
        <v>214.4000000000002</v>
      </c>
      <c r="AO175" s="129">
        <f t="shared" si="1"/>
        <v>196</v>
      </c>
      <c r="AP175" s="129">
        <f t="shared" si="1"/>
        <v>196</v>
      </c>
      <c r="AQ175" s="129">
        <f t="shared" si="1"/>
        <v>196</v>
      </c>
      <c r="AR175" s="129">
        <f t="shared" si="1"/>
        <v>176.4</v>
      </c>
      <c r="AS175" s="129">
        <f t="shared" si="1"/>
        <v>176.4</v>
      </c>
      <c r="AT175" s="129">
        <f t="shared" si="1"/>
        <v>191.8</v>
      </c>
      <c r="AU175" s="129">
        <f t="shared" si="1"/>
        <v>176.4</v>
      </c>
      <c r="AV175" s="129">
        <f t="shared" si="1"/>
        <v>196</v>
      </c>
      <c r="AW175" s="129">
        <f t="shared" si="1"/>
        <v>196</v>
      </c>
      <c r="AX175" s="129">
        <f t="shared" si="1"/>
        <v>196</v>
      </c>
      <c r="AY175" s="129">
        <f t="shared" si="1"/>
        <v>196</v>
      </c>
    </row>
    <row r="176" spans="1:52" x14ac:dyDescent="0.2">
      <c r="A176" s="130"/>
      <c r="B176" s="141" t="s">
        <v>301</v>
      </c>
      <c r="C176" s="130" t="s">
        <v>295</v>
      </c>
      <c r="D176" s="130">
        <v>180</v>
      </c>
      <c r="E176" s="130">
        <v>161</v>
      </c>
      <c r="F176" s="130">
        <v>187</v>
      </c>
      <c r="G176" s="130">
        <v>232</v>
      </c>
      <c r="H176" s="130">
        <v>220</v>
      </c>
      <c r="I176" s="130">
        <v>196</v>
      </c>
      <c r="J176" s="130">
        <v>196</v>
      </c>
      <c r="K176" s="130">
        <v>196</v>
      </c>
      <c r="L176" s="130">
        <v>215.60000000000002</v>
      </c>
      <c r="M176" s="130">
        <v>215.60000000000002</v>
      </c>
      <c r="N176" s="130">
        <v>215.60000000000002</v>
      </c>
      <c r="O176" s="130">
        <v>162</v>
      </c>
      <c r="P176" s="130">
        <v>220</v>
      </c>
      <c r="Q176" s="130">
        <v>159</v>
      </c>
      <c r="R176" s="130">
        <v>240</v>
      </c>
      <c r="S176" s="130">
        <v>208</v>
      </c>
      <c r="T176" s="130">
        <v>195</v>
      </c>
      <c r="U176" s="130">
        <v>219</v>
      </c>
      <c r="V176" s="130">
        <v>169</v>
      </c>
      <c r="W176" s="130">
        <v>248</v>
      </c>
      <c r="X176" s="130">
        <v>217</v>
      </c>
      <c r="Y176" s="130">
        <v>164</v>
      </c>
      <c r="Z176" s="130">
        <v>245</v>
      </c>
      <c r="AA176" s="130">
        <v>185</v>
      </c>
      <c r="AB176" s="130">
        <v>224</v>
      </c>
      <c r="AC176" s="130">
        <v>187</v>
      </c>
      <c r="AD176" s="130">
        <v>212</v>
      </c>
      <c r="AE176" s="130">
        <v>250</v>
      </c>
      <c r="AF176" s="130">
        <v>178</v>
      </c>
      <c r="AG176" s="130">
        <v>168</v>
      </c>
      <c r="AH176" s="130">
        <v>162</v>
      </c>
      <c r="AI176" s="130">
        <v>168</v>
      </c>
      <c r="AJ176" s="130">
        <v>242</v>
      </c>
      <c r="AK176" s="130">
        <v>229</v>
      </c>
      <c r="AL176" s="130">
        <v>190</v>
      </c>
      <c r="AM176" s="130">
        <v>217</v>
      </c>
      <c r="AN176" s="130">
        <v>214.4000000000002</v>
      </c>
      <c r="AO176" s="130">
        <v>196</v>
      </c>
      <c r="AP176" s="130">
        <v>196</v>
      </c>
      <c r="AQ176" s="130">
        <v>196</v>
      </c>
      <c r="AR176" s="130">
        <v>176.4</v>
      </c>
      <c r="AS176" s="130">
        <v>161</v>
      </c>
      <c r="AT176" s="130">
        <v>191.8</v>
      </c>
      <c r="AU176" s="130">
        <v>176.4</v>
      </c>
      <c r="AV176" s="130">
        <v>196</v>
      </c>
      <c r="AW176" s="130">
        <v>196</v>
      </c>
      <c r="AX176" s="130">
        <v>196</v>
      </c>
      <c r="AY176" s="130">
        <v>196</v>
      </c>
    </row>
    <row r="177" spans="1:51" x14ac:dyDescent="0.2">
      <c r="A177" s="140" t="s">
        <v>133</v>
      </c>
      <c r="B177" s="140" t="s">
        <v>300</v>
      </c>
      <c r="C177" s="129" t="s">
        <v>295</v>
      </c>
      <c r="D177" s="129">
        <f t="shared" ref="D177:AY177" si="2">SUM(D100:D107)</f>
        <v>0</v>
      </c>
      <c r="E177" s="129">
        <f t="shared" si="2"/>
        <v>0</v>
      </c>
      <c r="F177" s="129">
        <f t="shared" si="2"/>
        <v>146.00000000000003</v>
      </c>
      <c r="G177" s="129">
        <f t="shared" si="2"/>
        <v>146.00000000000003</v>
      </c>
      <c r="H177" s="129">
        <f t="shared" si="2"/>
        <v>167.00000000000006</v>
      </c>
      <c r="I177" s="129">
        <f t="shared" si="2"/>
        <v>154.00000000000009</v>
      </c>
      <c r="J177" s="129">
        <f t="shared" si="2"/>
        <v>146.00000000000003</v>
      </c>
      <c r="K177" s="129">
        <f t="shared" si="2"/>
        <v>146.00000000000003</v>
      </c>
      <c r="L177" s="129">
        <f t="shared" si="2"/>
        <v>162.00000000000006</v>
      </c>
      <c r="M177" s="129">
        <f t="shared" si="2"/>
        <v>183.00000000000009</v>
      </c>
      <c r="N177" s="129">
        <f t="shared" si="2"/>
        <v>210.60000000000014</v>
      </c>
      <c r="O177" s="129">
        <f t="shared" si="2"/>
        <v>160.60000000000005</v>
      </c>
      <c r="P177" s="129">
        <f t="shared" si="2"/>
        <v>194.2000000000001</v>
      </c>
      <c r="Q177" s="129">
        <f t="shared" si="2"/>
        <v>208.80000000000015</v>
      </c>
      <c r="R177" s="129">
        <f t="shared" si="2"/>
        <v>182.80000000000018</v>
      </c>
      <c r="S177" s="129">
        <f t="shared" si="2"/>
        <v>178.80000000000021</v>
      </c>
      <c r="T177" s="129">
        <f t="shared" si="2"/>
        <v>146.00000000000003</v>
      </c>
      <c r="U177" s="129">
        <f t="shared" si="2"/>
        <v>160.00000000000006</v>
      </c>
      <c r="V177" s="129">
        <f t="shared" si="2"/>
        <v>193.60000000000011</v>
      </c>
      <c r="W177" s="129">
        <f t="shared" si="2"/>
        <v>181.20000000000016</v>
      </c>
      <c r="X177" s="129">
        <f t="shared" si="2"/>
        <v>204.80000000000021</v>
      </c>
      <c r="Y177" s="129">
        <f t="shared" si="2"/>
        <v>244.40000000000026</v>
      </c>
      <c r="Z177" s="129">
        <f t="shared" si="2"/>
        <v>239.40000000000029</v>
      </c>
      <c r="AA177" s="129">
        <f t="shared" si="2"/>
        <v>207.40000000000032</v>
      </c>
      <c r="AB177" s="129">
        <f t="shared" si="2"/>
        <v>193.40000000000035</v>
      </c>
      <c r="AC177" s="129">
        <f t="shared" si="2"/>
        <v>220.40000000000038</v>
      </c>
      <c r="AD177" s="129">
        <f t="shared" si="2"/>
        <v>163.00000000000043</v>
      </c>
      <c r="AE177" s="129">
        <f t="shared" si="2"/>
        <v>182.60000000000048</v>
      </c>
      <c r="AF177" s="129">
        <f t="shared" si="2"/>
        <v>189.20000000000053</v>
      </c>
      <c r="AG177" s="129">
        <f t="shared" si="2"/>
        <v>169.80000000000058</v>
      </c>
      <c r="AH177" s="129">
        <f t="shared" si="2"/>
        <v>146.00000000000003</v>
      </c>
      <c r="AI177" s="129">
        <f t="shared" si="2"/>
        <v>146.00000000000003</v>
      </c>
      <c r="AJ177" s="129">
        <f t="shared" si="2"/>
        <v>146.00000000000003</v>
      </c>
      <c r="AK177" s="129">
        <f t="shared" si="2"/>
        <v>146.00000000000003</v>
      </c>
      <c r="AL177" s="129">
        <f t="shared" si="2"/>
        <v>146.00000000000003</v>
      </c>
      <c r="AM177" s="129">
        <f t="shared" si="2"/>
        <v>146.00000000000003</v>
      </c>
      <c r="AN177" s="129">
        <f t="shared" si="2"/>
        <v>151.00000000000006</v>
      </c>
      <c r="AO177" s="129">
        <f t="shared" si="2"/>
        <v>169.00000000000009</v>
      </c>
      <c r="AP177" s="129">
        <f t="shared" si="2"/>
        <v>146.00000000000003</v>
      </c>
      <c r="AQ177" s="129">
        <f t="shared" si="2"/>
        <v>146.00000000000003</v>
      </c>
      <c r="AR177" s="129">
        <f t="shared" si="2"/>
        <v>146.00000000000003</v>
      </c>
      <c r="AS177" s="129">
        <f t="shared" si="2"/>
        <v>146.00000000000003</v>
      </c>
      <c r="AT177" s="129">
        <f t="shared" si="2"/>
        <v>131.4</v>
      </c>
      <c r="AU177" s="129">
        <f t="shared" si="2"/>
        <v>131.4</v>
      </c>
      <c r="AV177" s="129">
        <f t="shared" si="2"/>
        <v>131.4</v>
      </c>
      <c r="AW177" s="129">
        <f t="shared" si="2"/>
        <v>131.4</v>
      </c>
      <c r="AX177" s="129">
        <f t="shared" si="2"/>
        <v>146.00000000000003</v>
      </c>
      <c r="AY177" s="129">
        <f t="shared" si="2"/>
        <v>146.00000000000003</v>
      </c>
    </row>
    <row r="178" spans="1:51" x14ac:dyDescent="0.2">
      <c r="A178" s="130"/>
      <c r="B178" s="141" t="s">
        <v>301</v>
      </c>
      <c r="C178" s="130" t="s">
        <v>295</v>
      </c>
      <c r="D178" s="130">
        <v>0</v>
      </c>
      <c r="E178" s="130">
        <v>0</v>
      </c>
      <c r="F178" s="130">
        <v>146.00000000000003</v>
      </c>
      <c r="G178" s="130">
        <v>125</v>
      </c>
      <c r="H178" s="130">
        <v>159</v>
      </c>
      <c r="I178" s="130">
        <v>154.00000000000009</v>
      </c>
      <c r="J178" s="130">
        <v>146.00000000000003</v>
      </c>
      <c r="K178" s="130">
        <v>130</v>
      </c>
      <c r="L178" s="130">
        <v>125</v>
      </c>
      <c r="M178" s="130">
        <v>133</v>
      </c>
      <c r="N178" s="130">
        <v>210.60000000000014</v>
      </c>
      <c r="O178" s="130">
        <v>127</v>
      </c>
      <c r="P178" s="130">
        <v>146</v>
      </c>
      <c r="Q178" s="130">
        <v>172</v>
      </c>
      <c r="R178" s="130">
        <v>150</v>
      </c>
      <c r="S178" s="130">
        <v>178.80000000000021</v>
      </c>
      <c r="T178" s="130">
        <v>132</v>
      </c>
      <c r="U178" s="130">
        <v>127</v>
      </c>
      <c r="V178" s="130">
        <v>173</v>
      </c>
      <c r="W178" s="130">
        <v>137</v>
      </c>
      <c r="X178" s="130">
        <v>121</v>
      </c>
      <c r="Y178" s="130">
        <v>151</v>
      </c>
      <c r="Z178" s="130">
        <v>178</v>
      </c>
      <c r="AA178" s="130">
        <v>160</v>
      </c>
      <c r="AB178" s="130">
        <v>119</v>
      </c>
      <c r="AC178" s="130">
        <v>218</v>
      </c>
      <c r="AD178" s="130">
        <v>141</v>
      </c>
      <c r="AE178" s="130">
        <v>154</v>
      </c>
      <c r="AF178" s="130">
        <v>180</v>
      </c>
      <c r="AG178" s="130">
        <v>169.80000000000058</v>
      </c>
      <c r="AH178" s="130">
        <v>146.00000000000003</v>
      </c>
      <c r="AI178" s="130">
        <v>146.00000000000003</v>
      </c>
      <c r="AJ178" s="130">
        <v>146.00000000000003</v>
      </c>
      <c r="AK178" s="130">
        <v>146.00000000000003</v>
      </c>
      <c r="AL178" s="130">
        <v>146.00000000000003</v>
      </c>
      <c r="AM178" s="130">
        <v>141</v>
      </c>
      <c r="AN178" s="130">
        <v>128</v>
      </c>
      <c r="AO178" s="130">
        <v>169.00000000000009</v>
      </c>
      <c r="AP178" s="130">
        <v>146.00000000000003</v>
      </c>
      <c r="AQ178" s="130">
        <v>146.00000000000003</v>
      </c>
      <c r="AR178" s="130">
        <v>146.00000000000003</v>
      </c>
      <c r="AS178" s="130">
        <v>146.00000000000003</v>
      </c>
      <c r="AT178" s="130">
        <v>131.4</v>
      </c>
      <c r="AU178" s="130">
        <v>131.4</v>
      </c>
      <c r="AV178" s="130">
        <v>131.4</v>
      </c>
      <c r="AW178" s="130">
        <v>131.4</v>
      </c>
      <c r="AX178" s="130">
        <v>146.00000000000003</v>
      </c>
      <c r="AY178" s="130">
        <v>146.00000000000003</v>
      </c>
    </row>
    <row r="179" spans="1:51" x14ac:dyDescent="0.2">
      <c r="A179" s="140" t="s">
        <v>134</v>
      </c>
      <c r="B179" s="140" t="s">
        <v>300</v>
      </c>
      <c r="C179" s="129" t="s">
        <v>295</v>
      </c>
      <c r="D179" s="129">
        <f t="shared" ref="D179:AY179" si="3">SUM(D109:D120)</f>
        <v>0</v>
      </c>
      <c r="E179" s="129">
        <f t="shared" si="3"/>
        <v>47.006406195001773</v>
      </c>
      <c r="F179" s="129">
        <f t="shared" si="3"/>
        <v>47.006406195001773</v>
      </c>
      <c r="G179" s="129">
        <f t="shared" si="3"/>
        <v>51.706406195001762</v>
      </c>
      <c r="H179" s="129">
        <f t="shared" si="3"/>
        <v>51.706406195001762</v>
      </c>
      <c r="I179" s="129">
        <f t="shared" si="3"/>
        <v>51.706406195001762</v>
      </c>
      <c r="J179" s="129">
        <f t="shared" si="3"/>
        <v>51.706406195001762</v>
      </c>
      <c r="K179" s="129">
        <f t="shared" si="3"/>
        <v>51.706406195001762</v>
      </c>
      <c r="L179" s="129">
        <f t="shared" si="3"/>
        <v>51.706406195001762</v>
      </c>
      <c r="M179" s="129">
        <f t="shared" si="3"/>
        <v>55.576799335518857</v>
      </c>
      <c r="N179" s="129">
        <f t="shared" si="3"/>
        <v>57.283205530520618</v>
      </c>
      <c r="O179" s="129">
        <f t="shared" si="3"/>
        <v>52.176406195001768</v>
      </c>
      <c r="P179" s="129">
        <f t="shared" si="3"/>
        <v>52.176406195001768</v>
      </c>
      <c r="Q179" s="129">
        <f t="shared" si="3"/>
        <v>52.176406195001768</v>
      </c>
      <c r="R179" s="129">
        <f t="shared" si="3"/>
        <v>52.176406195001768</v>
      </c>
      <c r="S179" s="129">
        <f t="shared" si="3"/>
        <v>51.706406195001762</v>
      </c>
      <c r="T179" s="129">
        <f t="shared" si="3"/>
        <v>56.913559204407967</v>
      </c>
      <c r="U179" s="129">
        <f t="shared" si="3"/>
        <v>51.706406195001762</v>
      </c>
      <c r="V179" s="129">
        <f t="shared" si="3"/>
        <v>51.706406195001762</v>
      </c>
      <c r="W179" s="129">
        <f t="shared" si="3"/>
        <v>52.176406195001768</v>
      </c>
      <c r="X179" s="129">
        <f t="shared" si="3"/>
        <v>52.176406195001768</v>
      </c>
      <c r="Y179" s="129">
        <f t="shared" si="3"/>
        <v>52.176406195001768</v>
      </c>
      <c r="Z179" s="129">
        <f t="shared" si="3"/>
        <v>52.176406195001768</v>
      </c>
      <c r="AA179" s="129">
        <f t="shared" si="3"/>
        <v>51.706406195001762</v>
      </c>
      <c r="AB179" s="129">
        <f t="shared" si="3"/>
        <v>51.706406195001762</v>
      </c>
      <c r="AC179" s="129">
        <f t="shared" si="3"/>
        <v>51.706406195001762</v>
      </c>
      <c r="AD179" s="129">
        <f t="shared" si="3"/>
        <v>51.706406195001762</v>
      </c>
      <c r="AE179" s="129">
        <f t="shared" si="3"/>
        <v>52.176406195001768</v>
      </c>
      <c r="AF179" s="129">
        <f t="shared" si="3"/>
        <v>52.176406195001768</v>
      </c>
      <c r="AG179" s="129">
        <f t="shared" si="3"/>
        <v>52.176406195001768</v>
      </c>
      <c r="AH179" s="129">
        <f t="shared" si="3"/>
        <v>52.176406195001768</v>
      </c>
      <c r="AI179" s="129">
        <f t="shared" si="3"/>
        <v>51.706406195001762</v>
      </c>
      <c r="AJ179" s="129">
        <f t="shared" si="3"/>
        <v>51.706406195001762</v>
      </c>
      <c r="AK179" s="129">
        <f t="shared" si="3"/>
        <v>51.706406195001762</v>
      </c>
      <c r="AL179" s="129">
        <f t="shared" si="3"/>
        <v>51.706406195001762</v>
      </c>
      <c r="AM179" s="129">
        <f t="shared" si="3"/>
        <v>51.706406195001762</v>
      </c>
      <c r="AN179" s="129">
        <f t="shared" si="3"/>
        <v>51.706406195001762</v>
      </c>
      <c r="AO179" s="129">
        <f t="shared" si="3"/>
        <v>56.292397043294628</v>
      </c>
      <c r="AP179" s="129">
        <f t="shared" si="3"/>
        <v>56.292397043294628</v>
      </c>
      <c r="AQ179" s="129">
        <f t="shared" si="3"/>
        <v>56.292397043294628</v>
      </c>
      <c r="AR179" s="129">
        <f t="shared" si="3"/>
        <v>56.292397043294628</v>
      </c>
      <c r="AS179" s="129">
        <f t="shared" si="3"/>
        <v>56.292397043294628</v>
      </c>
      <c r="AT179" s="129">
        <f t="shared" si="3"/>
        <v>56.292397043294628</v>
      </c>
      <c r="AU179" s="129">
        <f t="shared" si="3"/>
        <v>56.187517704679699</v>
      </c>
      <c r="AV179" s="129">
        <f t="shared" si="3"/>
        <v>55.822397043294622</v>
      </c>
      <c r="AW179" s="129">
        <f t="shared" si="3"/>
        <v>51.23640619500177</v>
      </c>
      <c r="AX179" s="129">
        <f t="shared" si="3"/>
        <v>51.23640619500177</v>
      </c>
      <c r="AY179" s="129">
        <f t="shared" si="3"/>
        <v>51.706406195001762</v>
      </c>
    </row>
    <row r="180" spans="1:51" x14ac:dyDescent="0.2">
      <c r="A180" s="130"/>
      <c r="B180" s="141" t="s">
        <v>301</v>
      </c>
      <c r="C180" s="130" t="s">
        <v>295</v>
      </c>
      <c r="D180" s="130">
        <v>0</v>
      </c>
      <c r="E180" s="130">
        <v>47.006406195001773</v>
      </c>
      <c r="F180" s="130">
        <v>47.006406195001773</v>
      </c>
      <c r="G180" s="130">
        <v>51.706406195001762</v>
      </c>
      <c r="H180" s="130">
        <v>51.706406195001762</v>
      </c>
      <c r="I180" s="130">
        <v>51.706406195001762</v>
      </c>
      <c r="J180" s="130">
        <v>51.706406195001762</v>
      </c>
      <c r="K180" s="130">
        <v>51.706406195001762</v>
      </c>
      <c r="L180" s="130">
        <v>51.706406195001762</v>
      </c>
      <c r="M180" s="130">
        <v>50</v>
      </c>
      <c r="N180" s="130">
        <v>57.283205530520618</v>
      </c>
      <c r="O180" s="130">
        <v>52.176406195001768</v>
      </c>
      <c r="P180" s="130">
        <v>52.176406195001768</v>
      </c>
      <c r="Q180" s="130">
        <v>52.176406195001768</v>
      </c>
      <c r="R180" s="130">
        <v>52.176406195001768</v>
      </c>
      <c r="S180" s="130">
        <v>46.499253185595556</v>
      </c>
      <c r="T180" s="130">
        <v>56.913559204407967</v>
      </c>
      <c r="U180" s="130">
        <v>51.706406195001762</v>
      </c>
      <c r="V180" s="130">
        <v>51.706406195001762</v>
      </c>
      <c r="W180" s="130">
        <v>52.176406195001768</v>
      </c>
      <c r="X180" s="130">
        <v>52.176406195001768</v>
      </c>
      <c r="Y180" s="130">
        <v>52.176406195001768</v>
      </c>
      <c r="Z180" s="130">
        <v>52.176406195001768</v>
      </c>
      <c r="AA180" s="130">
        <v>51.706406195001762</v>
      </c>
      <c r="AB180" s="130">
        <v>51.706406195001762</v>
      </c>
      <c r="AC180" s="130">
        <v>51.706406195001762</v>
      </c>
      <c r="AD180" s="130">
        <v>51.706406195001762</v>
      </c>
      <c r="AE180" s="130">
        <v>52.176406195001768</v>
      </c>
      <c r="AF180" s="130">
        <v>52.176406195001768</v>
      </c>
      <c r="AG180" s="130">
        <v>52.176406195001768</v>
      </c>
      <c r="AH180" s="130">
        <v>52.176406195001768</v>
      </c>
      <c r="AI180" s="130">
        <v>51.706406195001762</v>
      </c>
      <c r="AJ180" s="130">
        <v>51.706406195001762</v>
      </c>
      <c r="AK180" s="130">
        <v>51.706406195001762</v>
      </c>
      <c r="AL180" s="130">
        <v>51.706406195001762</v>
      </c>
      <c r="AM180" s="130">
        <v>51.706406195001762</v>
      </c>
      <c r="AN180" s="130">
        <v>51.706406195001762</v>
      </c>
      <c r="AO180" s="130">
        <v>56.292397043294628</v>
      </c>
      <c r="AP180" s="130">
        <v>56.292397043294628</v>
      </c>
      <c r="AQ180" s="130">
        <v>56.292397043294628</v>
      </c>
      <c r="AR180" s="130">
        <v>56.292397043294628</v>
      </c>
      <c r="AS180" s="130">
        <v>56.292397043294628</v>
      </c>
      <c r="AT180" s="130">
        <v>55.92727638190955</v>
      </c>
      <c r="AU180" s="130">
        <v>56.187517704679699</v>
      </c>
      <c r="AV180" s="130">
        <v>55.822397043294622</v>
      </c>
      <c r="AW180" s="130">
        <v>51.23640619500177</v>
      </c>
      <c r="AX180" s="130">
        <v>51.23640619500177</v>
      </c>
      <c r="AY180" s="130">
        <v>51.706406195001762</v>
      </c>
    </row>
    <row r="181" spans="1:51" x14ac:dyDescent="0.2">
      <c r="A181" s="140" t="s">
        <v>123</v>
      </c>
      <c r="B181" s="140" t="s">
        <v>300</v>
      </c>
      <c r="C181" s="129" t="s">
        <v>295</v>
      </c>
      <c r="D181" s="129">
        <f t="shared" ref="D181:AY181" si="4">(1-D172)*SUM(D122:D169)</f>
        <v>423.0576557550159</v>
      </c>
      <c r="E181" s="129">
        <f t="shared" si="4"/>
        <v>423.0576557550159</v>
      </c>
      <c r="F181" s="129">
        <f t="shared" si="4"/>
        <v>465.35765575501586</v>
      </c>
      <c r="G181" s="129">
        <f t="shared" si="4"/>
        <v>465.35765575501586</v>
      </c>
      <c r="H181" s="129">
        <f t="shared" si="4"/>
        <v>465.35765575501586</v>
      </c>
      <c r="I181" s="129">
        <f t="shared" si="4"/>
        <v>465.35765575501586</v>
      </c>
      <c r="J181" s="129">
        <f t="shared" si="4"/>
        <v>465.35765575501586</v>
      </c>
      <c r="K181" s="129">
        <f t="shared" si="4"/>
        <v>465.35765575501586</v>
      </c>
      <c r="L181" s="129">
        <f t="shared" si="4"/>
        <v>500.19119401966969</v>
      </c>
      <c r="M181" s="129">
        <f t="shared" si="4"/>
        <v>465.35765575501586</v>
      </c>
      <c r="N181" s="129">
        <f t="shared" si="4"/>
        <v>469.58765575501593</v>
      </c>
      <c r="O181" s="129">
        <f t="shared" si="4"/>
        <v>469.58765575501593</v>
      </c>
      <c r="P181" s="129">
        <f t="shared" si="4"/>
        <v>469.58765575501593</v>
      </c>
      <c r="Q181" s="129">
        <f t="shared" si="4"/>
        <v>469.58765575501593</v>
      </c>
      <c r="R181" s="129">
        <f t="shared" si="4"/>
        <v>465.35765575501586</v>
      </c>
      <c r="S181" s="129">
        <f t="shared" si="4"/>
        <v>465.35765575501586</v>
      </c>
      <c r="T181" s="129">
        <f t="shared" si="4"/>
        <v>465.35765575501586</v>
      </c>
      <c r="U181" s="129">
        <f t="shared" si="4"/>
        <v>465.35765575501586</v>
      </c>
      <c r="V181" s="129">
        <f t="shared" si="4"/>
        <v>469.58765575501593</v>
      </c>
      <c r="W181" s="129">
        <f t="shared" si="4"/>
        <v>469.58765575501593</v>
      </c>
      <c r="X181" s="129">
        <f t="shared" si="4"/>
        <v>469.58765575501593</v>
      </c>
      <c r="Y181" s="129">
        <f t="shared" si="4"/>
        <v>469.58765575501593</v>
      </c>
      <c r="Z181" s="129">
        <f t="shared" si="4"/>
        <v>465.35765575501586</v>
      </c>
      <c r="AA181" s="129">
        <f t="shared" si="4"/>
        <v>465.35765575501586</v>
      </c>
      <c r="AB181" s="129">
        <f t="shared" si="4"/>
        <v>465.35765575501586</v>
      </c>
      <c r="AC181" s="129">
        <f t="shared" si="4"/>
        <v>465.35765575501586</v>
      </c>
      <c r="AD181" s="129">
        <f t="shared" si="4"/>
        <v>469.58765575501593</v>
      </c>
      <c r="AE181" s="129">
        <f t="shared" si="4"/>
        <v>469.58765575501593</v>
      </c>
      <c r="AF181" s="129">
        <f t="shared" si="4"/>
        <v>469.58765575501593</v>
      </c>
      <c r="AG181" s="129">
        <f t="shared" si="4"/>
        <v>469.58765575501593</v>
      </c>
      <c r="AH181" s="129">
        <f t="shared" si="4"/>
        <v>465.35765575501586</v>
      </c>
      <c r="AI181" s="129">
        <f t="shared" si="4"/>
        <v>465.35765575501586</v>
      </c>
      <c r="AJ181" s="129">
        <f t="shared" si="4"/>
        <v>465.35765575501586</v>
      </c>
      <c r="AK181" s="129">
        <f t="shared" si="4"/>
        <v>465.35765575501586</v>
      </c>
      <c r="AL181" s="129">
        <f t="shared" si="4"/>
        <v>465.35765575501586</v>
      </c>
      <c r="AM181" s="129">
        <f t="shared" si="4"/>
        <v>465.35765575501586</v>
      </c>
      <c r="AN181" s="129">
        <f t="shared" si="4"/>
        <v>506.63157338965163</v>
      </c>
      <c r="AO181" s="129">
        <f t="shared" si="4"/>
        <v>506.63157338965163</v>
      </c>
      <c r="AP181" s="129">
        <f t="shared" si="4"/>
        <v>506.63157338965163</v>
      </c>
      <c r="AQ181" s="129">
        <f t="shared" si="4"/>
        <v>506.63157338965163</v>
      </c>
      <c r="AR181" s="129">
        <f t="shared" si="4"/>
        <v>506.63157338965163</v>
      </c>
      <c r="AS181" s="129">
        <f t="shared" si="4"/>
        <v>506.63157338965163</v>
      </c>
      <c r="AT181" s="129">
        <f t="shared" si="4"/>
        <v>502.40157338965162</v>
      </c>
      <c r="AU181" s="129">
        <f t="shared" si="4"/>
        <v>502.40157338965162</v>
      </c>
      <c r="AV181" s="129">
        <f t="shared" si="4"/>
        <v>461.12765575501595</v>
      </c>
      <c r="AW181" s="129">
        <f t="shared" si="4"/>
        <v>461.12765575501595</v>
      </c>
      <c r="AX181" s="129">
        <f t="shared" si="4"/>
        <v>465.35765575501586</v>
      </c>
      <c r="AY181" s="129">
        <f t="shared" si="4"/>
        <v>465.35765575501586</v>
      </c>
    </row>
    <row r="182" spans="1:51" x14ac:dyDescent="0.2">
      <c r="A182" s="130"/>
      <c r="B182" s="141" t="s">
        <v>301</v>
      </c>
      <c r="C182" s="130" t="s">
        <v>295</v>
      </c>
      <c r="D182" s="130">
        <v>423.0576557550159</v>
      </c>
      <c r="E182" s="130">
        <v>423.0576557550159</v>
      </c>
      <c r="F182" s="130">
        <v>465.35765575501586</v>
      </c>
      <c r="G182" s="130">
        <v>465.35765575501586</v>
      </c>
      <c r="H182" s="130">
        <v>465.35765575501586</v>
      </c>
      <c r="I182" s="130">
        <v>465.35765575501586</v>
      </c>
      <c r="J182" s="130">
        <v>465.35765575501586</v>
      </c>
      <c r="K182" s="130">
        <v>426.65372434984499</v>
      </c>
      <c r="L182" s="130">
        <v>500.19119401966969</v>
      </c>
      <c r="M182" s="130">
        <v>465.35765575501586</v>
      </c>
      <c r="N182" s="130">
        <v>469.58765575501593</v>
      </c>
      <c r="O182" s="130">
        <v>469.58765575501593</v>
      </c>
      <c r="P182" s="130">
        <v>469.58765575501593</v>
      </c>
      <c r="Q182" s="130">
        <v>469.58765575501593</v>
      </c>
      <c r="R182" s="130">
        <v>465.35765575501586</v>
      </c>
      <c r="S182" s="130">
        <v>465.35765575501586</v>
      </c>
      <c r="T182" s="130">
        <v>465.35765575501586</v>
      </c>
      <c r="U182" s="130">
        <v>465.35765575501586</v>
      </c>
      <c r="V182" s="130">
        <v>469.58765575501593</v>
      </c>
      <c r="W182" s="130">
        <v>469.58765575501593</v>
      </c>
      <c r="X182" s="130">
        <v>469.58765575501593</v>
      </c>
      <c r="Y182" s="130">
        <v>469.58765575501593</v>
      </c>
      <c r="Z182" s="130">
        <v>465.35765575501586</v>
      </c>
      <c r="AA182" s="130">
        <v>465.35765575501586</v>
      </c>
      <c r="AB182" s="130">
        <v>465.35765575501586</v>
      </c>
      <c r="AC182" s="130">
        <v>465.35765575501586</v>
      </c>
      <c r="AD182" s="130">
        <v>469.58765575501593</v>
      </c>
      <c r="AE182" s="130">
        <v>469.58765575501593</v>
      </c>
      <c r="AF182" s="130">
        <v>469.58765575501593</v>
      </c>
      <c r="AG182" s="130">
        <v>469.58765575501593</v>
      </c>
      <c r="AH182" s="130">
        <v>465.35765575501586</v>
      </c>
      <c r="AI182" s="130">
        <v>465.35765575501586</v>
      </c>
      <c r="AJ182" s="130">
        <v>465.35765575501586</v>
      </c>
      <c r="AK182" s="130">
        <v>465.35765575501586</v>
      </c>
      <c r="AL182" s="130">
        <v>465.35765575501586</v>
      </c>
      <c r="AM182" s="130">
        <v>465.35765575501586</v>
      </c>
      <c r="AN182" s="130">
        <v>506.63157338965163</v>
      </c>
      <c r="AO182" s="130">
        <v>506.63157338965163</v>
      </c>
      <c r="AP182" s="130">
        <v>506.63157338965163</v>
      </c>
      <c r="AQ182" s="130">
        <v>506.63157338965163</v>
      </c>
      <c r="AR182" s="130">
        <v>506.63157338965163</v>
      </c>
      <c r="AS182" s="130">
        <v>506.63157338965163</v>
      </c>
      <c r="AT182" s="130">
        <v>502.40157338965162</v>
      </c>
      <c r="AU182" s="130">
        <v>502.40157338965162</v>
      </c>
      <c r="AV182" s="130">
        <v>461.12765575501595</v>
      </c>
      <c r="AW182" s="130">
        <v>461.12765575501595</v>
      </c>
      <c r="AX182" s="130">
        <v>465.35765575501586</v>
      </c>
      <c r="AY182" s="130">
        <v>465.35765575501586</v>
      </c>
    </row>
    <row r="184" spans="1:51" x14ac:dyDescent="0.2">
      <c r="A184" s="107" t="s">
        <v>302</v>
      </c>
    </row>
    <row r="185" spans="1:51" x14ac:dyDescent="0.2">
      <c r="A185" s="131" t="s">
        <v>125</v>
      </c>
      <c r="B185" s="128">
        <v>1</v>
      </c>
      <c r="C185" s="129"/>
      <c r="D185" s="129">
        <v>180</v>
      </c>
      <c r="E185" s="129">
        <v>145</v>
      </c>
      <c r="F185" s="129">
        <v>136</v>
      </c>
      <c r="G185" s="129">
        <v>172</v>
      </c>
      <c r="H185" s="129">
        <v>196</v>
      </c>
      <c r="I185" s="129">
        <v>196</v>
      </c>
      <c r="J185" s="129">
        <v>196</v>
      </c>
      <c r="K185" s="129">
        <v>196</v>
      </c>
      <c r="L185" s="129">
        <v>215.60000000000002</v>
      </c>
      <c r="M185" s="129">
        <v>215.60000000000002</v>
      </c>
      <c r="N185" s="129">
        <v>215.60000000000002</v>
      </c>
      <c r="O185" s="129">
        <v>162</v>
      </c>
      <c r="P185" s="129">
        <v>166.39999999999998</v>
      </c>
      <c r="Q185" s="129">
        <v>129.39999999999998</v>
      </c>
      <c r="R185" s="129">
        <v>173.39999999999998</v>
      </c>
      <c r="S185" s="129">
        <v>185.39999999999998</v>
      </c>
      <c r="T185" s="129">
        <v>184.39999999999998</v>
      </c>
      <c r="U185" s="129">
        <v>187.79999999999995</v>
      </c>
      <c r="V185" s="129">
        <v>141.19999999999993</v>
      </c>
      <c r="W185" s="129">
        <v>173.59999999999991</v>
      </c>
      <c r="X185" s="129">
        <v>174.99999999999989</v>
      </c>
      <c r="Y185" s="129">
        <v>142.99999999999989</v>
      </c>
      <c r="Z185" s="129">
        <v>191.99999999999989</v>
      </c>
      <c r="AA185" s="129">
        <v>180.99999999999989</v>
      </c>
      <c r="AB185" s="129">
        <v>208.99999999999989</v>
      </c>
      <c r="AC185" s="129">
        <v>180.39999999999986</v>
      </c>
      <c r="AD185" s="129">
        <v>176.79999999999984</v>
      </c>
      <c r="AE185" s="129">
        <v>211.19999999999982</v>
      </c>
      <c r="AF185" s="129">
        <v>173.5999999999998</v>
      </c>
      <c r="AG185" s="129">
        <v>145.5999999999998</v>
      </c>
      <c r="AH185" s="129">
        <v>111.5999999999998</v>
      </c>
      <c r="AI185" s="129">
        <v>83.599999999999795</v>
      </c>
      <c r="AJ185" s="129">
        <v>129.5999999999998</v>
      </c>
      <c r="AK185" s="129">
        <v>162.5999999999998</v>
      </c>
      <c r="AL185" s="129">
        <v>156.5999999999998</v>
      </c>
      <c r="AM185" s="129">
        <v>177.5999999999998</v>
      </c>
      <c r="AN185" s="129">
        <v>196</v>
      </c>
      <c r="AO185" s="129">
        <v>196</v>
      </c>
      <c r="AP185" s="129">
        <v>196</v>
      </c>
      <c r="AQ185" s="129">
        <v>196</v>
      </c>
      <c r="AR185" s="129">
        <v>176.4</v>
      </c>
      <c r="AS185" s="129">
        <v>161</v>
      </c>
      <c r="AT185" s="129">
        <v>176.4</v>
      </c>
      <c r="AU185" s="129">
        <v>176.4</v>
      </c>
      <c r="AV185" s="129">
        <v>196</v>
      </c>
      <c r="AW185" s="129">
        <v>196</v>
      </c>
      <c r="AX185" s="129">
        <v>196</v>
      </c>
      <c r="AY185" s="129">
        <v>196</v>
      </c>
    </row>
    <row r="186" spans="1:51" x14ac:dyDescent="0.2">
      <c r="A186" s="114"/>
      <c r="B186" s="125">
        <v>2</v>
      </c>
      <c r="C186" s="111"/>
      <c r="D186" s="111">
        <v>0</v>
      </c>
      <c r="E186" s="111">
        <v>16</v>
      </c>
      <c r="F186" s="111">
        <v>51</v>
      </c>
      <c r="G186" s="111">
        <v>60</v>
      </c>
      <c r="H186" s="111">
        <v>24</v>
      </c>
      <c r="I186" s="111">
        <v>0</v>
      </c>
      <c r="J186" s="111">
        <v>0</v>
      </c>
      <c r="K186" s="111">
        <v>0</v>
      </c>
      <c r="L186" s="111">
        <v>0</v>
      </c>
      <c r="M186" s="111">
        <v>0</v>
      </c>
      <c r="N186" s="111">
        <v>0</v>
      </c>
      <c r="O186" s="111">
        <v>0</v>
      </c>
      <c r="P186" s="111">
        <v>53.600000000000023</v>
      </c>
      <c r="Q186" s="111">
        <v>29.600000000000023</v>
      </c>
      <c r="R186" s="111">
        <v>66.600000000000023</v>
      </c>
      <c r="S186" s="111">
        <v>22.600000000000023</v>
      </c>
      <c r="T186" s="111">
        <v>10.600000000000023</v>
      </c>
      <c r="U186" s="111">
        <v>31.200000000000045</v>
      </c>
      <c r="V186" s="111">
        <v>27.800000000000068</v>
      </c>
      <c r="W186" s="111">
        <v>74.400000000000091</v>
      </c>
      <c r="X186" s="111">
        <v>42.000000000000114</v>
      </c>
      <c r="Y186" s="111">
        <v>21.000000000000114</v>
      </c>
      <c r="Z186" s="111">
        <v>53.000000000000114</v>
      </c>
      <c r="AA186" s="111">
        <v>4.0000000000001137</v>
      </c>
      <c r="AB186" s="111">
        <v>15.000000000000114</v>
      </c>
      <c r="AC186" s="111">
        <v>6.6000000000001364</v>
      </c>
      <c r="AD186" s="111">
        <v>35.200000000000159</v>
      </c>
      <c r="AE186" s="111">
        <v>38.800000000000182</v>
      </c>
      <c r="AF186" s="111">
        <v>4.4000000000002046</v>
      </c>
      <c r="AG186" s="111">
        <v>22.400000000000205</v>
      </c>
      <c r="AH186" s="111">
        <v>50.400000000000205</v>
      </c>
      <c r="AI186" s="111">
        <v>84.400000000000205</v>
      </c>
      <c r="AJ186" s="111">
        <v>112.4000000000002</v>
      </c>
      <c r="AK186" s="111">
        <v>66.400000000000205</v>
      </c>
      <c r="AL186" s="111">
        <v>33.400000000000205</v>
      </c>
      <c r="AM186" s="111">
        <v>39.400000000000205</v>
      </c>
      <c r="AN186" s="111">
        <v>18.400000000000205</v>
      </c>
      <c r="AO186" s="111">
        <v>0</v>
      </c>
      <c r="AP186" s="111">
        <v>0</v>
      </c>
      <c r="AQ186" s="111">
        <v>0</v>
      </c>
      <c r="AR186" s="111">
        <v>0</v>
      </c>
      <c r="AS186" s="111">
        <v>0</v>
      </c>
      <c r="AT186" s="111">
        <v>15.400000000000006</v>
      </c>
      <c r="AU186" s="111">
        <v>0</v>
      </c>
      <c r="AV186" s="111">
        <v>0</v>
      </c>
      <c r="AW186" s="111">
        <v>0</v>
      </c>
      <c r="AX186" s="111">
        <v>0</v>
      </c>
      <c r="AY186" s="111">
        <v>0</v>
      </c>
    </row>
    <row r="187" spans="1:51" x14ac:dyDescent="0.2">
      <c r="A187" s="114"/>
      <c r="B187" s="132">
        <v>3</v>
      </c>
      <c r="C187" s="111"/>
      <c r="D187" s="111">
        <v>0</v>
      </c>
      <c r="E187" s="111">
        <v>0</v>
      </c>
      <c r="F187" s="111">
        <v>0</v>
      </c>
      <c r="G187" s="111">
        <v>0</v>
      </c>
      <c r="H187" s="111">
        <v>0</v>
      </c>
      <c r="I187" s="111">
        <v>0</v>
      </c>
      <c r="J187" s="111">
        <v>0</v>
      </c>
      <c r="K187" s="111">
        <v>0</v>
      </c>
      <c r="L187" s="111">
        <v>0</v>
      </c>
      <c r="M187" s="111">
        <v>0</v>
      </c>
      <c r="N187" s="111">
        <v>0</v>
      </c>
      <c r="O187" s="111">
        <v>0</v>
      </c>
      <c r="P187" s="111">
        <v>0</v>
      </c>
      <c r="Q187" s="111">
        <v>0</v>
      </c>
      <c r="R187" s="111">
        <v>0</v>
      </c>
      <c r="S187" s="111">
        <v>0</v>
      </c>
      <c r="T187" s="111">
        <v>0</v>
      </c>
      <c r="U187" s="111">
        <v>0</v>
      </c>
      <c r="V187" s="111">
        <v>0</v>
      </c>
      <c r="W187" s="111">
        <v>0</v>
      </c>
      <c r="X187" s="111">
        <v>0</v>
      </c>
      <c r="Y187" s="111">
        <v>0</v>
      </c>
      <c r="Z187" s="111">
        <v>0</v>
      </c>
      <c r="AA187" s="111">
        <v>0</v>
      </c>
      <c r="AB187" s="111">
        <v>0</v>
      </c>
      <c r="AC187" s="111">
        <v>0</v>
      </c>
      <c r="AD187" s="111">
        <v>0</v>
      </c>
      <c r="AE187" s="111">
        <v>0</v>
      </c>
      <c r="AF187" s="111">
        <v>0</v>
      </c>
      <c r="AG187" s="111">
        <v>0</v>
      </c>
      <c r="AH187" s="111">
        <v>0</v>
      </c>
      <c r="AI187" s="111">
        <v>0</v>
      </c>
      <c r="AJ187" s="111">
        <v>0</v>
      </c>
      <c r="AK187" s="111">
        <v>0</v>
      </c>
      <c r="AL187" s="111">
        <v>0</v>
      </c>
      <c r="AM187" s="111">
        <v>0</v>
      </c>
      <c r="AN187" s="111">
        <v>0</v>
      </c>
      <c r="AO187" s="111">
        <v>0</v>
      </c>
      <c r="AP187" s="111">
        <v>0</v>
      </c>
      <c r="AQ187" s="111">
        <v>0</v>
      </c>
      <c r="AR187" s="111">
        <v>0</v>
      </c>
      <c r="AS187" s="111">
        <v>0</v>
      </c>
      <c r="AT187" s="111">
        <v>0</v>
      </c>
      <c r="AU187" s="111">
        <v>0</v>
      </c>
      <c r="AV187" s="111">
        <v>0</v>
      </c>
      <c r="AW187" s="111">
        <v>0</v>
      </c>
      <c r="AX187" s="111">
        <v>0</v>
      </c>
      <c r="AY187" s="111">
        <v>0</v>
      </c>
    </row>
    <row r="188" spans="1:51" x14ac:dyDescent="0.2">
      <c r="A188" s="133"/>
      <c r="B188" s="134">
        <v>4</v>
      </c>
      <c r="C188" s="111"/>
      <c r="D188" s="111">
        <v>0</v>
      </c>
      <c r="E188" s="111">
        <v>0</v>
      </c>
      <c r="F188" s="111">
        <v>0</v>
      </c>
      <c r="G188" s="111">
        <v>0</v>
      </c>
      <c r="H188" s="111">
        <v>0</v>
      </c>
      <c r="I188" s="111">
        <v>0</v>
      </c>
      <c r="J188" s="111">
        <v>0</v>
      </c>
      <c r="K188" s="111">
        <v>0</v>
      </c>
      <c r="L188" s="111">
        <v>0</v>
      </c>
      <c r="M188" s="111">
        <v>0</v>
      </c>
      <c r="N188" s="111">
        <v>0</v>
      </c>
      <c r="O188" s="111">
        <v>0</v>
      </c>
      <c r="P188" s="111">
        <v>0</v>
      </c>
      <c r="Q188" s="111">
        <v>0</v>
      </c>
      <c r="R188" s="111">
        <v>0</v>
      </c>
      <c r="S188" s="111">
        <v>0</v>
      </c>
      <c r="T188" s="111">
        <v>0</v>
      </c>
      <c r="U188" s="111">
        <v>0</v>
      </c>
      <c r="V188" s="111">
        <v>0</v>
      </c>
      <c r="W188" s="111">
        <v>0</v>
      </c>
      <c r="X188" s="111">
        <v>0</v>
      </c>
      <c r="Y188" s="111">
        <v>0</v>
      </c>
      <c r="Z188" s="111">
        <v>0</v>
      </c>
      <c r="AA188" s="111">
        <v>0</v>
      </c>
      <c r="AB188" s="111">
        <v>0</v>
      </c>
      <c r="AC188" s="111">
        <v>0</v>
      </c>
      <c r="AD188" s="111">
        <v>0</v>
      </c>
      <c r="AE188" s="111">
        <v>0</v>
      </c>
      <c r="AF188" s="111">
        <v>0</v>
      </c>
      <c r="AG188" s="111">
        <v>0</v>
      </c>
      <c r="AH188" s="111">
        <v>0</v>
      </c>
      <c r="AI188" s="111">
        <v>0</v>
      </c>
      <c r="AJ188" s="111">
        <v>0</v>
      </c>
      <c r="AK188" s="111">
        <v>0</v>
      </c>
      <c r="AL188" s="111">
        <v>0</v>
      </c>
      <c r="AM188" s="111">
        <v>0</v>
      </c>
      <c r="AN188" s="111">
        <v>0</v>
      </c>
      <c r="AO188" s="111">
        <v>0</v>
      </c>
      <c r="AP188" s="111">
        <v>0</v>
      </c>
      <c r="AQ188" s="111">
        <v>0</v>
      </c>
      <c r="AR188" s="111">
        <v>0</v>
      </c>
      <c r="AS188" s="111">
        <v>0</v>
      </c>
      <c r="AT188" s="111">
        <v>0</v>
      </c>
      <c r="AU188" s="111">
        <v>0</v>
      </c>
      <c r="AV188" s="111">
        <v>0</v>
      </c>
      <c r="AW188" s="111">
        <v>0</v>
      </c>
      <c r="AX188" s="111">
        <v>0</v>
      </c>
      <c r="AY188" s="111">
        <v>0</v>
      </c>
    </row>
    <row r="189" spans="1:51" x14ac:dyDescent="0.2">
      <c r="A189" s="131" t="s">
        <v>133</v>
      </c>
      <c r="B189" s="128">
        <v>1</v>
      </c>
      <c r="C189" s="129"/>
      <c r="D189" s="129">
        <v>0</v>
      </c>
      <c r="E189" s="129">
        <v>0</v>
      </c>
      <c r="F189" s="129">
        <v>146.00000000000003</v>
      </c>
      <c r="G189" s="129">
        <v>125</v>
      </c>
      <c r="H189" s="129">
        <v>137.99999999999997</v>
      </c>
      <c r="I189" s="129">
        <v>146.00000000000003</v>
      </c>
      <c r="J189" s="129">
        <v>146.00000000000003</v>
      </c>
      <c r="K189" s="129">
        <v>130</v>
      </c>
      <c r="L189" s="129">
        <v>108.99999999999997</v>
      </c>
      <c r="M189" s="129">
        <v>95.999999999999943</v>
      </c>
      <c r="N189" s="129">
        <v>160.60000000000005</v>
      </c>
      <c r="O189" s="129">
        <v>127</v>
      </c>
      <c r="P189" s="129">
        <v>112.39999999999995</v>
      </c>
      <c r="Q189" s="129">
        <v>123.7999999999999</v>
      </c>
      <c r="R189" s="129">
        <v>113.19999999999985</v>
      </c>
      <c r="S189" s="129">
        <v>146.00000000000003</v>
      </c>
      <c r="T189" s="129">
        <v>132</v>
      </c>
      <c r="U189" s="129">
        <v>112.99999999999997</v>
      </c>
      <c r="V189" s="129">
        <v>139.99999999999994</v>
      </c>
      <c r="W189" s="129">
        <v>116.39999999999989</v>
      </c>
      <c r="X189" s="129">
        <v>76.799999999999841</v>
      </c>
      <c r="Y189" s="129">
        <v>67.19999999999979</v>
      </c>
      <c r="Z189" s="129">
        <v>84.599999999999739</v>
      </c>
      <c r="AA189" s="129">
        <v>98.59999999999971</v>
      </c>
      <c r="AB189" s="129">
        <v>71.599999999999682</v>
      </c>
      <c r="AC189" s="129">
        <v>143.59999999999965</v>
      </c>
      <c r="AD189" s="129">
        <v>138.59999999999962</v>
      </c>
      <c r="AE189" s="129">
        <v>131.99999999999957</v>
      </c>
      <c r="AF189" s="129">
        <v>151.39999999999952</v>
      </c>
      <c r="AG189" s="129">
        <v>160.60000000000005</v>
      </c>
      <c r="AH189" s="129">
        <v>146.00000000000003</v>
      </c>
      <c r="AI189" s="129">
        <v>146.00000000000003</v>
      </c>
      <c r="AJ189" s="129">
        <v>146.00000000000003</v>
      </c>
      <c r="AK189" s="129">
        <v>146.00000000000003</v>
      </c>
      <c r="AL189" s="129">
        <v>146.00000000000003</v>
      </c>
      <c r="AM189" s="129">
        <v>141</v>
      </c>
      <c r="AN189" s="129">
        <v>122.99999999999997</v>
      </c>
      <c r="AO189" s="129">
        <v>146.00000000000003</v>
      </c>
      <c r="AP189" s="129">
        <v>146.00000000000003</v>
      </c>
      <c r="AQ189" s="129">
        <v>146.00000000000003</v>
      </c>
      <c r="AR189" s="129">
        <v>146.00000000000003</v>
      </c>
      <c r="AS189" s="129">
        <v>146.00000000000003</v>
      </c>
      <c r="AT189" s="129">
        <v>131.4</v>
      </c>
      <c r="AU189" s="129">
        <v>131.4</v>
      </c>
      <c r="AV189" s="129">
        <v>131.4</v>
      </c>
      <c r="AW189" s="129">
        <v>131.4</v>
      </c>
      <c r="AX189" s="129">
        <v>146.00000000000003</v>
      </c>
      <c r="AY189" s="129">
        <v>146.00000000000003</v>
      </c>
    </row>
    <row r="190" spans="1:51" x14ac:dyDescent="0.2">
      <c r="A190" s="114"/>
      <c r="B190" s="124">
        <v>2</v>
      </c>
      <c r="C190" s="111"/>
      <c r="D190" s="111">
        <v>0</v>
      </c>
      <c r="E190" s="111">
        <v>0</v>
      </c>
      <c r="F190" s="111">
        <v>0</v>
      </c>
      <c r="G190" s="111">
        <v>0</v>
      </c>
      <c r="H190" s="111">
        <v>21.000000000000028</v>
      </c>
      <c r="I190" s="111">
        <v>8.0000000000000568</v>
      </c>
      <c r="J190" s="111">
        <v>0</v>
      </c>
      <c r="K190" s="111">
        <v>0</v>
      </c>
      <c r="L190" s="111">
        <v>16.000000000000028</v>
      </c>
      <c r="M190" s="111">
        <v>37.000000000000057</v>
      </c>
      <c r="N190" s="111">
        <v>50.000000000000085</v>
      </c>
      <c r="O190" s="111">
        <v>0</v>
      </c>
      <c r="P190" s="111">
        <v>33.600000000000051</v>
      </c>
      <c r="Q190" s="111">
        <v>48.200000000000102</v>
      </c>
      <c r="R190" s="111">
        <v>36.800000000000153</v>
      </c>
      <c r="S190" s="111">
        <v>32.800000000000182</v>
      </c>
      <c r="T190" s="111">
        <v>0</v>
      </c>
      <c r="U190" s="111">
        <v>14.000000000000028</v>
      </c>
      <c r="V190" s="111">
        <v>33.000000000000057</v>
      </c>
      <c r="W190" s="111">
        <v>20.600000000000108</v>
      </c>
      <c r="X190" s="111">
        <v>44.200000000000159</v>
      </c>
      <c r="Y190" s="111">
        <v>83.80000000000021</v>
      </c>
      <c r="Z190" s="111">
        <v>93.400000000000261</v>
      </c>
      <c r="AA190" s="111">
        <v>61.40000000000029</v>
      </c>
      <c r="AB190" s="111">
        <v>47.400000000000318</v>
      </c>
      <c r="AC190" s="111">
        <v>74.400000000000347</v>
      </c>
      <c r="AD190" s="111">
        <v>2.4000000000003752</v>
      </c>
      <c r="AE190" s="111">
        <v>22.000000000000426</v>
      </c>
      <c r="AF190" s="111">
        <v>28.600000000000477</v>
      </c>
      <c r="AG190" s="111">
        <v>9.2000000000005286</v>
      </c>
      <c r="AH190" s="111">
        <v>0</v>
      </c>
      <c r="AI190" s="111">
        <v>0</v>
      </c>
      <c r="AJ190" s="111">
        <v>0</v>
      </c>
      <c r="AK190" s="111">
        <v>0</v>
      </c>
      <c r="AL190" s="111">
        <v>0</v>
      </c>
      <c r="AM190" s="111">
        <v>0</v>
      </c>
      <c r="AN190" s="111">
        <v>5.0000000000000284</v>
      </c>
      <c r="AO190" s="111">
        <v>23.000000000000057</v>
      </c>
      <c r="AP190" s="111">
        <v>0</v>
      </c>
      <c r="AQ190" s="111">
        <v>0</v>
      </c>
      <c r="AR190" s="111">
        <v>0</v>
      </c>
      <c r="AS190" s="111">
        <v>0</v>
      </c>
      <c r="AT190" s="111">
        <v>0</v>
      </c>
      <c r="AU190" s="111">
        <v>0</v>
      </c>
      <c r="AV190" s="111">
        <v>0</v>
      </c>
      <c r="AW190" s="111">
        <v>0</v>
      </c>
      <c r="AX190" s="111">
        <v>0</v>
      </c>
      <c r="AY190" s="111">
        <v>0</v>
      </c>
    </row>
    <row r="191" spans="1:51" x14ac:dyDescent="0.2">
      <c r="A191" s="114"/>
      <c r="B191" s="125">
        <v>3</v>
      </c>
      <c r="C191" s="111"/>
      <c r="D191" s="111">
        <v>0</v>
      </c>
      <c r="E191" s="111">
        <v>0</v>
      </c>
      <c r="F191" s="111">
        <v>0</v>
      </c>
      <c r="G191" s="111">
        <v>0</v>
      </c>
      <c r="H191" s="111">
        <v>0</v>
      </c>
      <c r="I191" s="111">
        <v>0</v>
      </c>
      <c r="J191" s="111">
        <v>0</v>
      </c>
      <c r="K191" s="111">
        <v>0</v>
      </c>
      <c r="L191" s="111">
        <v>0</v>
      </c>
      <c r="M191" s="111">
        <v>0</v>
      </c>
      <c r="N191" s="111">
        <v>0</v>
      </c>
      <c r="O191" s="111">
        <v>0</v>
      </c>
      <c r="P191" s="111">
        <v>0</v>
      </c>
      <c r="Q191" s="111">
        <v>0</v>
      </c>
      <c r="R191" s="111">
        <v>0</v>
      </c>
      <c r="S191" s="111">
        <v>0</v>
      </c>
      <c r="T191" s="111">
        <v>0</v>
      </c>
      <c r="U191" s="111">
        <v>0</v>
      </c>
      <c r="V191" s="111">
        <v>0</v>
      </c>
      <c r="W191" s="111">
        <v>0</v>
      </c>
      <c r="X191" s="111">
        <v>0</v>
      </c>
      <c r="Y191" s="111">
        <v>0</v>
      </c>
      <c r="Z191" s="111">
        <v>0</v>
      </c>
      <c r="AA191" s="111">
        <v>0</v>
      </c>
      <c r="AB191" s="111">
        <v>0</v>
      </c>
      <c r="AC191" s="111">
        <v>0</v>
      </c>
      <c r="AD191" s="111">
        <v>0</v>
      </c>
      <c r="AE191" s="111">
        <v>0</v>
      </c>
      <c r="AF191" s="111">
        <v>0</v>
      </c>
      <c r="AG191" s="111">
        <v>0</v>
      </c>
      <c r="AH191" s="111">
        <v>0</v>
      </c>
      <c r="AI191" s="111">
        <v>0</v>
      </c>
      <c r="AJ191" s="111">
        <v>0</v>
      </c>
      <c r="AK191" s="111">
        <v>0</v>
      </c>
      <c r="AL191" s="111">
        <v>0</v>
      </c>
      <c r="AM191" s="111">
        <v>0</v>
      </c>
      <c r="AN191" s="111">
        <v>0</v>
      </c>
      <c r="AO191" s="111">
        <v>0</v>
      </c>
      <c r="AP191" s="111">
        <v>0</v>
      </c>
      <c r="AQ191" s="111">
        <v>0</v>
      </c>
      <c r="AR191" s="111">
        <v>0</v>
      </c>
      <c r="AS191" s="111">
        <v>0</v>
      </c>
      <c r="AT191" s="111">
        <v>0</v>
      </c>
      <c r="AU191" s="111">
        <v>0</v>
      </c>
      <c r="AV191" s="111">
        <v>0</v>
      </c>
      <c r="AW191" s="111">
        <v>0</v>
      </c>
      <c r="AX191" s="111">
        <v>0</v>
      </c>
      <c r="AY191" s="111">
        <v>0</v>
      </c>
    </row>
    <row r="192" spans="1:51" x14ac:dyDescent="0.2">
      <c r="A192" s="114"/>
      <c r="B192" s="125">
        <v>4</v>
      </c>
      <c r="C192" s="111"/>
      <c r="D192" s="111">
        <v>0</v>
      </c>
      <c r="E192" s="111">
        <v>0</v>
      </c>
      <c r="F192" s="111">
        <v>0</v>
      </c>
      <c r="G192" s="111">
        <v>0</v>
      </c>
      <c r="H192" s="111">
        <v>0</v>
      </c>
      <c r="I192" s="111">
        <v>0</v>
      </c>
      <c r="J192" s="111">
        <v>0</v>
      </c>
      <c r="K192" s="111">
        <v>0</v>
      </c>
      <c r="L192" s="111">
        <v>0</v>
      </c>
      <c r="M192" s="111">
        <v>0</v>
      </c>
      <c r="N192" s="111">
        <v>0</v>
      </c>
      <c r="O192" s="111">
        <v>0</v>
      </c>
      <c r="P192" s="111">
        <v>0</v>
      </c>
      <c r="Q192" s="111">
        <v>0</v>
      </c>
      <c r="R192" s="111">
        <v>0</v>
      </c>
      <c r="S192" s="111">
        <v>0</v>
      </c>
      <c r="T192" s="111">
        <v>0</v>
      </c>
      <c r="U192" s="111">
        <v>0</v>
      </c>
      <c r="V192" s="111">
        <v>0</v>
      </c>
      <c r="W192" s="111">
        <v>0</v>
      </c>
      <c r="X192" s="111">
        <v>0</v>
      </c>
      <c r="Y192" s="111">
        <v>0</v>
      </c>
      <c r="Z192" s="111">
        <v>0</v>
      </c>
      <c r="AA192" s="111">
        <v>0</v>
      </c>
      <c r="AB192" s="111">
        <v>0</v>
      </c>
      <c r="AC192" s="111">
        <v>0</v>
      </c>
      <c r="AD192" s="111">
        <v>0</v>
      </c>
      <c r="AE192" s="111">
        <v>0</v>
      </c>
      <c r="AF192" s="111">
        <v>0</v>
      </c>
      <c r="AG192" s="111">
        <v>0</v>
      </c>
      <c r="AH192" s="111">
        <v>0</v>
      </c>
      <c r="AI192" s="111">
        <v>0</v>
      </c>
      <c r="AJ192" s="111">
        <v>0</v>
      </c>
      <c r="AK192" s="111">
        <v>0</v>
      </c>
      <c r="AL192" s="111">
        <v>0</v>
      </c>
      <c r="AM192" s="111">
        <v>0</v>
      </c>
      <c r="AN192" s="111">
        <v>0</v>
      </c>
      <c r="AO192" s="111">
        <v>0</v>
      </c>
      <c r="AP192" s="111">
        <v>0</v>
      </c>
      <c r="AQ192" s="111">
        <v>0</v>
      </c>
      <c r="AR192" s="111">
        <v>0</v>
      </c>
      <c r="AS192" s="111">
        <v>0</v>
      </c>
      <c r="AT192" s="111">
        <v>0</v>
      </c>
      <c r="AU192" s="111">
        <v>0</v>
      </c>
      <c r="AV192" s="111">
        <v>0</v>
      </c>
      <c r="AW192" s="111">
        <v>0</v>
      </c>
      <c r="AX192" s="111">
        <v>0</v>
      </c>
      <c r="AY192" s="111">
        <v>0</v>
      </c>
    </row>
    <row r="193" spans="1:51" x14ac:dyDescent="0.2">
      <c r="A193" s="114"/>
      <c r="B193" s="132">
        <v>5</v>
      </c>
      <c r="C193" s="111"/>
      <c r="D193" s="111">
        <v>0</v>
      </c>
      <c r="E193" s="111">
        <v>0</v>
      </c>
      <c r="F193" s="111">
        <v>0</v>
      </c>
      <c r="G193" s="111">
        <v>0</v>
      </c>
      <c r="H193" s="111">
        <v>0</v>
      </c>
      <c r="I193" s="111">
        <v>0</v>
      </c>
      <c r="J193" s="111">
        <v>0</v>
      </c>
      <c r="K193" s="111">
        <v>0</v>
      </c>
      <c r="L193" s="111">
        <v>0</v>
      </c>
      <c r="M193" s="111">
        <v>0</v>
      </c>
      <c r="N193" s="111">
        <v>0</v>
      </c>
      <c r="O193" s="111">
        <v>0</v>
      </c>
      <c r="P193" s="111">
        <v>0</v>
      </c>
      <c r="Q193" s="111">
        <v>0</v>
      </c>
      <c r="R193" s="111">
        <v>0</v>
      </c>
      <c r="S193" s="111">
        <v>0</v>
      </c>
      <c r="T193" s="111">
        <v>0</v>
      </c>
      <c r="U193" s="111">
        <v>0</v>
      </c>
      <c r="V193" s="111">
        <v>0</v>
      </c>
      <c r="W193" s="111">
        <v>0</v>
      </c>
      <c r="X193" s="111">
        <v>0</v>
      </c>
      <c r="Y193" s="111">
        <v>0</v>
      </c>
      <c r="Z193" s="111">
        <v>0</v>
      </c>
      <c r="AA193" s="111">
        <v>0</v>
      </c>
      <c r="AB193" s="111">
        <v>0</v>
      </c>
      <c r="AC193" s="111">
        <v>0</v>
      </c>
      <c r="AD193" s="111">
        <v>0</v>
      </c>
      <c r="AE193" s="111">
        <v>0</v>
      </c>
      <c r="AF193" s="111">
        <v>0</v>
      </c>
      <c r="AG193" s="111">
        <v>0</v>
      </c>
      <c r="AH193" s="111">
        <v>0</v>
      </c>
      <c r="AI193" s="111">
        <v>0</v>
      </c>
      <c r="AJ193" s="111">
        <v>0</v>
      </c>
      <c r="AK193" s="111">
        <v>0</v>
      </c>
      <c r="AL193" s="111">
        <v>0</v>
      </c>
      <c r="AM193" s="111">
        <v>0</v>
      </c>
      <c r="AN193" s="111">
        <v>0</v>
      </c>
      <c r="AO193" s="111">
        <v>0</v>
      </c>
      <c r="AP193" s="111">
        <v>0</v>
      </c>
      <c r="AQ193" s="111">
        <v>0</v>
      </c>
      <c r="AR193" s="111">
        <v>0</v>
      </c>
      <c r="AS193" s="111">
        <v>0</v>
      </c>
      <c r="AT193" s="111">
        <v>0</v>
      </c>
      <c r="AU193" s="111">
        <v>0</v>
      </c>
      <c r="AV193" s="111">
        <v>0</v>
      </c>
      <c r="AW193" s="111">
        <v>0</v>
      </c>
      <c r="AX193" s="111">
        <v>0</v>
      </c>
      <c r="AY193" s="111">
        <v>0</v>
      </c>
    </row>
    <row r="194" spans="1:51" x14ac:dyDescent="0.2">
      <c r="A194" s="114"/>
      <c r="B194" s="132">
        <v>6</v>
      </c>
      <c r="C194" s="111"/>
      <c r="D194" s="111">
        <v>0</v>
      </c>
      <c r="E194" s="111">
        <v>0</v>
      </c>
      <c r="F194" s="111">
        <v>0</v>
      </c>
      <c r="G194" s="111">
        <v>0</v>
      </c>
      <c r="H194" s="111">
        <v>0</v>
      </c>
      <c r="I194" s="111">
        <v>0</v>
      </c>
      <c r="J194" s="111">
        <v>0</v>
      </c>
      <c r="K194" s="111">
        <v>0</v>
      </c>
      <c r="L194" s="111">
        <v>0</v>
      </c>
      <c r="M194" s="111">
        <v>0</v>
      </c>
      <c r="N194" s="111">
        <v>0</v>
      </c>
      <c r="O194" s="111">
        <v>0</v>
      </c>
      <c r="P194" s="111">
        <v>0</v>
      </c>
      <c r="Q194" s="111">
        <v>0</v>
      </c>
      <c r="R194" s="111">
        <v>0</v>
      </c>
      <c r="S194" s="111">
        <v>0</v>
      </c>
      <c r="T194" s="111">
        <v>0</v>
      </c>
      <c r="U194" s="111">
        <v>0</v>
      </c>
      <c r="V194" s="111">
        <v>0</v>
      </c>
      <c r="W194" s="111">
        <v>0</v>
      </c>
      <c r="X194" s="111">
        <v>0</v>
      </c>
      <c r="Y194" s="111">
        <v>0</v>
      </c>
      <c r="Z194" s="111">
        <v>0</v>
      </c>
      <c r="AA194" s="111">
        <v>0</v>
      </c>
      <c r="AB194" s="111">
        <v>0</v>
      </c>
      <c r="AC194" s="111">
        <v>0</v>
      </c>
      <c r="AD194" s="111">
        <v>0</v>
      </c>
      <c r="AE194" s="111">
        <v>0</v>
      </c>
      <c r="AF194" s="111">
        <v>0</v>
      </c>
      <c r="AG194" s="111">
        <v>0</v>
      </c>
      <c r="AH194" s="111">
        <v>0</v>
      </c>
      <c r="AI194" s="111">
        <v>0</v>
      </c>
      <c r="AJ194" s="111">
        <v>0</v>
      </c>
      <c r="AK194" s="111">
        <v>0</v>
      </c>
      <c r="AL194" s="111">
        <v>0</v>
      </c>
      <c r="AM194" s="111">
        <v>0</v>
      </c>
      <c r="AN194" s="111">
        <v>0</v>
      </c>
      <c r="AO194" s="111">
        <v>0</v>
      </c>
      <c r="AP194" s="111">
        <v>0</v>
      </c>
      <c r="AQ194" s="111">
        <v>0</v>
      </c>
      <c r="AR194" s="111">
        <v>0</v>
      </c>
      <c r="AS194" s="111">
        <v>0</v>
      </c>
      <c r="AT194" s="111">
        <v>0</v>
      </c>
      <c r="AU194" s="111">
        <v>0</v>
      </c>
      <c r="AV194" s="111">
        <v>0</v>
      </c>
      <c r="AW194" s="111">
        <v>0</v>
      </c>
      <c r="AX194" s="111">
        <v>0</v>
      </c>
      <c r="AY194" s="111">
        <v>0</v>
      </c>
    </row>
    <row r="195" spans="1:51" x14ac:dyDescent="0.2">
      <c r="A195" s="114"/>
      <c r="B195" s="135">
        <v>7</v>
      </c>
      <c r="C195" s="111"/>
      <c r="D195" s="111">
        <v>0</v>
      </c>
      <c r="E195" s="111">
        <v>0</v>
      </c>
      <c r="F195" s="111">
        <v>0</v>
      </c>
      <c r="G195" s="111">
        <v>0</v>
      </c>
      <c r="H195" s="111">
        <v>0</v>
      </c>
      <c r="I195" s="111">
        <v>0</v>
      </c>
      <c r="J195" s="111">
        <v>0</v>
      </c>
      <c r="K195" s="111">
        <v>0</v>
      </c>
      <c r="L195" s="111">
        <v>0</v>
      </c>
      <c r="M195" s="111">
        <v>0</v>
      </c>
      <c r="N195" s="111">
        <v>0</v>
      </c>
      <c r="O195" s="111">
        <v>0</v>
      </c>
      <c r="P195" s="111">
        <v>0</v>
      </c>
      <c r="Q195" s="111">
        <v>0</v>
      </c>
      <c r="R195" s="111">
        <v>0</v>
      </c>
      <c r="S195" s="111">
        <v>0</v>
      </c>
      <c r="T195" s="111">
        <v>0</v>
      </c>
      <c r="U195" s="111">
        <v>0</v>
      </c>
      <c r="V195" s="111">
        <v>0</v>
      </c>
      <c r="W195" s="111">
        <v>0</v>
      </c>
      <c r="X195" s="111">
        <v>0</v>
      </c>
      <c r="Y195" s="111">
        <v>0</v>
      </c>
      <c r="Z195" s="111">
        <v>0</v>
      </c>
      <c r="AA195" s="111">
        <v>0</v>
      </c>
      <c r="AB195" s="111">
        <v>0</v>
      </c>
      <c r="AC195" s="111">
        <v>0</v>
      </c>
      <c r="AD195" s="111">
        <v>0</v>
      </c>
      <c r="AE195" s="111">
        <v>0</v>
      </c>
      <c r="AF195" s="111">
        <v>0</v>
      </c>
      <c r="AG195" s="111">
        <v>0</v>
      </c>
      <c r="AH195" s="111">
        <v>0</v>
      </c>
      <c r="AI195" s="111">
        <v>0</v>
      </c>
      <c r="AJ195" s="111">
        <v>0</v>
      </c>
      <c r="AK195" s="111">
        <v>0</v>
      </c>
      <c r="AL195" s="111">
        <v>0</v>
      </c>
      <c r="AM195" s="111">
        <v>0</v>
      </c>
      <c r="AN195" s="111">
        <v>0</v>
      </c>
      <c r="AO195" s="111">
        <v>0</v>
      </c>
      <c r="AP195" s="111">
        <v>0</v>
      </c>
      <c r="AQ195" s="111">
        <v>0</v>
      </c>
      <c r="AR195" s="111">
        <v>0</v>
      </c>
      <c r="AS195" s="111">
        <v>0</v>
      </c>
      <c r="AT195" s="111">
        <v>0</v>
      </c>
      <c r="AU195" s="111">
        <v>0</v>
      </c>
      <c r="AV195" s="111">
        <v>0</v>
      </c>
      <c r="AW195" s="111">
        <v>0</v>
      </c>
      <c r="AX195" s="111">
        <v>0</v>
      </c>
      <c r="AY195" s="111">
        <v>0</v>
      </c>
    </row>
    <row r="196" spans="1:51" x14ac:dyDescent="0.2">
      <c r="A196" s="133"/>
      <c r="B196" s="134">
        <v>8</v>
      </c>
      <c r="C196" s="119"/>
      <c r="D196" s="119">
        <v>0</v>
      </c>
      <c r="E196" s="119">
        <v>0</v>
      </c>
      <c r="F196" s="119">
        <v>0</v>
      </c>
      <c r="G196" s="119">
        <v>0</v>
      </c>
      <c r="H196" s="119">
        <v>0</v>
      </c>
      <c r="I196" s="119">
        <v>0</v>
      </c>
      <c r="J196" s="119">
        <v>0</v>
      </c>
      <c r="K196" s="119">
        <v>0</v>
      </c>
      <c r="L196" s="119">
        <v>0</v>
      </c>
      <c r="M196" s="119">
        <v>0</v>
      </c>
      <c r="N196" s="119">
        <v>0</v>
      </c>
      <c r="O196" s="119">
        <v>0</v>
      </c>
      <c r="P196" s="119">
        <v>0</v>
      </c>
      <c r="Q196" s="119">
        <v>0</v>
      </c>
      <c r="R196" s="119">
        <v>0</v>
      </c>
      <c r="S196" s="119">
        <v>0</v>
      </c>
      <c r="T196" s="119">
        <v>0</v>
      </c>
      <c r="U196" s="119">
        <v>0</v>
      </c>
      <c r="V196" s="119">
        <v>0</v>
      </c>
      <c r="W196" s="119">
        <v>0</v>
      </c>
      <c r="X196" s="119">
        <v>0</v>
      </c>
      <c r="Y196" s="119">
        <v>0</v>
      </c>
      <c r="Z196" s="119">
        <v>0</v>
      </c>
      <c r="AA196" s="119">
        <v>0</v>
      </c>
      <c r="AB196" s="119">
        <v>0</v>
      </c>
      <c r="AC196" s="119">
        <v>0</v>
      </c>
      <c r="AD196" s="119">
        <v>0</v>
      </c>
      <c r="AE196" s="119">
        <v>0</v>
      </c>
      <c r="AF196" s="119">
        <v>0</v>
      </c>
      <c r="AG196" s="119">
        <v>0</v>
      </c>
      <c r="AH196" s="119">
        <v>0</v>
      </c>
      <c r="AI196" s="119">
        <v>0</v>
      </c>
      <c r="AJ196" s="119">
        <v>0</v>
      </c>
      <c r="AK196" s="119">
        <v>0</v>
      </c>
      <c r="AL196" s="119">
        <v>0</v>
      </c>
      <c r="AM196" s="119">
        <v>0</v>
      </c>
      <c r="AN196" s="119">
        <v>0</v>
      </c>
      <c r="AO196" s="119">
        <v>0</v>
      </c>
      <c r="AP196" s="119">
        <v>0</v>
      </c>
      <c r="AQ196" s="119">
        <v>0</v>
      </c>
      <c r="AR196" s="119">
        <v>0</v>
      </c>
      <c r="AS196" s="119">
        <v>0</v>
      </c>
      <c r="AT196" s="119">
        <v>0</v>
      </c>
      <c r="AU196" s="119">
        <v>0</v>
      </c>
      <c r="AV196" s="119">
        <v>0</v>
      </c>
      <c r="AW196" s="119">
        <v>0</v>
      </c>
      <c r="AX196" s="119">
        <v>0</v>
      </c>
      <c r="AY196" s="119">
        <v>0</v>
      </c>
    </row>
    <row r="197" spans="1:51" x14ac:dyDescent="0.2">
      <c r="A197" s="136" t="s">
        <v>134</v>
      </c>
      <c r="B197" s="124">
        <v>1</v>
      </c>
      <c r="C197" s="111"/>
      <c r="D197" s="111">
        <v>0</v>
      </c>
      <c r="E197" s="111">
        <v>47.006406195001773</v>
      </c>
      <c r="F197" s="111">
        <v>47.006406195001773</v>
      </c>
      <c r="G197" s="111">
        <v>51.706406195001762</v>
      </c>
      <c r="H197" s="111">
        <v>51.706406195001762</v>
      </c>
      <c r="I197" s="111">
        <v>51.706406195001762</v>
      </c>
      <c r="J197" s="111">
        <v>51.706406195001762</v>
      </c>
      <c r="K197" s="111">
        <v>51.706406195001762</v>
      </c>
      <c r="L197" s="111">
        <v>51.706406195001762</v>
      </c>
      <c r="M197" s="111">
        <v>50</v>
      </c>
      <c r="N197" s="111">
        <v>51.706406195001762</v>
      </c>
      <c r="O197" s="111">
        <v>52.176406195001768</v>
      </c>
      <c r="P197" s="111">
        <v>52.176406195001768</v>
      </c>
      <c r="Q197" s="111">
        <v>52.176406195001768</v>
      </c>
      <c r="R197" s="111">
        <v>52.176406195001768</v>
      </c>
      <c r="S197" s="111">
        <v>46.499253185595556</v>
      </c>
      <c r="T197" s="111">
        <v>51.706406195001762</v>
      </c>
      <c r="U197" s="111">
        <v>51.706406195001762</v>
      </c>
      <c r="V197" s="111">
        <v>51.706406195001762</v>
      </c>
      <c r="W197" s="111">
        <v>52.176406195001768</v>
      </c>
      <c r="X197" s="111">
        <v>52.176406195001768</v>
      </c>
      <c r="Y197" s="111">
        <v>52.176406195001768</v>
      </c>
      <c r="Z197" s="111">
        <v>52.176406195001768</v>
      </c>
      <c r="AA197" s="111">
        <v>51.706406195001762</v>
      </c>
      <c r="AB197" s="111">
        <v>51.706406195001762</v>
      </c>
      <c r="AC197" s="111">
        <v>51.706406195001762</v>
      </c>
      <c r="AD197" s="111">
        <v>51.706406195001762</v>
      </c>
      <c r="AE197" s="111">
        <v>52.176406195001768</v>
      </c>
      <c r="AF197" s="111">
        <v>52.176406195001768</v>
      </c>
      <c r="AG197" s="111">
        <v>52.176406195001768</v>
      </c>
      <c r="AH197" s="111">
        <v>52.176406195001768</v>
      </c>
      <c r="AI197" s="111">
        <v>51.706406195001762</v>
      </c>
      <c r="AJ197" s="111">
        <v>51.706406195001762</v>
      </c>
      <c r="AK197" s="111">
        <v>51.706406195001762</v>
      </c>
      <c r="AL197" s="111">
        <v>51.706406195001762</v>
      </c>
      <c r="AM197" s="111">
        <v>51.706406195001762</v>
      </c>
      <c r="AN197" s="111">
        <v>51.706406195001762</v>
      </c>
      <c r="AO197" s="111">
        <v>56.292397043294628</v>
      </c>
      <c r="AP197" s="111">
        <v>56.292397043294628</v>
      </c>
      <c r="AQ197" s="111">
        <v>56.292397043294628</v>
      </c>
      <c r="AR197" s="111">
        <v>56.292397043294628</v>
      </c>
      <c r="AS197" s="111">
        <v>56.292397043294628</v>
      </c>
      <c r="AT197" s="111">
        <v>55.92727638190955</v>
      </c>
      <c r="AU197" s="111">
        <v>55.822397043294622</v>
      </c>
      <c r="AV197" s="111">
        <v>55.822397043294622</v>
      </c>
      <c r="AW197" s="111">
        <v>51.23640619500177</v>
      </c>
      <c r="AX197" s="111">
        <v>51.23640619500177</v>
      </c>
      <c r="AY197" s="111">
        <v>51.706406195001762</v>
      </c>
    </row>
    <row r="198" spans="1:51" x14ac:dyDescent="0.2">
      <c r="A198" s="114"/>
      <c r="B198" s="124">
        <v>2</v>
      </c>
      <c r="C198" s="111"/>
      <c r="D198" s="111">
        <v>0</v>
      </c>
      <c r="E198" s="111">
        <v>0</v>
      </c>
      <c r="F198" s="111">
        <v>0</v>
      </c>
      <c r="G198" s="111">
        <v>0</v>
      </c>
      <c r="H198" s="111">
        <v>0</v>
      </c>
      <c r="I198" s="111">
        <v>0</v>
      </c>
      <c r="J198" s="111">
        <v>0</v>
      </c>
      <c r="K198" s="111">
        <v>0</v>
      </c>
      <c r="L198" s="111">
        <v>0</v>
      </c>
      <c r="M198" s="111">
        <v>0</v>
      </c>
      <c r="N198" s="111">
        <v>5.5767993355188565</v>
      </c>
      <c r="O198" s="111">
        <v>0</v>
      </c>
      <c r="P198" s="111">
        <v>0</v>
      </c>
      <c r="Q198" s="111">
        <v>0</v>
      </c>
      <c r="R198" s="111">
        <v>0</v>
      </c>
      <c r="S198" s="111">
        <v>0</v>
      </c>
      <c r="T198" s="111">
        <v>5.2071530094062055</v>
      </c>
      <c r="U198" s="111">
        <v>0</v>
      </c>
      <c r="V198" s="111">
        <v>0</v>
      </c>
      <c r="W198" s="111">
        <v>0</v>
      </c>
      <c r="X198" s="111">
        <v>0</v>
      </c>
      <c r="Y198" s="111">
        <v>0</v>
      </c>
      <c r="Z198" s="111">
        <v>0</v>
      </c>
      <c r="AA198" s="111">
        <v>0</v>
      </c>
      <c r="AB198" s="111">
        <v>0</v>
      </c>
      <c r="AC198" s="111">
        <v>0</v>
      </c>
      <c r="AD198" s="111">
        <v>0</v>
      </c>
      <c r="AE198" s="111">
        <v>0</v>
      </c>
      <c r="AF198" s="111">
        <v>0</v>
      </c>
      <c r="AG198" s="111">
        <v>0</v>
      </c>
      <c r="AH198" s="111">
        <v>0</v>
      </c>
      <c r="AI198" s="111">
        <v>0</v>
      </c>
      <c r="AJ198" s="111">
        <v>0</v>
      </c>
      <c r="AK198" s="111">
        <v>0</v>
      </c>
      <c r="AL198" s="111">
        <v>0</v>
      </c>
      <c r="AM198" s="111">
        <v>0</v>
      </c>
      <c r="AN198" s="111">
        <v>0</v>
      </c>
      <c r="AO198" s="111">
        <v>0</v>
      </c>
      <c r="AP198" s="111">
        <v>0</v>
      </c>
      <c r="AQ198" s="111">
        <v>0</v>
      </c>
      <c r="AR198" s="111">
        <v>0</v>
      </c>
      <c r="AS198" s="111">
        <v>0</v>
      </c>
      <c r="AT198" s="111">
        <v>0</v>
      </c>
      <c r="AU198" s="111">
        <v>0.36512066138507748</v>
      </c>
      <c r="AV198" s="111">
        <v>0</v>
      </c>
      <c r="AW198" s="111">
        <v>0</v>
      </c>
      <c r="AX198" s="111">
        <v>0</v>
      </c>
      <c r="AY198" s="111">
        <v>0</v>
      </c>
    </row>
    <row r="199" spans="1:51" x14ac:dyDescent="0.2">
      <c r="A199" s="114"/>
      <c r="B199" s="124">
        <v>3</v>
      </c>
      <c r="C199" s="111"/>
      <c r="D199" s="111">
        <v>0</v>
      </c>
      <c r="E199" s="111">
        <v>0</v>
      </c>
      <c r="F199" s="111">
        <v>0</v>
      </c>
      <c r="G199" s="111">
        <v>0</v>
      </c>
      <c r="H199" s="111">
        <v>0</v>
      </c>
      <c r="I199" s="111">
        <v>0</v>
      </c>
      <c r="J199" s="111">
        <v>0</v>
      </c>
      <c r="K199" s="111">
        <v>0</v>
      </c>
      <c r="L199" s="111">
        <v>0</v>
      </c>
      <c r="M199" s="111">
        <v>0</v>
      </c>
      <c r="N199" s="111">
        <v>0</v>
      </c>
      <c r="O199" s="111">
        <v>0</v>
      </c>
      <c r="P199" s="111">
        <v>0</v>
      </c>
      <c r="Q199" s="111">
        <v>0</v>
      </c>
      <c r="R199" s="111">
        <v>0</v>
      </c>
      <c r="S199" s="111">
        <v>0</v>
      </c>
      <c r="T199" s="111">
        <v>0</v>
      </c>
      <c r="U199" s="111">
        <v>0</v>
      </c>
      <c r="V199" s="111">
        <v>0</v>
      </c>
      <c r="W199" s="111">
        <v>0</v>
      </c>
      <c r="X199" s="111">
        <v>0</v>
      </c>
      <c r="Y199" s="111">
        <v>0</v>
      </c>
      <c r="Z199" s="111">
        <v>0</v>
      </c>
      <c r="AA199" s="111">
        <v>0</v>
      </c>
      <c r="AB199" s="111">
        <v>0</v>
      </c>
      <c r="AC199" s="111">
        <v>0</v>
      </c>
      <c r="AD199" s="111">
        <v>0</v>
      </c>
      <c r="AE199" s="111">
        <v>0</v>
      </c>
      <c r="AF199" s="111">
        <v>0</v>
      </c>
      <c r="AG199" s="111">
        <v>0</v>
      </c>
      <c r="AH199" s="111">
        <v>0</v>
      </c>
      <c r="AI199" s="111">
        <v>0</v>
      </c>
      <c r="AJ199" s="111">
        <v>0</v>
      </c>
      <c r="AK199" s="111">
        <v>0</v>
      </c>
      <c r="AL199" s="111">
        <v>0</v>
      </c>
      <c r="AM199" s="111">
        <v>0</v>
      </c>
      <c r="AN199" s="111">
        <v>0</v>
      </c>
      <c r="AO199" s="111">
        <v>0</v>
      </c>
      <c r="AP199" s="111">
        <v>0</v>
      </c>
      <c r="AQ199" s="111">
        <v>0</v>
      </c>
      <c r="AR199" s="111">
        <v>0</v>
      </c>
      <c r="AS199" s="111">
        <v>0</v>
      </c>
      <c r="AT199" s="111">
        <v>0</v>
      </c>
      <c r="AU199" s="111">
        <v>0</v>
      </c>
      <c r="AV199" s="111">
        <v>0</v>
      </c>
      <c r="AW199" s="111">
        <v>0</v>
      </c>
      <c r="AX199" s="111">
        <v>0</v>
      </c>
      <c r="AY199" s="111">
        <v>0</v>
      </c>
    </row>
    <row r="200" spans="1:51" x14ac:dyDescent="0.2">
      <c r="A200" s="114"/>
      <c r="B200" s="125">
        <v>4</v>
      </c>
      <c r="C200" s="111"/>
      <c r="D200" s="111">
        <v>0</v>
      </c>
      <c r="E200" s="111">
        <v>0</v>
      </c>
      <c r="F200" s="111">
        <v>0</v>
      </c>
      <c r="G200" s="111">
        <v>0</v>
      </c>
      <c r="H200" s="111">
        <v>0</v>
      </c>
      <c r="I200" s="111">
        <v>0</v>
      </c>
      <c r="J200" s="111">
        <v>0</v>
      </c>
      <c r="K200" s="111">
        <v>0</v>
      </c>
      <c r="L200" s="111">
        <v>0</v>
      </c>
      <c r="M200" s="111">
        <v>0</v>
      </c>
      <c r="N200" s="111">
        <v>0</v>
      </c>
      <c r="O200" s="111">
        <v>0</v>
      </c>
      <c r="P200" s="111">
        <v>0</v>
      </c>
      <c r="Q200" s="111">
        <v>0</v>
      </c>
      <c r="R200" s="111">
        <v>0</v>
      </c>
      <c r="S200" s="111">
        <v>0</v>
      </c>
      <c r="T200" s="111">
        <v>0</v>
      </c>
      <c r="U200" s="111">
        <v>0</v>
      </c>
      <c r="V200" s="111">
        <v>0</v>
      </c>
      <c r="W200" s="111">
        <v>0</v>
      </c>
      <c r="X200" s="111">
        <v>0</v>
      </c>
      <c r="Y200" s="111">
        <v>0</v>
      </c>
      <c r="Z200" s="111">
        <v>0</v>
      </c>
      <c r="AA200" s="111">
        <v>0</v>
      </c>
      <c r="AB200" s="111">
        <v>0</v>
      </c>
      <c r="AC200" s="111">
        <v>0</v>
      </c>
      <c r="AD200" s="111">
        <v>0</v>
      </c>
      <c r="AE200" s="111">
        <v>0</v>
      </c>
      <c r="AF200" s="111">
        <v>0</v>
      </c>
      <c r="AG200" s="111">
        <v>0</v>
      </c>
      <c r="AH200" s="111">
        <v>0</v>
      </c>
      <c r="AI200" s="111">
        <v>0</v>
      </c>
      <c r="AJ200" s="111">
        <v>0</v>
      </c>
      <c r="AK200" s="111">
        <v>0</v>
      </c>
      <c r="AL200" s="111">
        <v>0</v>
      </c>
      <c r="AM200" s="111">
        <v>0</v>
      </c>
      <c r="AN200" s="111">
        <v>0</v>
      </c>
      <c r="AO200" s="111">
        <v>0</v>
      </c>
      <c r="AP200" s="111">
        <v>0</v>
      </c>
      <c r="AQ200" s="111">
        <v>0</v>
      </c>
      <c r="AR200" s="111">
        <v>0</v>
      </c>
      <c r="AS200" s="111">
        <v>0</v>
      </c>
      <c r="AT200" s="111">
        <v>0</v>
      </c>
      <c r="AU200" s="111">
        <v>0</v>
      </c>
      <c r="AV200" s="111">
        <v>0</v>
      </c>
      <c r="AW200" s="111">
        <v>0</v>
      </c>
      <c r="AX200" s="111">
        <v>0</v>
      </c>
      <c r="AY200" s="111">
        <v>0</v>
      </c>
    </row>
    <row r="201" spans="1:51" x14ac:dyDescent="0.2">
      <c r="A201" s="114"/>
      <c r="B201" s="125">
        <v>5</v>
      </c>
      <c r="C201" s="111"/>
      <c r="D201" s="111">
        <v>0</v>
      </c>
      <c r="E201" s="111">
        <v>0</v>
      </c>
      <c r="F201" s="111">
        <v>0</v>
      </c>
      <c r="G201" s="111">
        <v>0</v>
      </c>
      <c r="H201" s="111">
        <v>0</v>
      </c>
      <c r="I201" s="111">
        <v>0</v>
      </c>
      <c r="J201" s="111">
        <v>0</v>
      </c>
      <c r="K201" s="111">
        <v>0</v>
      </c>
      <c r="L201" s="111">
        <v>0</v>
      </c>
      <c r="M201" s="111">
        <v>0</v>
      </c>
      <c r="N201" s="111">
        <v>0</v>
      </c>
      <c r="O201" s="111">
        <v>0</v>
      </c>
      <c r="P201" s="111">
        <v>0</v>
      </c>
      <c r="Q201" s="111">
        <v>0</v>
      </c>
      <c r="R201" s="111">
        <v>0</v>
      </c>
      <c r="S201" s="111">
        <v>0</v>
      </c>
      <c r="T201" s="111">
        <v>0</v>
      </c>
      <c r="U201" s="111">
        <v>0</v>
      </c>
      <c r="V201" s="111">
        <v>0</v>
      </c>
      <c r="W201" s="111">
        <v>0</v>
      </c>
      <c r="X201" s="111">
        <v>0</v>
      </c>
      <c r="Y201" s="111">
        <v>0</v>
      </c>
      <c r="Z201" s="111">
        <v>0</v>
      </c>
      <c r="AA201" s="111">
        <v>0</v>
      </c>
      <c r="AB201" s="111">
        <v>0</v>
      </c>
      <c r="AC201" s="111">
        <v>0</v>
      </c>
      <c r="AD201" s="111">
        <v>0</v>
      </c>
      <c r="AE201" s="111">
        <v>0</v>
      </c>
      <c r="AF201" s="111">
        <v>0</v>
      </c>
      <c r="AG201" s="111">
        <v>0</v>
      </c>
      <c r="AH201" s="111">
        <v>0</v>
      </c>
      <c r="AI201" s="111">
        <v>0</v>
      </c>
      <c r="AJ201" s="111">
        <v>0</v>
      </c>
      <c r="AK201" s="111">
        <v>0</v>
      </c>
      <c r="AL201" s="111">
        <v>0</v>
      </c>
      <c r="AM201" s="111">
        <v>0</v>
      </c>
      <c r="AN201" s="111">
        <v>0</v>
      </c>
      <c r="AO201" s="111">
        <v>0</v>
      </c>
      <c r="AP201" s="111">
        <v>0</v>
      </c>
      <c r="AQ201" s="111">
        <v>0</v>
      </c>
      <c r="AR201" s="111">
        <v>0</v>
      </c>
      <c r="AS201" s="111">
        <v>0</v>
      </c>
      <c r="AT201" s="111">
        <v>0</v>
      </c>
      <c r="AU201" s="111">
        <v>0</v>
      </c>
      <c r="AV201" s="111">
        <v>0</v>
      </c>
      <c r="AW201" s="111">
        <v>0</v>
      </c>
      <c r="AX201" s="111">
        <v>0</v>
      </c>
      <c r="AY201" s="111">
        <v>0</v>
      </c>
    </row>
    <row r="202" spans="1:51" x14ac:dyDescent="0.2">
      <c r="A202" s="114"/>
      <c r="B202" s="125">
        <v>6</v>
      </c>
      <c r="C202" s="111"/>
      <c r="D202" s="111">
        <v>0</v>
      </c>
      <c r="E202" s="111">
        <v>0</v>
      </c>
      <c r="F202" s="111">
        <v>0</v>
      </c>
      <c r="G202" s="111">
        <v>0</v>
      </c>
      <c r="H202" s="111">
        <v>0</v>
      </c>
      <c r="I202" s="111">
        <v>0</v>
      </c>
      <c r="J202" s="111">
        <v>0</v>
      </c>
      <c r="K202" s="111">
        <v>0</v>
      </c>
      <c r="L202" s="111">
        <v>0</v>
      </c>
      <c r="M202" s="111">
        <v>0</v>
      </c>
      <c r="N202" s="111">
        <v>0</v>
      </c>
      <c r="O202" s="111">
        <v>0</v>
      </c>
      <c r="P202" s="111">
        <v>0</v>
      </c>
      <c r="Q202" s="111">
        <v>0</v>
      </c>
      <c r="R202" s="111">
        <v>0</v>
      </c>
      <c r="S202" s="111">
        <v>0</v>
      </c>
      <c r="T202" s="111">
        <v>0</v>
      </c>
      <c r="U202" s="111">
        <v>0</v>
      </c>
      <c r="V202" s="111">
        <v>0</v>
      </c>
      <c r="W202" s="111">
        <v>0</v>
      </c>
      <c r="X202" s="111">
        <v>0</v>
      </c>
      <c r="Y202" s="111">
        <v>0</v>
      </c>
      <c r="Z202" s="111">
        <v>0</v>
      </c>
      <c r="AA202" s="111">
        <v>0</v>
      </c>
      <c r="AB202" s="111">
        <v>0</v>
      </c>
      <c r="AC202" s="111">
        <v>0</v>
      </c>
      <c r="AD202" s="111">
        <v>0</v>
      </c>
      <c r="AE202" s="111">
        <v>0</v>
      </c>
      <c r="AF202" s="111">
        <v>0</v>
      </c>
      <c r="AG202" s="111">
        <v>0</v>
      </c>
      <c r="AH202" s="111">
        <v>0</v>
      </c>
      <c r="AI202" s="111">
        <v>0</v>
      </c>
      <c r="AJ202" s="111">
        <v>0</v>
      </c>
      <c r="AK202" s="111">
        <v>0</v>
      </c>
      <c r="AL202" s="111">
        <v>0</v>
      </c>
      <c r="AM202" s="111">
        <v>0</v>
      </c>
      <c r="AN202" s="111">
        <v>0</v>
      </c>
      <c r="AO202" s="111">
        <v>0</v>
      </c>
      <c r="AP202" s="111">
        <v>0</v>
      </c>
      <c r="AQ202" s="111">
        <v>0</v>
      </c>
      <c r="AR202" s="111">
        <v>0</v>
      </c>
      <c r="AS202" s="111">
        <v>0</v>
      </c>
      <c r="AT202" s="111">
        <v>0</v>
      </c>
      <c r="AU202" s="111">
        <v>0</v>
      </c>
      <c r="AV202" s="111">
        <v>0</v>
      </c>
      <c r="AW202" s="111">
        <v>0</v>
      </c>
      <c r="AX202" s="111">
        <v>0</v>
      </c>
      <c r="AY202" s="111">
        <v>0</v>
      </c>
    </row>
    <row r="203" spans="1:51" x14ac:dyDescent="0.2">
      <c r="A203" s="114"/>
      <c r="B203" s="132">
        <v>7</v>
      </c>
      <c r="C203" s="111"/>
      <c r="D203" s="111">
        <v>0</v>
      </c>
      <c r="E203" s="111">
        <v>0</v>
      </c>
      <c r="F203" s="111">
        <v>0</v>
      </c>
      <c r="G203" s="111">
        <v>0</v>
      </c>
      <c r="H203" s="111">
        <v>0</v>
      </c>
      <c r="I203" s="111">
        <v>0</v>
      </c>
      <c r="J203" s="111">
        <v>0</v>
      </c>
      <c r="K203" s="111">
        <v>0</v>
      </c>
      <c r="L203" s="111">
        <v>0</v>
      </c>
      <c r="M203" s="111">
        <v>0</v>
      </c>
      <c r="N203" s="111">
        <v>0</v>
      </c>
      <c r="O203" s="111">
        <v>0</v>
      </c>
      <c r="P203" s="111">
        <v>0</v>
      </c>
      <c r="Q203" s="111">
        <v>0</v>
      </c>
      <c r="R203" s="111">
        <v>0</v>
      </c>
      <c r="S203" s="111">
        <v>0</v>
      </c>
      <c r="T203" s="111">
        <v>0</v>
      </c>
      <c r="U203" s="111">
        <v>0</v>
      </c>
      <c r="V203" s="111">
        <v>0</v>
      </c>
      <c r="W203" s="111">
        <v>0</v>
      </c>
      <c r="X203" s="111">
        <v>0</v>
      </c>
      <c r="Y203" s="111">
        <v>0</v>
      </c>
      <c r="Z203" s="111">
        <v>0</v>
      </c>
      <c r="AA203" s="111">
        <v>0</v>
      </c>
      <c r="AB203" s="111">
        <v>0</v>
      </c>
      <c r="AC203" s="111">
        <v>0</v>
      </c>
      <c r="AD203" s="111">
        <v>0</v>
      </c>
      <c r="AE203" s="111">
        <v>0</v>
      </c>
      <c r="AF203" s="111">
        <v>0</v>
      </c>
      <c r="AG203" s="111">
        <v>0</v>
      </c>
      <c r="AH203" s="111">
        <v>0</v>
      </c>
      <c r="AI203" s="111">
        <v>0</v>
      </c>
      <c r="AJ203" s="111">
        <v>0</v>
      </c>
      <c r="AK203" s="111">
        <v>0</v>
      </c>
      <c r="AL203" s="111">
        <v>0</v>
      </c>
      <c r="AM203" s="111">
        <v>0</v>
      </c>
      <c r="AN203" s="111">
        <v>0</v>
      </c>
      <c r="AO203" s="111">
        <v>0</v>
      </c>
      <c r="AP203" s="111">
        <v>0</v>
      </c>
      <c r="AQ203" s="111">
        <v>0</v>
      </c>
      <c r="AR203" s="111">
        <v>0</v>
      </c>
      <c r="AS203" s="111">
        <v>0</v>
      </c>
      <c r="AT203" s="111">
        <v>0</v>
      </c>
      <c r="AU203" s="111">
        <v>0</v>
      </c>
      <c r="AV203" s="111">
        <v>0</v>
      </c>
      <c r="AW203" s="111">
        <v>0</v>
      </c>
      <c r="AX203" s="111">
        <v>0</v>
      </c>
      <c r="AY203" s="111">
        <v>0</v>
      </c>
    </row>
    <row r="204" spans="1:51" x14ac:dyDescent="0.2">
      <c r="A204" s="114"/>
      <c r="B204" s="132">
        <v>8</v>
      </c>
      <c r="C204" s="111"/>
      <c r="D204" s="111">
        <v>0</v>
      </c>
      <c r="E204" s="111">
        <v>0</v>
      </c>
      <c r="F204" s="111">
        <v>0</v>
      </c>
      <c r="G204" s="111">
        <v>0</v>
      </c>
      <c r="H204" s="111">
        <v>0</v>
      </c>
      <c r="I204" s="111">
        <v>0</v>
      </c>
      <c r="J204" s="111">
        <v>0</v>
      </c>
      <c r="K204" s="111">
        <v>0</v>
      </c>
      <c r="L204" s="111">
        <v>0</v>
      </c>
      <c r="M204" s="111">
        <v>0</v>
      </c>
      <c r="N204" s="111">
        <v>0</v>
      </c>
      <c r="O204" s="111">
        <v>0</v>
      </c>
      <c r="P204" s="111">
        <v>0</v>
      </c>
      <c r="Q204" s="111">
        <v>0</v>
      </c>
      <c r="R204" s="111">
        <v>0</v>
      </c>
      <c r="S204" s="111">
        <v>0</v>
      </c>
      <c r="T204" s="111">
        <v>0</v>
      </c>
      <c r="U204" s="111">
        <v>0</v>
      </c>
      <c r="V204" s="111">
        <v>0</v>
      </c>
      <c r="W204" s="111">
        <v>0</v>
      </c>
      <c r="X204" s="111">
        <v>0</v>
      </c>
      <c r="Y204" s="111">
        <v>0</v>
      </c>
      <c r="Z204" s="111">
        <v>0</v>
      </c>
      <c r="AA204" s="111">
        <v>0</v>
      </c>
      <c r="AB204" s="111">
        <v>0</v>
      </c>
      <c r="AC204" s="111">
        <v>0</v>
      </c>
      <c r="AD204" s="111">
        <v>0</v>
      </c>
      <c r="AE204" s="111">
        <v>0</v>
      </c>
      <c r="AF204" s="111">
        <v>0</v>
      </c>
      <c r="AG204" s="111">
        <v>0</v>
      </c>
      <c r="AH204" s="111">
        <v>0</v>
      </c>
      <c r="AI204" s="111">
        <v>0</v>
      </c>
      <c r="AJ204" s="111">
        <v>0</v>
      </c>
      <c r="AK204" s="111">
        <v>0</v>
      </c>
      <c r="AL204" s="111">
        <v>0</v>
      </c>
      <c r="AM204" s="111">
        <v>0</v>
      </c>
      <c r="AN204" s="111">
        <v>0</v>
      </c>
      <c r="AO204" s="111">
        <v>0</v>
      </c>
      <c r="AP204" s="111">
        <v>0</v>
      </c>
      <c r="AQ204" s="111">
        <v>0</v>
      </c>
      <c r="AR204" s="111">
        <v>0</v>
      </c>
      <c r="AS204" s="111">
        <v>0</v>
      </c>
      <c r="AT204" s="111">
        <v>0</v>
      </c>
      <c r="AU204" s="111">
        <v>0</v>
      </c>
      <c r="AV204" s="111">
        <v>0</v>
      </c>
      <c r="AW204" s="111">
        <v>0</v>
      </c>
      <c r="AX204" s="111">
        <v>0</v>
      </c>
      <c r="AY204" s="111">
        <v>0</v>
      </c>
    </row>
    <row r="205" spans="1:51" x14ac:dyDescent="0.2">
      <c r="A205" s="114"/>
      <c r="B205" s="132">
        <v>9</v>
      </c>
      <c r="C205" s="111"/>
      <c r="D205" s="111">
        <v>0</v>
      </c>
      <c r="E205" s="111">
        <v>0</v>
      </c>
      <c r="F205" s="111">
        <v>0</v>
      </c>
      <c r="G205" s="111">
        <v>0</v>
      </c>
      <c r="H205" s="111">
        <v>0</v>
      </c>
      <c r="I205" s="111">
        <v>0</v>
      </c>
      <c r="J205" s="111">
        <v>0</v>
      </c>
      <c r="K205" s="111">
        <v>0</v>
      </c>
      <c r="L205" s="111">
        <v>0</v>
      </c>
      <c r="M205" s="111">
        <v>0</v>
      </c>
      <c r="N205" s="111">
        <v>0</v>
      </c>
      <c r="O205" s="111">
        <v>0</v>
      </c>
      <c r="P205" s="111">
        <v>0</v>
      </c>
      <c r="Q205" s="111">
        <v>0</v>
      </c>
      <c r="R205" s="111">
        <v>0</v>
      </c>
      <c r="S205" s="111">
        <v>0</v>
      </c>
      <c r="T205" s="111">
        <v>0</v>
      </c>
      <c r="U205" s="111">
        <v>0</v>
      </c>
      <c r="V205" s="111">
        <v>0</v>
      </c>
      <c r="W205" s="111">
        <v>0</v>
      </c>
      <c r="X205" s="111">
        <v>0</v>
      </c>
      <c r="Y205" s="111">
        <v>0</v>
      </c>
      <c r="Z205" s="111">
        <v>0</v>
      </c>
      <c r="AA205" s="111">
        <v>0</v>
      </c>
      <c r="AB205" s="111">
        <v>0</v>
      </c>
      <c r="AC205" s="111">
        <v>0</v>
      </c>
      <c r="AD205" s="111">
        <v>0</v>
      </c>
      <c r="AE205" s="111">
        <v>0</v>
      </c>
      <c r="AF205" s="111">
        <v>0</v>
      </c>
      <c r="AG205" s="111">
        <v>0</v>
      </c>
      <c r="AH205" s="111">
        <v>0</v>
      </c>
      <c r="AI205" s="111">
        <v>0</v>
      </c>
      <c r="AJ205" s="111">
        <v>0</v>
      </c>
      <c r="AK205" s="111">
        <v>0</v>
      </c>
      <c r="AL205" s="111">
        <v>0</v>
      </c>
      <c r="AM205" s="111">
        <v>0</v>
      </c>
      <c r="AN205" s="111">
        <v>0</v>
      </c>
      <c r="AO205" s="111">
        <v>0</v>
      </c>
      <c r="AP205" s="111">
        <v>0</v>
      </c>
      <c r="AQ205" s="111">
        <v>0</v>
      </c>
      <c r="AR205" s="111">
        <v>0</v>
      </c>
      <c r="AS205" s="111">
        <v>0</v>
      </c>
      <c r="AT205" s="111">
        <v>0</v>
      </c>
      <c r="AU205" s="111">
        <v>0</v>
      </c>
      <c r="AV205" s="111">
        <v>0</v>
      </c>
      <c r="AW205" s="111">
        <v>0</v>
      </c>
      <c r="AX205" s="111">
        <v>0</v>
      </c>
      <c r="AY205" s="111">
        <v>0</v>
      </c>
    </row>
    <row r="206" spans="1:51" x14ac:dyDescent="0.2">
      <c r="A206" s="114"/>
      <c r="B206" s="135">
        <v>10</v>
      </c>
      <c r="C206" s="111"/>
      <c r="D206" s="111">
        <v>0</v>
      </c>
      <c r="E206" s="111">
        <v>0</v>
      </c>
      <c r="F206" s="111">
        <v>0</v>
      </c>
      <c r="G206" s="111">
        <v>0</v>
      </c>
      <c r="H206" s="111">
        <v>0</v>
      </c>
      <c r="I206" s="111">
        <v>0</v>
      </c>
      <c r="J206" s="111">
        <v>0</v>
      </c>
      <c r="K206" s="111">
        <v>0</v>
      </c>
      <c r="L206" s="111">
        <v>0</v>
      </c>
      <c r="M206" s="111">
        <v>0</v>
      </c>
      <c r="N206" s="111">
        <v>0</v>
      </c>
      <c r="O206" s="111">
        <v>0</v>
      </c>
      <c r="P206" s="111">
        <v>0</v>
      </c>
      <c r="Q206" s="111">
        <v>0</v>
      </c>
      <c r="R206" s="111">
        <v>0</v>
      </c>
      <c r="S206" s="111">
        <v>0</v>
      </c>
      <c r="T206" s="111">
        <v>0</v>
      </c>
      <c r="U206" s="111">
        <v>0</v>
      </c>
      <c r="V206" s="111">
        <v>0</v>
      </c>
      <c r="W206" s="111">
        <v>0</v>
      </c>
      <c r="X206" s="111">
        <v>0</v>
      </c>
      <c r="Y206" s="111">
        <v>0</v>
      </c>
      <c r="Z206" s="111">
        <v>0</v>
      </c>
      <c r="AA206" s="111">
        <v>0</v>
      </c>
      <c r="AB206" s="111">
        <v>0</v>
      </c>
      <c r="AC206" s="111">
        <v>0</v>
      </c>
      <c r="AD206" s="111">
        <v>0</v>
      </c>
      <c r="AE206" s="111">
        <v>0</v>
      </c>
      <c r="AF206" s="111">
        <v>0</v>
      </c>
      <c r="AG206" s="111">
        <v>0</v>
      </c>
      <c r="AH206" s="111">
        <v>0</v>
      </c>
      <c r="AI206" s="111">
        <v>0</v>
      </c>
      <c r="AJ206" s="111">
        <v>0</v>
      </c>
      <c r="AK206" s="111">
        <v>0</v>
      </c>
      <c r="AL206" s="111">
        <v>0</v>
      </c>
      <c r="AM206" s="111">
        <v>0</v>
      </c>
      <c r="AN206" s="111">
        <v>0</v>
      </c>
      <c r="AO206" s="111">
        <v>0</v>
      </c>
      <c r="AP206" s="111">
        <v>0</v>
      </c>
      <c r="AQ206" s="111">
        <v>0</v>
      </c>
      <c r="AR206" s="111">
        <v>0</v>
      </c>
      <c r="AS206" s="111">
        <v>0</v>
      </c>
      <c r="AT206" s="111">
        <v>0</v>
      </c>
      <c r="AU206" s="111">
        <v>0</v>
      </c>
      <c r="AV206" s="111">
        <v>0</v>
      </c>
      <c r="AW206" s="111">
        <v>0</v>
      </c>
      <c r="AX206" s="111">
        <v>0</v>
      </c>
      <c r="AY206" s="111">
        <v>0</v>
      </c>
    </row>
    <row r="207" spans="1:51" x14ac:dyDescent="0.2">
      <c r="A207" s="114"/>
      <c r="B207" s="135">
        <v>11</v>
      </c>
      <c r="C207" s="111"/>
      <c r="D207" s="111">
        <v>0</v>
      </c>
      <c r="E207" s="111">
        <v>0</v>
      </c>
      <c r="F207" s="111">
        <v>0</v>
      </c>
      <c r="G207" s="111">
        <v>0</v>
      </c>
      <c r="H207" s="111">
        <v>0</v>
      </c>
      <c r="I207" s="111">
        <v>0</v>
      </c>
      <c r="J207" s="111">
        <v>0</v>
      </c>
      <c r="K207" s="111">
        <v>0</v>
      </c>
      <c r="L207" s="111">
        <v>0</v>
      </c>
      <c r="M207" s="111">
        <v>0</v>
      </c>
      <c r="N207" s="111">
        <v>0</v>
      </c>
      <c r="O207" s="111">
        <v>0</v>
      </c>
      <c r="P207" s="111">
        <v>0</v>
      </c>
      <c r="Q207" s="111">
        <v>0</v>
      </c>
      <c r="R207" s="111">
        <v>0</v>
      </c>
      <c r="S207" s="111">
        <v>0</v>
      </c>
      <c r="T207" s="111">
        <v>0</v>
      </c>
      <c r="U207" s="111">
        <v>0</v>
      </c>
      <c r="V207" s="111">
        <v>0</v>
      </c>
      <c r="W207" s="111">
        <v>0</v>
      </c>
      <c r="X207" s="111">
        <v>0</v>
      </c>
      <c r="Y207" s="111">
        <v>0</v>
      </c>
      <c r="Z207" s="111">
        <v>0</v>
      </c>
      <c r="AA207" s="111">
        <v>0</v>
      </c>
      <c r="AB207" s="111">
        <v>0</v>
      </c>
      <c r="AC207" s="111">
        <v>0</v>
      </c>
      <c r="AD207" s="111">
        <v>0</v>
      </c>
      <c r="AE207" s="111">
        <v>0</v>
      </c>
      <c r="AF207" s="111">
        <v>0</v>
      </c>
      <c r="AG207" s="111">
        <v>0</v>
      </c>
      <c r="AH207" s="111">
        <v>0</v>
      </c>
      <c r="AI207" s="111">
        <v>0</v>
      </c>
      <c r="AJ207" s="111">
        <v>0</v>
      </c>
      <c r="AK207" s="111">
        <v>0</v>
      </c>
      <c r="AL207" s="111">
        <v>0</v>
      </c>
      <c r="AM207" s="111">
        <v>0</v>
      </c>
      <c r="AN207" s="111">
        <v>0</v>
      </c>
      <c r="AO207" s="111">
        <v>0</v>
      </c>
      <c r="AP207" s="111">
        <v>0</v>
      </c>
      <c r="AQ207" s="111">
        <v>0</v>
      </c>
      <c r="AR207" s="111">
        <v>0</v>
      </c>
      <c r="AS207" s="111">
        <v>0</v>
      </c>
      <c r="AT207" s="111">
        <v>0</v>
      </c>
      <c r="AU207" s="111">
        <v>0</v>
      </c>
      <c r="AV207" s="111">
        <v>0</v>
      </c>
      <c r="AW207" s="111">
        <v>0</v>
      </c>
      <c r="AX207" s="111">
        <v>0</v>
      </c>
      <c r="AY207" s="111">
        <v>0</v>
      </c>
    </row>
    <row r="208" spans="1:51" x14ac:dyDescent="0.2">
      <c r="A208" s="114"/>
      <c r="B208" s="135">
        <v>12</v>
      </c>
      <c r="C208" s="111"/>
      <c r="D208" s="111">
        <v>0</v>
      </c>
      <c r="E208" s="111">
        <v>0</v>
      </c>
      <c r="F208" s="111">
        <v>0</v>
      </c>
      <c r="G208" s="111">
        <v>0</v>
      </c>
      <c r="H208" s="111">
        <v>0</v>
      </c>
      <c r="I208" s="111">
        <v>0</v>
      </c>
      <c r="J208" s="111">
        <v>0</v>
      </c>
      <c r="K208" s="111">
        <v>0</v>
      </c>
      <c r="L208" s="111">
        <v>0</v>
      </c>
      <c r="M208" s="111">
        <v>0</v>
      </c>
      <c r="N208" s="111">
        <v>0</v>
      </c>
      <c r="O208" s="111">
        <v>0</v>
      </c>
      <c r="P208" s="111">
        <v>0</v>
      </c>
      <c r="Q208" s="111">
        <v>0</v>
      </c>
      <c r="R208" s="111">
        <v>0</v>
      </c>
      <c r="S208" s="111">
        <v>0</v>
      </c>
      <c r="T208" s="111">
        <v>0</v>
      </c>
      <c r="U208" s="111">
        <v>0</v>
      </c>
      <c r="V208" s="111">
        <v>0</v>
      </c>
      <c r="W208" s="111">
        <v>0</v>
      </c>
      <c r="X208" s="111">
        <v>0</v>
      </c>
      <c r="Y208" s="111">
        <v>0</v>
      </c>
      <c r="Z208" s="111">
        <v>0</v>
      </c>
      <c r="AA208" s="111">
        <v>0</v>
      </c>
      <c r="AB208" s="111">
        <v>0</v>
      </c>
      <c r="AC208" s="111">
        <v>0</v>
      </c>
      <c r="AD208" s="111">
        <v>0</v>
      </c>
      <c r="AE208" s="111">
        <v>0</v>
      </c>
      <c r="AF208" s="111">
        <v>0</v>
      </c>
      <c r="AG208" s="111">
        <v>0</v>
      </c>
      <c r="AH208" s="111">
        <v>0</v>
      </c>
      <c r="AI208" s="111">
        <v>0</v>
      </c>
      <c r="AJ208" s="111">
        <v>0</v>
      </c>
      <c r="AK208" s="111">
        <v>0</v>
      </c>
      <c r="AL208" s="111">
        <v>0</v>
      </c>
      <c r="AM208" s="111">
        <v>0</v>
      </c>
      <c r="AN208" s="111">
        <v>0</v>
      </c>
      <c r="AO208" s="111">
        <v>0</v>
      </c>
      <c r="AP208" s="111">
        <v>0</v>
      </c>
      <c r="AQ208" s="111">
        <v>0</v>
      </c>
      <c r="AR208" s="111">
        <v>0</v>
      </c>
      <c r="AS208" s="111">
        <v>0</v>
      </c>
      <c r="AT208" s="111">
        <v>0</v>
      </c>
      <c r="AU208" s="111">
        <v>0</v>
      </c>
      <c r="AV208" s="111">
        <v>0</v>
      </c>
      <c r="AW208" s="111">
        <v>0</v>
      </c>
      <c r="AX208" s="111">
        <v>0</v>
      </c>
      <c r="AY208" s="111">
        <v>0</v>
      </c>
    </row>
    <row r="209" spans="1:51" x14ac:dyDescent="0.2">
      <c r="A209" s="131" t="s">
        <v>123</v>
      </c>
      <c r="B209" s="128">
        <v>1</v>
      </c>
      <c r="C209" s="129"/>
      <c r="D209" s="129">
        <v>423.0576557550159</v>
      </c>
      <c r="E209" s="129">
        <v>423.0576557550159</v>
      </c>
      <c r="F209" s="129">
        <v>465.35765575501586</v>
      </c>
      <c r="G209" s="129">
        <v>465.35765575501586</v>
      </c>
      <c r="H209" s="129">
        <v>465.35765575501586</v>
      </c>
      <c r="I209" s="129">
        <v>465.35765575501586</v>
      </c>
      <c r="J209" s="129">
        <v>465.35765575501586</v>
      </c>
      <c r="K209" s="129">
        <v>426.65372434984499</v>
      </c>
      <c r="L209" s="129">
        <v>465.35765575501586</v>
      </c>
      <c r="M209" s="129">
        <v>465.35765575501586</v>
      </c>
      <c r="N209" s="129">
        <v>469.58765575501593</v>
      </c>
      <c r="O209" s="129">
        <v>469.58765575501593</v>
      </c>
      <c r="P209" s="129">
        <v>469.58765575501593</v>
      </c>
      <c r="Q209" s="129">
        <v>469.58765575501593</v>
      </c>
      <c r="R209" s="129">
        <v>465.35765575501586</v>
      </c>
      <c r="S209" s="129">
        <v>465.35765575501586</v>
      </c>
      <c r="T209" s="129">
        <v>465.35765575501586</v>
      </c>
      <c r="U209" s="129">
        <v>465.35765575501586</v>
      </c>
      <c r="V209" s="129">
        <v>469.58765575501593</v>
      </c>
      <c r="W209" s="129">
        <v>469.58765575501593</v>
      </c>
      <c r="X209" s="129">
        <v>469.58765575501593</v>
      </c>
      <c r="Y209" s="129">
        <v>469.58765575501593</v>
      </c>
      <c r="Z209" s="129">
        <v>465.35765575501586</v>
      </c>
      <c r="AA209" s="129">
        <v>465.35765575501586</v>
      </c>
      <c r="AB209" s="129">
        <v>465.35765575501586</v>
      </c>
      <c r="AC209" s="129">
        <v>465.35765575501586</v>
      </c>
      <c r="AD209" s="129">
        <v>469.58765575501593</v>
      </c>
      <c r="AE209" s="129">
        <v>469.58765575501593</v>
      </c>
      <c r="AF209" s="129">
        <v>469.58765575501593</v>
      </c>
      <c r="AG209" s="129">
        <v>469.58765575501593</v>
      </c>
      <c r="AH209" s="129">
        <v>465.35765575501586</v>
      </c>
      <c r="AI209" s="129">
        <v>465.35765575501586</v>
      </c>
      <c r="AJ209" s="129">
        <v>465.35765575501586</v>
      </c>
      <c r="AK209" s="129">
        <v>465.35765575501586</v>
      </c>
      <c r="AL209" s="129">
        <v>465.35765575501586</v>
      </c>
      <c r="AM209" s="129">
        <v>465.35765575501586</v>
      </c>
      <c r="AN209" s="129">
        <v>506.63157338965163</v>
      </c>
      <c r="AO209" s="129">
        <v>506.63157338965163</v>
      </c>
      <c r="AP209" s="129">
        <v>506.63157338965163</v>
      </c>
      <c r="AQ209" s="129">
        <v>506.63157338965163</v>
      </c>
      <c r="AR209" s="129">
        <v>506.63157338965163</v>
      </c>
      <c r="AS209" s="129">
        <v>506.63157338965163</v>
      </c>
      <c r="AT209" s="129">
        <v>502.40157338965162</v>
      </c>
      <c r="AU209" s="129">
        <v>502.40157338965162</v>
      </c>
      <c r="AV209" s="129">
        <v>461.12765575501595</v>
      </c>
      <c r="AW209" s="129">
        <v>461.12765575501595</v>
      </c>
      <c r="AX209" s="129">
        <v>465.35765575501586</v>
      </c>
      <c r="AY209" s="129">
        <v>465.35765575501586</v>
      </c>
    </row>
    <row r="210" spans="1:51" x14ac:dyDescent="0.2">
      <c r="A210" s="114"/>
      <c r="B210" s="124">
        <v>2</v>
      </c>
      <c r="C210" s="111"/>
      <c r="D210" s="115">
        <v>0</v>
      </c>
      <c r="E210" s="115">
        <v>0</v>
      </c>
      <c r="F210" s="115">
        <v>0</v>
      </c>
      <c r="G210" s="115">
        <v>0</v>
      </c>
      <c r="H210" s="115">
        <v>0</v>
      </c>
      <c r="I210" s="115">
        <v>0</v>
      </c>
      <c r="J210" s="115">
        <v>0</v>
      </c>
      <c r="K210" s="115">
        <v>0</v>
      </c>
      <c r="L210" s="115">
        <v>34.833538264653775</v>
      </c>
      <c r="M210" s="115">
        <v>0</v>
      </c>
      <c r="N210" s="115">
        <v>0</v>
      </c>
      <c r="O210" s="115">
        <v>0</v>
      </c>
      <c r="P210" s="115">
        <v>0</v>
      </c>
      <c r="Q210" s="115">
        <v>0</v>
      </c>
      <c r="R210" s="115">
        <v>0</v>
      </c>
      <c r="S210" s="115">
        <v>0</v>
      </c>
      <c r="T210" s="115">
        <v>0</v>
      </c>
      <c r="U210" s="115">
        <v>0</v>
      </c>
      <c r="V210" s="115">
        <v>0</v>
      </c>
      <c r="W210" s="115">
        <v>0</v>
      </c>
      <c r="X210" s="115">
        <v>0</v>
      </c>
      <c r="Y210" s="115">
        <v>0</v>
      </c>
      <c r="Z210" s="115">
        <v>0</v>
      </c>
      <c r="AA210" s="115">
        <v>0</v>
      </c>
      <c r="AB210" s="115">
        <v>0</v>
      </c>
      <c r="AC210" s="115">
        <v>0</v>
      </c>
      <c r="AD210" s="115">
        <v>0</v>
      </c>
      <c r="AE210" s="115">
        <v>0</v>
      </c>
      <c r="AF210" s="115">
        <v>0</v>
      </c>
      <c r="AG210" s="115">
        <v>0</v>
      </c>
      <c r="AH210" s="115">
        <v>0</v>
      </c>
      <c r="AI210" s="115">
        <v>0</v>
      </c>
      <c r="AJ210" s="115">
        <v>0</v>
      </c>
      <c r="AK210" s="115">
        <v>0</v>
      </c>
      <c r="AL210" s="115">
        <v>0</v>
      </c>
      <c r="AM210" s="115">
        <v>0</v>
      </c>
      <c r="AN210" s="115">
        <v>0</v>
      </c>
      <c r="AO210" s="115">
        <v>0</v>
      </c>
      <c r="AP210" s="115">
        <v>0</v>
      </c>
      <c r="AQ210" s="115">
        <v>0</v>
      </c>
      <c r="AR210" s="115">
        <v>0</v>
      </c>
      <c r="AS210" s="115">
        <v>0</v>
      </c>
      <c r="AT210" s="115">
        <v>0</v>
      </c>
      <c r="AU210" s="115">
        <v>0</v>
      </c>
      <c r="AV210" s="115">
        <v>0</v>
      </c>
      <c r="AW210" s="115">
        <v>0</v>
      </c>
      <c r="AX210" s="115">
        <v>0</v>
      </c>
      <c r="AY210" s="115">
        <v>0</v>
      </c>
    </row>
    <row r="211" spans="1:51" x14ac:dyDescent="0.2">
      <c r="A211" s="114"/>
      <c r="B211" s="124">
        <v>3</v>
      </c>
      <c r="C211" s="111"/>
      <c r="D211" s="115">
        <v>0</v>
      </c>
      <c r="E211" s="115">
        <v>0</v>
      </c>
      <c r="F211" s="115">
        <v>0</v>
      </c>
      <c r="G211" s="115">
        <v>0</v>
      </c>
      <c r="H211" s="115">
        <v>0</v>
      </c>
      <c r="I211" s="115">
        <v>0</v>
      </c>
      <c r="J211" s="115">
        <v>0</v>
      </c>
      <c r="K211" s="115">
        <v>0</v>
      </c>
      <c r="L211" s="115">
        <v>0</v>
      </c>
      <c r="M211" s="115">
        <v>0</v>
      </c>
      <c r="N211" s="115">
        <v>0</v>
      </c>
      <c r="O211" s="115">
        <v>0</v>
      </c>
      <c r="P211" s="115">
        <v>0</v>
      </c>
      <c r="Q211" s="115">
        <v>0</v>
      </c>
      <c r="R211" s="115">
        <v>0</v>
      </c>
      <c r="S211" s="115">
        <v>0</v>
      </c>
      <c r="T211" s="115">
        <v>0</v>
      </c>
      <c r="U211" s="115">
        <v>0</v>
      </c>
      <c r="V211" s="115">
        <v>0</v>
      </c>
      <c r="W211" s="115">
        <v>0</v>
      </c>
      <c r="X211" s="115">
        <v>0</v>
      </c>
      <c r="Y211" s="115">
        <v>0</v>
      </c>
      <c r="Z211" s="115">
        <v>0</v>
      </c>
      <c r="AA211" s="115">
        <v>0</v>
      </c>
      <c r="AB211" s="115">
        <v>0</v>
      </c>
      <c r="AC211" s="115">
        <v>0</v>
      </c>
      <c r="AD211" s="115">
        <v>0</v>
      </c>
      <c r="AE211" s="115">
        <v>0</v>
      </c>
      <c r="AF211" s="115">
        <v>0</v>
      </c>
      <c r="AG211" s="115">
        <v>0</v>
      </c>
      <c r="AH211" s="115">
        <v>0</v>
      </c>
      <c r="AI211" s="115">
        <v>0</v>
      </c>
      <c r="AJ211" s="115">
        <v>0</v>
      </c>
      <c r="AK211" s="115">
        <v>0</v>
      </c>
      <c r="AL211" s="115">
        <v>0</v>
      </c>
      <c r="AM211" s="115">
        <v>0</v>
      </c>
      <c r="AN211" s="115">
        <v>0</v>
      </c>
      <c r="AO211" s="115">
        <v>0</v>
      </c>
      <c r="AP211" s="115">
        <v>0</v>
      </c>
      <c r="AQ211" s="115">
        <v>0</v>
      </c>
      <c r="AR211" s="115">
        <v>0</v>
      </c>
      <c r="AS211" s="115">
        <v>0</v>
      </c>
      <c r="AT211" s="115">
        <v>0</v>
      </c>
      <c r="AU211" s="115">
        <v>0</v>
      </c>
      <c r="AV211" s="115">
        <v>0</v>
      </c>
      <c r="AW211" s="115">
        <v>0</v>
      </c>
      <c r="AX211" s="115">
        <v>0</v>
      </c>
      <c r="AY211" s="115">
        <v>0</v>
      </c>
    </row>
    <row r="212" spans="1:51" x14ac:dyDescent="0.2">
      <c r="A212" s="114"/>
      <c r="B212" s="124">
        <v>4</v>
      </c>
      <c r="C212" s="111"/>
      <c r="D212" s="115">
        <v>0</v>
      </c>
      <c r="E212" s="115">
        <v>0</v>
      </c>
      <c r="F212" s="115">
        <v>0</v>
      </c>
      <c r="G212" s="115">
        <v>0</v>
      </c>
      <c r="H212" s="115">
        <v>0</v>
      </c>
      <c r="I212" s="115">
        <v>0</v>
      </c>
      <c r="J212" s="115">
        <v>0</v>
      </c>
      <c r="K212" s="115">
        <v>0</v>
      </c>
      <c r="L212" s="115">
        <v>0</v>
      </c>
      <c r="M212" s="115">
        <v>0</v>
      </c>
      <c r="N212" s="115">
        <v>0</v>
      </c>
      <c r="O212" s="115">
        <v>0</v>
      </c>
      <c r="P212" s="115">
        <v>0</v>
      </c>
      <c r="Q212" s="115">
        <v>0</v>
      </c>
      <c r="R212" s="115">
        <v>0</v>
      </c>
      <c r="S212" s="115">
        <v>0</v>
      </c>
      <c r="T212" s="115">
        <v>0</v>
      </c>
      <c r="U212" s="115">
        <v>0</v>
      </c>
      <c r="V212" s="115">
        <v>0</v>
      </c>
      <c r="W212" s="115">
        <v>0</v>
      </c>
      <c r="X212" s="115">
        <v>0</v>
      </c>
      <c r="Y212" s="115">
        <v>0</v>
      </c>
      <c r="Z212" s="115">
        <v>0</v>
      </c>
      <c r="AA212" s="115">
        <v>0</v>
      </c>
      <c r="AB212" s="115">
        <v>0</v>
      </c>
      <c r="AC212" s="115">
        <v>0</v>
      </c>
      <c r="AD212" s="115">
        <v>0</v>
      </c>
      <c r="AE212" s="115">
        <v>0</v>
      </c>
      <c r="AF212" s="115">
        <v>0</v>
      </c>
      <c r="AG212" s="115">
        <v>0</v>
      </c>
      <c r="AH212" s="115">
        <v>0</v>
      </c>
      <c r="AI212" s="115">
        <v>0</v>
      </c>
      <c r="AJ212" s="115">
        <v>0</v>
      </c>
      <c r="AK212" s="115">
        <v>0</v>
      </c>
      <c r="AL212" s="115">
        <v>0</v>
      </c>
      <c r="AM212" s="115">
        <v>0</v>
      </c>
      <c r="AN212" s="115">
        <v>0</v>
      </c>
      <c r="AO212" s="115">
        <v>0</v>
      </c>
      <c r="AP212" s="115">
        <v>0</v>
      </c>
      <c r="AQ212" s="115">
        <v>0</v>
      </c>
      <c r="AR212" s="115">
        <v>0</v>
      </c>
      <c r="AS212" s="115">
        <v>0</v>
      </c>
      <c r="AT212" s="115">
        <v>0</v>
      </c>
      <c r="AU212" s="115">
        <v>0</v>
      </c>
      <c r="AV212" s="115">
        <v>0</v>
      </c>
      <c r="AW212" s="115">
        <v>0</v>
      </c>
      <c r="AX212" s="115">
        <v>0</v>
      </c>
      <c r="AY212" s="115">
        <v>0</v>
      </c>
    </row>
    <row r="213" spans="1:51" x14ac:dyDescent="0.2">
      <c r="A213" s="114"/>
      <c r="B213" s="124">
        <v>5</v>
      </c>
      <c r="C213" s="111"/>
      <c r="D213" s="115">
        <v>0</v>
      </c>
      <c r="E213" s="115">
        <v>0</v>
      </c>
      <c r="F213" s="115">
        <v>0</v>
      </c>
      <c r="G213" s="115">
        <v>0</v>
      </c>
      <c r="H213" s="115">
        <v>0</v>
      </c>
      <c r="I213" s="115">
        <v>0</v>
      </c>
      <c r="J213" s="115">
        <v>0</v>
      </c>
      <c r="K213" s="115">
        <v>0</v>
      </c>
      <c r="L213" s="115">
        <v>0</v>
      </c>
      <c r="M213" s="115">
        <v>0</v>
      </c>
      <c r="N213" s="115">
        <v>0</v>
      </c>
      <c r="O213" s="115">
        <v>0</v>
      </c>
      <c r="P213" s="115">
        <v>0</v>
      </c>
      <c r="Q213" s="115">
        <v>0</v>
      </c>
      <c r="R213" s="115">
        <v>0</v>
      </c>
      <c r="S213" s="115">
        <v>0</v>
      </c>
      <c r="T213" s="115">
        <v>0</v>
      </c>
      <c r="U213" s="115">
        <v>0</v>
      </c>
      <c r="V213" s="115">
        <v>0</v>
      </c>
      <c r="W213" s="115">
        <v>0</v>
      </c>
      <c r="X213" s="115">
        <v>0</v>
      </c>
      <c r="Y213" s="115">
        <v>0</v>
      </c>
      <c r="Z213" s="115">
        <v>0</v>
      </c>
      <c r="AA213" s="115">
        <v>0</v>
      </c>
      <c r="AB213" s="115">
        <v>0</v>
      </c>
      <c r="AC213" s="115">
        <v>0</v>
      </c>
      <c r="AD213" s="115">
        <v>0</v>
      </c>
      <c r="AE213" s="115">
        <v>0</v>
      </c>
      <c r="AF213" s="115">
        <v>0</v>
      </c>
      <c r="AG213" s="115">
        <v>0</v>
      </c>
      <c r="AH213" s="115">
        <v>0</v>
      </c>
      <c r="AI213" s="115">
        <v>0</v>
      </c>
      <c r="AJ213" s="115">
        <v>0</v>
      </c>
      <c r="AK213" s="115">
        <v>0</v>
      </c>
      <c r="AL213" s="115">
        <v>0</v>
      </c>
      <c r="AM213" s="115">
        <v>0</v>
      </c>
      <c r="AN213" s="115">
        <v>0</v>
      </c>
      <c r="AO213" s="115">
        <v>0</v>
      </c>
      <c r="AP213" s="115">
        <v>0</v>
      </c>
      <c r="AQ213" s="115">
        <v>0</v>
      </c>
      <c r="AR213" s="115">
        <v>0</v>
      </c>
      <c r="AS213" s="115">
        <v>0</v>
      </c>
      <c r="AT213" s="115">
        <v>0</v>
      </c>
      <c r="AU213" s="115">
        <v>0</v>
      </c>
      <c r="AV213" s="115">
        <v>0</v>
      </c>
      <c r="AW213" s="115">
        <v>0</v>
      </c>
      <c r="AX213" s="115">
        <v>0</v>
      </c>
      <c r="AY213" s="115">
        <v>0</v>
      </c>
    </row>
    <row r="214" spans="1:51" x14ac:dyDescent="0.2">
      <c r="A214" s="114"/>
      <c r="B214" s="124">
        <v>6</v>
      </c>
      <c r="C214" s="111"/>
      <c r="D214" s="115">
        <v>0</v>
      </c>
      <c r="E214" s="115">
        <v>0</v>
      </c>
      <c r="F214" s="115">
        <v>0</v>
      </c>
      <c r="G214" s="115">
        <v>0</v>
      </c>
      <c r="H214" s="115">
        <v>0</v>
      </c>
      <c r="I214" s="115">
        <v>0</v>
      </c>
      <c r="J214" s="115">
        <v>0</v>
      </c>
      <c r="K214" s="115">
        <v>0</v>
      </c>
      <c r="L214" s="115">
        <v>0</v>
      </c>
      <c r="M214" s="115">
        <v>0</v>
      </c>
      <c r="N214" s="115">
        <v>0</v>
      </c>
      <c r="O214" s="115">
        <v>0</v>
      </c>
      <c r="P214" s="115">
        <v>0</v>
      </c>
      <c r="Q214" s="115">
        <v>0</v>
      </c>
      <c r="R214" s="115">
        <v>0</v>
      </c>
      <c r="S214" s="115">
        <v>0</v>
      </c>
      <c r="T214" s="115">
        <v>0</v>
      </c>
      <c r="U214" s="115">
        <v>0</v>
      </c>
      <c r="V214" s="115">
        <v>0</v>
      </c>
      <c r="W214" s="115">
        <v>0</v>
      </c>
      <c r="X214" s="115">
        <v>0</v>
      </c>
      <c r="Y214" s="115">
        <v>0</v>
      </c>
      <c r="Z214" s="115">
        <v>0</v>
      </c>
      <c r="AA214" s="115">
        <v>0</v>
      </c>
      <c r="AB214" s="115">
        <v>0</v>
      </c>
      <c r="AC214" s="115">
        <v>0</v>
      </c>
      <c r="AD214" s="115">
        <v>0</v>
      </c>
      <c r="AE214" s="115">
        <v>0</v>
      </c>
      <c r="AF214" s="115">
        <v>0</v>
      </c>
      <c r="AG214" s="115">
        <v>0</v>
      </c>
      <c r="AH214" s="115">
        <v>0</v>
      </c>
      <c r="AI214" s="115">
        <v>0</v>
      </c>
      <c r="AJ214" s="115">
        <v>0</v>
      </c>
      <c r="AK214" s="115">
        <v>0</v>
      </c>
      <c r="AL214" s="115">
        <v>0</v>
      </c>
      <c r="AM214" s="115">
        <v>0</v>
      </c>
      <c r="AN214" s="115">
        <v>0</v>
      </c>
      <c r="AO214" s="115">
        <v>0</v>
      </c>
      <c r="AP214" s="115">
        <v>0</v>
      </c>
      <c r="AQ214" s="115">
        <v>0</v>
      </c>
      <c r="AR214" s="115">
        <v>0</v>
      </c>
      <c r="AS214" s="115">
        <v>0</v>
      </c>
      <c r="AT214" s="115">
        <v>0</v>
      </c>
      <c r="AU214" s="115">
        <v>0</v>
      </c>
      <c r="AV214" s="115">
        <v>0</v>
      </c>
      <c r="AW214" s="115">
        <v>0</v>
      </c>
      <c r="AX214" s="115">
        <v>0</v>
      </c>
      <c r="AY214" s="115">
        <v>0</v>
      </c>
    </row>
    <row r="215" spans="1:51" x14ac:dyDescent="0.2">
      <c r="A215" s="114"/>
      <c r="B215" s="124">
        <v>7</v>
      </c>
      <c r="C215" s="111"/>
      <c r="D215" s="115">
        <v>0</v>
      </c>
      <c r="E215" s="115">
        <v>0</v>
      </c>
      <c r="F215" s="115">
        <v>0</v>
      </c>
      <c r="G215" s="115">
        <v>0</v>
      </c>
      <c r="H215" s="115">
        <v>0</v>
      </c>
      <c r="I215" s="115">
        <v>0</v>
      </c>
      <c r="J215" s="115">
        <v>0</v>
      </c>
      <c r="K215" s="115">
        <v>0</v>
      </c>
      <c r="L215" s="115">
        <v>0</v>
      </c>
      <c r="M215" s="115">
        <v>0</v>
      </c>
      <c r="N215" s="115">
        <v>0</v>
      </c>
      <c r="O215" s="115">
        <v>0</v>
      </c>
      <c r="P215" s="115">
        <v>0</v>
      </c>
      <c r="Q215" s="115">
        <v>0</v>
      </c>
      <c r="R215" s="115">
        <v>0</v>
      </c>
      <c r="S215" s="115">
        <v>0</v>
      </c>
      <c r="T215" s="115">
        <v>0</v>
      </c>
      <c r="U215" s="115">
        <v>0</v>
      </c>
      <c r="V215" s="115">
        <v>0</v>
      </c>
      <c r="W215" s="115">
        <v>0</v>
      </c>
      <c r="X215" s="115">
        <v>0</v>
      </c>
      <c r="Y215" s="115">
        <v>0</v>
      </c>
      <c r="Z215" s="115">
        <v>0</v>
      </c>
      <c r="AA215" s="115">
        <v>0</v>
      </c>
      <c r="AB215" s="115">
        <v>0</v>
      </c>
      <c r="AC215" s="115">
        <v>0</v>
      </c>
      <c r="AD215" s="115">
        <v>0</v>
      </c>
      <c r="AE215" s="115">
        <v>0</v>
      </c>
      <c r="AF215" s="115">
        <v>0</v>
      </c>
      <c r="AG215" s="115">
        <v>0</v>
      </c>
      <c r="AH215" s="115">
        <v>0</v>
      </c>
      <c r="AI215" s="115">
        <v>0</v>
      </c>
      <c r="AJ215" s="115">
        <v>0</v>
      </c>
      <c r="AK215" s="115">
        <v>0</v>
      </c>
      <c r="AL215" s="115">
        <v>0</v>
      </c>
      <c r="AM215" s="115">
        <v>0</v>
      </c>
      <c r="AN215" s="115">
        <v>0</v>
      </c>
      <c r="AO215" s="115">
        <v>0</v>
      </c>
      <c r="AP215" s="115">
        <v>0</v>
      </c>
      <c r="AQ215" s="115">
        <v>0</v>
      </c>
      <c r="AR215" s="115">
        <v>0</v>
      </c>
      <c r="AS215" s="115">
        <v>0</v>
      </c>
      <c r="AT215" s="115">
        <v>0</v>
      </c>
      <c r="AU215" s="115">
        <v>0</v>
      </c>
      <c r="AV215" s="115">
        <v>0</v>
      </c>
      <c r="AW215" s="115">
        <v>0</v>
      </c>
      <c r="AX215" s="115">
        <v>0</v>
      </c>
      <c r="AY215" s="115">
        <v>0</v>
      </c>
    </row>
    <row r="216" spans="1:51" x14ac:dyDescent="0.2">
      <c r="A216" s="114"/>
      <c r="B216" s="124">
        <v>8</v>
      </c>
      <c r="C216" s="111"/>
      <c r="D216" s="115">
        <v>0</v>
      </c>
      <c r="E216" s="115">
        <v>0</v>
      </c>
      <c r="F216" s="115">
        <v>0</v>
      </c>
      <c r="G216" s="115">
        <v>0</v>
      </c>
      <c r="H216" s="115">
        <v>0</v>
      </c>
      <c r="I216" s="115">
        <v>0</v>
      </c>
      <c r="J216" s="115">
        <v>0</v>
      </c>
      <c r="K216" s="115">
        <v>0</v>
      </c>
      <c r="L216" s="115">
        <v>0</v>
      </c>
      <c r="M216" s="115">
        <v>0</v>
      </c>
      <c r="N216" s="115">
        <v>0</v>
      </c>
      <c r="O216" s="115">
        <v>0</v>
      </c>
      <c r="P216" s="115">
        <v>0</v>
      </c>
      <c r="Q216" s="115">
        <v>0</v>
      </c>
      <c r="R216" s="115">
        <v>0</v>
      </c>
      <c r="S216" s="115">
        <v>0</v>
      </c>
      <c r="T216" s="115">
        <v>0</v>
      </c>
      <c r="U216" s="115">
        <v>0</v>
      </c>
      <c r="V216" s="115">
        <v>0</v>
      </c>
      <c r="W216" s="115">
        <v>0</v>
      </c>
      <c r="X216" s="115">
        <v>0</v>
      </c>
      <c r="Y216" s="115">
        <v>0</v>
      </c>
      <c r="Z216" s="115">
        <v>0</v>
      </c>
      <c r="AA216" s="115">
        <v>0</v>
      </c>
      <c r="AB216" s="115">
        <v>0</v>
      </c>
      <c r="AC216" s="115">
        <v>0</v>
      </c>
      <c r="AD216" s="115">
        <v>0</v>
      </c>
      <c r="AE216" s="115">
        <v>0</v>
      </c>
      <c r="AF216" s="115">
        <v>0</v>
      </c>
      <c r="AG216" s="115">
        <v>0</v>
      </c>
      <c r="AH216" s="115">
        <v>0</v>
      </c>
      <c r="AI216" s="115">
        <v>0</v>
      </c>
      <c r="AJ216" s="115">
        <v>0</v>
      </c>
      <c r="AK216" s="115">
        <v>0</v>
      </c>
      <c r="AL216" s="115">
        <v>0</v>
      </c>
      <c r="AM216" s="115">
        <v>0</v>
      </c>
      <c r="AN216" s="115">
        <v>0</v>
      </c>
      <c r="AO216" s="115">
        <v>0</v>
      </c>
      <c r="AP216" s="115">
        <v>0</v>
      </c>
      <c r="AQ216" s="115">
        <v>0</v>
      </c>
      <c r="AR216" s="115">
        <v>0</v>
      </c>
      <c r="AS216" s="115">
        <v>0</v>
      </c>
      <c r="AT216" s="115">
        <v>0</v>
      </c>
      <c r="AU216" s="115">
        <v>0</v>
      </c>
      <c r="AV216" s="115">
        <v>0</v>
      </c>
      <c r="AW216" s="115">
        <v>0</v>
      </c>
      <c r="AX216" s="115">
        <v>0</v>
      </c>
      <c r="AY216" s="115">
        <v>0</v>
      </c>
    </row>
    <row r="217" spans="1:51" x14ac:dyDescent="0.2">
      <c r="A217" s="114"/>
      <c r="B217" s="124">
        <v>9</v>
      </c>
      <c r="C217" s="111"/>
      <c r="D217" s="115">
        <v>0</v>
      </c>
      <c r="E217" s="115">
        <v>0</v>
      </c>
      <c r="F217" s="115">
        <v>0</v>
      </c>
      <c r="G217" s="115">
        <v>0</v>
      </c>
      <c r="H217" s="115">
        <v>0</v>
      </c>
      <c r="I217" s="115">
        <v>0</v>
      </c>
      <c r="J217" s="115">
        <v>0</v>
      </c>
      <c r="K217" s="115">
        <v>0</v>
      </c>
      <c r="L217" s="115">
        <v>0</v>
      </c>
      <c r="M217" s="115">
        <v>0</v>
      </c>
      <c r="N217" s="115">
        <v>0</v>
      </c>
      <c r="O217" s="115">
        <v>0</v>
      </c>
      <c r="P217" s="115">
        <v>0</v>
      </c>
      <c r="Q217" s="115">
        <v>0</v>
      </c>
      <c r="R217" s="115">
        <v>0</v>
      </c>
      <c r="S217" s="115">
        <v>0</v>
      </c>
      <c r="T217" s="115">
        <v>0</v>
      </c>
      <c r="U217" s="115">
        <v>0</v>
      </c>
      <c r="V217" s="115">
        <v>0</v>
      </c>
      <c r="W217" s="115">
        <v>0</v>
      </c>
      <c r="X217" s="115">
        <v>0</v>
      </c>
      <c r="Y217" s="115">
        <v>0</v>
      </c>
      <c r="Z217" s="115">
        <v>0</v>
      </c>
      <c r="AA217" s="115">
        <v>0</v>
      </c>
      <c r="AB217" s="115">
        <v>0</v>
      </c>
      <c r="AC217" s="115">
        <v>0</v>
      </c>
      <c r="AD217" s="115">
        <v>0</v>
      </c>
      <c r="AE217" s="115">
        <v>0</v>
      </c>
      <c r="AF217" s="115">
        <v>0</v>
      </c>
      <c r="AG217" s="115">
        <v>0</v>
      </c>
      <c r="AH217" s="115">
        <v>0</v>
      </c>
      <c r="AI217" s="115">
        <v>0</v>
      </c>
      <c r="AJ217" s="115">
        <v>0</v>
      </c>
      <c r="AK217" s="115">
        <v>0</v>
      </c>
      <c r="AL217" s="115">
        <v>0</v>
      </c>
      <c r="AM217" s="115">
        <v>0</v>
      </c>
      <c r="AN217" s="115">
        <v>0</v>
      </c>
      <c r="AO217" s="115">
        <v>0</v>
      </c>
      <c r="AP217" s="115">
        <v>0</v>
      </c>
      <c r="AQ217" s="115">
        <v>0</v>
      </c>
      <c r="AR217" s="115">
        <v>0</v>
      </c>
      <c r="AS217" s="115">
        <v>0</v>
      </c>
      <c r="AT217" s="115">
        <v>0</v>
      </c>
      <c r="AU217" s="115">
        <v>0</v>
      </c>
      <c r="AV217" s="115">
        <v>0</v>
      </c>
      <c r="AW217" s="115">
        <v>0</v>
      </c>
      <c r="AX217" s="115">
        <v>0</v>
      </c>
      <c r="AY217" s="115">
        <v>0</v>
      </c>
    </row>
    <row r="218" spans="1:51" x14ac:dyDescent="0.2">
      <c r="A218" s="114"/>
      <c r="B218" s="124">
        <v>10</v>
      </c>
      <c r="C218" s="111"/>
      <c r="D218" s="115">
        <v>0</v>
      </c>
      <c r="E218" s="115">
        <v>0</v>
      </c>
      <c r="F218" s="115">
        <v>0</v>
      </c>
      <c r="G218" s="115">
        <v>0</v>
      </c>
      <c r="H218" s="115">
        <v>0</v>
      </c>
      <c r="I218" s="115">
        <v>0</v>
      </c>
      <c r="J218" s="115">
        <v>0</v>
      </c>
      <c r="K218" s="115">
        <v>0</v>
      </c>
      <c r="L218" s="115">
        <v>0</v>
      </c>
      <c r="M218" s="115">
        <v>0</v>
      </c>
      <c r="N218" s="115">
        <v>0</v>
      </c>
      <c r="O218" s="115">
        <v>0</v>
      </c>
      <c r="P218" s="115">
        <v>0</v>
      </c>
      <c r="Q218" s="115">
        <v>0</v>
      </c>
      <c r="R218" s="115">
        <v>0</v>
      </c>
      <c r="S218" s="115">
        <v>0</v>
      </c>
      <c r="T218" s="115">
        <v>0</v>
      </c>
      <c r="U218" s="115">
        <v>0</v>
      </c>
      <c r="V218" s="115">
        <v>0</v>
      </c>
      <c r="W218" s="115">
        <v>0</v>
      </c>
      <c r="X218" s="115">
        <v>0</v>
      </c>
      <c r="Y218" s="115">
        <v>0</v>
      </c>
      <c r="Z218" s="115">
        <v>0</v>
      </c>
      <c r="AA218" s="115">
        <v>0</v>
      </c>
      <c r="AB218" s="115">
        <v>0</v>
      </c>
      <c r="AC218" s="115">
        <v>0</v>
      </c>
      <c r="AD218" s="115">
        <v>0</v>
      </c>
      <c r="AE218" s="115">
        <v>0</v>
      </c>
      <c r="AF218" s="115">
        <v>0</v>
      </c>
      <c r="AG218" s="115">
        <v>0</v>
      </c>
      <c r="AH218" s="115">
        <v>0</v>
      </c>
      <c r="AI218" s="115">
        <v>0</v>
      </c>
      <c r="AJ218" s="115">
        <v>0</v>
      </c>
      <c r="AK218" s="115">
        <v>0</v>
      </c>
      <c r="AL218" s="115">
        <v>0</v>
      </c>
      <c r="AM218" s="115">
        <v>0</v>
      </c>
      <c r="AN218" s="115">
        <v>0</v>
      </c>
      <c r="AO218" s="115">
        <v>0</v>
      </c>
      <c r="AP218" s="115">
        <v>0</v>
      </c>
      <c r="AQ218" s="115">
        <v>0</v>
      </c>
      <c r="AR218" s="115">
        <v>0</v>
      </c>
      <c r="AS218" s="115">
        <v>0</v>
      </c>
      <c r="AT218" s="115">
        <v>0</v>
      </c>
      <c r="AU218" s="115">
        <v>0</v>
      </c>
      <c r="AV218" s="115">
        <v>0</v>
      </c>
      <c r="AW218" s="115">
        <v>0</v>
      </c>
      <c r="AX218" s="115">
        <v>0</v>
      </c>
      <c r="AY218" s="115">
        <v>0</v>
      </c>
    </row>
    <row r="219" spans="1:51" x14ac:dyDescent="0.2">
      <c r="A219" s="114"/>
      <c r="B219" s="124">
        <v>11</v>
      </c>
      <c r="C219" s="111"/>
      <c r="D219" s="115">
        <v>0</v>
      </c>
      <c r="E219" s="115">
        <v>0</v>
      </c>
      <c r="F219" s="115">
        <v>0</v>
      </c>
      <c r="G219" s="115">
        <v>0</v>
      </c>
      <c r="H219" s="115">
        <v>0</v>
      </c>
      <c r="I219" s="115">
        <v>0</v>
      </c>
      <c r="J219" s="115">
        <v>0</v>
      </c>
      <c r="K219" s="115">
        <v>0</v>
      </c>
      <c r="L219" s="115">
        <v>0</v>
      </c>
      <c r="M219" s="115">
        <v>0</v>
      </c>
      <c r="N219" s="115">
        <v>0</v>
      </c>
      <c r="O219" s="115">
        <v>0</v>
      </c>
      <c r="P219" s="115">
        <v>0</v>
      </c>
      <c r="Q219" s="115">
        <v>0</v>
      </c>
      <c r="R219" s="115">
        <v>0</v>
      </c>
      <c r="S219" s="115">
        <v>0</v>
      </c>
      <c r="T219" s="115">
        <v>0</v>
      </c>
      <c r="U219" s="115">
        <v>0</v>
      </c>
      <c r="V219" s="115">
        <v>0</v>
      </c>
      <c r="W219" s="115">
        <v>0</v>
      </c>
      <c r="X219" s="115">
        <v>0</v>
      </c>
      <c r="Y219" s="115">
        <v>0</v>
      </c>
      <c r="Z219" s="115">
        <v>0</v>
      </c>
      <c r="AA219" s="115">
        <v>0</v>
      </c>
      <c r="AB219" s="115">
        <v>0</v>
      </c>
      <c r="AC219" s="115">
        <v>0</v>
      </c>
      <c r="AD219" s="115">
        <v>0</v>
      </c>
      <c r="AE219" s="115">
        <v>0</v>
      </c>
      <c r="AF219" s="115">
        <v>0</v>
      </c>
      <c r="AG219" s="115">
        <v>0</v>
      </c>
      <c r="AH219" s="115">
        <v>0</v>
      </c>
      <c r="AI219" s="115">
        <v>0</v>
      </c>
      <c r="AJ219" s="115">
        <v>0</v>
      </c>
      <c r="AK219" s="115">
        <v>0</v>
      </c>
      <c r="AL219" s="115">
        <v>0</v>
      </c>
      <c r="AM219" s="115">
        <v>0</v>
      </c>
      <c r="AN219" s="115">
        <v>0</v>
      </c>
      <c r="AO219" s="115">
        <v>0</v>
      </c>
      <c r="AP219" s="115">
        <v>0</v>
      </c>
      <c r="AQ219" s="115">
        <v>0</v>
      </c>
      <c r="AR219" s="115">
        <v>0</v>
      </c>
      <c r="AS219" s="115">
        <v>0</v>
      </c>
      <c r="AT219" s="115">
        <v>0</v>
      </c>
      <c r="AU219" s="115">
        <v>0</v>
      </c>
      <c r="AV219" s="115">
        <v>0</v>
      </c>
      <c r="AW219" s="115">
        <v>0</v>
      </c>
      <c r="AX219" s="115">
        <v>0</v>
      </c>
      <c r="AY219" s="115">
        <v>0</v>
      </c>
    </row>
    <row r="220" spans="1:51" x14ac:dyDescent="0.2">
      <c r="A220" s="114"/>
      <c r="B220" s="124">
        <v>12</v>
      </c>
      <c r="C220" s="111"/>
      <c r="D220" s="115">
        <v>0</v>
      </c>
      <c r="E220" s="115">
        <v>0</v>
      </c>
      <c r="F220" s="115">
        <v>0</v>
      </c>
      <c r="G220" s="115">
        <v>0</v>
      </c>
      <c r="H220" s="115">
        <v>0</v>
      </c>
      <c r="I220" s="115">
        <v>0</v>
      </c>
      <c r="J220" s="115">
        <v>0</v>
      </c>
      <c r="K220" s="115">
        <v>0</v>
      </c>
      <c r="L220" s="115">
        <v>0</v>
      </c>
      <c r="M220" s="115">
        <v>0</v>
      </c>
      <c r="N220" s="115">
        <v>0</v>
      </c>
      <c r="O220" s="115">
        <v>0</v>
      </c>
      <c r="P220" s="115">
        <v>0</v>
      </c>
      <c r="Q220" s="115">
        <v>0</v>
      </c>
      <c r="R220" s="115">
        <v>0</v>
      </c>
      <c r="S220" s="115">
        <v>0</v>
      </c>
      <c r="T220" s="115">
        <v>0</v>
      </c>
      <c r="U220" s="115">
        <v>0</v>
      </c>
      <c r="V220" s="115">
        <v>0</v>
      </c>
      <c r="W220" s="115">
        <v>0</v>
      </c>
      <c r="X220" s="115">
        <v>0</v>
      </c>
      <c r="Y220" s="115">
        <v>0</v>
      </c>
      <c r="Z220" s="115">
        <v>0</v>
      </c>
      <c r="AA220" s="115">
        <v>0</v>
      </c>
      <c r="AB220" s="115">
        <v>0</v>
      </c>
      <c r="AC220" s="115">
        <v>0</v>
      </c>
      <c r="AD220" s="115">
        <v>0</v>
      </c>
      <c r="AE220" s="115">
        <v>0</v>
      </c>
      <c r="AF220" s="115">
        <v>0</v>
      </c>
      <c r="AG220" s="115">
        <v>0</v>
      </c>
      <c r="AH220" s="115">
        <v>0</v>
      </c>
      <c r="AI220" s="115">
        <v>0</v>
      </c>
      <c r="AJ220" s="115">
        <v>0</v>
      </c>
      <c r="AK220" s="115">
        <v>0</v>
      </c>
      <c r="AL220" s="115">
        <v>0</v>
      </c>
      <c r="AM220" s="115">
        <v>0</v>
      </c>
      <c r="AN220" s="115">
        <v>0</v>
      </c>
      <c r="AO220" s="115">
        <v>0</v>
      </c>
      <c r="AP220" s="115">
        <v>0</v>
      </c>
      <c r="AQ220" s="115">
        <v>0</v>
      </c>
      <c r="AR220" s="115">
        <v>0</v>
      </c>
      <c r="AS220" s="115">
        <v>0</v>
      </c>
      <c r="AT220" s="115">
        <v>0</v>
      </c>
      <c r="AU220" s="115">
        <v>0</v>
      </c>
      <c r="AV220" s="115">
        <v>0</v>
      </c>
      <c r="AW220" s="115">
        <v>0</v>
      </c>
      <c r="AX220" s="115">
        <v>0</v>
      </c>
      <c r="AY220" s="115">
        <v>0</v>
      </c>
    </row>
    <row r="221" spans="1:51" x14ac:dyDescent="0.2">
      <c r="A221" s="114"/>
      <c r="B221" s="125">
        <v>13</v>
      </c>
      <c r="C221" s="111"/>
      <c r="D221" s="115">
        <v>0</v>
      </c>
      <c r="E221" s="115">
        <v>0</v>
      </c>
      <c r="F221" s="115">
        <v>0</v>
      </c>
      <c r="G221" s="115">
        <v>0</v>
      </c>
      <c r="H221" s="115">
        <v>0</v>
      </c>
      <c r="I221" s="115">
        <v>0</v>
      </c>
      <c r="J221" s="115">
        <v>0</v>
      </c>
      <c r="K221" s="115">
        <v>0</v>
      </c>
      <c r="L221" s="115">
        <v>0</v>
      </c>
      <c r="M221" s="115">
        <v>0</v>
      </c>
      <c r="N221" s="115">
        <v>0</v>
      </c>
      <c r="O221" s="115">
        <v>0</v>
      </c>
      <c r="P221" s="115">
        <v>0</v>
      </c>
      <c r="Q221" s="115">
        <v>0</v>
      </c>
      <c r="R221" s="115">
        <v>0</v>
      </c>
      <c r="S221" s="115">
        <v>0</v>
      </c>
      <c r="T221" s="115">
        <v>0</v>
      </c>
      <c r="U221" s="115">
        <v>0</v>
      </c>
      <c r="V221" s="115">
        <v>0</v>
      </c>
      <c r="W221" s="115">
        <v>0</v>
      </c>
      <c r="X221" s="115">
        <v>0</v>
      </c>
      <c r="Y221" s="115">
        <v>0</v>
      </c>
      <c r="Z221" s="115">
        <v>0</v>
      </c>
      <c r="AA221" s="115">
        <v>0</v>
      </c>
      <c r="AB221" s="115">
        <v>0</v>
      </c>
      <c r="AC221" s="115">
        <v>0</v>
      </c>
      <c r="AD221" s="115">
        <v>0</v>
      </c>
      <c r="AE221" s="115">
        <v>0</v>
      </c>
      <c r="AF221" s="115">
        <v>0</v>
      </c>
      <c r="AG221" s="115">
        <v>0</v>
      </c>
      <c r="AH221" s="115">
        <v>0</v>
      </c>
      <c r="AI221" s="115">
        <v>0</v>
      </c>
      <c r="AJ221" s="115">
        <v>0</v>
      </c>
      <c r="AK221" s="115">
        <v>0</v>
      </c>
      <c r="AL221" s="115">
        <v>0</v>
      </c>
      <c r="AM221" s="115">
        <v>0</v>
      </c>
      <c r="AN221" s="115">
        <v>0</v>
      </c>
      <c r="AO221" s="115">
        <v>0</v>
      </c>
      <c r="AP221" s="115">
        <v>0</v>
      </c>
      <c r="AQ221" s="115">
        <v>0</v>
      </c>
      <c r="AR221" s="115">
        <v>0</v>
      </c>
      <c r="AS221" s="115">
        <v>0</v>
      </c>
      <c r="AT221" s="115">
        <v>0</v>
      </c>
      <c r="AU221" s="115">
        <v>0</v>
      </c>
      <c r="AV221" s="115">
        <v>0</v>
      </c>
      <c r="AW221" s="115">
        <v>0</v>
      </c>
      <c r="AX221" s="115">
        <v>0</v>
      </c>
      <c r="AY221" s="115">
        <v>0</v>
      </c>
    </row>
    <row r="222" spans="1:51" x14ac:dyDescent="0.2">
      <c r="A222" s="114"/>
      <c r="B222" s="125">
        <v>14</v>
      </c>
      <c r="C222" s="111"/>
      <c r="D222" s="115">
        <v>0</v>
      </c>
      <c r="E222" s="115">
        <v>0</v>
      </c>
      <c r="F222" s="115">
        <v>0</v>
      </c>
      <c r="G222" s="115">
        <v>0</v>
      </c>
      <c r="H222" s="115">
        <v>0</v>
      </c>
      <c r="I222" s="115">
        <v>0</v>
      </c>
      <c r="J222" s="115">
        <v>0</v>
      </c>
      <c r="K222" s="115">
        <v>0</v>
      </c>
      <c r="L222" s="115">
        <v>0</v>
      </c>
      <c r="M222" s="115">
        <v>0</v>
      </c>
      <c r="N222" s="115">
        <v>0</v>
      </c>
      <c r="O222" s="115">
        <v>0</v>
      </c>
      <c r="P222" s="115">
        <v>0</v>
      </c>
      <c r="Q222" s="115">
        <v>0</v>
      </c>
      <c r="R222" s="115">
        <v>0</v>
      </c>
      <c r="S222" s="115">
        <v>0</v>
      </c>
      <c r="T222" s="115">
        <v>0</v>
      </c>
      <c r="U222" s="115">
        <v>0</v>
      </c>
      <c r="V222" s="115">
        <v>0</v>
      </c>
      <c r="W222" s="115">
        <v>0</v>
      </c>
      <c r="X222" s="115">
        <v>0</v>
      </c>
      <c r="Y222" s="115">
        <v>0</v>
      </c>
      <c r="Z222" s="115">
        <v>0</v>
      </c>
      <c r="AA222" s="115">
        <v>0</v>
      </c>
      <c r="AB222" s="115">
        <v>0</v>
      </c>
      <c r="AC222" s="115">
        <v>0</v>
      </c>
      <c r="AD222" s="115">
        <v>0</v>
      </c>
      <c r="AE222" s="115">
        <v>0</v>
      </c>
      <c r="AF222" s="115">
        <v>0</v>
      </c>
      <c r="AG222" s="115">
        <v>0</v>
      </c>
      <c r="AH222" s="115">
        <v>0</v>
      </c>
      <c r="AI222" s="115">
        <v>0</v>
      </c>
      <c r="AJ222" s="115">
        <v>0</v>
      </c>
      <c r="AK222" s="115">
        <v>0</v>
      </c>
      <c r="AL222" s="115">
        <v>0</v>
      </c>
      <c r="AM222" s="115">
        <v>0</v>
      </c>
      <c r="AN222" s="115">
        <v>0</v>
      </c>
      <c r="AO222" s="115">
        <v>0</v>
      </c>
      <c r="AP222" s="115">
        <v>0</v>
      </c>
      <c r="AQ222" s="115">
        <v>0</v>
      </c>
      <c r="AR222" s="115">
        <v>0</v>
      </c>
      <c r="AS222" s="115">
        <v>0</v>
      </c>
      <c r="AT222" s="115">
        <v>0</v>
      </c>
      <c r="AU222" s="115">
        <v>0</v>
      </c>
      <c r="AV222" s="115">
        <v>0</v>
      </c>
      <c r="AW222" s="115">
        <v>0</v>
      </c>
      <c r="AX222" s="115">
        <v>0</v>
      </c>
      <c r="AY222" s="115">
        <v>0</v>
      </c>
    </row>
    <row r="223" spans="1:51" x14ac:dyDescent="0.2">
      <c r="A223" s="114"/>
      <c r="B223" s="125">
        <v>15</v>
      </c>
      <c r="C223" s="111"/>
      <c r="D223" s="115">
        <v>0</v>
      </c>
      <c r="E223" s="115">
        <v>0</v>
      </c>
      <c r="F223" s="115">
        <v>0</v>
      </c>
      <c r="G223" s="115">
        <v>0</v>
      </c>
      <c r="H223" s="115">
        <v>0</v>
      </c>
      <c r="I223" s="115">
        <v>0</v>
      </c>
      <c r="J223" s="115">
        <v>0</v>
      </c>
      <c r="K223" s="115">
        <v>0</v>
      </c>
      <c r="L223" s="115">
        <v>0</v>
      </c>
      <c r="M223" s="115">
        <v>0</v>
      </c>
      <c r="N223" s="115">
        <v>0</v>
      </c>
      <c r="O223" s="115">
        <v>0</v>
      </c>
      <c r="P223" s="115">
        <v>0</v>
      </c>
      <c r="Q223" s="115">
        <v>0</v>
      </c>
      <c r="R223" s="115">
        <v>0</v>
      </c>
      <c r="S223" s="115">
        <v>0</v>
      </c>
      <c r="T223" s="115">
        <v>0</v>
      </c>
      <c r="U223" s="115">
        <v>0</v>
      </c>
      <c r="V223" s="115">
        <v>0</v>
      </c>
      <c r="W223" s="115">
        <v>0</v>
      </c>
      <c r="X223" s="115">
        <v>0</v>
      </c>
      <c r="Y223" s="115">
        <v>0</v>
      </c>
      <c r="Z223" s="115">
        <v>0</v>
      </c>
      <c r="AA223" s="115">
        <v>0</v>
      </c>
      <c r="AB223" s="115">
        <v>0</v>
      </c>
      <c r="AC223" s="115">
        <v>0</v>
      </c>
      <c r="AD223" s="115">
        <v>0</v>
      </c>
      <c r="AE223" s="115">
        <v>0</v>
      </c>
      <c r="AF223" s="115">
        <v>0</v>
      </c>
      <c r="AG223" s="115">
        <v>0</v>
      </c>
      <c r="AH223" s="115">
        <v>0</v>
      </c>
      <c r="AI223" s="115">
        <v>0</v>
      </c>
      <c r="AJ223" s="115">
        <v>0</v>
      </c>
      <c r="AK223" s="115">
        <v>0</v>
      </c>
      <c r="AL223" s="115">
        <v>0</v>
      </c>
      <c r="AM223" s="115">
        <v>0</v>
      </c>
      <c r="AN223" s="115">
        <v>0</v>
      </c>
      <c r="AO223" s="115">
        <v>0</v>
      </c>
      <c r="AP223" s="115">
        <v>0</v>
      </c>
      <c r="AQ223" s="115">
        <v>0</v>
      </c>
      <c r="AR223" s="115">
        <v>0</v>
      </c>
      <c r="AS223" s="115">
        <v>0</v>
      </c>
      <c r="AT223" s="115">
        <v>0</v>
      </c>
      <c r="AU223" s="115">
        <v>0</v>
      </c>
      <c r="AV223" s="115">
        <v>0</v>
      </c>
      <c r="AW223" s="115">
        <v>0</v>
      </c>
      <c r="AX223" s="115">
        <v>0</v>
      </c>
      <c r="AY223" s="115">
        <v>0</v>
      </c>
    </row>
    <row r="224" spans="1:51" x14ac:dyDescent="0.2">
      <c r="A224" s="114"/>
      <c r="B224" s="125">
        <v>16</v>
      </c>
      <c r="C224" s="111"/>
      <c r="D224" s="115">
        <v>0</v>
      </c>
      <c r="E224" s="115">
        <v>0</v>
      </c>
      <c r="F224" s="115">
        <v>0</v>
      </c>
      <c r="G224" s="115">
        <v>0</v>
      </c>
      <c r="H224" s="115">
        <v>0</v>
      </c>
      <c r="I224" s="115">
        <v>0</v>
      </c>
      <c r="J224" s="115">
        <v>0</v>
      </c>
      <c r="K224" s="115">
        <v>0</v>
      </c>
      <c r="L224" s="115">
        <v>0</v>
      </c>
      <c r="M224" s="115">
        <v>0</v>
      </c>
      <c r="N224" s="115">
        <v>0</v>
      </c>
      <c r="O224" s="115">
        <v>0</v>
      </c>
      <c r="P224" s="115">
        <v>0</v>
      </c>
      <c r="Q224" s="115">
        <v>0</v>
      </c>
      <c r="R224" s="115">
        <v>0</v>
      </c>
      <c r="S224" s="115">
        <v>0</v>
      </c>
      <c r="T224" s="115">
        <v>0</v>
      </c>
      <c r="U224" s="115">
        <v>0</v>
      </c>
      <c r="V224" s="115">
        <v>0</v>
      </c>
      <c r="W224" s="115">
        <v>0</v>
      </c>
      <c r="X224" s="115">
        <v>0</v>
      </c>
      <c r="Y224" s="115">
        <v>0</v>
      </c>
      <c r="Z224" s="115">
        <v>0</v>
      </c>
      <c r="AA224" s="115">
        <v>0</v>
      </c>
      <c r="AB224" s="115">
        <v>0</v>
      </c>
      <c r="AC224" s="115">
        <v>0</v>
      </c>
      <c r="AD224" s="115">
        <v>0</v>
      </c>
      <c r="AE224" s="115">
        <v>0</v>
      </c>
      <c r="AF224" s="115">
        <v>0</v>
      </c>
      <c r="AG224" s="115">
        <v>0</v>
      </c>
      <c r="AH224" s="115">
        <v>0</v>
      </c>
      <c r="AI224" s="115">
        <v>0</v>
      </c>
      <c r="AJ224" s="115">
        <v>0</v>
      </c>
      <c r="AK224" s="115">
        <v>0</v>
      </c>
      <c r="AL224" s="115">
        <v>0</v>
      </c>
      <c r="AM224" s="115">
        <v>0</v>
      </c>
      <c r="AN224" s="115">
        <v>0</v>
      </c>
      <c r="AO224" s="115">
        <v>0</v>
      </c>
      <c r="AP224" s="115">
        <v>0</v>
      </c>
      <c r="AQ224" s="115">
        <v>0</v>
      </c>
      <c r="AR224" s="115">
        <v>0</v>
      </c>
      <c r="AS224" s="115">
        <v>0</v>
      </c>
      <c r="AT224" s="115">
        <v>0</v>
      </c>
      <c r="AU224" s="115">
        <v>0</v>
      </c>
      <c r="AV224" s="115">
        <v>0</v>
      </c>
      <c r="AW224" s="115">
        <v>0</v>
      </c>
      <c r="AX224" s="115">
        <v>0</v>
      </c>
      <c r="AY224" s="115">
        <v>0</v>
      </c>
    </row>
    <row r="225" spans="1:51" x14ac:dyDescent="0.2">
      <c r="A225" s="114"/>
      <c r="B225" s="125">
        <v>17</v>
      </c>
      <c r="C225" s="111"/>
      <c r="D225" s="115">
        <v>0</v>
      </c>
      <c r="E225" s="115">
        <v>0</v>
      </c>
      <c r="F225" s="115">
        <v>0</v>
      </c>
      <c r="G225" s="115">
        <v>0</v>
      </c>
      <c r="H225" s="115">
        <v>0</v>
      </c>
      <c r="I225" s="115">
        <v>0</v>
      </c>
      <c r="J225" s="115">
        <v>0</v>
      </c>
      <c r="K225" s="115">
        <v>0</v>
      </c>
      <c r="L225" s="115">
        <v>0</v>
      </c>
      <c r="M225" s="115">
        <v>0</v>
      </c>
      <c r="N225" s="115">
        <v>0</v>
      </c>
      <c r="O225" s="115">
        <v>0</v>
      </c>
      <c r="P225" s="115">
        <v>0</v>
      </c>
      <c r="Q225" s="115">
        <v>0</v>
      </c>
      <c r="R225" s="115">
        <v>0</v>
      </c>
      <c r="S225" s="115">
        <v>0</v>
      </c>
      <c r="T225" s="115">
        <v>0</v>
      </c>
      <c r="U225" s="115">
        <v>0</v>
      </c>
      <c r="V225" s="115">
        <v>0</v>
      </c>
      <c r="W225" s="115">
        <v>0</v>
      </c>
      <c r="X225" s="115">
        <v>0</v>
      </c>
      <c r="Y225" s="115">
        <v>0</v>
      </c>
      <c r="Z225" s="115">
        <v>0</v>
      </c>
      <c r="AA225" s="115">
        <v>0</v>
      </c>
      <c r="AB225" s="115">
        <v>0</v>
      </c>
      <c r="AC225" s="115">
        <v>0</v>
      </c>
      <c r="AD225" s="115">
        <v>0</v>
      </c>
      <c r="AE225" s="115">
        <v>0</v>
      </c>
      <c r="AF225" s="115">
        <v>0</v>
      </c>
      <c r="AG225" s="115">
        <v>0</v>
      </c>
      <c r="AH225" s="115">
        <v>0</v>
      </c>
      <c r="AI225" s="115">
        <v>0</v>
      </c>
      <c r="AJ225" s="115">
        <v>0</v>
      </c>
      <c r="AK225" s="115">
        <v>0</v>
      </c>
      <c r="AL225" s="115">
        <v>0</v>
      </c>
      <c r="AM225" s="115">
        <v>0</v>
      </c>
      <c r="AN225" s="115">
        <v>0</v>
      </c>
      <c r="AO225" s="115">
        <v>0</v>
      </c>
      <c r="AP225" s="115">
        <v>0</v>
      </c>
      <c r="AQ225" s="115">
        <v>0</v>
      </c>
      <c r="AR225" s="115">
        <v>0</v>
      </c>
      <c r="AS225" s="115">
        <v>0</v>
      </c>
      <c r="AT225" s="115">
        <v>0</v>
      </c>
      <c r="AU225" s="115">
        <v>0</v>
      </c>
      <c r="AV225" s="115">
        <v>0</v>
      </c>
      <c r="AW225" s="115">
        <v>0</v>
      </c>
      <c r="AX225" s="115">
        <v>0</v>
      </c>
      <c r="AY225" s="115">
        <v>0</v>
      </c>
    </row>
    <row r="226" spans="1:51" x14ac:dyDescent="0.2">
      <c r="A226" s="114"/>
      <c r="B226" s="125">
        <v>18</v>
      </c>
      <c r="C226" s="111"/>
      <c r="D226" s="115">
        <v>0</v>
      </c>
      <c r="E226" s="115">
        <v>0</v>
      </c>
      <c r="F226" s="115">
        <v>0</v>
      </c>
      <c r="G226" s="115">
        <v>0</v>
      </c>
      <c r="H226" s="115">
        <v>0</v>
      </c>
      <c r="I226" s="115">
        <v>0</v>
      </c>
      <c r="J226" s="115">
        <v>0</v>
      </c>
      <c r="K226" s="115">
        <v>0</v>
      </c>
      <c r="L226" s="115">
        <v>0</v>
      </c>
      <c r="M226" s="115">
        <v>0</v>
      </c>
      <c r="N226" s="115">
        <v>0</v>
      </c>
      <c r="O226" s="115">
        <v>0</v>
      </c>
      <c r="P226" s="115">
        <v>0</v>
      </c>
      <c r="Q226" s="115">
        <v>0</v>
      </c>
      <c r="R226" s="115">
        <v>0</v>
      </c>
      <c r="S226" s="115">
        <v>0</v>
      </c>
      <c r="T226" s="115">
        <v>0</v>
      </c>
      <c r="U226" s="115">
        <v>0</v>
      </c>
      <c r="V226" s="115">
        <v>0</v>
      </c>
      <c r="W226" s="115">
        <v>0</v>
      </c>
      <c r="X226" s="115">
        <v>0</v>
      </c>
      <c r="Y226" s="115">
        <v>0</v>
      </c>
      <c r="Z226" s="115">
        <v>0</v>
      </c>
      <c r="AA226" s="115">
        <v>0</v>
      </c>
      <c r="AB226" s="115">
        <v>0</v>
      </c>
      <c r="AC226" s="115">
        <v>0</v>
      </c>
      <c r="AD226" s="115">
        <v>0</v>
      </c>
      <c r="AE226" s="115">
        <v>0</v>
      </c>
      <c r="AF226" s="115">
        <v>0</v>
      </c>
      <c r="AG226" s="115">
        <v>0</v>
      </c>
      <c r="AH226" s="115">
        <v>0</v>
      </c>
      <c r="AI226" s="115">
        <v>0</v>
      </c>
      <c r="AJ226" s="115">
        <v>0</v>
      </c>
      <c r="AK226" s="115">
        <v>0</v>
      </c>
      <c r="AL226" s="115">
        <v>0</v>
      </c>
      <c r="AM226" s="115">
        <v>0</v>
      </c>
      <c r="AN226" s="115">
        <v>0</v>
      </c>
      <c r="AO226" s="115">
        <v>0</v>
      </c>
      <c r="AP226" s="115">
        <v>0</v>
      </c>
      <c r="AQ226" s="115">
        <v>0</v>
      </c>
      <c r="AR226" s="115">
        <v>0</v>
      </c>
      <c r="AS226" s="115">
        <v>0</v>
      </c>
      <c r="AT226" s="115">
        <v>0</v>
      </c>
      <c r="AU226" s="115">
        <v>0</v>
      </c>
      <c r="AV226" s="115">
        <v>0</v>
      </c>
      <c r="AW226" s="115">
        <v>0</v>
      </c>
      <c r="AX226" s="115">
        <v>0</v>
      </c>
      <c r="AY226" s="115">
        <v>0</v>
      </c>
    </row>
    <row r="227" spans="1:51" x14ac:dyDescent="0.2">
      <c r="A227" s="114"/>
      <c r="B227" s="125">
        <v>19</v>
      </c>
      <c r="C227" s="111"/>
      <c r="D227" s="115">
        <v>0</v>
      </c>
      <c r="E227" s="115">
        <v>0</v>
      </c>
      <c r="F227" s="115">
        <v>0</v>
      </c>
      <c r="G227" s="115">
        <v>0</v>
      </c>
      <c r="H227" s="115">
        <v>0</v>
      </c>
      <c r="I227" s="115">
        <v>0</v>
      </c>
      <c r="J227" s="115">
        <v>0</v>
      </c>
      <c r="K227" s="115">
        <v>0</v>
      </c>
      <c r="L227" s="115">
        <v>0</v>
      </c>
      <c r="M227" s="115">
        <v>0</v>
      </c>
      <c r="N227" s="115">
        <v>0</v>
      </c>
      <c r="O227" s="115">
        <v>0</v>
      </c>
      <c r="P227" s="115">
        <v>0</v>
      </c>
      <c r="Q227" s="115">
        <v>0</v>
      </c>
      <c r="R227" s="115">
        <v>0</v>
      </c>
      <c r="S227" s="115">
        <v>0</v>
      </c>
      <c r="T227" s="115">
        <v>0</v>
      </c>
      <c r="U227" s="115">
        <v>0</v>
      </c>
      <c r="V227" s="115">
        <v>0</v>
      </c>
      <c r="W227" s="115">
        <v>0</v>
      </c>
      <c r="X227" s="115">
        <v>0</v>
      </c>
      <c r="Y227" s="115">
        <v>0</v>
      </c>
      <c r="Z227" s="115">
        <v>0</v>
      </c>
      <c r="AA227" s="115">
        <v>0</v>
      </c>
      <c r="AB227" s="115">
        <v>0</v>
      </c>
      <c r="AC227" s="115">
        <v>0</v>
      </c>
      <c r="AD227" s="115">
        <v>0</v>
      </c>
      <c r="AE227" s="115">
        <v>0</v>
      </c>
      <c r="AF227" s="115">
        <v>0</v>
      </c>
      <c r="AG227" s="115">
        <v>0</v>
      </c>
      <c r="AH227" s="115">
        <v>0</v>
      </c>
      <c r="AI227" s="115">
        <v>0</v>
      </c>
      <c r="AJ227" s="115">
        <v>0</v>
      </c>
      <c r="AK227" s="115">
        <v>0</v>
      </c>
      <c r="AL227" s="115">
        <v>0</v>
      </c>
      <c r="AM227" s="115">
        <v>0</v>
      </c>
      <c r="AN227" s="115">
        <v>0</v>
      </c>
      <c r="AO227" s="115">
        <v>0</v>
      </c>
      <c r="AP227" s="115">
        <v>0</v>
      </c>
      <c r="AQ227" s="115">
        <v>0</v>
      </c>
      <c r="AR227" s="115">
        <v>0</v>
      </c>
      <c r="AS227" s="115">
        <v>0</v>
      </c>
      <c r="AT227" s="115">
        <v>0</v>
      </c>
      <c r="AU227" s="115">
        <v>0</v>
      </c>
      <c r="AV227" s="115">
        <v>0</v>
      </c>
      <c r="AW227" s="115">
        <v>0</v>
      </c>
      <c r="AX227" s="115">
        <v>0</v>
      </c>
      <c r="AY227" s="115">
        <v>0</v>
      </c>
    </row>
    <row r="228" spans="1:51" x14ac:dyDescent="0.2">
      <c r="A228" s="114"/>
      <c r="B228" s="125">
        <v>20</v>
      </c>
      <c r="C228" s="111"/>
      <c r="D228" s="115">
        <v>0</v>
      </c>
      <c r="E228" s="115">
        <v>0</v>
      </c>
      <c r="F228" s="115">
        <v>0</v>
      </c>
      <c r="G228" s="115">
        <v>0</v>
      </c>
      <c r="H228" s="115">
        <v>0</v>
      </c>
      <c r="I228" s="115">
        <v>0</v>
      </c>
      <c r="J228" s="115">
        <v>0</v>
      </c>
      <c r="K228" s="115">
        <v>0</v>
      </c>
      <c r="L228" s="115">
        <v>0</v>
      </c>
      <c r="M228" s="115">
        <v>0</v>
      </c>
      <c r="N228" s="115">
        <v>0</v>
      </c>
      <c r="O228" s="115">
        <v>0</v>
      </c>
      <c r="P228" s="115">
        <v>0</v>
      </c>
      <c r="Q228" s="115">
        <v>0</v>
      </c>
      <c r="R228" s="115">
        <v>0</v>
      </c>
      <c r="S228" s="115">
        <v>0</v>
      </c>
      <c r="T228" s="115">
        <v>0</v>
      </c>
      <c r="U228" s="115">
        <v>0</v>
      </c>
      <c r="V228" s="115">
        <v>0</v>
      </c>
      <c r="W228" s="115">
        <v>0</v>
      </c>
      <c r="X228" s="115">
        <v>0</v>
      </c>
      <c r="Y228" s="115">
        <v>0</v>
      </c>
      <c r="Z228" s="115">
        <v>0</v>
      </c>
      <c r="AA228" s="115">
        <v>0</v>
      </c>
      <c r="AB228" s="115">
        <v>0</v>
      </c>
      <c r="AC228" s="115">
        <v>0</v>
      </c>
      <c r="AD228" s="115">
        <v>0</v>
      </c>
      <c r="AE228" s="115">
        <v>0</v>
      </c>
      <c r="AF228" s="115">
        <v>0</v>
      </c>
      <c r="AG228" s="115">
        <v>0</v>
      </c>
      <c r="AH228" s="115">
        <v>0</v>
      </c>
      <c r="AI228" s="115">
        <v>0</v>
      </c>
      <c r="AJ228" s="115">
        <v>0</v>
      </c>
      <c r="AK228" s="115">
        <v>0</v>
      </c>
      <c r="AL228" s="115">
        <v>0</v>
      </c>
      <c r="AM228" s="115">
        <v>0</v>
      </c>
      <c r="AN228" s="115">
        <v>0</v>
      </c>
      <c r="AO228" s="115">
        <v>0</v>
      </c>
      <c r="AP228" s="115">
        <v>0</v>
      </c>
      <c r="AQ228" s="115">
        <v>0</v>
      </c>
      <c r="AR228" s="115">
        <v>0</v>
      </c>
      <c r="AS228" s="115">
        <v>0</v>
      </c>
      <c r="AT228" s="115">
        <v>0</v>
      </c>
      <c r="AU228" s="115">
        <v>0</v>
      </c>
      <c r="AV228" s="115">
        <v>0</v>
      </c>
      <c r="AW228" s="115">
        <v>0</v>
      </c>
      <c r="AX228" s="115">
        <v>0</v>
      </c>
      <c r="AY228" s="115">
        <v>0</v>
      </c>
    </row>
    <row r="229" spans="1:51" x14ac:dyDescent="0.2">
      <c r="A229" s="114"/>
      <c r="B229" s="125">
        <v>21</v>
      </c>
      <c r="C229" s="111"/>
      <c r="D229" s="115">
        <v>0</v>
      </c>
      <c r="E229" s="115">
        <v>0</v>
      </c>
      <c r="F229" s="115">
        <v>0</v>
      </c>
      <c r="G229" s="115">
        <v>0</v>
      </c>
      <c r="H229" s="115">
        <v>0</v>
      </c>
      <c r="I229" s="115">
        <v>0</v>
      </c>
      <c r="J229" s="115">
        <v>0</v>
      </c>
      <c r="K229" s="115">
        <v>0</v>
      </c>
      <c r="L229" s="115">
        <v>0</v>
      </c>
      <c r="M229" s="115">
        <v>0</v>
      </c>
      <c r="N229" s="115">
        <v>0</v>
      </c>
      <c r="O229" s="115">
        <v>0</v>
      </c>
      <c r="P229" s="115">
        <v>0</v>
      </c>
      <c r="Q229" s="115">
        <v>0</v>
      </c>
      <c r="R229" s="115">
        <v>0</v>
      </c>
      <c r="S229" s="115">
        <v>0</v>
      </c>
      <c r="T229" s="115">
        <v>0</v>
      </c>
      <c r="U229" s="115">
        <v>0</v>
      </c>
      <c r="V229" s="115">
        <v>0</v>
      </c>
      <c r="W229" s="115">
        <v>0</v>
      </c>
      <c r="X229" s="115">
        <v>0</v>
      </c>
      <c r="Y229" s="115">
        <v>0</v>
      </c>
      <c r="Z229" s="115">
        <v>0</v>
      </c>
      <c r="AA229" s="115">
        <v>0</v>
      </c>
      <c r="AB229" s="115">
        <v>0</v>
      </c>
      <c r="AC229" s="115">
        <v>0</v>
      </c>
      <c r="AD229" s="115">
        <v>0</v>
      </c>
      <c r="AE229" s="115">
        <v>0</v>
      </c>
      <c r="AF229" s="115">
        <v>0</v>
      </c>
      <c r="AG229" s="115">
        <v>0</v>
      </c>
      <c r="AH229" s="115">
        <v>0</v>
      </c>
      <c r="AI229" s="115">
        <v>0</v>
      </c>
      <c r="AJ229" s="115">
        <v>0</v>
      </c>
      <c r="AK229" s="115">
        <v>0</v>
      </c>
      <c r="AL229" s="115">
        <v>0</v>
      </c>
      <c r="AM229" s="115">
        <v>0</v>
      </c>
      <c r="AN229" s="115">
        <v>0</v>
      </c>
      <c r="AO229" s="115">
        <v>0</v>
      </c>
      <c r="AP229" s="115">
        <v>0</v>
      </c>
      <c r="AQ229" s="115">
        <v>0</v>
      </c>
      <c r="AR229" s="115">
        <v>0</v>
      </c>
      <c r="AS229" s="115">
        <v>0</v>
      </c>
      <c r="AT229" s="115">
        <v>0</v>
      </c>
      <c r="AU229" s="115">
        <v>0</v>
      </c>
      <c r="AV229" s="115">
        <v>0</v>
      </c>
      <c r="AW229" s="115">
        <v>0</v>
      </c>
      <c r="AX229" s="115">
        <v>0</v>
      </c>
      <c r="AY229" s="115">
        <v>0</v>
      </c>
    </row>
    <row r="230" spans="1:51" x14ac:dyDescent="0.2">
      <c r="A230" s="114"/>
      <c r="B230" s="125">
        <v>22</v>
      </c>
      <c r="C230" s="111"/>
      <c r="D230" s="115">
        <v>0</v>
      </c>
      <c r="E230" s="115">
        <v>0</v>
      </c>
      <c r="F230" s="115">
        <v>0</v>
      </c>
      <c r="G230" s="115">
        <v>0</v>
      </c>
      <c r="H230" s="115">
        <v>0</v>
      </c>
      <c r="I230" s="115">
        <v>0</v>
      </c>
      <c r="J230" s="115">
        <v>0</v>
      </c>
      <c r="K230" s="115">
        <v>0</v>
      </c>
      <c r="L230" s="115">
        <v>0</v>
      </c>
      <c r="M230" s="115">
        <v>0</v>
      </c>
      <c r="N230" s="115">
        <v>0</v>
      </c>
      <c r="O230" s="115">
        <v>0</v>
      </c>
      <c r="P230" s="115">
        <v>0</v>
      </c>
      <c r="Q230" s="115">
        <v>0</v>
      </c>
      <c r="R230" s="115">
        <v>0</v>
      </c>
      <c r="S230" s="115">
        <v>0</v>
      </c>
      <c r="T230" s="115">
        <v>0</v>
      </c>
      <c r="U230" s="115">
        <v>0</v>
      </c>
      <c r="V230" s="115">
        <v>0</v>
      </c>
      <c r="W230" s="115">
        <v>0</v>
      </c>
      <c r="X230" s="115">
        <v>0</v>
      </c>
      <c r="Y230" s="115">
        <v>0</v>
      </c>
      <c r="Z230" s="115">
        <v>0</v>
      </c>
      <c r="AA230" s="115">
        <v>0</v>
      </c>
      <c r="AB230" s="115">
        <v>0</v>
      </c>
      <c r="AC230" s="115">
        <v>0</v>
      </c>
      <c r="AD230" s="115">
        <v>0</v>
      </c>
      <c r="AE230" s="115">
        <v>0</v>
      </c>
      <c r="AF230" s="115">
        <v>0</v>
      </c>
      <c r="AG230" s="115">
        <v>0</v>
      </c>
      <c r="AH230" s="115">
        <v>0</v>
      </c>
      <c r="AI230" s="115">
        <v>0</v>
      </c>
      <c r="AJ230" s="115">
        <v>0</v>
      </c>
      <c r="AK230" s="115">
        <v>0</v>
      </c>
      <c r="AL230" s="115">
        <v>0</v>
      </c>
      <c r="AM230" s="115">
        <v>0</v>
      </c>
      <c r="AN230" s="115">
        <v>0</v>
      </c>
      <c r="AO230" s="115">
        <v>0</v>
      </c>
      <c r="AP230" s="115">
        <v>0</v>
      </c>
      <c r="AQ230" s="115">
        <v>0</v>
      </c>
      <c r="AR230" s="115">
        <v>0</v>
      </c>
      <c r="AS230" s="115">
        <v>0</v>
      </c>
      <c r="AT230" s="115">
        <v>0</v>
      </c>
      <c r="AU230" s="115">
        <v>0</v>
      </c>
      <c r="AV230" s="115">
        <v>0</v>
      </c>
      <c r="AW230" s="115">
        <v>0</v>
      </c>
      <c r="AX230" s="115">
        <v>0</v>
      </c>
      <c r="AY230" s="115">
        <v>0</v>
      </c>
    </row>
    <row r="231" spans="1:51" x14ac:dyDescent="0.2">
      <c r="A231" s="114"/>
      <c r="B231" s="125">
        <v>23</v>
      </c>
      <c r="C231" s="111"/>
      <c r="D231" s="115">
        <v>0</v>
      </c>
      <c r="E231" s="115">
        <v>0</v>
      </c>
      <c r="F231" s="115">
        <v>0</v>
      </c>
      <c r="G231" s="115">
        <v>0</v>
      </c>
      <c r="H231" s="115">
        <v>0</v>
      </c>
      <c r="I231" s="115">
        <v>0</v>
      </c>
      <c r="J231" s="115">
        <v>0</v>
      </c>
      <c r="K231" s="115">
        <v>0</v>
      </c>
      <c r="L231" s="115">
        <v>0</v>
      </c>
      <c r="M231" s="115">
        <v>0</v>
      </c>
      <c r="N231" s="115">
        <v>0</v>
      </c>
      <c r="O231" s="115">
        <v>0</v>
      </c>
      <c r="P231" s="115">
        <v>0</v>
      </c>
      <c r="Q231" s="115">
        <v>0</v>
      </c>
      <c r="R231" s="115">
        <v>0</v>
      </c>
      <c r="S231" s="115">
        <v>0</v>
      </c>
      <c r="T231" s="115">
        <v>0</v>
      </c>
      <c r="U231" s="115">
        <v>0</v>
      </c>
      <c r="V231" s="115">
        <v>0</v>
      </c>
      <c r="W231" s="115">
        <v>0</v>
      </c>
      <c r="X231" s="115">
        <v>0</v>
      </c>
      <c r="Y231" s="115">
        <v>0</v>
      </c>
      <c r="Z231" s="115">
        <v>0</v>
      </c>
      <c r="AA231" s="115">
        <v>0</v>
      </c>
      <c r="AB231" s="115">
        <v>0</v>
      </c>
      <c r="AC231" s="115">
        <v>0</v>
      </c>
      <c r="AD231" s="115">
        <v>0</v>
      </c>
      <c r="AE231" s="115">
        <v>0</v>
      </c>
      <c r="AF231" s="115">
        <v>0</v>
      </c>
      <c r="AG231" s="115">
        <v>0</v>
      </c>
      <c r="AH231" s="115">
        <v>0</v>
      </c>
      <c r="AI231" s="115">
        <v>0</v>
      </c>
      <c r="AJ231" s="115">
        <v>0</v>
      </c>
      <c r="AK231" s="115">
        <v>0</v>
      </c>
      <c r="AL231" s="115">
        <v>0</v>
      </c>
      <c r="AM231" s="115">
        <v>0</v>
      </c>
      <c r="AN231" s="115">
        <v>0</v>
      </c>
      <c r="AO231" s="115">
        <v>0</v>
      </c>
      <c r="AP231" s="115">
        <v>0</v>
      </c>
      <c r="AQ231" s="115">
        <v>0</v>
      </c>
      <c r="AR231" s="115">
        <v>0</v>
      </c>
      <c r="AS231" s="115">
        <v>0</v>
      </c>
      <c r="AT231" s="115">
        <v>0</v>
      </c>
      <c r="AU231" s="115">
        <v>0</v>
      </c>
      <c r="AV231" s="115">
        <v>0</v>
      </c>
      <c r="AW231" s="115">
        <v>0</v>
      </c>
      <c r="AX231" s="115">
        <v>0</v>
      </c>
      <c r="AY231" s="115">
        <v>0</v>
      </c>
    </row>
    <row r="232" spans="1:51" x14ac:dyDescent="0.2">
      <c r="A232" s="114"/>
      <c r="B232" s="125">
        <v>24</v>
      </c>
      <c r="C232" s="111"/>
      <c r="D232" s="115">
        <v>0</v>
      </c>
      <c r="E232" s="115">
        <v>0</v>
      </c>
      <c r="F232" s="115">
        <v>0</v>
      </c>
      <c r="G232" s="115">
        <v>0</v>
      </c>
      <c r="H232" s="115">
        <v>0</v>
      </c>
      <c r="I232" s="115">
        <v>0</v>
      </c>
      <c r="J232" s="115">
        <v>0</v>
      </c>
      <c r="K232" s="115">
        <v>0</v>
      </c>
      <c r="L232" s="115">
        <v>0</v>
      </c>
      <c r="M232" s="115">
        <v>0</v>
      </c>
      <c r="N232" s="115">
        <v>0</v>
      </c>
      <c r="O232" s="115">
        <v>0</v>
      </c>
      <c r="P232" s="115">
        <v>0</v>
      </c>
      <c r="Q232" s="115">
        <v>0</v>
      </c>
      <c r="R232" s="115">
        <v>0</v>
      </c>
      <c r="S232" s="115">
        <v>0</v>
      </c>
      <c r="T232" s="115">
        <v>0</v>
      </c>
      <c r="U232" s="115">
        <v>0</v>
      </c>
      <c r="V232" s="115">
        <v>0</v>
      </c>
      <c r="W232" s="115">
        <v>0</v>
      </c>
      <c r="X232" s="115">
        <v>0</v>
      </c>
      <c r="Y232" s="115">
        <v>0</v>
      </c>
      <c r="Z232" s="115">
        <v>0</v>
      </c>
      <c r="AA232" s="115">
        <v>0</v>
      </c>
      <c r="AB232" s="115">
        <v>0</v>
      </c>
      <c r="AC232" s="115">
        <v>0</v>
      </c>
      <c r="AD232" s="115">
        <v>0</v>
      </c>
      <c r="AE232" s="115">
        <v>0</v>
      </c>
      <c r="AF232" s="115">
        <v>0</v>
      </c>
      <c r="AG232" s="115">
        <v>0</v>
      </c>
      <c r="AH232" s="115">
        <v>0</v>
      </c>
      <c r="AI232" s="115">
        <v>0</v>
      </c>
      <c r="AJ232" s="115">
        <v>0</v>
      </c>
      <c r="AK232" s="115">
        <v>0</v>
      </c>
      <c r="AL232" s="115">
        <v>0</v>
      </c>
      <c r="AM232" s="115">
        <v>0</v>
      </c>
      <c r="AN232" s="115">
        <v>0</v>
      </c>
      <c r="AO232" s="115">
        <v>0</v>
      </c>
      <c r="AP232" s="115">
        <v>0</v>
      </c>
      <c r="AQ232" s="115">
        <v>0</v>
      </c>
      <c r="AR232" s="115">
        <v>0</v>
      </c>
      <c r="AS232" s="115">
        <v>0</v>
      </c>
      <c r="AT232" s="115">
        <v>0</v>
      </c>
      <c r="AU232" s="115">
        <v>0</v>
      </c>
      <c r="AV232" s="115">
        <v>0</v>
      </c>
      <c r="AW232" s="115">
        <v>0</v>
      </c>
      <c r="AX232" s="115">
        <v>0</v>
      </c>
      <c r="AY232" s="115">
        <v>0</v>
      </c>
    </row>
    <row r="233" spans="1:51" x14ac:dyDescent="0.2">
      <c r="A233" s="114"/>
      <c r="B233" s="132">
        <v>25</v>
      </c>
      <c r="C233" s="111"/>
      <c r="D233" s="115">
        <v>0</v>
      </c>
      <c r="E233" s="115">
        <v>0</v>
      </c>
      <c r="F233" s="115">
        <v>0</v>
      </c>
      <c r="G233" s="115">
        <v>0</v>
      </c>
      <c r="H233" s="115">
        <v>0</v>
      </c>
      <c r="I233" s="115">
        <v>0</v>
      </c>
      <c r="J233" s="115">
        <v>0</v>
      </c>
      <c r="K233" s="115">
        <v>0</v>
      </c>
      <c r="L233" s="115">
        <v>0</v>
      </c>
      <c r="M233" s="115">
        <v>0</v>
      </c>
      <c r="N233" s="115">
        <v>0</v>
      </c>
      <c r="O233" s="115">
        <v>0</v>
      </c>
      <c r="P233" s="115">
        <v>0</v>
      </c>
      <c r="Q233" s="115">
        <v>0</v>
      </c>
      <c r="R233" s="115">
        <v>0</v>
      </c>
      <c r="S233" s="115">
        <v>0</v>
      </c>
      <c r="T233" s="115">
        <v>0</v>
      </c>
      <c r="U233" s="115">
        <v>0</v>
      </c>
      <c r="V233" s="115">
        <v>0</v>
      </c>
      <c r="W233" s="115">
        <v>0</v>
      </c>
      <c r="X233" s="115">
        <v>0</v>
      </c>
      <c r="Y233" s="115">
        <v>0</v>
      </c>
      <c r="Z233" s="115">
        <v>0</v>
      </c>
      <c r="AA233" s="115">
        <v>0</v>
      </c>
      <c r="AB233" s="115">
        <v>0</v>
      </c>
      <c r="AC233" s="115">
        <v>0</v>
      </c>
      <c r="AD233" s="115">
        <v>0</v>
      </c>
      <c r="AE233" s="115">
        <v>0</v>
      </c>
      <c r="AF233" s="115">
        <v>0</v>
      </c>
      <c r="AG233" s="115">
        <v>0</v>
      </c>
      <c r="AH233" s="115">
        <v>0</v>
      </c>
      <c r="AI233" s="115">
        <v>0</v>
      </c>
      <c r="AJ233" s="115">
        <v>0</v>
      </c>
      <c r="AK233" s="115">
        <v>0</v>
      </c>
      <c r="AL233" s="115">
        <v>0</v>
      </c>
      <c r="AM233" s="115">
        <v>0</v>
      </c>
      <c r="AN233" s="115">
        <v>0</v>
      </c>
      <c r="AO233" s="115">
        <v>0</v>
      </c>
      <c r="AP233" s="115">
        <v>0</v>
      </c>
      <c r="AQ233" s="115">
        <v>0</v>
      </c>
      <c r="AR233" s="115">
        <v>0</v>
      </c>
      <c r="AS233" s="115">
        <v>0</v>
      </c>
      <c r="AT233" s="115">
        <v>0</v>
      </c>
      <c r="AU233" s="115">
        <v>0</v>
      </c>
      <c r="AV233" s="115">
        <v>0</v>
      </c>
      <c r="AW233" s="115">
        <v>0</v>
      </c>
      <c r="AX233" s="115">
        <v>0</v>
      </c>
      <c r="AY233" s="115">
        <v>0</v>
      </c>
    </row>
    <row r="234" spans="1:51" x14ac:dyDescent="0.2">
      <c r="A234" s="114"/>
      <c r="B234" s="132">
        <v>26</v>
      </c>
      <c r="C234" s="111"/>
      <c r="D234" s="115">
        <v>0</v>
      </c>
      <c r="E234" s="115">
        <v>0</v>
      </c>
      <c r="F234" s="115">
        <v>0</v>
      </c>
      <c r="G234" s="115">
        <v>0</v>
      </c>
      <c r="H234" s="115">
        <v>0</v>
      </c>
      <c r="I234" s="115">
        <v>0</v>
      </c>
      <c r="J234" s="115">
        <v>0</v>
      </c>
      <c r="K234" s="115">
        <v>0</v>
      </c>
      <c r="L234" s="115">
        <v>0</v>
      </c>
      <c r="M234" s="115">
        <v>0</v>
      </c>
      <c r="N234" s="115">
        <v>0</v>
      </c>
      <c r="O234" s="115">
        <v>0</v>
      </c>
      <c r="P234" s="115">
        <v>0</v>
      </c>
      <c r="Q234" s="115">
        <v>0</v>
      </c>
      <c r="R234" s="115">
        <v>0</v>
      </c>
      <c r="S234" s="115">
        <v>0</v>
      </c>
      <c r="T234" s="115">
        <v>0</v>
      </c>
      <c r="U234" s="115">
        <v>0</v>
      </c>
      <c r="V234" s="115">
        <v>0</v>
      </c>
      <c r="W234" s="115">
        <v>0</v>
      </c>
      <c r="X234" s="115">
        <v>0</v>
      </c>
      <c r="Y234" s="115">
        <v>0</v>
      </c>
      <c r="Z234" s="115">
        <v>0</v>
      </c>
      <c r="AA234" s="115">
        <v>0</v>
      </c>
      <c r="AB234" s="115">
        <v>0</v>
      </c>
      <c r="AC234" s="115">
        <v>0</v>
      </c>
      <c r="AD234" s="115">
        <v>0</v>
      </c>
      <c r="AE234" s="115">
        <v>0</v>
      </c>
      <c r="AF234" s="115">
        <v>0</v>
      </c>
      <c r="AG234" s="115">
        <v>0</v>
      </c>
      <c r="AH234" s="115">
        <v>0</v>
      </c>
      <c r="AI234" s="115">
        <v>0</v>
      </c>
      <c r="AJ234" s="115">
        <v>0</v>
      </c>
      <c r="AK234" s="115">
        <v>0</v>
      </c>
      <c r="AL234" s="115">
        <v>0</v>
      </c>
      <c r="AM234" s="115">
        <v>0</v>
      </c>
      <c r="AN234" s="115">
        <v>0</v>
      </c>
      <c r="AO234" s="115">
        <v>0</v>
      </c>
      <c r="AP234" s="115">
        <v>0</v>
      </c>
      <c r="AQ234" s="115">
        <v>0</v>
      </c>
      <c r="AR234" s="115">
        <v>0</v>
      </c>
      <c r="AS234" s="115">
        <v>0</v>
      </c>
      <c r="AT234" s="115">
        <v>0</v>
      </c>
      <c r="AU234" s="115">
        <v>0</v>
      </c>
      <c r="AV234" s="115">
        <v>0</v>
      </c>
      <c r="AW234" s="115">
        <v>0</v>
      </c>
      <c r="AX234" s="115">
        <v>0</v>
      </c>
      <c r="AY234" s="115">
        <v>0</v>
      </c>
    </row>
    <row r="235" spans="1:51" x14ac:dyDescent="0.2">
      <c r="A235" s="114"/>
      <c r="B235" s="132">
        <v>27</v>
      </c>
      <c r="C235" s="111"/>
      <c r="D235" s="115">
        <v>0</v>
      </c>
      <c r="E235" s="115">
        <v>0</v>
      </c>
      <c r="F235" s="115">
        <v>0</v>
      </c>
      <c r="G235" s="115">
        <v>0</v>
      </c>
      <c r="H235" s="115">
        <v>0</v>
      </c>
      <c r="I235" s="115">
        <v>0</v>
      </c>
      <c r="J235" s="115">
        <v>0</v>
      </c>
      <c r="K235" s="115">
        <v>0</v>
      </c>
      <c r="L235" s="115">
        <v>0</v>
      </c>
      <c r="M235" s="115">
        <v>0</v>
      </c>
      <c r="N235" s="115">
        <v>0</v>
      </c>
      <c r="O235" s="115">
        <v>0</v>
      </c>
      <c r="P235" s="115">
        <v>0</v>
      </c>
      <c r="Q235" s="115">
        <v>0</v>
      </c>
      <c r="R235" s="115">
        <v>0</v>
      </c>
      <c r="S235" s="115">
        <v>0</v>
      </c>
      <c r="T235" s="115">
        <v>0</v>
      </c>
      <c r="U235" s="115">
        <v>0</v>
      </c>
      <c r="V235" s="115">
        <v>0</v>
      </c>
      <c r="W235" s="115">
        <v>0</v>
      </c>
      <c r="X235" s="115">
        <v>0</v>
      </c>
      <c r="Y235" s="115">
        <v>0</v>
      </c>
      <c r="Z235" s="115">
        <v>0</v>
      </c>
      <c r="AA235" s="115">
        <v>0</v>
      </c>
      <c r="AB235" s="115">
        <v>0</v>
      </c>
      <c r="AC235" s="115">
        <v>0</v>
      </c>
      <c r="AD235" s="115">
        <v>0</v>
      </c>
      <c r="AE235" s="115">
        <v>0</v>
      </c>
      <c r="AF235" s="115">
        <v>0</v>
      </c>
      <c r="AG235" s="115">
        <v>0</v>
      </c>
      <c r="AH235" s="115">
        <v>0</v>
      </c>
      <c r="AI235" s="115">
        <v>0</v>
      </c>
      <c r="AJ235" s="115">
        <v>0</v>
      </c>
      <c r="AK235" s="115">
        <v>0</v>
      </c>
      <c r="AL235" s="115">
        <v>0</v>
      </c>
      <c r="AM235" s="115">
        <v>0</v>
      </c>
      <c r="AN235" s="115">
        <v>0</v>
      </c>
      <c r="AO235" s="115">
        <v>0</v>
      </c>
      <c r="AP235" s="115">
        <v>0</v>
      </c>
      <c r="AQ235" s="115">
        <v>0</v>
      </c>
      <c r="AR235" s="115">
        <v>0</v>
      </c>
      <c r="AS235" s="115">
        <v>0</v>
      </c>
      <c r="AT235" s="115">
        <v>0</v>
      </c>
      <c r="AU235" s="115">
        <v>0</v>
      </c>
      <c r="AV235" s="115">
        <v>0</v>
      </c>
      <c r="AW235" s="115">
        <v>0</v>
      </c>
      <c r="AX235" s="115">
        <v>0</v>
      </c>
      <c r="AY235" s="115">
        <v>0</v>
      </c>
    </row>
    <row r="236" spans="1:51" x14ac:dyDescent="0.2">
      <c r="A236" s="114"/>
      <c r="B236" s="132">
        <v>28</v>
      </c>
      <c r="C236" s="111"/>
      <c r="D236" s="115">
        <v>0</v>
      </c>
      <c r="E236" s="115">
        <v>0</v>
      </c>
      <c r="F236" s="115">
        <v>0</v>
      </c>
      <c r="G236" s="115">
        <v>0</v>
      </c>
      <c r="H236" s="115">
        <v>0</v>
      </c>
      <c r="I236" s="115">
        <v>0</v>
      </c>
      <c r="J236" s="115">
        <v>0</v>
      </c>
      <c r="K236" s="115">
        <v>0</v>
      </c>
      <c r="L236" s="115">
        <v>0</v>
      </c>
      <c r="M236" s="115">
        <v>0</v>
      </c>
      <c r="N236" s="115">
        <v>0</v>
      </c>
      <c r="O236" s="115">
        <v>0</v>
      </c>
      <c r="P236" s="115">
        <v>0</v>
      </c>
      <c r="Q236" s="115">
        <v>0</v>
      </c>
      <c r="R236" s="115">
        <v>0</v>
      </c>
      <c r="S236" s="115">
        <v>0</v>
      </c>
      <c r="T236" s="115">
        <v>0</v>
      </c>
      <c r="U236" s="115">
        <v>0</v>
      </c>
      <c r="V236" s="115">
        <v>0</v>
      </c>
      <c r="W236" s="115">
        <v>0</v>
      </c>
      <c r="X236" s="115">
        <v>0</v>
      </c>
      <c r="Y236" s="115">
        <v>0</v>
      </c>
      <c r="Z236" s="115">
        <v>0</v>
      </c>
      <c r="AA236" s="115">
        <v>0</v>
      </c>
      <c r="AB236" s="115">
        <v>0</v>
      </c>
      <c r="AC236" s="115">
        <v>0</v>
      </c>
      <c r="AD236" s="115">
        <v>0</v>
      </c>
      <c r="AE236" s="115">
        <v>0</v>
      </c>
      <c r="AF236" s="115">
        <v>0</v>
      </c>
      <c r="AG236" s="115">
        <v>0</v>
      </c>
      <c r="AH236" s="115">
        <v>0</v>
      </c>
      <c r="AI236" s="115">
        <v>0</v>
      </c>
      <c r="AJ236" s="115">
        <v>0</v>
      </c>
      <c r="AK236" s="115">
        <v>0</v>
      </c>
      <c r="AL236" s="115">
        <v>0</v>
      </c>
      <c r="AM236" s="115">
        <v>0</v>
      </c>
      <c r="AN236" s="115">
        <v>0</v>
      </c>
      <c r="AO236" s="115">
        <v>0</v>
      </c>
      <c r="AP236" s="115">
        <v>0</v>
      </c>
      <c r="AQ236" s="115">
        <v>0</v>
      </c>
      <c r="AR236" s="115">
        <v>0</v>
      </c>
      <c r="AS236" s="115">
        <v>0</v>
      </c>
      <c r="AT236" s="115">
        <v>0</v>
      </c>
      <c r="AU236" s="115">
        <v>0</v>
      </c>
      <c r="AV236" s="115">
        <v>0</v>
      </c>
      <c r="AW236" s="115">
        <v>0</v>
      </c>
      <c r="AX236" s="115">
        <v>0</v>
      </c>
      <c r="AY236" s="115">
        <v>0</v>
      </c>
    </row>
    <row r="237" spans="1:51" x14ac:dyDescent="0.2">
      <c r="A237" s="114"/>
      <c r="B237" s="132">
        <v>29</v>
      </c>
      <c r="C237" s="111"/>
      <c r="D237" s="115">
        <v>0</v>
      </c>
      <c r="E237" s="115">
        <v>0</v>
      </c>
      <c r="F237" s="115">
        <v>0</v>
      </c>
      <c r="G237" s="115">
        <v>0</v>
      </c>
      <c r="H237" s="115">
        <v>0</v>
      </c>
      <c r="I237" s="115">
        <v>0</v>
      </c>
      <c r="J237" s="115">
        <v>0</v>
      </c>
      <c r="K237" s="115">
        <v>0</v>
      </c>
      <c r="L237" s="115">
        <v>0</v>
      </c>
      <c r="M237" s="115">
        <v>0</v>
      </c>
      <c r="N237" s="115">
        <v>0</v>
      </c>
      <c r="O237" s="115">
        <v>0</v>
      </c>
      <c r="P237" s="115">
        <v>0</v>
      </c>
      <c r="Q237" s="115">
        <v>0</v>
      </c>
      <c r="R237" s="115">
        <v>0</v>
      </c>
      <c r="S237" s="115">
        <v>0</v>
      </c>
      <c r="T237" s="115">
        <v>0</v>
      </c>
      <c r="U237" s="115">
        <v>0</v>
      </c>
      <c r="V237" s="115">
        <v>0</v>
      </c>
      <c r="W237" s="115">
        <v>0</v>
      </c>
      <c r="X237" s="115">
        <v>0</v>
      </c>
      <c r="Y237" s="115">
        <v>0</v>
      </c>
      <c r="Z237" s="115">
        <v>0</v>
      </c>
      <c r="AA237" s="115">
        <v>0</v>
      </c>
      <c r="AB237" s="115">
        <v>0</v>
      </c>
      <c r="AC237" s="115">
        <v>0</v>
      </c>
      <c r="AD237" s="115">
        <v>0</v>
      </c>
      <c r="AE237" s="115">
        <v>0</v>
      </c>
      <c r="AF237" s="115">
        <v>0</v>
      </c>
      <c r="AG237" s="115">
        <v>0</v>
      </c>
      <c r="AH237" s="115">
        <v>0</v>
      </c>
      <c r="AI237" s="115">
        <v>0</v>
      </c>
      <c r="AJ237" s="115">
        <v>0</v>
      </c>
      <c r="AK237" s="115">
        <v>0</v>
      </c>
      <c r="AL237" s="115">
        <v>0</v>
      </c>
      <c r="AM237" s="115">
        <v>0</v>
      </c>
      <c r="AN237" s="115">
        <v>0</v>
      </c>
      <c r="AO237" s="115">
        <v>0</v>
      </c>
      <c r="AP237" s="115">
        <v>0</v>
      </c>
      <c r="AQ237" s="115">
        <v>0</v>
      </c>
      <c r="AR237" s="115">
        <v>0</v>
      </c>
      <c r="AS237" s="115">
        <v>0</v>
      </c>
      <c r="AT237" s="115">
        <v>0</v>
      </c>
      <c r="AU237" s="115">
        <v>0</v>
      </c>
      <c r="AV237" s="115">
        <v>0</v>
      </c>
      <c r="AW237" s="115">
        <v>0</v>
      </c>
      <c r="AX237" s="115">
        <v>0</v>
      </c>
      <c r="AY237" s="115">
        <v>0</v>
      </c>
    </row>
    <row r="238" spans="1:51" x14ac:dyDescent="0.2">
      <c r="A238" s="114"/>
      <c r="B238" s="132">
        <v>30</v>
      </c>
      <c r="C238" s="111"/>
      <c r="D238" s="115">
        <v>0</v>
      </c>
      <c r="E238" s="115">
        <v>0</v>
      </c>
      <c r="F238" s="115">
        <v>0</v>
      </c>
      <c r="G238" s="115">
        <v>0</v>
      </c>
      <c r="H238" s="115">
        <v>0</v>
      </c>
      <c r="I238" s="115">
        <v>0</v>
      </c>
      <c r="J238" s="115">
        <v>0</v>
      </c>
      <c r="K238" s="115">
        <v>0</v>
      </c>
      <c r="L238" s="115">
        <v>0</v>
      </c>
      <c r="M238" s="115">
        <v>0</v>
      </c>
      <c r="N238" s="115">
        <v>0</v>
      </c>
      <c r="O238" s="115">
        <v>0</v>
      </c>
      <c r="P238" s="115">
        <v>0</v>
      </c>
      <c r="Q238" s="115">
        <v>0</v>
      </c>
      <c r="R238" s="115">
        <v>0</v>
      </c>
      <c r="S238" s="115">
        <v>0</v>
      </c>
      <c r="T238" s="115">
        <v>0</v>
      </c>
      <c r="U238" s="115">
        <v>0</v>
      </c>
      <c r="V238" s="115">
        <v>0</v>
      </c>
      <c r="W238" s="115">
        <v>0</v>
      </c>
      <c r="X238" s="115">
        <v>0</v>
      </c>
      <c r="Y238" s="115">
        <v>0</v>
      </c>
      <c r="Z238" s="115">
        <v>0</v>
      </c>
      <c r="AA238" s="115">
        <v>0</v>
      </c>
      <c r="AB238" s="115">
        <v>0</v>
      </c>
      <c r="AC238" s="115">
        <v>0</v>
      </c>
      <c r="AD238" s="115">
        <v>0</v>
      </c>
      <c r="AE238" s="115">
        <v>0</v>
      </c>
      <c r="AF238" s="115">
        <v>0</v>
      </c>
      <c r="AG238" s="115">
        <v>0</v>
      </c>
      <c r="AH238" s="115">
        <v>0</v>
      </c>
      <c r="AI238" s="115">
        <v>0</v>
      </c>
      <c r="AJ238" s="115">
        <v>0</v>
      </c>
      <c r="AK238" s="115">
        <v>0</v>
      </c>
      <c r="AL238" s="115">
        <v>0</v>
      </c>
      <c r="AM238" s="115">
        <v>0</v>
      </c>
      <c r="AN238" s="115">
        <v>0</v>
      </c>
      <c r="AO238" s="115">
        <v>0</v>
      </c>
      <c r="AP238" s="115">
        <v>0</v>
      </c>
      <c r="AQ238" s="115">
        <v>0</v>
      </c>
      <c r="AR238" s="115">
        <v>0</v>
      </c>
      <c r="AS238" s="115">
        <v>0</v>
      </c>
      <c r="AT238" s="115">
        <v>0</v>
      </c>
      <c r="AU238" s="115">
        <v>0</v>
      </c>
      <c r="AV238" s="115">
        <v>0</v>
      </c>
      <c r="AW238" s="115">
        <v>0</v>
      </c>
      <c r="AX238" s="115">
        <v>0</v>
      </c>
      <c r="AY238" s="115">
        <v>0</v>
      </c>
    </row>
    <row r="239" spans="1:51" x14ac:dyDescent="0.2">
      <c r="A239" s="114"/>
      <c r="B239" s="132">
        <v>31</v>
      </c>
      <c r="C239" s="111"/>
      <c r="D239" s="115">
        <v>0</v>
      </c>
      <c r="E239" s="115">
        <v>0</v>
      </c>
      <c r="F239" s="115">
        <v>0</v>
      </c>
      <c r="G239" s="115">
        <v>0</v>
      </c>
      <c r="H239" s="115">
        <v>0</v>
      </c>
      <c r="I239" s="115">
        <v>0</v>
      </c>
      <c r="J239" s="115">
        <v>0</v>
      </c>
      <c r="K239" s="115">
        <v>0</v>
      </c>
      <c r="L239" s="115">
        <v>0</v>
      </c>
      <c r="M239" s="115">
        <v>0</v>
      </c>
      <c r="N239" s="115">
        <v>0</v>
      </c>
      <c r="O239" s="115">
        <v>0</v>
      </c>
      <c r="P239" s="115">
        <v>0</v>
      </c>
      <c r="Q239" s="115">
        <v>0</v>
      </c>
      <c r="R239" s="115">
        <v>0</v>
      </c>
      <c r="S239" s="115">
        <v>0</v>
      </c>
      <c r="T239" s="115">
        <v>0</v>
      </c>
      <c r="U239" s="115">
        <v>0</v>
      </c>
      <c r="V239" s="115">
        <v>0</v>
      </c>
      <c r="W239" s="115">
        <v>0</v>
      </c>
      <c r="X239" s="115">
        <v>0</v>
      </c>
      <c r="Y239" s="115">
        <v>0</v>
      </c>
      <c r="Z239" s="115">
        <v>0</v>
      </c>
      <c r="AA239" s="115">
        <v>0</v>
      </c>
      <c r="AB239" s="115">
        <v>0</v>
      </c>
      <c r="AC239" s="115">
        <v>0</v>
      </c>
      <c r="AD239" s="115">
        <v>0</v>
      </c>
      <c r="AE239" s="115">
        <v>0</v>
      </c>
      <c r="AF239" s="115">
        <v>0</v>
      </c>
      <c r="AG239" s="115">
        <v>0</v>
      </c>
      <c r="AH239" s="115">
        <v>0</v>
      </c>
      <c r="AI239" s="115">
        <v>0</v>
      </c>
      <c r="AJ239" s="115">
        <v>0</v>
      </c>
      <c r="AK239" s="115">
        <v>0</v>
      </c>
      <c r="AL239" s="115">
        <v>0</v>
      </c>
      <c r="AM239" s="115">
        <v>0</v>
      </c>
      <c r="AN239" s="115">
        <v>0</v>
      </c>
      <c r="AO239" s="115">
        <v>0</v>
      </c>
      <c r="AP239" s="115">
        <v>0</v>
      </c>
      <c r="AQ239" s="115">
        <v>0</v>
      </c>
      <c r="AR239" s="115">
        <v>0</v>
      </c>
      <c r="AS239" s="115">
        <v>0</v>
      </c>
      <c r="AT239" s="115">
        <v>0</v>
      </c>
      <c r="AU239" s="115">
        <v>0</v>
      </c>
      <c r="AV239" s="115">
        <v>0</v>
      </c>
      <c r="AW239" s="115">
        <v>0</v>
      </c>
      <c r="AX239" s="115">
        <v>0</v>
      </c>
      <c r="AY239" s="115">
        <v>0</v>
      </c>
    </row>
    <row r="240" spans="1:51" x14ac:dyDescent="0.2">
      <c r="A240" s="114"/>
      <c r="B240" s="132">
        <v>32</v>
      </c>
      <c r="C240" s="111"/>
      <c r="D240" s="115">
        <v>0</v>
      </c>
      <c r="E240" s="115">
        <v>0</v>
      </c>
      <c r="F240" s="115">
        <v>0</v>
      </c>
      <c r="G240" s="115">
        <v>0</v>
      </c>
      <c r="H240" s="115">
        <v>0</v>
      </c>
      <c r="I240" s="115">
        <v>0</v>
      </c>
      <c r="J240" s="115">
        <v>0</v>
      </c>
      <c r="K240" s="115">
        <v>0</v>
      </c>
      <c r="L240" s="115">
        <v>0</v>
      </c>
      <c r="M240" s="115">
        <v>0</v>
      </c>
      <c r="N240" s="115">
        <v>0</v>
      </c>
      <c r="O240" s="115">
        <v>0</v>
      </c>
      <c r="P240" s="115">
        <v>0</v>
      </c>
      <c r="Q240" s="115">
        <v>0</v>
      </c>
      <c r="R240" s="115">
        <v>0</v>
      </c>
      <c r="S240" s="115">
        <v>0</v>
      </c>
      <c r="T240" s="115">
        <v>0</v>
      </c>
      <c r="U240" s="115">
        <v>0</v>
      </c>
      <c r="V240" s="115">
        <v>0</v>
      </c>
      <c r="W240" s="115">
        <v>0</v>
      </c>
      <c r="X240" s="115">
        <v>0</v>
      </c>
      <c r="Y240" s="115">
        <v>0</v>
      </c>
      <c r="Z240" s="115">
        <v>0</v>
      </c>
      <c r="AA240" s="115">
        <v>0</v>
      </c>
      <c r="AB240" s="115">
        <v>0</v>
      </c>
      <c r="AC240" s="115">
        <v>0</v>
      </c>
      <c r="AD240" s="115">
        <v>0</v>
      </c>
      <c r="AE240" s="115">
        <v>0</v>
      </c>
      <c r="AF240" s="115">
        <v>0</v>
      </c>
      <c r="AG240" s="115">
        <v>0</v>
      </c>
      <c r="AH240" s="115">
        <v>0</v>
      </c>
      <c r="AI240" s="115">
        <v>0</v>
      </c>
      <c r="AJ240" s="115">
        <v>0</v>
      </c>
      <c r="AK240" s="115">
        <v>0</v>
      </c>
      <c r="AL240" s="115">
        <v>0</v>
      </c>
      <c r="AM240" s="115">
        <v>0</v>
      </c>
      <c r="AN240" s="115">
        <v>0</v>
      </c>
      <c r="AO240" s="115">
        <v>0</v>
      </c>
      <c r="AP240" s="115">
        <v>0</v>
      </c>
      <c r="AQ240" s="115">
        <v>0</v>
      </c>
      <c r="AR240" s="115">
        <v>0</v>
      </c>
      <c r="AS240" s="115">
        <v>0</v>
      </c>
      <c r="AT240" s="115">
        <v>0</v>
      </c>
      <c r="AU240" s="115">
        <v>0</v>
      </c>
      <c r="AV240" s="115">
        <v>0</v>
      </c>
      <c r="AW240" s="115">
        <v>0</v>
      </c>
      <c r="AX240" s="115">
        <v>0</v>
      </c>
      <c r="AY240" s="115">
        <v>0</v>
      </c>
    </row>
    <row r="241" spans="1:51" x14ac:dyDescent="0.2">
      <c r="A241" s="114"/>
      <c r="B241" s="132">
        <v>33</v>
      </c>
      <c r="C241" s="111"/>
      <c r="D241" s="115">
        <v>0</v>
      </c>
      <c r="E241" s="115">
        <v>0</v>
      </c>
      <c r="F241" s="115">
        <v>0</v>
      </c>
      <c r="G241" s="115">
        <v>0</v>
      </c>
      <c r="H241" s="115">
        <v>0</v>
      </c>
      <c r="I241" s="115">
        <v>0</v>
      </c>
      <c r="J241" s="115">
        <v>0</v>
      </c>
      <c r="K241" s="115">
        <v>0</v>
      </c>
      <c r="L241" s="115">
        <v>0</v>
      </c>
      <c r="M241" s="115">
        <v>0</v>
      </c>
      <c r="N241" s="115">
        <v>0</v>
      </c>
      <c r="O241" s="115">
        <v>0</v>
      </c>
      <c r="P241" s="115">
        <v>0</v>
      </c>
      <c r="Q241" s="115">
        <v>0</v>
      </c>
      <c r="R241" s="115">
        <v>0</v>
      </c>
      <c r="S241" s="115">
        <v>0</v>
      </c>
      <c r="T241" s="115">
        <v>0</v>
      </c>
      <c r="U241" s="115">
        <v>0</v>
      </c>
      <c r="V241" s="115">
        <v>0</v>
      </c>
      <c r="W241" s="115">
        <v>0</v>
      </c>
      <c r="X241" s="115">
        <v>0</v>
      </c>
      <c r="Y241" s="115">
        <v>0</v>
      </c>
      <c r="Z241" s="115">
        <v>0</v>
      </c>
      <c r="AA241" s="115">
        <v>0</v>
      </c>
      <c r="AB241" s="115">
        <v>0</v>
      </c>
      <c r="AC241" s="115">
        <v>0</v>
      </c>
      <c r="AD241" s="115">
        <v>0</v>
      </c>
      <c r="AE241" s="115">
        <v>0</v>
      </c>
      <c r="AF241" s="115">
        <v>0</v>
      </c>
      <c r="AG241" s="115">
        <v>0</v>
      </c>
      <c r="AH241" s="115">
        <v>0</v>
      </c>
      <c r="AI241" s="115">
        <v>0</v>
      </c>
      <c r="AJ241" s="115">
        <v>0</v>
      </c>
      <c r="AK241" s="115">
        <v>0</v>
      </c>
      <c r="AL241" s="115">
        <v>0</v>
      </c>
      <c r="AM241" s="115">
        <v>0</v>
      </c>
      <c r="AN241" s="115">
        <v>0</v>
      </c>
      <c r="AO241" s="115">
        <v>0</v>
      </c>
      <c r="AP241" s="115">
        <v>0</v>
      </c>
      <c r="AQ241" s="115">
        <v>0</v>
      </c>
      <c r="AR241" s="115">
        <v>0</v>
      </c>
      <c r="AS241" s="115">
        <v>0</v>
      </c>
      <c r="AT241" s="115">
        <v>0</v>
      </c>
      <c r="AU241" s="115">
        <v>0</v>
      </c>
      <c r="AV241" s="115">
        <v>0</v>
      </c>
      <c r="AW241" s="115">
        <v>0</v>
      </c>
      <c r="AX241" s="115">
        <v>0</v>
      </c>
      <c r="AY241" s="115">
        <v>0</v>
      </c>
    </row>
    <row r="242" spans="1:51" x14ac:dyDescent="0.2">
      <c r="A242" s="114"/>
      <c r="B242" s="132">
        <v>34</v>
      </c>
      <c r="C242" s="111"/>
      <c r="D242" s="115">
        <v>0</v>
      </c>
      <c r="E242" s="115">
        <v>0</v>
      </c>
      <c r="F242" s="115">
        <v>0</v>
      </c>
      <c r="G242" s="115">
        <v>0</v>
      </c>
      <c r="H242" s="115">
        <v>0</v>
      </c>
      <c r="I242" s="115">
        <v>0</v>
      </c>
      <c r="J242" s="115">
        <v>0</v>
      </c>
      <c r="K242" s="115">
        <v>0</v>
      </c>
      <c r="L242" s="115">
        <v>0</v>
      </c>
      <c r="M242" s="115">
        <v>0</v>
      </c>
      <c r="N242" s="115">
        <v>0</v>
      </c>
      <c r="O242" s="115">
        <v>0</v>
      </c>
      <c r="P242" s="115">
        <v>0</v>
      </c>
      <c r="Q242" s="115">
        <v>0</v>
      </c>
      <c r="R242" s="115">
        <v>0</v>
      </c>
      <c r="S242" s="115">
        <v>0</v>
      </c>
      <c r="T242" s="115">
        <v>0</v>
      </c>
      <c r="U242" s="115">
        <v>0</v>
      </c>
      <c r="V242" s="115">
        <v>0</v>
      </c>
      <c r="W242" s="115">
        <v>0</v>
      </c>
      <c r="X242" s="115">
        <v>0</v>
      </c>
      <c r="Y242" s="115">
        <v>0</v>
      </c>
      <c r="Z242" s="115">
        <v>0</v>
      </c>
      <c r="AA242" s="115">
        <v>0</v>
      </c>
      <c r="AB242" s="115">
        <v>0</v>
      </c>
      <c r="AC242" s="115">
        <v>0</v>
      </c>
      <c r="AD242" s="115">
        <v>0</v>
      </c>
      <c r="AE242" s="115">
        <v>0</v>
      </c>
      <c r="AF242" s="115">
        <v>0</v>
      </c>
      <c r="AG242" s="115">
        <v>0</v>
      </c>
      <c r="AH242" s="115">
        <v>0</v>
      </c>
      <c r="AI242" s="115">
        <v>0</v>
      </c>
      <c r="AJ242" s="115">
        <v>0</v>
      </c>
      <c r="AK242" s="115">
        <v>0</v>
      </c>
      <c r="AL242" s="115">
        <v>0</v>
      </c>
      <c r="AM242" s="115">
        <v>0</v>
      </c>
      <c r="AN242" s="115">
        <v>0</v>
      </c>
      <c r="AO242" s="115">
        <v>0</v>
      </c>
      <c r="AP242" s="115">
        <v>0</v>
      </c>
      <c r="AQ242" s="115">
        <v>0</v>
      </c>
      <c r="AR242" s="115">
        <v>0</v>
      </c>
      <c r="AS242" s="115">
        <v>0</v>
      </c>
      <c r="AT242" s="115">
        <v>0</v>
      </c>
      <c r="AU242" s="115">
        <v>0</v>
      </c>
      <c r="AV242" s="115">
        <v>0</v>
      </c>
      <c r="AW242" s="115">
        <v>0</v>
      </c>
      <c r="AX242" s="115">
        <v>0</v>
      </c>
      <c r="AY242" s="115">
        <v>0</v>
      </c>
    </row>
    <row r="243" spans="1:51" x14ac:dyDescent="0.2">
      <c r="A243" s="114"/>
      <c r="B243" s="132">
        <v>35</v>
      </c>
      <c r="C243" s="111"/>
      <c r="D243" s="115">
        <v>0</v>
      </c>
      <c r="E243" s="115">
        <v>0</v>
      </c>
      <c r="F243" s="115">
        <v>0</v>
      </c>
      <c r="G243" s="115">
        <v>0</v>
      </c>
      <c r="H243" s="115">
        <v>0</v>
      </c>
      <c r="I243" s="115">
        <v>0</v>
      </c>
      <c r="J243" s="115">
        <v>0</v>
      </c>
      <c r="K243" s="115">
        <v>0</v>
      </c>
      <c r="L243" s="115">
        <v>0</v>
      </c>
      <c r="M243" s="115">
        <v>0</v>
      </c>
      <c r="N243" s="115">
        <v>0</v>
      </c>
      <c r="O243" s="115">
        <v>0</v>
      </c>
      <c r="P243" s="115">
        <v>0</v>
      </c>
      <c r="Q243" s="115">
        <v>0</v>
      </c>
      <c r="R243" s="115">
        <v>0</v>
      </c>
      <c r="S243" s="115">
        <v>0</v>
      </c>
      <c r="T243" s="115">
        <v>0</v>
      </c>
      <c r="U243" s="115">
        <v>0</v>
      </c>
      <c r="V243" s="115">
        <v>0</v>
      </c>
      <c r="W243" s="115">
        <v>0</v>
      </c>
      <c r="X243" s="115">
        <v>0</v>
      </c>
      <c r="Y243" s="115">
        <v>0</v>
      </c>
      <c r="Z243" s="115">
        <v>0</v>
      </c>
      <c r="AA243" s="115">
        <v>0</v>
      </c>
      <c r="AB243" s="115">
        <v>0</v>
      </c>
      <c r="AC243" s="115">
        <v>0</v>
      </c>
      <c r="AD243" s="115">
        <v>0</v>
      </c>
      <c r="AE243" s="115">
        <v>0</v>
      </c>
      <c r="AF243" s="115">
        <v>0</v>
      </c>
      <c r="AG243" s="115">
        <v>0</v>
      </c>
      <c r="AH243" s="115">
        <v>0</v>
      </c>
      <c r="AI243" s="115">
        <v>0</v>
      </c>
      <c r="AJ243" s="115">
        <v>0</v>
      </c>
      <c r="AK243" s="115">
        <v>0</v>
      </c>
      <c r="AL243" s="115">
        <v>0</v>
      </c>
      <c r="AM243" s="115">
        <v>0</v>
      </c>
      <c r="AN243" s="115">
        <v>0</v>
      </c>
      <c r="AO243" s="115">
        <v>0</v>
      </c>
      <c r="AP243" s="115">
        <v>0</v>
      </c>
      <c r="AQ243" s="115">
        <v>0</v>
      </c>
      <c r="AR243" s="115">
        <v>0</v>
      </c>
      <c r="AS243" s="115">
        <v>0</v>
      </c>
      <c r="AT243" s="115">
        <v>0</v>
      </c>
      <c r="AU243" s="115">
        <v>0</v>
      </c>
      <c r="AV243" s="115">
        <v>0</v>
      </c>
      <c r="AW243" s="115">
        <v>0</v>
      </c>
      <c r="AX243" s="115">
        <v>0</v>
      </c>
      <c r="AY243" s="115">
        <v>0</v>
      </c>
    </row>
    <row r="244" spans="1:51" x14ac:dyDescent="0.2">
      <c r="A244" s="114"/>
      <c r="B244" s="132">
        <v>36</v>
      </c>
      <c r="C244" s="111"/>
      <c r="D244" s="115">
        <v>0</v>
      </c>
      <c r="E244" s="115">
        <v>0</v>
      </c>
      <c r="F244" s="115">
        <v>0</v>
      </c>
      <c r="G244" s="115">
        <v>0</v>
      </c>
      <c r="H244" s="115">
        <v>0</v>
      </c>
      <c r="I244" s="115">
        <v>0</v>
      </c>
      <c r="J244" s="115">
        <v>0</v>
      </c>
      <c r="K244" s="115">
        <v>0</v>
      </c>
      <c r="L244" s="115">
        <v>0</v>
      </c>
      <c r="M244" s="115">
        <v>0</v>
      </c>
      <c r="N244" s="115">
        <v>0</v>
      </c>
      <c r="O244" s="115">
        <v>0</v>
      </c>
      <c r="P244" s="115">
        <v>0</v>
      </c>
      <c r="Q244" s="115">
        <v>0</v>
      </c>
      <c r="R244" s="115">
        <v>0</v>
      </c>
      <c r="S244" s="115">
        <v>0</v>
      </c>
      <c r="T244" s="115">
        <v>0</v>
      </c>
      <c r="U244" s="115">
        <v>0</v>
      </c>
      <c r="V244" s="115">
        <v>0</v>
      </c>
      <c r="W244" s="115">
        <v>0</v>
      </c>
      <c r="X244" s="115">
        <v>0</v>
      </c>
      <c r="Y244" s="115">
        <v>0</v>
      </c>
      <c r="Z244" s="115">
        <v>0</v>
      </c>
      <c r="AA244" s="115">
        <v>0</v>
      </c>
      <c r="AB244" s="115">
        <v>0</v>
      </c>
      <c r="AC244" s="115">
        <v>0</v>
      </c>
      <c r="AD244" s="115">
        <v>0</v>
      </c>
      <c r="AE244" s="115">
        <v>0</v>
      </c>
      <c r="AF244" s="115">
        <v>0</v>
      </c>
      <c r="AG244" s="115">
        <v>0</v>
      </c>
      <c r="AH244" s="115">
        <v>0</v>
      </c>
      <c r="AI244" s="115">
        <v>0</v>
      </c>
      <c r="AJ244" s="115">
        <v>0</v>
      </c>
      <c r="AK244" s="115">
        <v>0</v>
      </c>
      <c r="AL244" s="115">
        <v>0</v>
      </c>
      <c r="AM244" s="115">
        <v>0</v>
      </c>
      <c r="AN244" s="115">
        <v>0</v>
      </c>
      <c r="AO244" s="115">
        <v>0</v>
      </c>
      <c r="AP244" s="115">
        <v>0</v>
      </c>
      <c r="AQ244" s="115">
        <v>0</v>
      </c>
      <c r="AR244" s="115">
        <v>0</v>
      </c>
      <c r="AS244" s="115">
        <v>0</v>
      </c>
      <c r="AT244" s="115">
        <v>0</v>
      </c>
      <c r="AU244" s="115">
        <v>0</v>
      </c>
      <c r="AV244" s="115">
        <v>0</v>
      </c>
      <c r="AW244" s="115">
        <v>0</v>
      </c>
      <c r="AX244" s="115">
        <v>0</v>
      </c>
      <c r="AY244" s="115">
        <v>0</v>
      </c>
    </row>
    <row r="245" spans="1:51" x14ac:dyDescent="0.2">
      <c r="A245" s="114"/>
      <c r="B245" s="135">
        <v>37</v>
      </c>
      <c r="C245" s="111"/>
      <c r="D245" s="115">
        <v>0</v>
      </c>
      <c r="E245" s="115">
        <v>0</v>
      </c>
      <c r="F245" s="115">
        <v>0</v>
      </c>
      <c r="G245" s="115">
        <v>0</v>
      </c>
      <c r="H245" s="115">
        <v>0</v>
      </c>
      <c r="I245" s="115">
        <v>0</v>
      </c>
      <c r="J245" s="115">
        <v>0</v>
      </c>
      <c r="K245" s="115">
        <v>0</v>
      </c>
      <c r="L245" s="115">
        <v>0</v>
      </c>
      <c r="M245" s="115">
        <v>0</v>
      </c>
      <c r="N245" s="115">
        <v>0</v>
      </c>
      <c r="O245" s="115">
        <v>0</v>
      </c>
      <c r="P245" s="115">
        <v>0</v>
      </c>
      <c r="Q245" s="115">
        <v>0</v>
      </c>
      <c r="R245" s="115">
        <v>0</v>
      </c>
      <c r="S245" s="115">
        <v>0</v>
      </c>
      <c r="T245" s="115">
        <v>0</v>
      </c>
      <c r="U245" s="115">
        <v>0</v>
      </c>
      <c r="V245" s="115">
        <v>0</v>
      </c>
      <c r="W245" s="115">
        <v>0</v>
      </c>
      <c r="X245" s="115">
        <v>0</v>
      </c>
      <c r="Y245" s="115">
        <v>0</v>
      </c>
      <c r="Z245" s="115">
        <v>0</v>
      </c>
      <c r="AA245" s="115">
        <v>0</v>
      </c>
      <c r="AB245" s="115">
        <v>0</v>
      </c>
      <c r="AC245" s="115">
        <v>0</v>
      </c>
      <c r="AD245" s="115">
        <v>0</v>
      </c>
      <c r="AE245" s="115">
        <v>0</v>
      </c>
      <c r="AF245" s="115">
        <v>0</v>
      </c>
      <c r="AG245" s="115">
        <v>0</v>
      </c>
      <c r="AH245" s="115">
        <v>0</v>
      </c>
      <c r="AI245" s="115">
        <v>0</v>
      </c>
      <c r="AJ245" s="115">
        <v>0</v>
      </c>
      <c r="AK245" s="115">
        <v>0</v>
      </c>
      <c r="AL245" s="115">
        <v>0</v>
      </c>
      <c r="AM245" s="115">
        <v>0</v>
      </c>
      <c r="AN245" s="115">
        <v>0</v>
      </c>
      <c r="AO245" s="115">
        <v>0</v>
      </c>
      <c r="AP245" s="115">
        <v>0</v>
      </c>
      <c r="AQ245" s="115">
        <v>0</v>
      </c>
      <c r="AR245" s="115">
        <v>0</v>
      </c>
      <c r="AS245" s="115">
        <v>0</v>
      </c>
      <c r="AT245" s="115">
        <v>0</v>
      </c>
      <c r="AU245" s="115">
        <v>0</v>
      </c>
      <c r="AV245" s="115">
        <v>0</v>
      </c>
      <c r="AW245" s="115">
        <v>0</v>
      </c>
      <c r="AX245" s="115">
        <v>0</v>
      </c>
      <c r="AY245" s="115">
        <v>0</v>
      </c>
    </row>
    <row r="246" spans="1:51" x14ac:dyDescent="0.2">
      <c r="A246" s="114"/>
      <c r="B246" s="135">
        <v>38</v>
      </c>
      <c r="C246" s="111"/>
      <c r="D246" s="115">
        <v>0</v>
      </c>
      <c r="E246" s="115">
        <v>0</v>
      </c>
      <c r="F246" s="115">
        <v>0</v>
      </c>
      <c r="G246" s="115">
        <v>0</v>
      </c>
      <c r="H246" s="115">
        <v>0</v>
      </c>
      <c r="I246" s="115">
        <v>0</v>
      </c>
      <c r="J246" s="115">
        <v>0</v>
      </c>
      <c r="K246" s="115">
        <v>0</v>
      </c>
      <c r="L246" s="115">
        <v>0</v>
      </c>
      <c r="M246" s="115">
        <v>0</v>
      </c>
      <c r="N246" s="115">
        <v>0</v>
      </c>
      <c r="O246" s="115">
        <v>0</v>
      </c>
      <c r="P246" s="115">
        <v>0</v>
      </c>
      <c r="Q246" s="115">
        <v>0</v>
      </c>
      <c r="R246" s="115">
        <v>0</v>
      </c>
      <c r="S246" s="115">
        <v>0</v>
      </c>
      <c r="T246" s="115">
        <v>0</v>
      </c>
      <c r="U246" s="115">
        <v>0</v>
      </c>
      <c r="V246" s="115">
        <v>0</v>
      </c>
      <c r="W246" s="115">
        <v>0</v>
      </c>
      <c r="X246" s="115">
        <v>0</v>
      </c>
      <c r="Y246" s="115">
        <v>0</v>
      </c>
      <c r="Z246" s="115">
        <v>0</v>
      </c>
      <c r="AA246" s="115">
        <v>0</v>
      </c>
      <c r="AB246" s="115">
        <v>0</v>
      </c>
      <c r="AC246" s="115">
        <v>0</v>
      </c>
      <c r="AD246" s="115">
        <v>0</v>
      </c>
      <c r="AE246" s="115">
        <v>0</v>
      </c>
      <c r="AF246" s="115">
        <v>0</v>
      </c>
      <c r="AG246" s="115">
        <v>0</v>
      </c>
      <c r="AH246" s="115">
        <v>0</v>
      </c>
      <c r="AI246" s="115">
        <v>0</v>
      </c>
      <c r="AJ246" s="115">
        <v>0</v>
      </c>
      <c r="AK246" s="115">
        <v>0</v>
      </c>
      <c r="AL246" s="115">
        <v>0</v>
      </c>
      <c r="AM246" s="115">
        <v>0</v>
      </c>
      <c r="AN246" s="115">
        <v>0</v>
      </c>
      <c r="AO246" s="115">
        <v>0</v>
      </c>
      <c r="AP246" s="115">
        <v>0</v>
      </c>
      <c r="AQ246" s="115">
        <v>0</v>
      </c>
      <c r="AR246" s="115">
        <v>0</v>
      </c>
      <c r="AS246" s="115">
        <v>0</v>
      </c>
      <c r="AT246" s="115">
        <v>0</v>
      </c>
      <c r="AU246" s="115">
        <v>0</v>
      </c>
      <c r="AV246" s="115">
        <v>0</v>
      </c>
      <c r="AW246" s="115">
        <v>0</v>
      </c>
      <c r="AX246" s="115">
        <v>0</v>
      </c>
      <c r="AY246" s="115">
        <v>0</v>
      </c>
    </row>
    <row r="247" spans="1:51" x14ac:dyDescent="0.2">
      <c r="A247" s="114"/>
      <c r="B247" s="135">
        <v>39</v>
      </c>
      <c r="C247" s="111"/>
      <c r="D247" s="115">
        <v>0</v>
      </c>
      <c r="E247" s="115">
        <v>0</v>
      </c>
      <c r="F247" s="115">
        <v>0</v>
      </c>
      <c r="G247" s="115">
        <v>0</v>
      </c>
      <c r="H247" s="115">
        <v>0</v>
      </c>
      <c r="I247" s="115">
        <v>0</v>
      </c>
      <c r="J247" s="115">
        <v>0</v>
      </c>
      <c r="K247" s="115">
        <v>0</v>
      </c>
      <c r="L247" s="115">
        <v>0</v>
      </c>
      <c r="M247" s="115">
        <v>0</v>
      </c>
      <c r="N247" s="115">
        <v>0</v>
      </c>
      <c r="O247" s="115">
        <v>0</v>
      </c>
      <c r="P247" s="115">
        <v>0</v>
      </c>
      <c r="Q247" s="115">
        <v>0</v>
      </c>
      <c r="R247" s="115">
        <v>0</v>
      </c>
      <c r="S247" s="115">
        <v>0</v>
      </c>
      <c r="T247" s="115">
        <v>0</v>
      </c>
      <c r="U247" s="115">
        <v>0</v>
      </c>
      <c r="V247" s="115">
        <v>0</v>
      </c>
      <c r="W247" s="115">
        <v>0</v>
      </c>
      <c r="X247" s="115">
        <v>0</v>
      </c>
      <c r="Y247" s="115">
        <v>0</v>
      </c>
      <c r="Z247" s="115">
        <v>0</v>
      </c>
      <c r="AA247" s="115">
        <v>0</v>
      </c>
      <c r="AB247" s="115">
        <v>0</v>
      </c>
      <c r="AC247" s="115">
        <v>0</v>
      </c>
      <c r="AD247" s="115">
        <v>0</v>
      </c>
      <c r="AE247" s="115">
        <v>0</v>
      </c>
      <c r="AF247" s="115">
        <v>0</v>
      </c>
      <c r="AG247" s="115">
        <v>0</v>
      </c>
      <c r="AH247" s="115">
        <v>0</v>
      </c>
      <c r="AI247" s="115">
        <v>0</v>
      </c>
      <c r="AJ247" s="115">
        <v>0</v>
      </c>
      <c r="AK247" s="115">
        <v>0</v>
      </c>
      <c r="AL247" s="115">
        <v>0</v>
      </c>
      <c r="AM247" s="115">
        <v>0</v>
      </c>
      <c r="AN247" s="115">
        <v>0</v>
      </c>
      <c r="AO247" s="115">
        <v>0</v>
      </c>
      <c r="AP247" s="115">
        <v>0</v>
      </c>
      <c r="AQ247" s="115">
        <v>0</v>
      </c>
      <c r="AR247" s="115">
        <v>0</v>
      </c>
      <c r="AS247" s="115">
        <v>0</v>
      </c>
      <c r="AT247" s="115">
        <v>0</v>
      </c>
      <c r="AU247" s="115">
        <v>0</v>
      </c>
      <c r="AV247" s="115">
        <v>0</v>
      </c>
      <c r="AW247" s="115">
        <v>0</v>
      </c>
      <c r="AX247" s="115">
        <v>0</v>
      </c>
      <c r="AY247" s="115">
        <v>0</v>
      </c>
    </row>
    <row r="248" spans="1:51" x14ac:dyDescent="0.2">
      <c r="A248" s="114"/>
      <c r="B248" s="135">
        <v>40</v>
      </c>
      <c r="C248" s="111"/>
      <c r="D248" s="115">
        <v>0</v>
      </c>
      <c r="E248" s="115">
        <v>0</v>
      </c>
      <c r="F248" s="115">
        <v>0</v>
      </c>
      <c r="G248" s="115">
        <v>0</v>
      </c>
      <c r="H248" s="115">
        <v>0</v>
      </c>
      <c r="I248" s="115">
        <v>0</v>
      </c>
      <c r="J248" s="115">
        <v>0</v>
      </c>
      <c r="K248" s="115">
        <v>0</v>
      </c>
      <c r="L248" s="115">
        <v>0</v>
      </c>
      <c r="M248" s="115">
        <v>0</v>
      </c>
      <c r="N248" s="115">
        <v>0</v>
      </c>
      <c r="O248" s="115">
        <v>0</v>
      </c>
      <c r="P248" s="115">
        <v>0</v>
      </c>
      <c r="Q248" s="115">
        <v>0</v>
      </c>
      <c r="R248" s="115">
        <v>0</v>
      </c>
      <c r="S248" s="115">
        <v>0</v>
      </c>
      <c r="T248" s="115">
        <v>0</v>
      </c>
      <c r="U248" s="115">
        <v>0</v>
      </c>
      <c r="V248" s="115">
        <v>0</v>
      </c>
      <c r="W248" s="115">
        <v>0</v>
      </c>
      <c r="X248" s="115">
        <v>0</v>
      </c>
      <c r="Y248" s="115">
        <v>0</v>
      </c>
      <c r="Z248" s="115">
        <v>0</v>
      </c>
      <c r="AA248" s="115">
        <v>0</v>
      </c>
      <c r="AB248" s="115">
        <v>0</v>
      </c>
      <c r="AC248" s="115">
        <v>0</v>
      </c>
      <c r="AD248" s="115">
        <v>0</v>
      </c>
      <c r="AE248" s="115">
        <v>0</v>
      </c>
      <c r="AF248" s="115">
        <v>0</v>
      </c>
      <c r="AG248" s="115">
        <v>0</v>
      </c>
      <c r="AH248" s="115">
        <v>0</v>
      </c>
      <c r="AI248" s="115">
        <v>0</v>
      </c>
      <c r="AJ248" s="115">
        <v>0</v>
      </c>
      <c r="AK248" s="115">
        <v>0</v>
      </c>
      <c r="AL248" s="115">
        <v>0</v>
      </c>
      <c r="AM248" s="115">
        <v>0</v>
      </c>
      <c r="AN248" s="115">
        <v>0</v>
      </c>
      <c r="AO248" s="115">
        <v>0</v>
      </c>
      <c r="AP248" s="115">
        <v>0</v>
      </c>
      <c r="AQ248" s="115">
        <v>0</v>
      </c>
      <c r="AR248" s="115">
        <v>0</v>
      </c>
      <c r="AS248" s="115">
        <v>0</v>
      </c>
      <c r="AT248" s="115">
        <v>0</v>
      </c>
      <c r="AU248" s="115">
        <v>0</v>
      </c>
      <c r="AV248" s="115">
        <v>0</v>
      </c>
      <c r="AW248" s="115">
        <v>0</v>
      </c>
      <c r="AX248" s="115">
        <v>0</v>
      </c>
      <c r="AY248" s="115">
        <v>0</v>
      </c>
    </row>
    <row r="249" spans="1:51" x14ac:dyDescent="0.2">
      <c r="A249" s="114"/>
      <c r="B249" s="135">
        <v>41</v>
      </c>
      <c r="C249" s="111"/>
      <c r="D249" s="115">
        <v>0</v>
      </c>
      <c r="E249" s="115">
        <v>0</v>
      </c>
      <c r="F249" s="115">
        <v>0</v>
      </c>
      <c r="G249" s="115">
        <v>0</v>
      </c>
      <c r="H249" s="115">
        <v>0</v>
      </c>
      <c r="I249" s="115">
        <v>0</v>
      </c>
      <c r="J249" s="115">
        <v>0</v>
      </c>
      <c r="K249" s="115">
        <v>0</v>
      </c>
      <c r="L249" s="115">
        <v>0</v>
      </c>
      <c r="M249" s="115">
        <v>0</v>
      </c>
      <c r="N249" s="115">
        <v>0</v>
      </c>
      <c r="O249" s="115">
        <v>0</v>
      </c>
      <c r="P249" s="115">
        <v>0</v>
      </c>
      <c r="Q249" s="115">
        <v>0</v>
      </c>
      <c r="R249" s="115">
        <v>0</v>
      </c>
      <c r="S249" s="115">
        <v>0</v>
      </c>
      <c r="T249" s="115">
        <v>0</v>
      </c>
      <c r="U249" s="115">
        <v>0</v>
      </c>
      <c r="V249" s="115">
        <v>0</v>
      </c>
      <c r="W249" s="115">
        <v>0</v>
      </c>
      <c r="X249" s="115">
        <v>0</v>
      </c>
      <c r="Y249" s="115">
        <v>0</v>
      </c>
      <c r="Z249" s="115">
        <v>0</v>
      </c>
      <c r="AA249" s="115">
        <v>0</v>
      </c>
      <c r="AB249" s="115">
        <v>0</v>
      </c>
      <c r="AC249" s="115">
        <v>0</v>
      </c>
      <c r="AD249" s="115">
        <v>0</v>
      </c>
      <c r="AE249" s="115">
        <v>0</v>
      </c>
      <c r="AF249" s="115">
        <v>0</v>
      </c>
      <c r="AG249" s="115">
        <v>0</v>
      </c>
      <c r="AH249" s="115">
        <v>0</v>
      </c>
      <c r="AI249" s="115">
        <v>0</v>
      </c>
      <c r="AJ249" s="115">
        <v>0</v>
      </c>
      <c r="AK249" s="115">
        <v>0</v>
      </c>
      <c r="AL249" s="115">
        <v>0</v>
      </c>
      <c r="AM249" s="115">
        <v>0</v>
      </c>
      <c r="AN249" s="115">
        <v>0</v>
      </c>
      <c r="AO249" s="115">
        <v>0</v>
      </c>
      <c r="AP249" s="115">
        <v>0</v>
      </c>
      <c r="AQ249" s="115">
        <v>0</v>
      </c>
      <c r="AR249" s="115">
        <v>0</v>
      </c>
      <c r="AS249" s="115">
        <v>0</v>
      </c>
      <c r="AT249" s="115">
        <v>0</v>
      </c>
      <c r="AU249" s="115">
        <v>0</v>
      </c>
      <c r="AV249" s="115">
        <v>0</v>
      </c>
      <c r="AW249" s="115">
        <v>0</v>
      </c>
      <c r="AX249" s="115">
        <v>0</v>
      </c>
      <c r="AY249" s="115">
        <v>0</v>
      </c>
    </row>
    <row r="250" spans="1:51" x14ac:dyDescent="0.2">
      <c r="A250" s="114"/>
      <c r="B250" s="135">
        <v>42</v>
      </c>
      <c r="C250" s="111"/>
      <c r="D250" s="115">
        <v>0</v>
      </c>
      <c r="E250" s="115">
        <v>0</v>
      </c>
      <c r="F250" s="115">
        <v>0</v>
      </c>
      <c r="G250" s="115">
        <v>0</v>
      </c>
      <c r="H250" s="115">
        <v>0</v>
      </c>
      <c r="I250" s="115">
        <v>0</v>
      </c>
      <c r="J250" s="115">
        <v>0</v>
      </c>
      <c r="K250" s="115">
        <v>0</v>
      </c>
      <c r="L250" s="115">
        <v>0</v>
      </c>
      <c r="M250" s="115">
        <v>0</v>
      </c>
      <c r="N250" s="115">
        <v>0</v>
      </c>
      <c r="O250" s="115">
        <v>0</v>
      </c>
      <c r="P250" s="115">
        <v>0</v>
      </c>
      <c r="Q250" s="115">
        <v>0</v>
      </c>
      <c r="R250" s="115">
        <v>0</v>
      </c>
      <c r="S250" s="115">
        <v>0</v>
      </c>
      <c r="T250" s="115">
        <v>0</v>
      </c>
      <c r="U250" s="115">
        <v>0</v>
      </c>
      <c r="V250" s="115">
        <v>0</v>
      </c>
      <c r="W250" s="115">
        <v>0</v>
      </c>
      <c r="X250" s="115">
        <v>0</v>
      </c>
      <c r="Y250" s="115">
        <v>0</v>
      </c>
      <c r="Z250" s="115">
        <v>0</v>
      </c>
      <c r="AA250" s="115">
        <v>0</v>
      </c>
      <c r="AB250" s="115">
        <v>0</v>
      </c>
      <c r="AC250" s="115">
        <v>0</v>
      </c>
      <c r="AD250" s="115">
        <v>0</v>
      </c>
      <c r="AE250" s="115">
        <v>0</v>
      </c>
      <c r="AF250" s="115">
        <v>0</v>
      </c>
      <c r="AG250" s="115">
        <v>0</v>
      </c>
      <c r="AH250" s="115">
        <v>0</v>
      </c>
      <c r="AI250" s="115">
        <v>0</v>
      </c>
      <c r="AJ250" s="115">
        <v>0</v>
      </c>
      <c r="AK250" s="115">
        <v>0</v>
      </c>
      <c r="AL250" s="115">
        <v>0</v>
      </c>
      <c r="AM250" s="115">
        <v>0</v>
      </c>
      <c r="AN250" s="115">
        <v>0</v>
      </c>
      <c r="AO250" s="115">
        <v>0</v>
      </c>
      <c r="AP250" s="115">
        <v>0</v>
      </c>
      <c r="AQ250" s="115">
        <v>0</v>
      </c>
      <c r="AR250" s="115">
        <v>0</v>
      </c>
      <c r="AS250" s="115">
        <v>0</v>
      </c>
      <c r="AT250" s="115">
        <v>0</v>
      </c>
      <c r="AU250" s="115">
        <v>0</v>
      </c>
      <c r="AV250" s="115">
        <v>0</v>
      </c>
      <c r="AW250" s="115">
        <v>0</v>
      </c>
      <c r="AX250" s="115">
        <v>0</v>
      </c>
      <c r="AY250" s="115">
        <v>0</v>
      </c>
    </row>
    <row r="251" spans="1:51" x14ac:dyDescent="0.2">
      <c r="A251" s="114"/>
      <c r="B251" s="135">
        <v>43</v>
      </c>
      <c r="C251" s="111"/>
      <c r="D251" s="115">
        <v>0</v>
      </c>
      <c r="E251" s="115">
        <v>0</v>
      </c>
      <c r="F251" s="115">
        <v>0</v>
      </c>
      <c r="G251" s="115">
        <v>0</v>
      </c>
      <c r="H251" s="115">
        <v>0</v>
      </c>
      <c r="I251" s="115">
        <v>0</v>
      </c>
      <c r="J251" s="115">
        <v>0</v>
      </c>
      <c r="K251" s="115">
        <v>0</v>
      </c>
      <c r="L251" s="115">
        <v>0</v>
      </c>
      <c r="M251" s="115">
        <v>0</v>
      </c>
      <c r="N251" s="115">
        <v>0</v>
      </c>
      <c r="O251" s="115">
        <v>0</v>
      </c>
      <c r="P251" s="115">
        <v>0</v>
      </c>
      <c r="Q251" s="115">
        <v>0</v>
      </c>
      <c r="R251" s="115">
        <v>0</v>
      </c>
      <c r="S251" s="115">
        <v>0</v>
      </c>
      <c r="T251" s="115">
        <v>0</v>
      </c>
      <c r="U251" s="115">
        <v>0</v>
      </c>
      <c r="V251" s="115">
        <v>0</v>
      </c>
      <c r="W251" s="115">
        <v>0</v>
      </c>
      <c r="X251" s="115">
        <v>0</v>
      </c>
      <c r="Y251" s="115">
        <v>0</v>
      </c>
      <c r="Z251" s="115">
        <v>0</v>
      </c>
      <c r="AA251" s="115">
        <v>0</v>
      </c>
      <c r="AB251" s="115">
        <v>0</v>
      </c>
      <c r="AC251" s="115">
        <v>0</v>
      </c>
      <c r="AD251" s="115">
        <v>0</v>
      </c>
      <c r="AE251" s="115">
        <v>0</v>
      </c>
      <c r="AF251" s="115">
        <v>0</v>
      </c>
      <c r="AG251" s="115">
        <v>0</v>
      </c>
      <c r="AH251" s="115">
        <v>0</v>
      </c>
      <c r="AI251" s="115">
        <v>0</v>
      </c>
      <c r="AJ251" s="115">
        <v>0</v>
      </c>
      <c r="AK251" s="115">
        <v>0</v>
      </c>
      <c r="AL251" s="115">
        <v>0</v>
      </c>
      <c r="AM251" s="115">
        <v>0</v>
      </c>
      <c r="AN251" s="115">
        <v>0</v>
      </c>
      <c r="AO251" s="115">
        <v>0</v>
      </c>
      <c r="AP251" s="115">
        <v>0</v>
      </c>
      <c r="AQ251" s="115">
        <v>0</v>
      </c>
      <c r="AR251" s="115">
        <v>0</v>
      </c>
      <c r="AS251" s="115">
        <v>0</v>
      </c>
      <c r="AT251" s="115">
        <v>0</v>
      </c>
      <c r="AU251" s="115">
        <v>0</v>
      </c>
      <c r="AV251" s="115">
        <v>0</v>
      </c>
      <c r="AW251" s="115">
        <v>0</v>
      </c>
      <c r="AX251" s="115">
        <v>0</v>
      </c>
      <c r="AY251" s="115">
        <v>0</v>
      </c>
    </row>
    <row r="252" spans="1:51" x14ac:dyDescent="0.2">
      <c r="A252" s="114"/>
      <c r="B252" s="135">
        <v>44</v>
      </c>
      <c r="C252" s="111"/>
      <c r="D252" s="115">
        <v>0</v>
      </c>
      <c r="E252" s="115">
        <v>0</v>
      </c>
      <c r="F252" s="115">
        <v>0</v>
      </c>
      <c r="G252" s="115">
        <v>0</v>
      </c>
      <c r="H252" s="115">
        <v>0</v>
      </c>
      <c r="I252" s="115">
        <v>0</v>
      </c>
      <c r="J252" s="115">
        <v>0</v>
      </c>
      <c r="K252" s="115">
        <v>0</v>
      </c>
      <c r="L252" s="115">
        <v>0</v>
      </c>
      <c r="M252" s="115">
        <v>0</v>
      </c>
      <c r="N252" s="115">
        <v>0</v>
      </c>
      <c r="O252" s="115">
        <v>0</v>
      </c>
      <c r="P252" s="115">
        <v>0</v>
      </c>
      <c r="Q252" s="115">
        <v>0</v>
      </c>
      <c r="R252" s="115">
        <v>0</v>
      </c>
      <c r="S252" s="115">
        <v>0</v>
      </c>
      <c r="T252" s="115">
        <v>0</v>
      </c>
      <c r="U252" s="115">
        <v>0</v>
      </c>
      <c r="V252" s="115">
        <v>0</v>
      </c>
      <c r="W252" s="115">
        <v>0</v>
      </c>
      <c r="X252" s="115">
        <v>0</v>
      </c>
      <c r="Y252" s="115">
        <v>0</v>
      </c>
      <c r="Z252" s="115">
        <v>0</v>
      </c>
      <c r="AA252" s="115">
        <v>0</v>
      </c>
      <c r="AB252" s="115">
        <v>0</v>
      </c>
      <c r="AC252" s="115">
        <v>0</v>
      </c>
      <c r="AD252" s="115">
        <v>0</v>
      </c>
      <c r="AE252" s="115">
        <v>0</v>
      </c>
      <c r="AF252" s="115">
        <v>0</v>
      </c>
      <c r="AG252" s="115">
        <v>0</v>
      </c>
      <c r="AH252" s="115">
        <v>0</v>
      </c>
      <c r="AI252" s="115">
        <v>0</v>
      </c>
      <c r="AJ252" s="115">
        <v>0</v>
      </c>
      <c r="AK252" s="115">
        <v>0</v>
      </c>
      <c r="AL252" s="115">
        <v>0</v>
      </c>
      <c r="AM252" s="115">
        <v>0</v>
      </c>
      <c r="AN252" s="115">
        <v>0</v>
      </c>
      <c r="AO252" s="115">
        <v>0</v>
      </c>
      <c r="AP252" s="115">
        <v>0</v>
      </c>
      <c r="AQ252" s="115">
        <v>0</v>
      </c>
      <c r="AR252" s="115">
        <v>0</v>
      </c>
      <c r="AS252" s="115">
        <v>0</v>
      </c>
      <c r="AT252" s="115">
        <v>0</v>
      </c>
      <c r="AU252" s="115">
        <v>0</v>
      </c>
      <c r="AV252" s="115">
        <v>0</v>
      </c>
      <c r="AW252" s="115">
        <v>0</v>
      </c>
      <c r="AX252" s="115">
        <v>0</v>
      </c>
      <c r="AY252" s="115">
        <v>0</v>
      </c>
    </row>
    <row r="253" spans="1:51" x14ac:dyDescent="0.2">
      <c r="A253" s="114"/>
      <c r="B253" s="135">
        <v>45</v>
      </c>
      <c r="C253" s="111"/>
      <c r="D253" s="115">
        <v>0</v>
      </c>
      <c r="E253" s="115">
        <v>0</v>
      </c>
      <c r="F253" s="115">
        <v>0</v>
      </c>
      <c r="G253" s="115">
        <v>0</v>
      </c>
      <c r="H253" s="115">
        <v>0</v>
      </c>
      <c r="I253" s="115">
        <v>0</v>
      </c>
      <c r="J253" s="115">
        <v>0</v>
      </c>
      <c r="K253" s="115">
        <v>0</v>
      </c>
      <c r="L253" s="115">
        <v>0</v>
      </c>
      <c r="M253" s="115">
        <v>0</v>
      </c>
      <c r="N253" s="115">
        <v>0</v>
      </c>
      <c r="O253" s="115">
        <v>0</v>
      </c>
      <c r="P253" s="115">
        <v>0</v>
      </c>
      <c r="Q253" s="115">
        <v>0</v>
      </c>
      <c r="R253" s="115">
        <v>0</v>
      </c>
      <c r="S253" s="115">
        <v>0</v>
      </c>
      <c r="T253" s="115">
        <v>0</v>
      </c>
      <c r="U253" s="115">
        <v>0</v>
      </c>
      <c r="V253" s="115">
        <v>0</v>
      </c>
      <c r="W253" s="115">
        <v>0</v>
      </c>
      <c r="X253" s="115">
        <v>0</v>
      </c>
      <c r="Y253" s="115">
        <v>0</v>
      </c>
      <c r="Z253" s="115">
        <v>0</v>
      </c>
      <c r="AA253" s="115">
        <v>0</v>
      </c>
      <c r="AB253" s="115">
        <v>0</v>
      </c>
      <c r="AC253" s="115">
        <v>0</v>
      </c>
      <c r="AD253" s="115">
        <v>0</v>
      </c>
      <c r="AE253" s="115">
        <v>0</v>
      </c>
      <c r="AF253" s="115">
        <v>0</v>
      </c>
      <c r="AG253" s="115">
        <v>0</v>
      </c>
      <c r="AH253" s="115">
        <v>0</v>
      </c>
      <c r="AI253" s="115">
        <v>0</v>
      </c>
      <c r="AJ253" s="115">
        <v>0</v>
      </c>
      <c r="AK253" s="115">
        <v>0</v>
      </c>
      <c r="AL253" s="115">
        <v>0</v>
      </c>
      <c r="AM253" s="115">
        <v>0</v>
      </c>
      <c r="AN253" s="115">
        <v>0</v>
      </c>
      <c r="AO253" s="115">
        <v>0</v>
      </c>
      <c r="AP253" s="115">
        <v>0</v>
      </c>
      <c r="AQ253" s="115">
        <v>0</v>
      </c>
      <c r="AR253" s="115">
        <v>0</v>
      </c>
      <c r="AS253" s="115">
        <v>0</v>
      </c>
      <c r="AT253" s="115">
        <v>0</v>
      </c>
      <c r="AU253" s="115">
        <v>0</v>
      </c>
      <c r="AV253" s="115">
        <v>0</v>
      </c>
      <c r="AW253" s="115">
        <v>0</v>
      </c>
      <c r="AX253" s="115">
        <v>0</v>
      </c>
      <c r="AY253" s="115">
        <v>0</v>
      </c>
    </row>
    <row r="254" spans="1:51" x14ac:dyDescent="0.2">
      <c r="A254" s="114"/>
      <c r="B254" s="135">
        <v>46</v>
      </c>
      <c r="C254" s="111"/>
      <c r="D254" s="115">
        <v>0</v>
      </c>
      <c r="E254" s="115">
        <v>0</v>
      </c>
      <c r="F254" s="115">
        <v>0</v>
      </c>
      <c r="G254" s="115">
        <v>0</v>
      </c>
      <c r="H254" s="115">
        <v>0</v>
      </c>
      <c r="I254" s="115">
        <v>0</v>
      </c>
      <c r="J254" s="115">
        <v>0</v>
      </c>
      <c r="K254" s="115">
        <v>0</v>
      </c>
      <c r="L254" s="115">
        <v>0</v>
      </c>
      <c r="M254" s="115">
        <v>0</v>
      </c>
      <c r="N254" s="115">
        <v>0</v>
      </c>
      <c r="O254" s="115">
        <v>0</v>
      </c>
      <c r="P254" s="115">
        <v>0</v>
      </c>
      <c r="Q254" s="115">
        <v>0</v>
      </c>
      <c r="R254" s="115">
        <v>0</v>
      </c>
      <c r="S254" s="115">
        <v>0</v>
      </c>
      <c r="T254" s="115">
        <v>0</v>
      </c>
      <c r="U254" s="115">
        <v>0</v>
      </c>
      <c r="V254" s="115">
        <v>0</v>
      </c>
      <c r="W254" s="115">
        <v>0</v>
      </c>
      <c r="X254" s="115">
        <v>0</v>
      </c>
      <c r="Y254" s="115">
        <v>0</v>
      </c>
      <c r="Z254" s="115">
        <v>0</v>
      </c>
      <c r="AA254" s="115">
        <v>0</v>
      </c>
      <c r="AB254" s="115">
        <v>0</v>
      </c>
      <c r="AC254" s="115">
        <v>0</v>
      </c>
      <c r="AD254" s="115">
        <v>0</v>
      </c>
      <c r="AE254" s="115">
        <v>0</v>
      </c>
      <c r="AF254" s="115">
        <v>0</v>
      </c>
      <c r="AG254" s="115">
        <v>0</v>
      </c>
      <c r="AH254" s="115">
        <v>0</v>
      </c>
      <c r="AI254" s="115">
        <v>0</v>
      </c>
      <c r="AJ254" s="115">
        <v>0</v>
      </c>
      <c r="AK254" s="115">
        <v>0</v>
      </c>
      <c r="AL254" s="115">
        <v>0</v>
      </c>
      <c r="AM254" s="115">
        <v>0</v>
      </c>
      <c r="AN254" s="115">
        <v>0</v>
      </c>
      <c r="AO254" s="115">
        <v>0</v>
      </c>
      <c r="AP254" s="115">
        <v>0</v>
      </c>
      <c r="AQ254" s="115">
        <v>0</v>
      </c>
      <c r="AR254" s="115">
        <v>0</v>
      </c>
      <c r="AS254" s="115">
        <v>0</v>
      </c>
      <c r="AT254" s="115">
        <v>0</v>
      </c>
      <c r="AU254" s="115">
        <v>0</v>
      </c>
      <c r="AV254" s="115">
        <v>0</v>
      </c>
      <c r="AW254" s="115">
        <v>0</v>
      </c>
      <c r="AX254" s="115">
        <v>0</v>
      </c>
      <c r="AY254" s="115">
        <v>0</v>
      </c>
    </row>
    <row r="255" spans="1:51" x14ac:dyDescent="0.2">
      <c r="A255" s="114"/>
      <c r="B255" s="135">
        <v>47</v>
      </c>
      <c r="C255" s="111"/>
      <c r="D255" s="115">
        <v>0</v>
      </c>
      <c r="E255" s="115">
        <v>0</v>
      </c>
      <c r="F255" s="115">
        <v>0</v>
      </c>
      <c r="G255" s="115">
        <v>0</v>
      </c>
      <c r="H255" s="115">
        <v>0</v>
      </c>
      <c r="I255" s="115">
        <v>0</v>
      </c>
      <c r="J255" s="115">
        <v>0</v>
      </c>
      <c r="K255" s="115">
        <v>0</v>
      </c>
      <c r="L255" s="115">
        <v>0</v>
      </c>
      <c r="M255" s="115">
        <v>0</v>
      </c>
      <c r="N255" s="115">
        <v>0</v>
      </c>
      <c r="O255" s="115">
        <v>0</v>
      </c>
      <c r="P255" s="115">
        <v>0</v>
      </c>
      <c r="Q255" s="115">
        <v>0</v>
      </c>
      <c r="R255" s="115">
        <v>0</v>
      </c>
      <c r="S255" s="115">
        <v>0</v>
      </c>
      <c r="T255" s="115">
        <v>0</v>
      </c>
      <c r="U255" s="115">
        <v>0</v>
      </c>
      <c r="V255" s="115">
        <v>0</v>
      </c>
      <c r="W255" s="115">
        <v>0</v>
      </c>
      <c r="X255" s="115">
        <v>0</v>
      </c>
      <c r="Y255" s="115">
        <v>0</v>
      </c>
      <c r="Z255" s="115">
        <v>0</v>
      </c>
      <c r="AA255" s="115">
        <v>0</v>
      </c>
      <c r="AB255" s="115">
        <v>0</v>
      </c>
      <c r="AC255" s="115">
        <v>0</v>
      </c>
      <c r="AD255" s="115">
        <v>0</v>
      </c>
      <c r="AE255" s="115">
        <v>0</v>
      </c>
      <c r="AF255" s="115">
        <v>0</v>
      </c>
      <c r="AG255" s="115">
        <v>0</v>
      </c>
      <c r="AH255" s="115">
        <v>0</v>
      </c>
      <c r="AI255" s="115">
        <v>0</v>
      </c>
      <c r="AJ255" s="115">
        <v>0</v>
      </c>
      <c r="AK255" s="115">
        <v>0</v>
      </c>
      <c r="AL255" s="115">
        <v>0</v>
      </c>
      <c r="AM255" s="115">
        <v>0</v>
      </c>
      <c r="AN255" s="115">
        <v>0</v>
      </c>
      <c r="AO255" s="115">
        <v>0</v>
      </c>
      <c r="AP255" s="115">
        <v>0</v>
      </c>
      <c r="AQ255" s="115">
        <v>0</v>
      </c>
      <c r="AR255" s="115">
        <v>0</v>
      </c>
      <c r="AS255" s="115">
        <v>0</v>
      </c>
      <c r="AT255" s="115">
        <v>0</v>
      </c>
      <c r="AU255" s="115">
        <v>0</v>
      </c>
      <c r="AV255" s="115">
        <v>0</v>
      </c>
      <c r="AW255" s="115">
        <v>0</v>
      </c>
      <c r="AX255" s="115">
        <v>0</v>
      </c>
      <c r="AY255" s="115">
        <v>0</v>
      </c>
    </row>
    <row r="256" spans="1:51" x14ac:dyDescent="0.2">
      <c r="A256" s="133"/>
      <c r="B256" s="134">
        <v>48</v>
      </c>
      <c r="C256" s="119"/>
      <c r="D256" s="130">
        <v>0</v>
      </c>
      <c r="E256" s="130">
        <v>0</v>
      </c>
      <c r="F256" s="130">
        <v>0</v>
      </c>
      <c r="G256" s="130">
        <v>0</v>
      </c>
      <c r="H256" s="130">
        <v>0</v>
      </c>
      <c r="I256" s="130">
        <v>0</v>
      </c>
      <c r="J256" s="130">
        <v>0</v>
      </c>
      <c r="K256" s="130">
        <v>0</v>
      </c>
      <c r="L256" s="130">
        <v>0</v>
      </c>
      <c r="M256" s="130">
        <v>0</v>
      </c>
      <c r="N256" s="130">
        <v>0</v>
      </c>
      <c r="O256" s="130">
        <v>0</v>
      </c>
      <c r="P256" s="130">
        <v>0</v>
      </c>
      <c r="Q256" s="130">
        <v>0</v>
      </c>
      <c r="R256" s="130">
        <v>0</v>
      </c>
      <c r="S256" s="130">
        <v>0</v>
      </c>
      <c r="T256" s="130">
        <v>0</v>
      </c>
      <c r="U256" s="130">
        <v>0</v>
      </c>
      <c r="V256" s="130">
        <v>0</v>
      </c>
      <c r="W256" s="130">
        <v>0</v>
      </c>
      <c r="X256" s="130">
        <v>0</v>
      </c>
      <c r="Y256" s="130">
        <v>0</v>
      </c>
      <c r="Z256" s="130">
        <v>0</v>
      </c>
      <c r="AA256" s="130">
        <v>0</v>
      </c>
      <c r="AB256" s="130">
        <v>0</v>
      </c>
      <c r="AC256" s="130">
        <v>0</v>
      </c>
      <c r="AD256" s="130">
        <v>0</v>
      </c>
      <c r="AE256" s="130">
        <v>0</v>
      </c>
      <c r="AF256" s="130">
        <v>0</v>
      </c>
      <c r="AG256" s="130">
        <v>0</v>
      </c>
      <c r="AH256" s="130">
        <v>0</v>
      </c>
      <c r="AI256" s="130">
        <v>0</v>
      </c>
      <c r="AJ256" s="130">
        <v>0</v>
      </c>
      <c r="AK256" s="130">
        <v>0</v>
      </c>
      <c r="AL256" s="130">
        <v>0</v>
      </c>
      <c r="AM256" s="130">
        <v>0</v>
      </c>
      <c r="AN256" s="130">
        <v>0</v>
      </c>
      <c r="AO256" s="130">
        <v>0</v>
      </c>
      <c r="AP256" s="130">
        <v>0</v>
      </c>
      <c r="AQ256" s="130">
        <v>0</v>
      </c>
      <c r="AR256" s="130">
        <v>0</v>
      </c>
      <c r="AS256" s="130">
        <v>0</v>
      </c>
      <c r="AT256" s="130">
        <v>0</v>
      </c>
      <c r="AU256" s="130">
        <v>0</v>
      </c>
      <c r="AV256" s="130">
        <v>0</v>
      </c>
      <c r="AW256" s="130">
        <v>0</v>
      </c>
      <c r="AX256" s="130">
        <v>0</v>
      </c>
      <c r="AY256" s="130">
        <v>0</v>
      </c>
    </row>
    <row r="258" spans="1:52" x14ac:dyDescent="0.2">
      <c r="A258" s="107" t="s">
        <v>303</v>
      </c>
    </row>
    <row r="259" spans="1:52" x14ac:dyDescent="0.2">
      <c r="A259" s="142" t="s">
        <v>124</v>
      </c>
      <c r="B259" s="143">
        <v>650</v>
      </c>
      <c r="C259" s="129" t="s">
        <v>295</v>
      </c>
      <c r="D259" s="129">
        <f>E$14*$B$259</f>
        <v>30554.164026751154</v>
      </c>
      <c r="E259" s="129">
        <f t="shared" ref="E259:AX259" si="5">F$14*$B$259</f>
        <v>30554.164026751154</v>
      </c>
      <c r="F259" s="129">
        <f t="shared" si="5"/>
        <v>33609.164026751147</v>
      </c>
      <c r="G259" s="129">
        <f t="shared" si="5"/>
        <v>33609.164026751147</v>
      </c>
      <c r="H259" s="129">
        <f t="shared" si="5"/>
        <v>33609.164026751147</v>
      </c>
      <c r="I259" s="129">
        <f t="shared" si="5"/>
        <v>33609.164026751147</v>
      </c>
      <c r="J259" s="129">
        <f t="shared" si="5"/>
        <v>33609.164026751147</v>
      </c>
      <c r="K259" s="129">
        <f t="shared" si="5"/>
        <v>33609.164026751147</v>
      </c>
      <c r="L259" s="129">
        <f t="shared" si="5"/>
        <v>36124.919568087258</v>
      </c>
      <c r="M259" s="129">
        <f t="shared" si="5"/>
        <v>33609.164026751147</v>
      </c>
      <c r="N259" s="129">
        <f t="shared" si="5"/>
        <v>33914.664026751147</v>
      </c>
      <c r="O259" s="129">
        <f t="shared" si="5"/>
        <v>33914.664026751147</v>
      </c>
      <c r="P259" s="129">
        <f t="shared" si="5"/>
        <v>33914.664026751147</v>
      </c>
      <c r="Q259" s="129">
        <f t="shared" si="5"/>
        <v>33914.664026751147</v>
      </c>
      <c r="R259" s="129">
        <f t="shared" si="5"/>
        <v>33609.164026751147</v>
      </c>
      <c r="S259" s="129">
        <f t="shared" si="5"/>
        <v>33609.164026751147</v>
      </c>
      <c r="T259" s="129">
        <f t="shared" si="5"/>
        <v>33609.164026751147</v>
      </c>
      <c r="U259" s="129">
        <f t="shared" si="5"/>
        <v>33609.164026751147</v>
      </c>
      <c r="V259" s="129">
        <f t="shared" si="5"/>
        <v>33914.664026751147</v>
      </c>
      <c r="W259" s="129">
        <f t="shared" si="5"/>
        <v>33914.664026751147</v>
      </c>
      <c r="X259" s="129">
        <f t="shared" si="5"/>
        <v>33914.664026751147</v>
      </c>
      <c r="Y259" s="129">
        <f t="shared" si="5"/>
        <v>33914.664026751147</v>
      </c>
      <c r="Z259" s="129">
        <f t="shared" si="5"/>
        <v>33609.164026751147</v>
      </c>
      <c r="AA259" s="129">
        <f t="shared" si="5"/>
        <v>33609.164026751147</v>
      </c>
      <c r="AB259" s="129">
        <f t="shared" si="5"/>
        <v>33609.164026751147</v>
      </c>
      <c r="AC259" s="129">
        <f t="shared" si="5"/>
        <v>33609.164026751147</v>
      </c>
      <c r="AD259" s="129">
        <f t="shared" si="5"/>
        <v>33914.664026751147</v>
      </c>
      <c r="AE259" s="129">
        <f t="shared" si="5"/>
        <v>33914.664026751147</v>
      </c>
      <c r="AF259" s="129">
        <f t="shared" si="5"/>
        <v>33914.664026751147</v>
      </c>
      <c r="AG259" s="129">
        <f t="shared" si="5"/>
        <v>33914.664026751147</v>
      </c>
      <c r="AH259" s="129">
        <f t="shared" si="5"/>
        <v>33609.164026751147</v>
      </c>
      <c r="AI259" s="129">
        <f t="shared" si="5"/>
        <v>33609.164026751147</v>
      </c>
      <c r="AJ259" s="129">
        <f t="shared" si="5"/>
        <v>33609.164026751147</v>
      </c>
      <c r="AK259" s="129">
        <f t="shared" si="5"/>
        <v>33609.164026751147</v>
      </c>
      <c r="AL259" s="129">
        <f t="shared" si="5"/>
        <v>33609.164026751147</v>
      </c>
      <c r="AM259" s="129">
        <f t="shared" si="5"/>
        <v>33609.164026751147</v>
      </c>
      <c r="AN259" s="129">
        <f t="shared" si="5"/>
        <v>36590.058078141505</v>
      </c>
      <c r="AO259" s="129">
        <f t="shared" si="5"/>
        <v>36590.058078141505</v>
      </c>
      <c r="AP259" s="129">
        <f t="shared" si="5"/>
        <v>36590.058078141505</v>
      </c>
      <c r="AQ259" s="129">
        <f t="shared" si="5"/>
        <v>36590.058078141505</v>
      </c>
      <c r="AR259" s="129">
        <f t="shared" si="5"/>
        <v>36590.058078141505</v>
      </c>
      <c r="AS259" s="129">
        <f t="shared" si="5"/>
        <v>36590.058078141505</v>
      </c>
      <c r="AT259" s="129">
        <f t="shared" si="5"/>
        <v>36284.558078141505</v>
      </c>
      <c r="AU259" s="129">
        <f t="shared" si="5"/>
        <v>36284.558078141505</v>
      </c>
      <c r="AV259" s="129">
        <f t="shared" si="5"/>
        <v>33303.664026751154</v>
      </c>
      <c r="AW259" s="129">
        <f t="shared" si="5"/>
        <v>33303.664026751154</v>
      </c>
      <c r="AX259" s="129">
        <f t="shared" si="5"/>
        <v>33609.164026751147</v>
      </c>
      <c r="AY259" s="129">
        <f>AZ$14*$B$259</f>
        <v>33609.164026751147</v>
      </c>
      <c r="AZ259" s="144">
        <f>SUM($D259:$AY259)</f>
        <v>1635936.781236514</v>
      </c>
    </row>
    <row r="260" spans="1:52" x14ac:dyDescent="0.2">
      <c r="A260" s="145" t="s">
        <v>304</v>
      </c>
      <c r="B260" s="119">
        <v>60</v>
      </c>
      <c r="C260" s="130" t="s">
        <v>295</v>
      </c>
      <c r="D260" s="130">
        <f>(D$175-D$176+D$177-D$178+D$179-D$180+D$181-D$182)*$B$260</f>
        <v>960</v>
      </c>
      <c r="E260" s="130">
        <f t="shared" ref="E260:AY260" si="6">(E$175-E$176+E$177-E$178+E$179-E$180+E$181-E$182)*$B$260</f>
        <v>3060</v>
      </c>
      <c r="F260" s="130">
        <f t="shared" si="6"/>
        <v>3600.0000000000036</v>
      </c>
      <c r="G260" s="130">
        <f t="shared" si="6"/>
        <v>2700.0000000000036</v>
      </c>
      <c r="H260" s="130">
        <f t="shared" si="6"/>
        <v>480.00000000000341</v>
      </c>
      <c r="I260" s="130">
        <f t="shared" si="6"/>
        <v>0</v>
      </c>
      <c r="J260" s="130">
        <f t="shared" si="6"/>
        <v>0</v>
      </c>
      <c r="K260" s="130">
        <f t="shared" si="6"/>
        <v>3282.2358843102552</v>
      </c>
      <c r="L260" s="130">
        <f t="shared" si="6"/>
        <v>2220.0000000000036</v>
      </c>
      <c r="M260" s="130">
        <f t="shared" si="6"/>
        <v>3334.6079601311376</v>
      </c>
      <c r="N260" s="130">
        <f t="shared" si="6"/>
        <v>0</v>
      </c>
      <c r="O260" s="130">
        <f t="shared" si="6"/>
        <v>5232.0000000000027</v>
      </c>
      <c r="P260" s="130">
        <f t="shared" si="6"/>
        <v>4668.0000000000109</v>
      </c>
      <c r="Q260" s="130">
        <f t="shared" si="6"/>
        <v>6204.0000000000127</v>
      </c>
      <c r="R260" s="130">
        <f t="shared" si="6"/>
        <v>3324.0000000000091</v>
      </c>
      <c r="S260" s="130">
        <f t="shared" si="6"/>
        <v>948.42918056437497</v>
      </c>
      <c r="T260" s="130">
        <f t="shared" si="6"/>
        <v>2712.0000000000027</v>
      </c>
      <c r="U260" s="130">
        <f t="shared" si="6"/>
        <v>3648.0000000000073</v>
      </c>
      <c r="V260" s="130">
        <f t="shared" si="6"/>
        <v>5700.0000000000136</v>
      </c>
      <c r="W260" s="130">
        <f t="shared" si="6"/>
        <v>5172.0000000000164</v>
      </c>
      <c r="X260" s="130">
        <f t="shared" si="6"/>
        <v>6288.0000000000182</v>
      </c>
      <c r="Y260" s="130">
        <f t="shared" si="6"/>
        <v>8784.0000000000182</v>
      </c>
      <c r="Z260" s="130">
        <f t="shared" si="6"/>
        <v>3924.0000000000227</v>
      </c>
      <c r="AA260" s="130">
        <f t="shared" si="6"/>
        <v>3744.0000000000227</v>
      </c>
      <c r="AB260" s="130">
        <f t="shared" si="6"/>
        <v>4860.0000000000309</v>
      </c>
      <c r="AC260" s="130">
        <f t="shared" si="6"/>
        <v>2256.0000000000318</v>
      </c>
      <c r="AD260" s="130">
        <f t="shared" si="6"/>
        <v>3648.0000000000382</v>
      </c>
      <c r="AE260" s="130">
        <f t="shared" si="6"/>
        <v>1980.0000000000409</v>
      </c>
      <c r="AF260" s="130">
        <f t="shared" si="6"/>
        <v>1896.0000000000423</v>
      </c>
      <c r="AG260" s="130">
        <f t="shared" si="6"/>
        <v>3024.0000000000123</v>
      </c>
      <c r="AH260" s="130">
        <f t="shared" si="6"/>
        <v>5064.0000000000091</v>
      </c>
      <c r="AI260" s="130">
        <f t="shared" si="6"/>
        <v>6744.0000000000091</v>
      </c>
      <c r="AJ260" s="130">
        <f t="shared" si="6"/>
        <v>3984.0000000000091</v>
      </c>
      <c r="AK260" s="130">
        <f t="shared" si="6"/>
        <v>2004.0000000000123</v>
      </c>
      <c r="AL260" s="130">
        <f t="shared" si="6"/>
        <v>2364.0000000000123</v>
      </c>
      <c r="AM260" s="130">
        <f t="shared" si="6"/>
        <v>1404.0000000000157</v>
      </c>
      <c r="AN260" s="130">
        <f t="shared" si="6"/>
        <v>1380.0000000000068</v>
      </c>
      <c r="AO260" s="130">
        <f t="shared" si="6"/>
        <v>0</v>
      </c>
      <c r="AP260" s="130">
        <f t="shared" si="6"/>
        <v>0</v>
      </c>
      <c r="AQ260" s="130">
        <f t="shared" si="6"/>
        <v>0</v>
      </c>
      <c r="AR260" s="130">
        <f t="shared" si="6"/>
        <v>0</v>
      </c>
      <c r="AS260" s="130">
        <f t="shared" si="6"/>
        <v>923.99999999999864</v>
      </c>
      <c r="AT260" s="130">
        <f t="shared" si="6"/>
        <v>21.907239683102944</v>
      </c>
      <c r="AU260" s="130">
        <f t="shared" si="6"/>
        <v>0</v>
      </c>
      <c r="AV260" s="130">
        <f t="shared" si="6"/>
        <v>0</v>
      </c>
      <c r="AW260" s="130">
        <f t="shared" si="6"/>
        <v>0</v>
      </c>
      <c r="AX260" s="130">
        <f t="shared" si="6"/>
        <v>0</v>
      </c>
      <c r="AY260" s="130">
        <f t="shared" si="6"/>
        <v>0</v>
      </c>
      <c r="AZ260" s="146">
        <f>SUM($D260:$AY260)</f>
        <v>121539.18026468933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14.7109375" style="105" customWidth="1"/>
    <col min="2" max="2" width="12.7109375" style="105" customWidth="1"/>
    <col min="3" max="16384" width="9.140625" style="105"/>
  </cols>
  <sheetData>
    <row r="1" spans="1:53" x14ac:dyDescent="0.2">
      <c r="A1" s="107" t="s">
        <v>286</v>
      </c>
    </row>
    <row r="2" spans="1:53" x14ac:dyDescent="0.2">
      <c r="A2" s="105" t="s">
        <v>287</v>
      </c>
      <c r="B2" s="112" t="s">
        <v>49</v>
      </c>
    </row>
    <row r="3" spans="1:53" x14ac:dyDescent="0.2">
      <c r="A3" s="105" t="s">
        <v>288</v>
      </c>
      <c r="B3" s="113">
        <v>12000</v>
      </c>
      <c r="C3" s="114"/>
    </row>
    <row r="4" spans="1:53" x14ac:dyDescent="0.2">
      <c r="B4" s="115"/>
      <c r="C4" s="115"/>
    </row>
    <row r="5" spans="1:53" x14ac:dyDescent="0.2">
      <c r="C5" s="116" t="s">
        <v>289</v>
      </c>
    </row>
    <row r="6" spans="1:53" x14ac:dyDescent="0.2">
      <c r="C6" s="117">
        <v>0</v>
      </c>
      <c r="D6" s="117">
        <v>1</v>
      </c>
      <c r="E6" s="117">
        <v>2</v>
      </c>
      <c r="F6" s="117">
        <v>3</v>
      </c>
      <c r="G6" s="117">
        <v>4</v>
      </c>
      <c r="H6" s="117">
        <v>5</v>
      </c>
      <c r="I6" s="117">
        <v>6</v>
      </c>
      <c r="J6" s="117">
        <v>7</v>
      </c>
      <c r="K6" s="117">
        <v>8</v>
      </c>
      <c r="L6" s="117">
        <v>9</v>
      </c>
      <c r="M6" s="117">
        <v>10</v>
      </c>
      <c r="N6" s="117">
        <v>11</v>
      </c>
      <c r="O6" s="117">
        <v>12</v>
      </c>
      <c r="P6" s="117">
        <v>13</v>
      </c>
      <c r="Q6" s="117">
        <v>14</v>
      </c>
      <c r="R6" s="117">
        <v>15</v>
      </c>
      <c r="S6" s="117">
        <v>16</v>
      </c>
      <c r="T6" s="117">
        <v>17</v>
      </c>
      <c r="U6" s="117">
        <v>18</v>
      </c>
      <c r="V6" s="117">
        <v>19</v>
      </c>
      <c r="W6" s="117">
        <v>20</v>
      </c>
      <c r="X6" s="117">
        <v>21</v>
      </c>
      <c r="Y6" s="117">
        <v>22</v>
      </c>
      <c r="Z6" s="117">
        <v>23</v>
      </c>
      <c r="AA6" s="117">
        <v>24</v>
      </c>
      <c r="AB6" s="117">
        <v>25</v>
      </c>
      <c r="AC6" s="117">
        <v>26</v>
      </c>
      <c r="AD6" s="117">
        <v>27</v>
      </c>
      <c r="AE6" s="117">
        <v>28</v>
      </c>
      <c r="AF6" s="117">
        <v>29</v>
      </c>
      <c r="AG6" s="117">
        <v>30</v>
      </c>
      <c r="AH6" s="117">
        <v>31</v>
      </c>
      <c r="AI6" s="117">
        <v>32</v>
      </c>
      <c r="AJ6" s="117">
        <v>33</v>
      </c>
      <c r="AK6" s="117">
        <v>34</v>
      </c>
      <c r="AL6" s="117">
        <v>35</v>
      </c>
      <c r="AM6" s="117">
        <v>36</v>
      </c>
      <c r="AN6" s="117">
        <v>37</v>
      </c>
      <c r="AO6" s="117">
        <v>38</v>
      </c>
      <c r="AP6" s="117">
        <v>39</v>
      </c>
      <c r="AQ6" s="117">
        <v>40</v>
      </c>
      <c r="AR6" s="117">
        <v>41</v>
      </c>
      <c r="AS6" s="117">
        <v>42</v>
      </c>
      <c r="AT6" s="117">
        <v>43</v>
      </c>
      <c r="AU6" s="117">
        <v>44</v>
      </c>
      <c r="AV6" s="117">
        <v>45</v>
      </c>
      <c r="AW6" s="117">
        <v>46</v>
      </c>
      <c r="AX6" s="117">
        <v>47</v>
      </c>
      <c r="AY6" s="117">
        <v>48</v>
      </c>
    </row>
    <row r="7" spans="1:53" x14ac:dyDescent="0.2">
      <c r="B7" s="115"/>
      <c r="C7" s="118" t="s">
        <v>290</v>
      </c>
      <c r="D7" s="117" t="s">
        <v>291</v>
      </c>
      <c r="E7" s="117" t="s">
        <v>291</v>
      </c>
      <c r="F7" s="117" t="s">
        <v>291</v>
      </c>
      <c r="G7" s="117" t="s">
        <v>291</v>
      </c>
      <c r="H7" s="117" t="s">
        <v>291</v>
      </c>
      <c r="I7" s="117" t="s">
        <v>291</v>
      </c>
      <c r="J7" s="117" t="s">
        <v>291</v>
      </c>
      <c r="K7" s="117" t="s">
        <v>291</v>
      </c>
      <c r="L7" s="117" t="s">
        <v>291</v>
      </c>
      <c r="M7" s="117" t="s">
        <v>291</v>
      </c>
      <c r="N7" s="117" t="s">
        <v>291</v>
      </c>
      <c r="O7" s="117" t="s">
        <v>291</v>
      </c>
      <c r="P7" s="117" t="s">
        <v>291</v>
      </c>
      <c r="Q7" s="117" t="s">
        <v>291</v>
      </c>
      <c r="R7" s="117" t="s">
        <v>291</v>
      </c>
      <c r="S7" s="117" t="s">
        <v>291</v>
      </c>
      <c r="T7" s="117" t="s">
        <v>291</v>
      </c>
      <c r="U7" s="117" t="s">
        <v>291</v>
      </c>
      <c r="V7" s="117" t="s">
        <v>291</v>
      </c>
      <c r="W7" s="117" t="s">
        <v>291</v>
      </c>
      <c r="X7" s="117" t="s">
        <v>291</v>
      </c>
      <c r="Y7" s="117" t="s">
        <v>291</v>
      </c>
      <c r="Z7" s="117" t="s">
        <v>291</v>
      </c>
      <c r="AA7" s="117" t="s">
        <v>291</v>
      </c>
      <c r="AB7" s="117" t="s">
        <v>291</v>
      </c>
      <c r="AC7" s="117" t="s">
        <v>291</v>
      </c>
      <c r="AD7" s="117" t="s">
        <v>291</v>
      </c>
      <c r="AE7" s="117" t="s">
        <v>291</v>
      </c>
      <c r="AF7" s="117" t="s">
        <v>291</v>
      </c>
      <c r="AG7" s="117" t="s">
        <v>291</v>
      </c>
      <c r="AH7" s="117" t="s">
        <v>291</v>
      </c>
      <c r="AI7" s="117" t="s">
        <v>291</v>
      </c>
      <c r="AJ7" s="117" t="s">
        <v>291</v>
      </c>
      <c r="AK7" s="117" t="s">
        <v>291</v>
      </c>
      <c r="AL7" s="117" t="s">
        <v>291</v>
      </c>
      <c r="AM7" s="117" t="s">
        <v>291</v>
      </c>
      <c r="AN7" s="117" t="s">
        <v>291</v>
      </c>
      <c r="AO7" s="117" t="s">
        <v>291</v>
      </c>
      <c r="AP7" s="117" t="s">
        <v>291</v>
      </c>
      <c r="AQ7" s="117" t="s">
        <v>291</v>
      </c>
      <c r="AR7" s="117" t="s">
        <v>291</v>
      </c>
      <c r="AS7" s="117" t="s">
        <v>291</v>
      </c>
      <c r="AT7" s="117" t="s">
        <v>291</v>
      </c>
      <c r="AU7" s="117" t="s">
        <v>291</v>
      </c>
      <c r="AV7" s="117" t="s">
        <v>291</v>
      </c>
      <c r="AW7" s="117" t="s">
        <v>291</v>
      </c>
      <c r="AX7" s="117" t="s">
        <v>291</v>
      </c>
      <c r="AY7" s="116" t="s">
        <v>292</v>
      </c>
      <c r="AZ7" s="116" t="s">
        <v>293</v>
      </c>
    </row>
    <row r="8" spans="1:53" x14ac:dyDescent="0.2">
      <c r="A8" s="107" t="s">
        <v>294</v>
      </c>
      <c r="B8" s="119"/>
      <c r="AY8" s="115"/>
    </row>
    <row r="9" spans="1:53" x14ac:dyDescent="0.2">
      <c r="A9" s="120" t="s">
        <v>125</v>
      </c>
      <c r="B9" s="121">
        <v>1</v>
      </c>
      <c r="C9" s="122" t="s">
        <v>295</v>
      </c>
      <c r="D9" s="122">
        <v>856.69934310257713</v>
      </c>
      <c r="E9" s="122">
        <v>856.69934310257713</v>
      </c>
      <c r="F9" s="122">
        <v>856.69934310257713</v>
      </c>
      <c r="G9" s="122">
        <v>856.69934310257713</v>
      </c>
      <c r="H9" s="122">
        <v>942.369277412835</v>
      </c>
      <c r="I9" s="122">
        <v>942.369277412835</v>
      </c>
      <c r="J9" s="122">
        <v>942.369277412835</v>
      </c>
      <c r="K9" s="122">
        <v>942.369277412835</v>
      </c>
      <c r="L9" s="122">
        <v>942.369277412835</v>
      </c>
      <c r="M9" s="122">
        <v>942.369277412835</v>
      </c>
      <c r="N9" s="122">
        <v>942.369277412835</v>
      </c>
      <c r="O9" s="122">
        <v>942.369277412835</v>
      </c>
      <c r="P9" s="122">
        <v>856.69934310257713</v>
      </c>
      <c r="Q9" s="122">
        <v>856.69934310257713</v>
      </c>
      <c r="R9" s="122">
        <v>856.69934310257713</v>
      </c>
      <c r="S9" s="122">
        <v>856.69934310257713</v>
      </c>
      <c r="T9" s="122">
        <v>771.02940879231937</v>
      </c>
      <c r="U9" s="122">
        <v>771.02940879231937</v>
      </c>
      <c r="V9" s="122">
        <v>771.02940879231937</v>
      </c>
      <c r="W9" s="122">
        <v>771.02940879231937</v>
      </c>
      <c r="X9" s="122">
        <v>771.02940879231937</v>
      </c>
      <c r="Y9" s="122">
        <v>771.02940879231937</v>
      </c>
      <c r="Z9" s="122">
        <v>771.02940879231937</v>
      </c>
      <c r="AA9" s="122">
        <v>771.02940879231937</v>
      </c>
      <c r="AB9" s="122">
        <v>771.02940879231937</v>
      </c>
      <c r="AC9" s="122">
        <v>771.02940879231937</v>
      </c>
      <c r="AD9" s="122">
        <v>771.02940879231937</v>
      </c>
      <c r="AE9" s="122">
        <v>771.02940879231937</v>
      </c>
      <c r="AF9" s="122">
        <v>942.369277412835</v>
      </c>
      <c r="AG9" s="122">
        <v>942.369277412835</v>
      </c>
      <c r="AH9" s="122">
        <v>942.369277412835</v>
      </c>
      <c r="AI9" s="122">
        <v>942.369277412835</v>
      </c>
      <c r="AJ9" s="122">
        <v>942.369277412835</v>
      </c>
      <c r="AK9" s="122">
        <v>942.369277412835</v>
      </c>
      <c r="AL9" s="122">
        <v>942.369277412835</v>
      </c>
      <c r="AM9" s="122">
        <v>942.369277412835</v>
      </c>
      <c r="AN9" s="122">
        <v>942.369277412835</v>
      </c>
      <c r="AO9" s="122">
        <v>942.369277412835</v>
      </c>
      <c r="AP9" s="122">
        <v>942.369277412835</v>
      </c>
      <c r="AQ9" s="122">
        <v>942.369277412835</v>
      </c>
      <c r="AR9" s="122">
        <v>856.69934310257713</v>
      </c>
      <c r="AS9" s="122">
        <v>856.69934310257713</v>
      </c>
      <c r="AT9" s="122">
        <v>856.69934310257713</v>
      </c>
      <c r="AU9" s="122">
        <v>856.69934310257713</v>
      </c>
      <c r="AV9" s="122">
        <v>771.02940879231937</v>
      </c>
      <c r="AW9" s="122">
        <v>771.02940879231937</v>
      </c>
      <c r="AX9" s="122">
        <v>771.02940879231937</v>
      </c>
      <c r="AY9" s="122">
        <v>771.02940879231937</v>
      </c>
    </row>
    <row r="10" spans="1:53" x14ac:dyDescent="0.2">
      <c r="A10" s="123" t="s">
        <v>133</v>
      </c>
      <c r="B10" s="124">
        <v>1</v>
      </c>
      <c r="C10" s="111" t="s">
        <v>295</v>
      </c>
      <c r="E10" s="105">
        <v>0</v>
      </c>
      <c r="F10" s="105">
        <v>384.41637190500262</v>
      </c>
      <c r="G10" s="105">
        <v>384.41637190500262</v>
      </c>
      <c r="H10" s="105">
        <v>384.41637190500262</v>
      </c>
      <c r="I10" s="105">
        <v>384.41637190500262</v>
      </c>
      <c r="J10" s="105">
        <v>422.85800909550284</v>
      </c>
      <c r="K10" s="105">
        <v>422.85800909550284</v>
      </c>
      <c r="L10" s="105">
        <v>422.85800909550284</v>
      </c>
      <c r="M10" s="105">
        <v>422.85800909550284</v>
      </c>
      <c r="N10" s="105">
        <v>422.85800909550284</v>
      </c>
      <c r="O10" s="105">
        <v>422.85800909550284</v>
      </c>
      <c r="P10" s="105">
        <v>422.85800909550284</v>
      </c>
      <c r="Q10" s="105">
        <v>422.85800909550284</v>
      </c>
      <c r="R10" s="105">
        <v>384.41637190500262</v>
      </c>
      <c r="S10" s="105">
        <v>384.41637190500262</v>
      </c>
      <c r="T10" s="105">
        <v>384.41637190500262</v>
      </c>
      <c r="U10" s="105">
        <v>384.41637190500262</v>
      </c>
      <c r="V10" s="105">
        <v>345.9747347145024</v>
      </c>
      <c r="W10" s="105">
        <v>345.9747347145024</v>
      </c>
      <c r="X10" s="105">
        <v>345.9747347145024</v>
      </c>
      <c r="Y10" s="105">
        <v>345.9747347145024</v>
      </c>
      <c r="Z10" s="105">
        <v>345.9747347145024</v>
      </c>
      <c r="AA10" s="105">
        <v>345.9747347145024</v>
      </c>
      <c r="AB10" s="105">
        <v>345.9747347145024</v>
      </c>
      <c r="AC10" s="105">
        <v>345.9747347145024</v>
      </c>
      <c r="AD10" s="105">
        <v>345.9747347145024</v>
      </c>
      <c r="AE10" s="105">
        <v>345.9747347145024</v>
      </c>
      <c r="AF10" s="105">
        <v>345.9747347145024</v>
      </c>
      <c r="AG10" s="105">
        <v>345.9747347145024</v>
      </c>
      <c r="AH10" s="105">
        <v>422.85800909550284</v>
      </c>
      <c r="AI10" s="105">
        <v>422.85800909550284</v>
      </c>
      <c r="AJ10" s="105">
        <v>422.85800909550284</v>
      </c>
      <c r="AK10" s="105">
        <v>422.85800909550284</v>
      </c>
      <c r="AL10" s="105">
        <v>422.85800909550284</v>
      </c>
      <c r="AM10" s="105">
        <v>422.85800909550284</v>
      </c>
      <c r="AN10" s="105">
        <v>422.85800909550284</v>
      </c>
      <c r="AO10" s="105">
        <v>422.85800909550284</v>
      </c>
      <c r="AP10" s="105">
        <v>422.85800909550284</v>
      </c>
      <c r="AQ10" s="105">
        <v>422.85800909550284</v>
      </c>
      <c r="AR10" s="105">
        <v>422.85800909550284</v>
      </c>
      <c r="AS10" s="105">
        <v>422.85800909550284</v>
      </c>
      <c r="AT10" s="105">
        <v>384.41637190500262</v>
      </c>
      <c r="AU10" s="105">
        <v>384.41637190500262</v>
      </c>
      <c r="AV10" s="105">
        <v>384.41637190500262</v>
      </c>
      <c r="AW10" s="105">
        <v>384.41637190500262</v>
      </c>
      <c r="AX10" s="105">
        <v>345.9747347145024</v>
      </c>
      <c r="AY10" s="105">
        <v>345.9747347145024</v>
      </c>
      <c r="AZ10" s="105">
        <v>345.9747347145024</v>
      </c>
    </row>
    <row r="11" spans="1:53" x14ac:dyDescent="0.2">
      <c r="B11" s="124">
        <v>2</v>
      </c>
      <c r="C11" s="111" t="s">
        <v>295</v>
      </c>
      <c r="F11" s="105">
        <v>0</v>
      </c>
      <c r="G11" s="105">
        <v>0</v>
      </c>
      <c r="H11" s="105">
        <v>0</v>
      </c>
      <c r="J11" s="105">
        <v>0</v>
      </c>
      <c r="K11" s="105">
        <v>0</v>
      </c>
      <c r="L11" s="105">
        <v>0</v>
      </c>
      <c r="M11" s="105">
        <v>0</v>
      </c>
      <c r="N11" s="105">
        <v>0</v>
      </c>
      <c r="O11" s="105">
        <v>0</v>
      </c>
      <c r="P11" s="105">
        <v>0</v>
      </c>
      <c r="Q11" s="105">
        <v>0</v>
      </c>
      <c r="S11" s="105">
        <v>0</v>
      </c>
      <c r="T11" s="105">
        <v>0</v>
      </c>
      <c r="U11" s="105">
        <v>0</v>
      </c>
      <c r="V11" s="105">
        <v>0</v>
      </c>
      <c r="X11" s="105">
        <v>0</v>
      </c>
      <c r="Y11" s="105">
        <v>0</v>
      </c>
      <c r="Z11" s="105">
        <v>0</v>
      </c>
      <c r="AA11" s="105">
        <v>0</v>
      </c>
      <c r="AB11" s="105">
        <v>0</v>
      </c>
      <c r="AC11" s="105">
        <v>0</v>
      </c>
      <c r="AD11" s="105">
        <v>0</v>
      </c>
      <c r="AE11" s="105">
        <v>0</v>
      </c>
      <c r="AF11" s="105">
        <v>0</v>
      </c>
      <c r="AG11" s="105">
        <v>0</v>
      </c>
      <c r="AH11" s="105">
        <v>0</v>
      </c>
      <c r="AI11" s="105">
        <v>0</v>
      </c>
      <c r="AK11" s="105">
        <v>0</v>
      </c>
      <c r="AL11" s="105">
        <v>0</v>
      </c>
      <c r="AM11" s="105">
        <v>0</v>
      </c>
      <c r="AN11" s="105">
        <v>0</v>
      </c>
      <c r="AO11" s="105">
        <v>0</v>
      </c>
      <c r="AP11" s="105">
        <v>0</v>
      </c>
      <c r="AQ11" s="105">
        <v>0</v>
      </c>
      <c r="AR11" s="105">
        <v>0</v>
      </c>
      <c r="AS11" s="105">
        <v>0</v>
      </c>
      <c r="AT11" s="105">
        <v>0</v>
      </c>
      <c r="AU11" s="105">
        <v>0</v>
      </c>
      <c r="AV11" s="105">
        <v>0</v>
      </c>
      <c r="AW11" s="105">
        <v>0</v>
      </c>
      <c r="AY11" s="105">
        <v>0</v>
      </c>
      <c r="AZ11" s="105">
        <v>0</v>
      </c>
      <c r="BA11" s="105">
        <v>0</v>
      </c>
    </row>
    <row r="12" spans="1:53" x14ac:dyDescent="0.2">
      <c r="B12" s="125">
        <v>3</v>
      </c>
      <c r="C12" s="111" t="s">
        <v>295</v>
      </c>
      <c r="G12" s="105">
        <v>0</v>
      </c>
      <c r="J12" s="105">
        <v>0</v>
      </c>
      <c r="L12" s="105">
        <v>0</v>
      </c>
      <c r="M12" s="105">
        <v>0</v>
      </c>
      <c r="N12" s="105">
        <v>0</v>
      </c>
      <c r="Q12" s="105">
        <v>0</v>
      </c>
      <c r="R12" s="105">
        <v>0</v>
      </c>
      <c r="S12" s="105">
        <v>0</v>
      </c>
      <c r="V12" s="105">
        <v>0</v>
      </c>
      <c r="W12" s="105">
        <v>0</v>
      </c>
      <c r="X12" s="105">
        <v>0</v>
      </c>
      <c r="Y12" s="105">
        <v>0</v>
      </c>
      <c r="Z12" s="105">
        <v>0</v>
      </c>
      <c r="AB12" s="105">
        <v>0</v>
      </c>
      <c r="AC12" s="105">
        <v>0</v>
      </c>
      <c r="AL12" s="105">
        <v>0</v>
      </c>
      <c r="AN12" s="105">
        <v>0</v>
      </c>
      <c r="AP12" s="105">
        <v>0</v>
      </c>
      <c r="AR12" s="105">
        <v>0</v>
      </c>
      <c r="AS12" s="105">
        <v>0</v>
      </c>
      <c r="AV12" s="105">
        <v>0</v>
      </c>
      <c r="AY12" s="105">
        <v>0</v>
      </c>
      <c r="AZ12" s="105">
        <v>0</v>
      </c>
      <c r="BA12" s="105">
        <v>0</v>
      </c>
    </row>
    <row r="13" spans="1:53" x14ac:dyDescent="0.2">
      <c r="B13" s="125">
        <v>4</v>
      </c>
      <c r="C13" s="111" t="s">
        <v>295</v>
      </c>
      <c r="J13" s="105">
        <v>0</v>
      </c>
      <c r="N13" s="105">
        <v>0</v>
      </c>
      <c r="Y13" s="105">
        <v>0</v>
      </c>
      <c r="AL13" s="105">
        <v>0</v>
      </c>
      <c r="AN13" s="105">
        <v>0</v>
      </c>
      <c r="AV13" s="105">
        <v>0</v>
      </c>
    </row>
    <row r="14" spans="1:53" x14ac:dyDescent="0.2">
      <c r="A14" s="120" t="s">
        <v>134</v>
      </c>
      <c r="B14" s="126">
        <v>1</v>
      </c>
      <c r="C14" s="122" t="s">
        <v>295</v>
      </c>
      <c r="D14" s="122"/>
      <c r="E14" s="122">
        <f t="shared" ref="E14:AZ14" si="0">D$172*SUM(D$122:D$169)</f>
        <v>232.46090813093983</v>
      </c>
      <c r="F14" s="122">
        <f t="shared" si="0"/>
        <v>232.46090813093983</v>
      </c>
      <c r="G14" s="122">
        <f t="shared" si="0"/>
        <v>278.11160039976244</v>
      </c>
      <c r="H14" s="122">
        <f t="shared" si="0"/>
        <v>278.11160039976244</v>
      </c>
      <c r="I14" s="122">
        <f t="shared" si="0"/>
        <v>278.19617571523548</v>
      </c>
      <c r="J14" s="122">
        <f t="shared" si="0"/>
        <v>278.11160039976244</v>
      </c>
      <c r="K14" s="122">
        <f t="shared" si="0"/>
        <v>326.40818195444996</v>
      </c>
      <c r="L14" s="122">
        <f t="shared" si="0"/>
        <v>317.05137882929375</v>
      </c>
      <c r="M14" s="122">
        <f t="shared" si="0"/>
        <v>353.83880026666566</v>
      </c>
      <c r="N14" s="122">
        <f t="shared" si="0"/>
        <v>358.26448584531062</v>
      </c>
      <c r="O14" s="122">
        <f t="shared" si="0"/>
        <v>327.69354801979949</v>
      </c>
      <c r="P14" s="122">
        <f t="shared" si="0"/>
        <v>305.32537900288037</v>
      </c>
      <c r="Q14" s="122">
        <f t="shared" si="0"/>
        <v>282.67666962664475</v>
      </c>
      <c r="R14" s="122">
        <f t="shared" si="0"/>
        <v>282.67666962664475</v>
      </c>
      <c r="S14" s="122">
        <f t="shared" si="0"/>
        <v>282.92646949361114</v>
      </c>
      <c r="T14" s="122">
        <f t="shared" si="0"/>
        <v>286.73130538452358</v>
      </c>
      <c r="U14" s="122">
        <f t="shared" si="0"/>
        <v>312.35127081507176</v>
      </c>
      <c r="V14" s="122">
        <f t="shared" si="0"/>
        <v>331.37964246812129</v>
      </c>
      <c r="W14" s="122">
        <f t="shared" si="0"/>
        <v>298.85783799673965</v>
      </c>
      <c r="X14" s="122">
        <f t="shared" si="0"/>
        <v>273.54653117288018</v>
      </c>
      <c r="Y14" s="122">
        <f t="shared" si="0"/>
        <v>273.54653117288018</v>
      </c>
      <c r="Z14" s="122">
        <f t="shared" si="0"/>
        <v>273.54653117288018</v>
      </c>
      <c r="AA14" s="122">
        <f t="shared" si="0"/>
        <v>273.54653117288018</v>
      </c>
      <c r="AB14" s="122">
        <f t="shared" si="0"/>
        <v>273.54653117288018</v>
      </c>
      <c r="AC14" s="122">
        <f t="shared" si="0"/>
        <v>273.54653117288018</v>
      </c>
      <c r="AD14" s="122">
        <f t="shared" si="0"/>
        <v>273.54653117288018</v>
      </c>
      <c r="AE14" s="122">
        <f t="shared" si="0"/>
        <v>273.54653117288018</v>
      </c>
      <c r="AF14" s="122">
        <f t="shared" si="0"/>
        <v>273.54653117288018</v>
      </c>
      <c r="AG14" s="122">
        <f t="shared" si="0"/>
        <v>273.54653117288018</v>
      </c>
      <c r="AH14" s="122">
        <f t="shared" si="0"/>
        <v>273.54653117288018</v>
      </c>
      <c r="AI14" s="122">
        <f t="shared" si="0"/>
        <v>282.67666962664475</v>
      </c>
      <c r="AJ14" s="122">
        <f t="shared" si="0"/>
        <v>282.67666962664475</v>
      </c>
      <c r="AK14" s="122">
        <f t="shared" si="0"/>
        <v>292.71153872049348</v>
      </c>
      <c r="AL14" s="122">
        <f t="shared" si="0"/>
        <v>313.54013137744943</v>
      </c>
      <c r="AM14" s="122">
        <f t="shared" si="0"/>
        <v>282.67666962664475</v>
      </c>
      <c r="AN14" s="122">
        <f t="shared" si="0"/>
        <v>282.67666962664475</v>
      </c>
      <c r="AO14" s="122">
        <f t="shared" si="0"/>
        <v>305.35578261502911</v>
      </c>
      <c r="AP14" s="122">
        <f t="shared" si="0"/>
        <v>326.96752435935304</v>
      </c>
      <c r="AQ14" s="122">
        <f t="shared" si="0"/>
        <v>325.06915258969866</v>
      </c>
      <c r="AR14" s="122">
        <f t="shared" si="0"/>
        <v>351.05248773858204</v>
      </c>
      <c r="AS14" s="122">
        <f t="shared" si="0"/>
        <v>341.57882256066642</v>
      </c>
      <c r="AT14" s="122">
        <f t="shared" si="0"/>
        <v>328.77041711477557</v>
      </c>
      <c r="AU14" s="122">
        <f t="shared" si="0"/>
        <v>318.02245542226291</v>
      </c>
      <c r="AV14" s="122">
        <f t="shared" si="0"/>
        <v>335.8491268344024</v>
      </c>
      <c r="AW14" s="122">
        <f t="shared" si="0"/>
        <v>278.11160039976238</v>
      </c>
      <c r="AX14" s="122">
        <f t="shared" si="0"/>
        <v>278.11160039976244</v>
      </c>
      <c r="AY14" s="122">
        <f t="shared" si="0"/>
        <v>273.54653117288018</v>
      </c>
      <c r="AZ14" s="115">
        <f t="shared" si="0"/>
        <v>273.54653117288018</v>
      </c>
      <c r="BA14" s="112">
        <f>SUM($E14:$AZ14)</f>
        <v>14125.586656392419</v>
      </c>
    </row>
    <row r="15" spans="1:53" x14ac:dyDescent="0.2">
      <c r="A15" s="127" t="s">
        <v>123</v>
      </c>
      <c r="B15" s="128">
        <v>1</v>
      </c>
      <c r="C15" s="129" t="s">
        <v>295</v>
      </c>
      <c r="D15" s="129">
        <v>1291.4494896163324</v>
      </c>
      <c r="E15" s="129">
        <v>1291.4494896163324</v>
      </c>
      <c r="F15" s="129">
        <v>1545.0644466653468</v>
      </c>
      <c r="G15" s="129">
        <v>1545.0644466653471</v>
      </c>
      <c r="H15" s="129">
        <v>1545.0644466653468</v>
      </c>
      <c r="I15" s="129">
        <v>1545.0644466653468</v>
      </c>
      <c r="J15" s="129">
        <v>1570.4259423702488</v>
      </c>
      <c r="K15" s="129">
        <v>1570.4259423702488</v>
      </c>
      <c r="L15" s="129">
        <v>1570.4259423702488</v>
      </c>
      <c r="M15" s="129">
        <v>1570.4259423702488</v>
      </c>
      <c r="N15" s="129">
        <v>1570.4259423702488</v>
      </c>
      <c r="O15" s="129">
        <v>1570.4259423702488</v>
      </c>
      <c r="P15" s="129">
        <v>1570.4259423702488</v>
      </c>
      <c r="Q15" s="129">
        <v>1570.4259423702488</v>
      </c>
      <c r="R15" s="129">
        <v>1545.0644466653468</v>
      </c>
      <c r="S15" s="129">
        <v>1545.0644466653468</v>
      </c>
      <c r="T15" s="129">
        <v>1545.0644466653468</v>
      </c>
      <c r="U15" s="129">
        <v>1545.0644466653471</v>
      </c>
      <c r="V15" s="129">
        <v>1519.7029509604456</v>
      </c>
      <c r="W15" s="129">
        <v>1519.7029509604456</v>
      </c>
      <c r="X15" s="129">
        <v>1519.7029509604456</v>
      </c>
      <c r="Y15" s="129">
        <v>1519.7029509604456</v>
      </c>
      <c r="Z15" s="129">
        <v>1519.7029509604456</v>
      </c>
      <c r="AA15" s="129">
        <v>1519.7029509604456</v>
      </c>
      <c r="AB15" s="129">
        <v>1519.7029509604456</v>
      </c>
      <c r="AC15" s="129">
        <v>1519.7029509604456</v>
      </c>
      <c r="AD15" s="129">
        <v>1519.7029509604456</v>
      </c>
      <c r="AE15" s="129">
        <v>1519.7029509604456</v>
      </c>
      <c r="AF15" s="129">
        <v>1519.7029509604456</v>
      </c>
      <c r="AG15" s="129">
        <v>1519.7029509604456</v>
      </c>
      <c r="AH15" s="129">
        <v>1570.4259423702488</v>
      </c>
      <c r="AI15" s="129">
        <v>1570.4259423702488</v>
      </c>
      <c r="AJ15" s="129">
        <v>1570.4259423702488</v>
      </c>
      <c r="AK15" s="129">
        <v>1570.4259423702488</v>
      </c>
      <c r="AL15" s="129">
        <v>1570.4259423702488</v>
      </c>
      <c r="AM15" s="129">
        <v>1570.4259423702488</v>
      </c>
      <c r="AN15" s="129">
        <v>1696.4210145279396</v>
      </c>
      <c r="AO15" s="129">
        <v>1696.4210145279396</v>
      </c>
      <c r="AP15" s="129">
        <v>1696.4210145279396</v>
      </c>
      <c r="AQ15" s="129">
        <v>1696.4210145279396</v>
      </c>
      <c r="AR15" s="129">
        <v>1696.4210145279396</v>
      </c>
      <c r="AS15" s="129">
        <v>1696.4210145279396</v>
      </c>
      <c r="AT15" s="129">
        <v>1671.0595188230382</v>
      </c>
      <c r="AU15" s="129">
        <v>1671.0595188230379</v>
      </c>
      <c r="AV15" s="129">
        <v>1545.0644466653468</v>
      </c>
      <c r="AW15" s="129">
        <v>1545.0644466653468</v>
      </c>
      <c r="AX15" s="129">
        <v>1519.7029509604456</v>
      </c>
      <c r="AY15" s="129">
        <v>1519.7029509604456</v>
      </c>
      <c r="AZ15" s="105">
        <v>228.25346134411328</v>
      </c>
    </row>
    <row r="16" spans="1:53" x14ac:dyDescent="0.2">
      <c r="A16" s="115"/>
      <c r="B16" s="124">
        <v>2</v>
      </c>
      <c r="C16" s="114" t="s">
        <v>295</v>
      </c>
      <c r="D16" s="111"/>
      <c r="E16" s="115"/>
      <c r="F16" s="115">
        <v>0</v>
      </c>
      <c r="G16" s="115">
        <v>0</v>
      </c>
      <c r="H16" s="115">
        <v>-2.2737367544323206E-13</v>
      </c>
      <c r="I16" s="115"/>
      <c r="J16" s="115">
        <v>0</v>
      </c>
      <c r="K16" s="115">
        <v>0</v>
      </c>
      <c r="L16" s="115">
        <v>0</v>
      </c>
      <c r="M16" s="115">
        <v>0</v>
      </c>
      <c r="N16" s="115">
        <v>0</v>
      </c>
      <c r="O16" s="115">
        <v>0</v>
      </c>
      <c r="P16" s="115">
        <v>0</v>
      </c>
      <c r="Q16" s="115">
        <v>0</v>
      </c>
      <c r="R16" s="115"/>
      <c r="S16" s="115">
        <v>0</v>
      </c>
      <c r="T16" s="115">
        <v>0</v>
      </c>
      <c r="U16" s="115">
        <v>0</v>
      </c>
      <c r="V16" s="115">
        <v>-2.2737367544323206E-13</v>
      </c>
      <c r="W16" s="115"/>
      <c r="X16" s="115">
        <v>0</v>
      </c>
      <c r="Y16" s="115">
        <v>0</v>
      </c>
      <c r="Z16" s="115">
        <v>0</v>
      </c>
      <c r="AA16" s="115">
        <v>0</v>
      </c>
      <c r="AB16" s="115">
        <v>0</v>
      </c>
      <c r="AC16" s="115">
        <v>0</v>
      </c>
      <c r="AD16" s="115">
        <v>0</v>
      </c>
      <c r="AE16" s="115">
        <v>0</v>
      </c>
      <c r="AF16" s="115">
        <v>0</v>
      </c>
      <c r="AG16" s="115">
        <v>0</v>
      </c>
      <c r="AH16" s="115">
        <v>0</v>
      </c>
      <c r="AI16" s="115">
        <v>0</v>
      </c>
      <c r="AJ16" s="115"/>
      <c r="AK16" s="115">
        <v>0</v>
      </c>
      <c r="AL16" s="115">
        <v>0</v>
      </c>
      <c r="AM16" s="115">
        <v>0</v>
      </c>
      <c r="AN16" s="115">
        <v>0</v>
      </c>
      <c r="AO16" s="115">
        <v>0</v>
      </c>
      <c r="AP16" s="115">
        <v>0</v>
      </c>
      <c r="AQ16" s="115">
        <v>0</v>
      </c>
      <c r="AR16" s="115">
        <v>0</v>
      </c>
      <c r="AS16" s="115">
        <v>0</v>
      </c>
      <c r="AT16" s="115">
        <v>0</v>
      </c>
      <c r="AU16" s="115">
        <v>0</v>
      </c>
      <c r="AV16" s="115">
        <v>0</v>
      </c>
      <c r="AW16" s="115">
        <v>0</v>
      </c>
      <c r="AX16" s="115"/>
      <c r="AY16" s="115">
        <v>0</v>
      </c>
      <c r="AZ16" s="105">
        <v>0</v>
      </c>
      <c r="BA16" s="105">
        <v>0</v>
      </c>
    </row>
    <row r="17" spans="1:53" x14ac:dyDescent="0.2">
      <c r="A17" s="115"/>
      <c r="B17" s="124">
        <v>3</v>
      </c>
      <c r="C17" s="114" t="s">
        <v>295</v>
      </c>
      <c r="D17" s="111"/>
      <c r="E17" s="115"/>
      <c r="F17" s="115"/>
      <c r="G17" s="115">
        <v>0</v>
      </c>
      <c r="H17" s="115"/>
      <c r="I17" s="115"/>
      <c r="J17" s="115">
        <v>0</v>
      </c>
      <c r="K17" s="115"/>
      <c r="L17" s="115">
        <v>0</v>
      </c>
      <c r="M17" s="115">
        <v>0</v>
      </c>
      <c r="N17" s="115">
        <v>0</v>
      </c>
      <c r="O17" s="115"/>
      <c r="P17" s="115"/>
      <c r="Q17" s="115">
        <v>0</v>
      </c>
      <c r="R17" s="115">
        <v>0</v>
      </c>
      <c r="S17" s="115">
        <v>0</v>
      </c>
      <c r="T17" s="115"/>
      <c r="U17" s="115"/>
      <c r="V17" s="115">
        <v>0</v>
      </c>
      <c r="W17" s="115">
        <v>0</v>
      </c>
      <c r="X17" s="115">
        <v>0</v>
      </c>
      <c r="Y17" s="115">
        <v>0</v>
      </c>
      <c r="Z17" s="115">
        <v>0</v>
      </c>
      <c r="AA17" s="115"/>
      <c r="AB17" s="115">
        <v>0</v>
      </c>
      <c r="AC17" s="115">
        <v>0</v>
      </c>
      <c r="AD17" s="115"/>
      <c r="AE17" s="115"/>
      <c r="AF17" s="115"/>
      <c r="AG17" s="115"/>
      <c r="AH17" s="115"/>
      <c r="AI17" s="115"/>
      <c r="AJ17" s="115"/>
      <c r="AK17" s="115"/>
      <c r="AL17" s="115">
        <v>0</v>
      </c>
      <c r="AM17" s="115"/>
      <c r="AN17" s="115">
        <v>0</v>
      </c>
      <c r="AO17" s="115"/>
      <c r="AP17" s="115">
        <v>0</v>
      </c>
      <c r="AQ17" s="115"/>
      <c r="AR17" s="115">
        <v>0</v>
      </c>
      <c r="AS17" s="115">
        <v>0</v>
      </c>
      <c r="AT17" s="115"/>
      <c r="AU17" s="115"/>
      <c r="AV17" s="115">
        <v>-2.2737367544323206E-13</v>
      </c>
      <c r="AW17" s="115"/>
      <c r="AX17" s="115"/>
      <c r="AY17" s="115">
        <v>0</v>
      </c>
      <c r="AZ17" s="105">
        <v>0</v>
      </c>
      <c r="BA17" s="105">
        <v>0</v>
      </c>
    </row>
    <row r="18" spans="1:53" x14ac:dyDescent="0.2">
      <c r="A18" s="130"/>
      <c r="B18" s="121">
        <v>4</v>
      </c>
      <c r="C18" s="130" t="s">
        <v>295</v>
      </c>
      <c r="D18" s="130"/>
      <c r="E18" s="130"/>
      <c r="F18" s="130"/>
      <c r="G18" s="130"/>
      <c r="H18" s="130"/>
      <c r="I18" s="130"/>
      <c r="J18" s="130">
        <v>0</v>
      </c>
      <c r="K18" s="130"/>
      <c r="L18" s="130"/>
      <c r="M18" s="130"/>
      <c r="N18" s="130">
        <v>0</v>
      </c>
      <c r="O18" s="130"/>
      <c r="P18" s="130"/>
      <c r="Q18" s="130"/>
      <c r="R18" s="130"/>
      <c r="S18" s="130"/>
      <c r="T18" s="130"/>
      <c r="U18" s="130"/>
      <c r="V18" s="130"/>
      <c r="W18" s="130"/>
      <c r="X18" s="130"/>
      <c r="Y18" s="130">
        <v>0</v>
      </c>
      <c r="Z18" s="130"/>
      <c r="AA18" s="130"/>
      <c r="AB18" s="130"/>
      <c r="AC18" s="130"/>
      <c r="AD18" s="130"/>
      <c r="AE18" s="130"/>
      <c r="AF18" s="130"/>
      <c r="AG18" s="130"/>
      <c r="AH18" s="130"/>
      <c r="AI18" s="130"/>
      <c r="AJ18" s="130"/>
      <c r="AK18" s="130"/>
      <c r="AL18" s="130">
        <v>0</v>
      </c>
      <c r="AM18" s="130"/>
      <c r="AN18" s="130">
        <v>0</v>
      </c>
      <c r="AO18" s="130"/>
      <c r="AP18" s="130"/>
      <c r="AQ18" s="130"/>
      <c r="AR18" s="130"/>
      <c r="AS18" s="130"/>
      <c r="AT18" s="130"/>
      <c r="AU18" s="130"/>
      <c r="AV18" s="130">
        <v>0</v>
      </c>
      <c r="AW18" s="130"/>
      <c r="AX18" s="130"/>
      <c r="AY18" s="130"/>
    </row>
    <row r="20" spans="1:53" x14ac:dyDescent="0.2">
      <c r="A20" s="107" t="s">
        <v>296</v>
      </c>
    </row>
    <row r="21" spans="1:53" x14ac:dyDescent="0.2">
      <c r="A21" s="131" t="s">
        <v>125</v>
      </c>
      <c r="B21" s="128">
        <v>1</v>
      </c>
      <c r="C21" s="129" t="s">
        <v>295</v>
      </c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29"/>
      <c r="AE21" s="129"/>
      <c r="AF21" s="129"/>
      <c r="AG21" s="129"/>
      <c r="AH21" s="129"/>
      <c r="AI21" s="129"/>
      <c r="AJ21" s="129"/>
      <c r="AK21" s="129"/>
      <c r="AL21" s="129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</row>
    <row r="22" spans="1:53" x14ac:dyDescent="0.2">
      <c r="A22" s="114"/>
      <c r="B22" s="125">
        <v>2</v>
      </c>
      <c r="C22" s="115" t="s">
        <v>295</v>
      </c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15"/>
      <c r="AS22" s="115"/>
      <c r="AT22" s="115"/>
      <c r="AU22" s="115"/>
      <c r="AV22" s="115"/>
      <c r="AW22" s="115"/>
      <c r="AX22" s="115"/>
      <c r="AY22" s="115"/>
    </row>
    <row r="23" spans="1:53" x14ac:dyDescent="0.2">
      <c r="A23" s="114"/>
      <c r="B23" s="132">
        <v>3</v>
      </c>
      <c r="C23" s="115" t="s">
        <v>295</v>
      </c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115"/>
      <c r="AK23" s="115"/>
      <c r="AL23" s="115"/>
      <c r="AM23" s="115"/>
      <c r="AN23" s="115"/>
      <c r="AO23" s="115"/>
      <c r="AP23" s="115"/>
      <c r="AQ23" s="115"/>
      <c r="AR23" s="115"/>
      <c r="AS23" s="115"/>
      <c r="AT23" s="115"/>
      <c r="AU23" s="115"/>
      <c r="AV23" s="115"/>
      <c r="AW23" s="115"/>
      <c r="AX23" s="115"/>
      <c r="AY23" s="115"/>
    </row>
    <row r="24" spans="1:53" x14ac:dyDescent="0.2">
      <c r="A24" s="133"/>
      <c r="B24" s="134">
        <v>4</v>
      </c>
      <c r="C24" s="133" t="s">
        <v>295</v>
      </c>
      <c r="D24" s="130">
        <v>0</v>
      </c>
      <c r="E24" s="130">
        <v>0</v>
      </c>
      <c r="F24" s="130">
        <v>0</v>
      </c>
      <c r="G24" s="130">
        <v>0</v>
      </c>
      <c r="H24" s="130">
        <v>0</v>
      </c>
      <c r="I24" s="130">
        <v>0</v>
      </c>
      <c r="J24" s="130">
        <v>0</v>
      </c>
      <c r="K24" s="130">
        <v>0</v>
      </c>
      <c r="L24" s="130">
        <v>0</v>
      </c>
      <c r="M24" s="130">
        <v>0</v>
      </c>
      <c r="N24" s="130">
        <v>0</v>
      </c>
      <c r="O24" s="130">
        <v>0</v>
      </c>
      <c r="P24" s="130">
        <v>0</v>
      </c>
      <c r="Q24" s="130">
        <v>0</v>
      </c>
      <c r="R24" s="130">
        <v>0</v>
      </c>
      <c r="S24" s="130">
        <v>0</v>
      </c>
      <c r="T24" s="130">
        <v>0</v>
      </c>
      <c r="U24" s="130">
        <v>0</v>
      </c>
      <c r="V24" s="130">
        <v>0</v>
      </c>
      <c r="W24" s="130">
        <v>0</v>
      </c>
      <c r="X24" s="130">
        <v>0</v>
      </c>
      <c r="Y24" s="130">
        <v>0</v>
      </c>
      <c r="Z24" s="130">
        <v>0</v>
      </c>
      <c r="AA24" s="130">
        <v>0</v>
      </c>
      <c r="AB24" s="130">
        <v>0</v>
      </c>
      <c r="AC24" s="130">
        <v>0</v>
      </c>
      <c r="AD24" s="130">
        <v>0</v>
      </c>
      <c r="AE24" s="130">
        <v>0</v>
      </c>
      <c r="AF24" s="130">
        <v>0</v>
      </c>
      <c r="AG24" s="130">
        <v>0</v>
      </c>
      <c r="AH24" s="130">
        <v>0</v>
      </c>
      <c r="AI24" s="130">
        <v>0</v>
      </c>
      <c r="AJ24" s="130">
        <v>0</v>
      </c>
      <c r="AK24" s="130">
        <v>0</v>
      </c>
      <c r="AL24" s="130">
        <v>0</v>
      </c>
      <c r="AM24" s="130">
        <v>0</v>
      </c>
      <c r="AN24" s="130">
        <v>0</v>
      </c>
      <c r="AO24" s="130">
        <v>0</v>
      </c>
      <c r="AP24" s="130">
        <v>0</v>
      </c>
      <c r="AQ24" s="130">
        <v>0</v>
      </c>
      <c r="AR24" s="130">
        <v>0</v>
      </c>
      <c r="AS24" s="130">
        <v>0</v>
      </c>
      <c r="AT24" s="130">
        <v>0</v>
      </c>
      <c r="AU24" s="130">
        <v>0</v>
      </c>
      <c r="AV24" s="130">
        <v>0</v>
      </c>
      <c r="AW24" s="130">
        <v>0</v>
      </c>
      <c r="AX24" s="130">
        <v>0</v>
      </c>
      <c r="AY24" s="130">
        <v>0</v>
      </c>
    </row>
    <row r="25" spans="1:53" x14ac:dyDescent="0.2">
      <c r="A25" s="131" t="s">
        <v>133</v>
      </c>
      <c r="B25" s="128">
        <v>1</v>
      </c>
      <c r="C25" s="114" t="s">
        <v>295</v>
      </c>
      <c r="D25" s="115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  <c r="AU25" s="115"/>
      <c r="AV25" s="115"/>
      <c r="AW25" s="115"/>
      <c r="AX25" s="115"/>
      <c r="AY25" s="115"/>
    </row>
    <row r="26" spans="1:53" x14ac:dyDescent="0.2">
      <c r="A26" s="114"/>
      <c r="B26" s="124">
        <v>2</v>
      </c>
      <c r="C26" s="114" t="s">
        <v>295</v>
      </c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5"/>
      <c r="AF26" s="115"/>
      <c r="AG26" s="115"/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115"/>
      <c r="AU26" s="115"/>
      <c r="AV26" s="115"/>
      <c r="AW26" s="115"/>
      <c r="AX26" s="115"/>
      <c r="AY26" s="115"/>
    </row>
    <row r="27" spans="1:53" x14ac:dyDescent="0.2">
      <c r="A27" s="114"/>
      <c r="B27" s="125">
        <v>3</v>
      </c>
      <c r="C27" s="114" t="s">
        <v>295</v>
      </c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</row>
    <row r="28" spans="1:53" x14ac:dyDescent="0.2">
      <c r="A28" s="114"/>
      <c r="B28" s="125">
        <v>4</v>
      </c>
      <c r="C28" s="114" t="s">
        <v>295</v>
      </c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115"/>
      <c r="AU28" s="115"/>
      <c r="AV28" s="115"/>
      <c r="AW28" s="115"/>
      <c r="AX28" s="115"/>
      <c r="AY28" s="115"/>
    </row>
    <row r="29" spans="1:53" x14ac:dyDescent="0.2">
      <c r="A29" s="114"/>
      <c r="B29" s="132">
        <v>5</v>
      </c>
      <c r="C29" s="114" t="s">
        <v>295</v>
      </c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5"/>
      <c r="AN29" s="115"/>
      <c r="AO29" s="115"/>
      <c r="AP29" s="115"/>
      <c r="AQ29" s="115"/>
      <c r="AR29" s="115"/>
      <c r="AS29" s="115"/>
      <c r="AT29" s="115"/>
      <c r="AU29" s="115"/>
      <c r="AV29" s="115"/>
      <c r="AW29" s="115"/>
      <c r="AX29" s="115"/>
      <c r="AY29" s="115"/>
    </row>
    <row r="30" spans="1:53" x14ac:dyDescent="0.2">
      <c r="A30" s="114"/>
      <c r="B30" s="132">
        <v>6</v>
      </c>
      <c r="C30" s="114" t="s">
        <v>295</v>
      </c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5"/>
      <c r="AF30" s="115"/>
      <c r="AG30" s="115"/>
      <c r="AH30" s="115"/>
      <c r="AI30" s="115"/>
      <c r="AJ30" s="115"/>
      <c r="AK30" s="115"/>
      <c r="AL30" s="115"/>
      <c r="AM30" s="115"/>
      <c r="AN30" s="115"/>
      <c r="AO30" s="115"/>
      <c r="AP30" s="115"/>
      <c r="AQ30" s="115"/>
      <c r="AR30" s="115"/>
      <c r="AS30" s="115"/>
      <c r="AT30" s="115"/>
      <c r="AU30" s="115"/>
      <c r="AV30" s="115"/>
      <c r="AW30" s="115"/>
      <c r="AX30" s="115"/>
      <c r="AY30" s="115"/>
    </row>
    <row r="31" spans="1:53" x14ac:dyDescent="0.2">
      <c r="A31" s="114"/>
      <c r="B31" s="135">
        <v>7</v>
      </c>
      <c r="C31" s="114" t="s">
        <v>295</v>
      </c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5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  <c r="AU31" s="115"/>
      <c r="AV31" s="115"/>
      <c r="AW31" s="115"/>
      <c r="AX31" s="115"/>
      <c r="AY31" s="115"/>
    </row>
    <row r="32" spans="1:53" x14ac:dyDescent="0.2">
      <c r="A32" s="133"/>
      <c r="B32" s="134">
        <v>8</v>
      </c>
      <c r="C32" s="133" t="s">
        <v>295</v>
      </c>
      <c r="D32" s="130">
        <v>0</v>
      </c>
      <c r="E32" s="130">
        <v>0</v>
      </c>
      <c r="F32" s="130">
        <v>0</v>
      </c>
      <c r="G32" s="130">
        <v>0</v>
      </c>
      <c r="H32" s="130">
        <v>0</v>
      </c>
      <c r="I32" s="130">
        <v>0</v>
      </c>
      <c r="J32" s="130">
        <v>0</v>
      </c>
      <c r="K32" s="130">
        <v>0</v>
      </c>
      <c r="L32" s="130">
        <v>0</v>
      </c>
      <c r="M32" s="130">
        <v>0</v>
      </c>
      <c r="N32" s="130">
        <v>0</v>
      </c>
      <c r="O32" s="130">
        <v>0</v>
      </c>
      <c r="P32" s="130">
        <v>0</v>
      </c>
      <c r="Q32" s="130">
        <v>0</v>
      </c>
      <c r="R32" s="130">
        <v>0</v>
      </c>
      <c r="S32" s="130">
        <v>0</v>
      </c>
      <c r="T32" s="130">
        <v>0</v>
      </c>
      <c r="U32" s="130">
        <v>0</v>
      </c>
      <c r="V32" s="130">
        <v>0</v>
      </c>
      <c r="W32" s="130">
        <v>0</v>
      </c>
      <c r="X32" s="130">
        <v>0</v>
      </c>
      <c r="Y32" s="130">
        <v>0</v>
      </c>
      <c r="Z32" s="130">
        <v>0</v>
      </c>
      <c r="AA32" s="130">
        <v>0</v>
      </c>
      <c r="AB32" s="130">
        <v>0</v>
      </c>
      <c r="AC32" s="130">
        <v>0</v>
      </c>
      <c r="AD32" s="130">
        <v>0</v>
      </c>
      <c r="AE32" s="130">
        <v>0</v>
      </c>
      <c r="AF32" s="130">
        <v>0</v>
      </c>
      <c r="AG32" s="130">
        <v>0</v>
      </c>
      <c r="AH32" s="130">
        <v>0</v>
      </c>
      <c r="AI32" s="130">
        <v>0</v>
      </c>
      <c r="AJ32" s="130">
        <v>0</v>
      </c>
      <c r="AK32" s="130">
        <v>0</v>
      </c>
      <c r="AL32" s="130">
        <v>0</v>
      </c>
      <c r="AM32" s="130">
        <v>0</v>
      </c>
      <c r="AN32" s="130">
        <v>0</v>
      </c>
      <c r="AO32" s="130">
        <v>0</v>
      </c>
      <c r="AP32" s="130">
        <v>0</v>
      </c>
      <c r="AQ32" s="130">
        <v>0</v>
      </c>
      <c r="AR32" s="130">
        <v>0</v>
      </c>
      <c r="AS32" s="130">
        <v>0</v>
      </c>
      <c r="AT32" s="130">
        <v>0</v>
      </c>
      <c r="AU32" s="130">
        <v>0</v>
      </c>
      <c r="AV32" s="130">
        <v>0</v>
      </c>
      <c r="AW32" s="130">
        <v>0</v>
      </c>
      <c r="AX32" s="130">
        <v>0</v>
      </c>
      <c r="AY32" s="130">
        <v>0</v>
      </c>
    </row>
    <row r="33" spans="1:51" x14ac:dyDescent="0.2">
      <c r="A33" s="136" t="s">
        <v>134</v>
      </c>
      <c r="B33" s="124">
        <v>1</v>
      </c>
      <c r="C33" s="114" t="s">
        <v>295</v>
      </c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  <c r="AW33" s="111"/>
      <c r="AX33" s="111"/>
      <c r="AY33" s="111"/>
    </row>
    <row r="34" spans="1:51" x14ac:dyDescent="0.2">
      <c r="A34" s="114"/>
      <c r="B34" s="124">
        <v>2</v>
      </c>
      <c r="C34" s="114" t="s">
        <v>295</v>
      </c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  <c r="AU34" s="111"/>
      <c r="AV34" s="111"/>
      <c r="AW34" s="111"/>
      <c r="AX34" s="111"/>
      <c r="AY34" s="111"/>
    </row>
    <row r="35" spans="1:51" x14ac:dyDescent="0.2">
      <c r="A35" s="114"/>
      <c r="B35" s="124">
        <v>3</v>
      </c>
      <c r="C35" s="114" t="s">
        <v>295</v>
      </c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1"/>
      <c r="AL35" s="111"/>
      <c r="AM35" s="111"/>
      <c r="AN35" s="111"/>
      <c r="AO35" s="111"/>
      <c r="AP35" s="111"/>
      <c r="AQ35" s="111"/>
      <c r="AR35" s="111"/>
      <c r="AS35" s="111"/>
      <c r="AT35" s="111"/>
      <c r="AU35" s="111"/>
      <c r="AV35" s="111"/>
      <c r="AW35" s="111"/>
      <c r="AX35" s="111"/>
      <c r="AY35" s="111"/>
    </row>
    <row r="36" spans="1:51" x14ac:dyDescent="0.2">
      <c r="A36" s="114"/>
      <c r="B36" s="125">
        <v>4</v>
      </c>
      <c r="C36" s="114" t="s">
        <v>295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  <c r="AL36" s="111"/>
      <c r="AM36" s="111"/>
      <c r="AN36" s="111"/>
      <c r="AO36" s="111"/>
      <c r="AP36" s="111"/>
      <c r="AQ36" s="111"/>
      <c r="AR36" s="111"/>
      <c r="AS36" s="111"/>
      <c r="AT36" s="111"/>
      <c r="AU36" s="111"/>
      <c r="AV36" s="111"/>
      <c r="AW36" s="111"/>
      <c r="AX36" s="111"/>
      <c r="AY36" s="111"/>
    </row>
    <row r="37" spans="1:51" x14ac:dyDescent="0.2">
      <c r="A37" s="114"/>
      <c r="B37" s="125">
        <v>5</v>
      </c>
      <c r="C37" s="114" t="s">
        <v>295</v>
      </c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  <c r="AH37" s="111"/>
      <c r="AI37" s="111"/>
      <c r="AJ37" s="111"/>
      <c r="AK37" s="111"/>
      <c r="AL37" s="111"/>
      <c r="AM37" s="111"/>
      <c r="AN37" s="111"/>
      <c r="AO37" s="111"/>
      <c r="AP37" s="111"/>
      <c r="AQ37" s="111"/>
      <c r="AR37" s="111"/>
      <c r="AS37" s="111"/>
      <c r="AT37" s="111"/>
      <c r="AU37" s="111"/>
      <c r="AV37" s="111"/>
      <c r="AW37" s="111"/>
      <c r="AX37" s="111"/>
      <c r="AY37" s="111"/>
    </row>
    <row r="38" spans="1:51" x14ac:dyDescent="0.2">
      <c r="A38" s="114"/>
      <c r="B38" s="125">
        <v>6</v>
      </c>
      <c r="C38" s="114" t="s">
        <v>295</v>
      </c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  <c r="AL38" s="111"/>
      <c r="AM38" s="111"/>
      <c r="AN38" s="111"/>
      <c r="AO38" s="111"/>
      <c r="AP38" s="111"/>
      <c r="AQ38" s="111"/>
      <c r="AR38" s="111"/>
      <c r="AS38" s="111"/>
      <c r="AT38" s="111"/>
      <c r="AU38" s="111"/>
      <c r="AV38" s="111"/>
      <c r="AW38" s="111"/>
      <c r="AX38" s="111"/>
      <c r="AY38" s="111"/>
    </row>
    <row r="39" spans="1:51" x14ac:dyDescent="0.2">
      <c r="A39" s="114"/>
      <c r="B39" s="132">
        <v>7</v>
      </c>
      <c r="C39" s="114" t="s">
        <v>295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  <c r="AU39" s="111"/>
      <c r="AV39" s="111"/>
      <c r="AW39" s="111"/>
      <c r="AX39" s="111"/>
      <c r="AY39" s="111"/>
    </row>
    <row r="40" spans="1:51" x14ac:dyDescent="0.2">
      <c r="A40" s="114"/>
      <c r="B40" s="132">
        <v>8</v>
      </c>
      <c r="C40" s="114" t="s">
        <v>295</v>
      </c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  <c r="AU40" s="111"/>
      <c r="AV40" s="111"/>
      <c r="AW40" s="111"/>
      <c r="AX40" s="111"/>
      <c r="AY40" s="111"/>
    </row>
    <row r="41" spans="1:51" x14ac:dyDescent="0.2">
      <c r="A41" s="114"/>
      <c r="B41" s="132">
        <v>9</v>
      </c>
      <c r="C41" s="114" t="s">
        <v>295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  <c r="AU41" s="111"/>
      <c r="AV41" s="111"/>
      <c r="AW41" s="111"/>
      <c r="AX41" s="111"/>
      <c r="AY41" s="111"/>
    </row>
    <row r="42" spans="1:51" x14ac:dyDescent="0.2">
      <c r="A42" s="114"/>
      <c r="B42" s="135">
        <v>10</v>
      </c>
      <c r="C42" s="114" t="s">
        <v>295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  <c r="AU42" s="111"/>
      <c r="AV42" s="111"/>
      <c r="AW42" s="111"/>
      <c r="AX42" s="111"/>
      <c r="AY42" s="111"/>
    </row>
    <row r="43" spans="1:51" x14ac:dyDescent="0.2">
      <c r="A43" s="114"/>
      <c r="B43" s="135">
        <v>11</v>
      </c>
      <c r="C43" s="114" t="s">
        <v>295</v>
      </c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  <c r="AB43" s="111"/>
      <c r="AC43" s="111"/>
      <c r="AD43" s="111"/>
      <c r="AE43" s="111"/>
      <c r="AF43" s="111"/>
      <c r="AG43" s="111"/>
      <c r="AH43" s="111"/>
      <c r="AI43" s="111"/>
      <c r="AJ43" s="111"/>
      <c r="AK43" s="111"/>
      <c r="AL43" s="111"/>
      <c r="AM43" s="111"/>
      <c r="AN43" s="111"/>
      <c r="AO43" s="111"/>
      <c r="AP43" s="111"/>
      <c r="AQ43" s="111"/>
      <c r="AR43" s="111"/>
      <c r="AS43" s="111"/>
      <c r="AT43" s="111"/>
      <c r="AU43" s="111"/>
      <c r="AV43" s="111"/>
      <c r="AW43" s="111"/>
      <c r="AX43" s="111"/>
      <c r="AY43" s="111"/>
    </row>
    <row r="44" spans="1:51" x14ac:dyDescent="0.2">
      <c r="A44" s="114"/>
      <c r="B44" s="135">
        <v>12</v>
      </c>
      <c r="C44" s="133" t="s">
        <v>295</v>
      </c>
      <c r="D44" s="111">
        <v>0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0</v>
      </c>
      <c r="K44" s="111">
        <v>0</v>
      </c>
      <c r="L44" s="111">
        <v>0</v>
      </c>
      <c r="M44" s="111">
        <v>0</v>
      </c>
      <c r="N44" s="111">
        <v>0</v>
      </c>
      <c r="O44" s="111">
        <v>0</v>
      </c>
      <c r="P44" s="111">
        <v>0</v>
      </c>
      <c r="Q44" s="111">
        <v>0</v>
      </c>
      <c r="R44" s="111">
        <v>0</v>
      </c>
      <c r="S44" s="111">
        <v>0</v>
      </c>
      <c r="T44" s="111">
        <v>0</v>
      </c>
      <c r="U44" s="111">
        <v>0</v>
      </c>
      <c r="V44" s="111">
        <v>0</v>
      </c>
      <c r="W44" s="111">
        <v>0</v>
      </c>
      <c r="X44" s="111">
        <v>0</v>
      </c>
      <c r="Y44" s="111">
        <v>0</v>
      </c>
      <c r="Z44" s="111">
        <v>0</v>
      </c>
      <c r="AA44" s="111">
        <v>0</v>
      </c>
      <c r="AB44" s="111">
        <v>0</v>
      </c>
      <c r="AC44" s="111">
        <v>0</v>
      </c>
      <c r="AD44" s="111">
        <v>0</v>
      </c>
      <c r="AE44" s="111">
        <v>0</v>
      </c>
      <c r="AF44" s="111">
        <v>0</v>
      </c>
      <c r="AG44" s="111">
        <v>0</v>
      </c>
      <c r="AH44" s="111">
        <v>0</v>
      </c>
      <c r="AI44" s="111">
        <v>0</v>
      </c>
      <c r="AJ44" s="111">
        <v>0</v>
      </c>
      <c r="AK44" s="111">
        <v>0</v>
      </c>
      <c r="AL44" s="111">
        <v>0</v>
      </c>
      <c r="AM44" s="111">
        <v>0</v>
      </c>
      <c r="AN44" s="111">
        <v>0</v>
      </c>
      <c r="AO44" s="111">
        <v>0</v>
      </c>
      <c r="AP44" s="111">
        <v>0</v>
      </c>
      <c r="AQ44" s="111">
        <v>0</v>
      </c>
      <c r="AR44" s="111">
        <v>0</v>
      </c>
      <c r="AS44" s="111">
        <v>0</v>
      </c>
      <c r="AT44" s="111">
        <v>0</v>
      </c>
      <c r="AU44" s="111">
        <v>0</v>
      </c>
      <c r="AV44" s="111">
        <v>0</v>
      </c>
      <c r="AW44" s="111">
        <v>0</v>
      </c>
      <c r="AX44" s="111">
        <v>0</v>
      </c>
      <c r="AY44" s="111">
        <v>0</v>
      </c>
    </row>
    <row r="45" spans="1:51" x14ac:dyDescent="0.2">
      <c r="A45" s="131" t="s">
        <v>123</v>
      </c>
      <c r="B45" s="128">
        <v>1</v>
      </c>
      <c r="C45" s="114" t="s">
        <v>295</v>
      </c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</row>
    <row r="46" spans="1:51" x14ac:dyDescent="0.2">
      <c r="A46" s="114"/>
      <c r="B46" s="124">
        <v>2</v>
      </c>
      <c r="C46" s="114" t="s">
        <v>295</v>
      </c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</row>
    <row r="47" spans="1:51" x14ac:dyDescent="0.2">
      <c r="A47" s="114"/>
      <c r="B47" s="124">
        <v>3</v>
      </c>
      <c r="C47" s="114" t="s">
        <v>295</v>
      </c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</row>
    <row r="48" spans="1:51" x14ac:dyDescent="0.2">
      <c r="A48" s="114"/>
      <c r="B48" s="124">
        <v>4</v>
      </c>
      <c r="C48" s="114" t="s">
        <v>295</v>
      </c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</row>
    <row r="49" spans="1:51" x14ac:dyDescent="0.2">
      <c r="A49" s="114"/>
      <c r="B49" s="124">
        <v>5</v>
      </c>
      <c r="C49" s="114" t="s">
        <v>295</v>
      </c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</row>
    <row r="50" spans="1:51" x14ac:dyDescent="0.2">
      <c r="A50" s="114"/>
      <c r="B50" s="124">
        <v>6</v>
      </c>
      <c r="C50" s="114" t="s">
        <v>295</v>
      </c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</row>
    <row r="51" spans="1:51" x14ac:dyDescent="0.2">
      <c r="A51" s="114"/>
      <c r="B51" s="124">
        <v>7</v>
      </c>
      <c r="C51" s="114" t="s">
        <v>295</v>
      </c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  <c r="AH51" s="115"/>
      <c r="AI51" s="115"/>
      <c r="AJ51" s="115"/>
      <c r="AK51" s="115"/>
      <c r="AL51" s="115"/>
      <c r="AM51" s="115"/>
      <c r="AN51" s="115"/>
      <c r="AO51" s="115"/>
      <c r="AP51" s="115"/>
      <c r="AQ51" s="115"/>
      <c r="AR51" s="115"/>
      <c r="AS51" s="115"/>
      <c r="AT51" s="115"/>
      <c r="AU51" s="115"/>
      <c r="AV51" s="115"/>
      <c r="AW51" s="115"/>
      <c r="AX51" s="115"/>
      <c r="AY51" s="115"/>
    </row>
    <row r="52" spans="1:51" x14ac:dyDescent="0.2">
      <c r="A52" s="114"/>
      <c r="B52" s="124">
        <v>8</v>
      </c>
      <c r="C52" s="114" t="s">
        <v>295</v>
      </c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5"/>
    </row>
    <row r="53" spans="1:51" x14ac:dyDescent="0.2">
      <c r="A53" s="114"/>
      <c r="B53" s="124">
        <v>9</v>
      </c>
      <c r="C53" s="114" t="s">
        <v>295</v>
      </c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</row>
    <row r="54" spans="1:51" x14ac:dyDescent="0.2">
      <c r="A54" s="114"/>
      <c r="B54" s="124">
        <v>10</v>
      </c>
      <c r="C54" s="114" t="s">
        <v>295</v>
      </c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</row>
    <row r="55" spans="1:51" x14ac:dyDescent="0.2">
      <c r="A55" s="114"/>
      <c r="B55" s="124">
        <v>11</v>
      </c>
      <c r="C55" s="114" t="s">
        <v>295</v>
      </c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115"/>
      <c r="AQ55" s="115"/>
      <c r="AR55" s="115"/>
      <c r="AS55" s="115"/>
      <c r="AT55" s="115"/>
      <c r="AU55" s="115"/>
      <c r="AV55" s="115"/>
      <c r="AW55" s="115"/>
      <c r="AX55" s="115"/>
      <c r="AY55" s="115"/>
    </row>
    <row r="56" spans="1:51" x14ac:dyDescent="0.2">
      <c r="A56" s="114"/>
      <c r="B56" s="124">
        <v>12</v>
      </c>
      <c r="C56" s="114" t="s">
        <v>295</v>
      </c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5"/>
      <c r="AP56" s="115"/>
      <c r="AQ56" s="115"/>
      <c r="AR56" s="115"/>
      <c r="AS56" s="115"/>
      <c r="AT56" s="115"/>
      <c r="AU56" s="115"/>
      <c r="AV56" s="115"/>
      <c r="AW56" s="115"/>
      <c r="AX56" s="115"/>
      <c r="AY56" s="115"/>
    </row>
    <row r="57" spans="1:51" x14ac:dyDescent="0.2">
      <c r="A57" s="114"/>
      <c r="B57" s="125">
        <v>13</v>
      </c>
      <c r="C57" s="114" t="s">
        <v>295</v>
      </c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  <c r="AY57" s="115"/>
    </row>
    <row r="58" spans="1:51" x14ac:dyDescent="0.2">
      <c r="A58" s="114"/>
      <c r="B58" s="125">
        <v>14</v>
      </c>
      <c r="C58" s="114" t="s">
        <v>295</v>
      </c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</row>
    <row r="59" spans="1:51" x14ac:dyDescent="0.2">
      <c r="A59" s="114"/>
      <c r="B59" s="125">
        <v>15</v>
      </c>
      <c r="C59" s="114" t="s">
        <v>295</v>
      </c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</row>
    <row r="60" spans="1:51" x14ac:dyDescent="0.2">
      <c r="A60" s="114"/>
      <c r="B60" s="125">
        <v>16</v>
      </c>
      <c r="C60" s="114" t="s">
        <v>295</v>
      </c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</row>
    <row r="61" spans="1:51" x14ac:dyDescent="0.2">
      <c r="A61" s="114"/>
      <c r="B61" s="125">
        <v>17</v>
      </c>
      <c r="C61" s="114" t="s">
        <v>295</v>
      </c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  <c r="AH61" s="115"/>
      <c r="AI61" s="115"/>
      <c r="AJ61" s="115"/>
      <c r="AK61" s="115"/>
      <c r="AL61" s="115"/>
      <c r="AM61" s="115"/>
      <c r="AN61" s="115"/>
      <c r="AO61" s="115"/>
      <c r="AP61" s="115"/>
      <c r="AQ61" s="115"/>
      <c r="AR61" s="115"/>
      <c r="AS61" s="115"/>
      <c r="AT61" s="115"/>
      <c r="AU61" s="115"/>
      <c r="AV61" s="115"/>
      <c r="AW61" s="115"/>
      <c r="AX61" s="115"/>
      <c r="AY61" s="115"/>
    </row>
    <row r="62" spans="1:51" x14ac:dyDescent="0.2">
      <c r="A62" s="114"/>
      <c r="B62" s="125">
        <v>18</v>
      </c>
      <c r="C62" s="114" t="s">
        <v>295</v>
      </c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5"/>
      <c r="AM62" s="115"/>
      <c r="AN62" s="115"/>
      <c r="AO62" s="115"/>
      <c r="AP62" s="115"/>
      <c r="AQ62" s="115"/>
      <c r="AR62" s="115"/>
      <c r="AS62" s="115"/>
      <c r="AT62" s="115"/>
      <c r="AU62" s="115"/>
      <c r="AV62" s="115"/>
      <c r="AW62" s="115"/>
      <c r="AX62" s="115"/>
      <c r="AY62" s="115"/>
    </row>
    <row r="63" spans="1:51" x14ac:dyDescent="0.2">
      <c r="A63" s="114"/>
      <c r="B63" s="125">
        <v>19</v>
      </c>
      <c r="C63" s="114" t="s">
        <v>295</v>
      </c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</row>
    <row r="64" spans="1:51" x14ac:dyDescent="0.2">
      <c r="A64" s="114"/>
      <c r="B64" s="125">
        <v>20</v>
      </c>
      <c r="C64" s="114" t="s">
        <v>295</v>
      </c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</row>
    <row r="65" spans="1:51" x14ac:dyDescent="0.2">
      <c r="A65" s="114"/>
      <c r="B65" s="125">
        <v>21</v>
      </c>
      <c r="C65" s="114" t="s">
        <v>295</v>
      </c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  <c r="AH65" s="115"/>
      <c r="AI65" s="115"/>
      <c r="AJ65" s="115"/>
      <c r="AK65" s="115"/>
      <c r="AL65" s="115"/>
      <c r="AM65" s="115"/>
      <c r="AN65" s="115"/>
      <c r="AO65" s="115"/>
      <c r="AP65" s="115"/>
      <c r="AQ65" s="115"/>
      <c r="AR65" s="115"/>
      <c r="AS65" s="115"/>
      <c r="AT65" s="115"/>
      <c r="AU65" s="115"/>
      <c r="AV65" s="115"/>
      <c r="AW65" s="115"/>
      <c r="AX65" s="115"/>
      <c r="AY65" s="115"/>
    </row>
    <row r="66" spans="1:51" x14ac:dyDescent="0.2">
      <c r="A66" s="114"/>
      <c r="B66" s="125">
        <v>22</v>
      </c>
      <c r="C66" s="114" t="s">
        <v>295</v>
      </c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  <c r="AH66" s="115"/>
      <c r="AI66" s="115"/>
      <c r="AJ66" s="115"/>
      <c r="AK66" s="115"/>
      <c r="AL66" s="115"/>
      <c r="AM66" s="115"/>
      <c r="AN66" s="115"/>
      <c r="AO66" s="115"/>
      <c r="AP66" s="115"/>
      <c r="AQ66" s="115"/>
      <c r="AR66" s="115"/>
      <c r="AS66" s="115"/>
      <c r="AT66" s="115"/>
      <c r="AU66" s="115"/>
      <c r="AV66" s="115"/>
      <c r="AW66" s="115"/>
      <c r="AX66" s="115"/>
      <c r="AY66" s="115"/>
    </row>
    <row r="67" spans="1:51" x14ac:dyDescent="0.2">
      <c r="A67" s="114"/>
      <c r="B67" s="125">
        <v>23</v>
      </c>
      <c r="C67" s="114" t="s">
        <v>295</v>
      </c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</row>
    <row r="68" spans="1:51" x14ac:dyDescent="0.2">
      <c r="A68" s="114"/>
      <c r="B68" s="125">
        <v>24</v>
      </c>
      <c r="C68" s="114" t="s">
        <v>295</v>
      </c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5"/>
      <c r="AI68" s="115"/>
      <c r="AJ68" s="115"/>
      <c r="AK68" s="115"/>
      <c r="AL68" s="115"/>
      <c r="AM68" s="115"/>
      <c r="AN68" s="115"/>
      <c r="AO68" s="115"/>
      <c r="AP68" s="115"/>
      <c r="AQ68" s="115"/>
      <c r="AR68" s="115"/>
      <c r="AS68" s="115"/>
      <c r="AT68" s="115"/>
      <c r="AU68" s="115"/>
      <c r="AV68" s="115"/>
      <c r="AW68" s="115"/>
      <c r="AX68" s="115"/>
      <c r="AY68" s="115"/>
    </row>
    <row r="69" spans="1:51" x14ac:dyDescent="0.2">
      <c r="A69" s="114"/>
      <c r="B69" s="132">
        <v>25</v>
      </c>
      <c r="C69" s="114" t="s">
        <v>295</v>
      </c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</row>
    <row r="70" spans="1:51" x14ac:dyDescent="0.2">
      <c r="A70" s="114"/>
      <c r="B70" s="132">
        <v>26</v>
      </c>
      <c r="C70" s="114" t="s">
        <v>295</v>
      </c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</row>
    <row r="71" spans="1:51" x14ac:dyDescent="0.2">
      <c r="A71" s="114"/>
      <c r="B71" s="132">
        <v>27</v>
      </c>
      <c r="C71" s="114" t="s">
        <v>295</v>
      </c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</row>
    <row r="72" spans="1:51" x14ac:dyDescent="0.2">
      <c r="A72" s="114"/>
      <c r="B72" s="132">
        <v>28</v>
      </c>
      <c r="C72" s="114" t="s">
        <v>295</v>
      </c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  <c r="AY72" s="115"/>
    </row>
    <row r="73" spans="1:51" x14ac:dyDescent="0.2">
      <c r="A73" s="114"/>
      <c r="B73" s="132">
        <v>29</v>
      </c>
      <c r="C73" s="114" t="s">
        <v>295</v>
      </c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  <c r="AY73" s="115"/>
    </row>
    <row r="74" spans="1:51" x14ac:dyDescent="0.2">
      <c r="A74" s="114"/>
      <c r="B74" s="132">
        <v>30</v>
      </c>
      <c r="C74" s="114" t="s">
        <v>295</v>
      </c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  <c r="AY74" s="115"/>
    </row>
    <row r="75" spans="1:51" x14ac:dyDescent="0.2">
      <c r="A75" s="114"/>
      <c r="B75" s="132">
        <v>31</v>
      </c>
      <c r="C75" s="114" t="s">
        <v>295</v>
      </c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  <c r="AY75" s="115"/>
    </row>
    <row r="76" spans="1:51" x14ac:dyDescent="0.2">
      <c r="A76" s="114"/>
      <c r="B76" s="132">
        <v>32</v>
      </c>
      <c r="C76" s="114" t="s">
        <v>295</v>
      </c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</row>
    <row r="77" spans="1:51" x14ac:dyDescent="0.2">
      <c r="A77" s="114"/>
      <c r="B77" s="132">
        <v>33</v>
      </c>
      <c r="C77" s="114" t="s">
        <v>295</v>
      </c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</row>
    <row r="78" spans="1:51" x14ac:dyDescent="0.2">
      <c r="A78" s="114"/>
      <c r="B78" s="132">
        <v>34</v>
      </c>
      <c r="C78" s="114" t="s">
        <v>295</v>
      </c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</row>
    <row r="79" spans="1:51" x14ac:dyDescent="0.2">
      <c r="A79" s="114"/>
      <c r="B79" s="132">
        <v>35</v>
      </c>
      <c r="C79" s="114" t="s">
        <v>295</v>
      </c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  <c r="AY79" s="115"/>
    </row>
    <row r="80" spans="1:51" x14ac:dyDescent="0.2">
      <c r="A80" s="114"/>
      <c r="B80" s="132">
        <v>36</v>
      </c>
      <c r="C80" s="114" t="s">
        <v>295</v>
      </c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</row>
    <row r="81" spans="1:52" x14ac:dyDescent="0.2">
      <c r="A81" s="114"/>
      <c r="B81" s="135">
        <v>37</v>
      </c>
      <c r="C81" s="114" t="s">
        <v>295</v>
      </c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</row>
    <row r="82" spans="1:52" x14ac:dyDescent="0.2">
      <c r="A82" s="114"/>
      <c r="B82" s="135">
        <v>38</v>
      </c>
      <c r="C82" s="114" t="s">
        <v>295</v>
      </c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</row>
    <row r="83" spans="1:52" x14ac:dyDescent="0.2">
      <c r="A83" s="114"/>
      <c r="B83" s="135">
        <v>39</v>
      </c>
      <c r="C83" s="114" t="s">
        <v>295</v>
      </c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</row>
    <row r="84" spans="1:52" x14ac:dyDescent="0.2">
      <c r="A84" s="114"/>
      <c r="B84" s="135">
        <v>40</v>
      </c>
      <c r="C84" s="114" t="s">
        <v>295</v>
      </c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  <c r="AY84" s="115"/>
    </row>
    <row r="85" spans="1:52" x14ac:dyDescent="0.2">
      <c r="A85" s="114"/>
      <c r="B85" s="135">
        <v>41</v>
      </c>
      <c r="C85" s="114" t="s">
        <v>295</v>
      </c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  <c r="AR85" s="115"/>
      <c r="AS85" s="115"/>
      <c r="AT85" s="115"/>
      <c r="AU85" s="115"/>
      <c r="AV85" s="115"/>
      <c r="AW85" s="115"/>
      <c r="AX85" s="115"/>
      <c r="AY85" s="115"/>
    </row>
    <row r="86" spans="1:52" x14ac:dyDescent="0.2">
      <c r="A86" s="114"/>
      <c r="B86" s="135">
        <v>42</v>
      </c>
      <c r="C86" s="114" t="s">
        <v>295</v>
      </c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  <c r="AR86" s="115"/>
      <c r="AS86" s="115"/>
      <c r="AT86" s="115"/>
      <c r="AU86" s="115"/>
      <c r="AV86" s="115"/>
      <c r="AW86" s="115"/>
      <c r="AX86" s="115"/>
      <c r="AY86" s="115"/>
    </row>
    <row r="87" spans="1:52" x14ac:dyDescent="0.2">
      <c r="A87" s="114"/>
      <c r="B87" s="135">
        <v>43</v>
      </c>
      <c r="C87" s="114" t="s">
        <v>295</v>
      </c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</row>
    <row r="88" spans="1:52" x14ac:dyDescent="0.2">
      <c r="A88" s="114"/>
      <c r="B88" s="135">
        <v>44</v>
      </c>
      <c r="C88" s="114" t="s">
        <v>295</v>
      </c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  <c r="AY88" s="115"/>
    </row>
    <row r="89" spans="1:52" x14ac:dyDescent="0.2">
      <c r="A89" s="114"/>
      <c r="B89" s="135">
        <v>45</v>
      </c>
      <c r="C89" s="114" t="s">
        <v>295</v>
      </c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  <c r="AH89" s="115"/>
      <c r="AI89" s="115"/>
      <c r="AJ89" s="115"/>
      <c r="AK89" s="115"/>
      <c r="AL89" s="115"/>
      <c r="AM89" s="115"/>
      <c r="AN89" s="115"/>
      <c r="AO89" s="115"/>
      <c r="AP89" s="115"/>
      <c r="AQ89" s="115"/>
      <c r="AR89" s="115"/>
      <c r="AS89" s="115"/>
      <c r="AT89" s="115"/>
      <c r="AU89" s="115"/>
      <c r="AV89" s="115"/>
      <c r="AW89" s="115"/>
      <c r="AX89" s="115"/>
      <c r="AY89" s="115"/>
    </row>
    <row r="90" spans="1:52" x14ac:dyDescent="0.2">
      <c r="A90" s="114"/>
      <c r="B90" s="135">
        <v>46</v>
      </c>
      <c r="C90" s="114" t="s">
        <v>295</v>
      </c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  <c r="AR90" s="115"/>
      <c r="AS90" s="115"/>
      <c r="AT90" s="115"/>
      <c r="AU90" s="115"/>
      <c r="AV90" s="115"/>
      <c r="AW90" s="115"/>
      <c r="AX90" s="115"/>
      <c r="AY90" s="115"/>
    </row>
    <row r="91" spans="1:52" x14ac:dyDescent="0.2">
      <c r="A91" s="114"/>
      <c r="B91" s="135">
        <v>47</v>
      </c>
      <c r="C91" s="114" t="s">
        <v>295</v>
      </c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/>
      <c r="AN91" s="115"/>
      <c r="AO91" s="115"/>
      <c r="AP91" s="115"/>
      <c r="AQ91" s="115"/>
      <c r="AR91" s="115"/>
      <c r="AS91" s="115"/>
      <c r="AT91" s="115"/>
      <c r="AU91" s="115"/>
      <c r="AV91" s="115"/>
      <c r="AW91" s="115"/>
      <c r="AX91" s="115"/>
      <c r="AY91" s="115"/>
    </row>
    <row r="92" spans="1:52" x14ac:dyDescent="0.2">
      <c r="A92" s="133"/>
      <c r="B92" s="134">
        <v>48</v>
      </c>
      <c r="C92" s="133" t="s">
        <v>295</v>
      </c>
      <c r="D92" s="130">
        <v>0</v>
      </c>
      <c r="E92" s="130">
        <v>0</v>
      </c>
      <c r="F92" s="130">
        <v>0</v>
      </c>
      <c r="G92" s="130">
        <v>0</v>
      </c>
      <c r="H92" s="130">
        <v>0</v>
      </c>
      <c r="I92" s="130">
        <v>0</v>
      </c>
      <c r="J92" s="130">
        <v>0</v>
      </c>
      <c r="K92" s="130">
        <v>0</v>
      </c>
      <c r="L92" s="130">
        <v>0</v>
      </c>
      <c r="M92" s="130">
        <v>0</v>
      </c>
      <c r="N92" s="130">
        <v>0</v>
      </c>
      <c r="O92" s="130">
        <v>0</v>
      </c>
      <c r="P92" s="130">
        <v>0</v>
      </c>
      <c r="Q92" s="130">
        <v>0</v>
      </c>
      <c r="R92" s="130">
        <v>0</v>
      </c>
      <c r="S92" s="130">
        <v>0</v>
      </c>
      <c r="T92" s="130">
        <v>0</v>
      </c>
      <c r="U92" s="130">
        <v>0</v>
      </c>
      <c r="V92" s="130">
        <v>0</v>
      </c>
      <c r="W92" s="130">
        <v>0</v>
      </c>
      <c r="X92" s="130">
        <v>0</v>
      </c>
      <c r="Y92" s="130">
        <v>0</v>
      </c>
      <c r="Z92" s="130">
        <v>0</v>
      </c>
      <c r="AA92" s="130">
        <v>0</v>
      </c>
      <c r="AB92" s="130">
        <v>0</v>
      </c>
      <c r="AC92" s="130">
        <v>0</v>
      </c>
      <c r="AD92" s="130">
        <v>0</v>
      </c>
      <c r="AE92" s="130">
        <v>0</v>
      </c>
      <c r="AF92" s="130">
        <v>0</v>
      </c>
      <c r="AG92" s="130">
        <v>0</v>
      </c>
      <c r="AH92" s="130">
        <v>0</v>
      </c>
      <c r="AI92" s="130">
        <v>0</v>
      </c>
      <c r="AJ92" s="130">
        <v>0</v>
      </c>
      <c r="AK92" s="130">
        <v>0</v>
      </c>
      <c r="AL92" s="130">
        <v>0</v>
      </c>
      <c r="AM92" s="130">
        <v>0</v>
      </c>
      <c r="AN92" s="130">
        <v>0</v>
      </c>
      <c r="AO92" s="130">
        <v>0</v>
      </c>
      <c r="AP92" s="130">
        <v>0</v>
      </c>
      <c r="AQ92" s="130">
        <v>0</v>
      </c>
      <c r="AR92" s="130">
        <v>0</v>
      </c>
      <c r="AS92" s="130">
        <v>0</v>
      </c>
      <c r="AT92" s="130">
        <v>0</v>
      </c>
      <c r="AU92" s="130">
        <v>0</v>
      </c>
      <c r="AV92" s="130">
        <v>0</v>
      </c>
      <c r="AW92" s="130">
        <v>0</v>
      </c>
      <c r="AX92" s="130">
        <v>0</v>
      </c>
      <c r="AY92" s="130">
        <v>0</v>
      </c>
      <c r="AZ92" s="112">
        <f>SUM(D21:AY92)</f>
        <v>0</v>
      </c>
    </row>
    <row r="94" spans="1:52" x14ac:dyDescent="0.2">
      <c r="A94" s="107" t="s">
        <v>297</v>
      </c>
      <c r="B94" s="111"/>
      <c r="C94" s="111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19"/>
      <c r="AQ94" s="119"/>
      <c r="AR94" s="119"/>
      <c r="AS94" s="119"/>
      <c r="AT94" s="119"/>
      <c r="AU94" s="119"/>
      <c r="AV94" s="119"/>
      <c r="AW94" s="119"/>
      <c r="AX94" s="119"/>
      <c r="AY94" s="119"/>
    </row>
    <row r="95" spans="1:52" x14ac:dyDescent="0.2">
      <c r="A95" s="131" t="s">
        <v>125</v>
      </c>
      <c r="B95" s="128">
        <v>1</v>
      </c>
      <c r="C95" s="129"/>
      <c r="D95" s="115">
        <v>856.69934310257713</v>
      </c>
      <c r="E95" s="115">
        <v>856.69934310257713</v>
      </c>
      <c r="F95" s="115">
        <v>856.69934310257713</v>
      </c>
      <c r="G95" s="115">
        <v>856.69934310257713</v>
      </c>
      <c r="H95" s="115">
        <v>942.369277412835</v>
      </c>
      <c r="I95" s="115">
        <v>942.369277412835</v>
      </c>
      <c r="J95" s="115">
        <v>942.369277412835</v>
      </c>
      <c r="K95" s="115">
        <v>942.369277412835</v>
      </c>
      <c r="L95" s="115">
        <v>942.369277412835</v>
      </c>
      <c r="M95" s="115">
        <v>942.369277412835</v>
      </c>
      <c r="N95" s="115">
        <v>942.369277412835</v>
      </c>
      <c r="O95" s="115">
        <v>942.369277412835</v>
      </c>
      <c r="P95" s="115">
        <v>856.69934310257713</v>
      </c>
      <c r="Q95" s="115">
        <v>856.69934310257713</v>
      </c>
      <c r="R95" s="115">
        <v>856.69934310257713</v>
      </c>
      <c r="S95" s="115">
        <v>856.69934310257713</v>
      </c>
      <c r="T95" s="115">
        <v>771.02940879231937</v>
      </c>
      <c r="U95" s="115">
        <v>771.02940879231937</v>
      </c>
      <c r="V95" s="115">
        <v>771.02940879231937</v>
      </c>
      <c r="W95" s="115">
        <v>771.02940879231937</v>
      </c>
      <c r="X95" s="115">
        <v>771.02940879231937</v>
      </c>
      <c r="Y95" s="115">
        <v>771.02940879231937</v>
      </c>
      <c r="Z95" s="115">
        <v>771.02940879231937</v>
      </c>
      <c r="AA95" s="115">
        <v>771.02940879231937</v>
      </c>
      <c r="AB95" s="115">
        <v>771.02940879231937</v>
      </c>
      <c r="AC95" s="115">
        <v>771.02940879231937</v>
      </c>
      <c r="AD95" s="115">
        <v>771.02940879231937</v>
      </c>
      <c r="AE95" s="115">
        <v>771.02940879231937</v>
      </c>
      <c r="AF95" s="115">
        <v>942.369277412835</v>
      </c>
      <c r="AG95" s="115">
        <v>942.369277412835</v>
      </c>
      <c r="AH95" s="115">
        <v>942.369277412835</v>
      </c>
      <c r="AI95" s="115">
        <v>942.369277412835</v>
      </c>
      <c r="AJ95" s="115">
        <v>942.369277412835</v>
      </c>
      <c r="AK95" s="115">
        <v>942.369277412835</v>
      </c>
      <c r="AL95" s="115">
        <v>942.369277412835</v>
      </c>
      <c r="AM95" s="115">
        <v>942.369277412835</v>
      </c>
      <c r="AN95" s="115">
        <v>942.369277412835</v>
      </c>
      <c r="AO95" s="115">
        <v>942.369277412835</v>
      </c>
      <c r="AP95" s="115">
        <v>942.369277412835</v>
      </c>
      <c r="AQ95" s="115">
        <v>942.369277412835</v>
      </c>
      <c r="AR95" s="115">
        <v>856.69934310257713</v>
      </c>
      <c r="AS95" s="115">
        <v>856.69934310257713</v>
      </c>
      <c r="AT95" s="115">
        <v>856.69934310257713</v>
      </c>
      <c r="AU95" s="115">
        <v>856.69934310257713</v>
      </c>
      <c r="AV95" s="115">
        <v>771.02940879231937</v>
      </c>
      <c r="AW95" s="115">
        <v>771.02940879231937</v>
      </c>
      <c r="AX95" s="115">
        <v>771.02940879231937</v>
      </c>
      <c r="AY95" s="115">
        <v>771.02940879231937</v>
      </c>
    </row>
    <row r="96" spans="1:52" x14ac:dyDescent="0.2">
      <c r="A96" s="114"/>
      <c r="B96" s="125">
        <v>2</v>
      </c>
      <c r="C96" s="115"/>
      <c r="D96" s="115">
        <v>0</v>
      </c>
      <c r="E96" s="115">
        <v>305.69934310257713</v>
      </c>
      <c r="F96" s="115">
        <v>474.39868620515426</v>
      </c>
      <c r="G96" s="115">
        <v>761.09802930773139</v>
      </c>
      <c r="H96" s="115">
        <v>856.69934310257713</v>
      </c>
      <c r="I96" s="115">
        <v>942.369277412835</v>
      </c>
      <c r="J96" s="115">
        <v>942.369277412835</v>
      </c>
      <c r="K96" s="115">
        <v>942.369277412835</v>
      </c>
      <c r="L96" s="115">
        <v>942.369277412835</v>
      </c>
      <c r="M96" s="115">
        <v>942.369277412835</v>
      </c>
      <c r="N96" s="115">
        <v>942.369277412835</v>
      </c>
      <c r="O96" s="115">
        <v>942.369277412835</v>
      </c>
      <c r="P96" s="115">
        <v>942.369277412835</v>
      </c>
      <c r="Q96" s="115">
        <v>856.69934310257713</v>
      </c>
      <c r="R96" s="115">
        <v>856.69934310257713</v>
      </c>
      <c r="S96" s="115">
        <v>856.69934310257713</v>
      </c>
      <c r="T96" s="115">
        <v>856.69934310257713</v>
      </c>
      <c r="U96" s="115">
        <v>771.02940879231937</v>
      </c>
      <c r="V96" s="115">
        <v>771.02940879231937</v>
      </c>
      <c r="W96" s="115">
        <v>771.02940879231937</v>
      </c>
      <c r="X96" s="115">
        <v>771.02940879231937</v>
      </c>
      <c r="Y96" s="115">
        <v>771.02940879231937</v>
      </c>
      <c r="Z96" s="115">
        <v>771.02940879231937</v>
      </c>
      <c r="AA96" s="115">
        <v>771.02940879231937</v>
      </c>
      <c r="AB96" s="115">
        <v>771.02940879231937</v>
      </c>
      <c r="AC96" s="115">
        <v>771.02940879231937</v>
      </c>
      <c r="AD96" s="115">
        <v>771.02940879231937</v>
      </c>
      <c r="AE96" s="115">
        <v>771.02940879231937</v>
      </c>
      <c r="AF96" s="115">
        <v>771.02940879231937</v>
      </c>
      <c r="AG96" s="115">
        <v>942.369277412835</v>
      </c>
      <c r="AH96" s="115">
        <v>942.369277412835</v>
      </c>
      <c r="AI96" s="115">
        <v>942.369277412835</v>
      </c>
      <c r="AJ96" s="115">
        <v>942.369277412835</v>
      </c>
      <c r="AK96" s="115">
        <v>942.369277412835</v>
      </c>
      <c r="AL96" s="115">
        <v>942.369277412835</v>
      </c>
      <c r="AM96" s="115">
        <v>942.369277412835</v>
      </c>
      <c r="AN96" s="115">
        <v>942.369277412835</v>
      </c>
      <c r="AO96" s="115">
        <v>942.369277412835</v>
      </c>
      <c r="AP96" s="115">
        <v>942.369277412835</v>
      </c>
      <c r="AQ96" s="115">
        <v>942.369277412835</v>
      </c>
      <c r="AR96" s="115">
        <v>942.369277412835</v>
      </c>
      <c r="AS96" s="115">
        <v>856.69934310257713</v>
      </c>
      <c r="AT96" s="115">
        <v>856.69934310257713</v>
      </c>
      <c r="AU96" s="115">
        <v>856.69934310257713</v>
      </c>
      <c r="AV96" s="115">
        <v>856.69934310257713</v>
      </c>
      <c r="AW96" s="115">
        <v>771.02940879231937</v>
      </c>
      <c r="AX96" s="115">
        <v>771.02940879231937</v>
      </c>
      <c r="AY96" s="115">
        <v>771.02940879231937</v>
      </c>
    </row>
    <row r="97" spans="1:52" x14ac:dyDescent="0.2">
      <c r="A97" s="114"/>
      <c r="B97" s="132">
        <v>3</v>
      </c>
      <c r="C97" s="115"/>
      <c r="D97" s="115">
        <v>0</v>
      </c>
      <c r="E97" s="115">
        <v>0</v>
      </c>
      <c r="F97" s="115">
        <v>0</v>
      </c>
      <c r="G97" s="115">
        <v>0</v>
      </c>
      <c r="H97" s="115">
        <v>38.098029307731395</v>
      </c>
      <c r="I97" s="115">
        <v>177.79737241030853</v>
      </c>
      <c r="J97" s="115">
        <v>545.16664982314353</v>
      </c>
      <c r="K97" s="115">
        <v>845.53592723597853</v>
      </c>
      <c r="L97" s="115">
        <v>942.369277412835</v>
      </c>
      <c r="M97" s="115">
        <v>942.369277412835</v>
      </c>
      <c r="N97" s="115">
        <v>942.369277412835</v>
      </c>
      <c r="O97" s="115">
        <v>942.369277412835</v>
      </c>
      <c r="P97" s="115">
        <v>942.369277412835</v>
      </c>
      <c r="Q97" s="115">
        <v>942.369277412835</v>
      </c>
      <c r="R97" s="115">
        <v>856.69934310257713</v>
      </c>
      <c r="S97" s="115">
        <v>856.69934310257713</v>
      </c>
      <c r="T97" s="115">
        <v>856.69934310257713</v>
      </c>
      <c r="U97" s="115">
        <v>856.69934310257713</v>
      </c>
      <c r="V97" s="115">
        <v>771.02940879231937</v>
      </c>
      <c r="W97" s="115">
        <v>771.02940879231937</v>
      </c>
      <c r="X97" s="115">
        <v>771.02940879231937</v>
      </c>
      <c r="Y97" s="115">
        <v>771.02940879231937</v>
      </c>
      <c r="Z97" s="115">
        <v>771.02940879231937</v>
      </c>
      <c r="AA97" s="115">
        <v>771.02940879231937</v>
      </c>
      <c r="AB97" s="115">
        <v>771.02940879231937</v>
      </c>
      <c r="AC97" s="115">
        <v>771.02940879231937</v>
      </c>
      <c r="AD97" s="115">
        <v>771.02940879231937</v>
      </c>
      <c r="AE97" s="115">
        <v>771.02940879231937</v>
      </c>
      <c r="AF97" s="115">
        <v>771.02940879231937</v>
      </c>
      <c r="AG97" s="115">
        <v>771.02940879231937</v>
      </c>
      <c r="AH97" s="115">
        <v>942.369277412835</v>
      </c>
      <c r="AI97" s="115">
        <v>942.369277412835</v>
      </c>
      <c r="AJ97" s="115">
        <v>942.369277412835</v>
      </c>
      <c r="AK97" s="115">
        <v>942.369277412835</v>
      </c>
      <c r="AL97" s="115">
        <v>942.369277412835</v>
      </c>
      <c r="AM97" s="115">
        <v>942.369277412835</v>
      </c>
      <c r="AN97" s="115">
        <v>942.369277412835</v>
      </c>
      <c r="AO97" s="115">
        <v>942.369277412835</v>
      </c>
      <c r="AP97" s="115">
        <v>942.369277412835</v>
      </c>
      <c r="AQ97" s="115">
        <v>942.369277412835</v>
      </c>
      <c r="AR97" s="115">
        <v>942.369277412835</v>
      </c>
      <c r="AS97" s="115">
        <v>942.369277412835</v>
      </c>
      <c r="AT97" s="115">
        <v>856.69934310257713</v>
      </c>
      <c r="AU97" s="115">
        <v>856.69934310257713</v>
      </c>
      <c r="AV97" s="115">
        <v>856.69934310257713</v>
      </c>
      <c r="AW97" s="115">
        <v>856.69934310257713</v>
      </c>
      <c r="AX97" s="115">
        <v>771.02940879231937</v>
      </c>
      <c r="AY97" s="115">
        <v>771.02940879231937</v>
      </c>
    </row>
    <row r="98" spans="1:52" x14ac:dyDescent="0.2">
      <c r="A98" s="114"/>
      <c r="B98" s="135">
        <v>4</v>
      </c>
      <c r="C98" s="111"/>
      <c r="D98" s="115">
        <v>0</v>
      </c>
      <c r="E98" s="115">
        <v>0</v>
      </c>
      <c r="F98" s="115">
        <v>0</v>
      </c>
      <c r="G98" s="115">
        <v>0</v>
      </c>
      <c r="H98" s="115">
        <v>0</v>
      </c>
      <c r="I98" s="115">
        <v>0</v>
      </c>
      <c r="J98" s="115">
        <v>0</v>
      </c>
      <c r="K98" s="115">
        <v>0</v>
      </c>
      <c r="L98" s="115">
        <v>57.535927235978534</v>
      </c>
      <c r="M98" s="115">
        <v>246.90520464881354</v>
      </c>
      <c r="N98" s="115">
        <v>643.27448206164854</v>
      </c>
      <c r="O98" s="115">
        <v>942.369277412835</v>
      </c>
      <c r="P98" s="115">
        <v>942.369277412835</v>
      </c>
      <c r="Q98" s="115">
        <v>942.369277412835</v>
      </c>
      <c r="R98" s="115">
        <v>942.369277412835</v>
      </c>
      <c r="S98" s="115">
        <v>856.69934310257713</v>
      </c>
      <c r="T98" s="115">
        <v>856.69934310257713</v>
      </c>
      <c r="U98" s="115">
        <v>856.69934310257713</v>
      </c>
      <c r="V98" s="115">
        <v>856.69934310257713</v>
      </c>
      <c r="W98" s="115">
        <v>771.02940879231937</v>
      </c>
      <c r="X98" s="115">
        <v>771.02940879231937</v>
      </c>
      <c r="Y98" s="115">
        <v>771.02940879231937</v>
      </c>
      <c r="Z98" s="115">
        <v>771.02940879231937</v>
      </c>
      <c r="AA98" s="115">
        <v>771.02940879231937</v>
      </c>
      <c r="AB98" s="115">
        <v>744.05881758463875</v>
      </c>
      <c r="AC98" s="115">
        <v>771.02940879231937</v>
      </c>
      <c r="AD98" s="115">
        <v>700.05881758463875</v>
      </c>
      <c r="AE98" s="115">
        <v>771.02940879231937</v>
      </c>
      <c r="AF98" s="115">
        <v>771.02940879231937</v>
      </c>
      <c r="AG98" s="115">
        <v>771.02940879231937</v>
      </c>
      <c r="AH98" s="115">
        <v>765.05881758463875</v>
      </c>
      <c r="AI98" s="115">
        <v>942.369277412835</v>
      </c>
      <c r="AJ98" s="115">
        <v>942.369277412835</v>
      </c>
      <c r="AK98" s="115">
        <v>942.369277412835</v>
      </c>
      <c r="AL98" s="115">
        <v>942.369277412835</v>
      </c>
      <c r="AM98" s="115">
        <v>942.369277412835</v>
      </c>
      <c r="AN98" s="115">
        <v>942.369277412835</v>
      </c>
      <c r="AO98" s="115">
        <v>942.369277412835</v>
      </c>
      <c r="AP98" s="115">
        <v>942.369277412835</v>
      </c>
      <c r="AQ98" s="115">
        <v>942.369277412835</v>
      </c>
      <c r="AR98" s="115">
        <v>942.369277412835</v>
      </c>
      <c r="AS98" s="115">
        <v>942.369277412835</v>
      </c>
      <c r="AT98" s="115">
        <v>942.369277412835</v>
      </c>
      <c r="AU98" s="115">
        <v>856.69934310257713</v>
      </c>
      <c r="AV98" s="115">
        <v>856.69934310257713</v>
      </c>
      <c r="AW98" s="115">
        <v>856.69934310257713</v>
      </c>
      <c r="AX98" s="115">
        <v>856.69934310257713</v>
      </c>
      <c r="AY98" s="115">
        <v>771.02940879231937</v>
      </c>
    </row>
    <row r="99" spans="1:52" x14ac:dyDescent="0.2">
      <c r="A99" s="133"/>
      <c r="B99" s="137" t="s">
        <v>298</v>
      </c>
      <c r="C99" s="130"/>
      <c r="D99" s="130">
        <v>0</v>
      </c>
      <c r="E99" s="130">
        <v>0</v>
      </c>
      <c r="F99" s="130">
        <v>0</v>
      </c>
      <c r="G99" s="130">
        <v>0</v>
      </c>
      <c r="H99" s="130">
        <v>0</v>
      </c>
      <c r="I99" s="130">
        <v>0</v>
      </c>
      <c r="J99" s="130">
        <v>0</v>
      </c>
      <c r="K99" s="130">
        <v>0</v>
      </c>
      <c r="L99" s="130">
        <v>0</v>
      </c>
      <c r="M99" s="130">
        <v>0</v>
      </c>
      <c r="N99" s="130">
        <v>0</v>
      </c>
      <c r="O99" s="130">
        <v>102.27448206164854</v>
      </c>
      <c r="P99" s="130">
        <v>259.369277412835</v>
      </c>
      <c r="Q99" s="130">
        <v>268.369277412835</v>
      </c>
      <c r="R99" s="130">
        <v>302.369277412835</v>
      </c>
      <c r="S99" s="130">
        <v>220.369277412835</v>
      </c>
      <c r="T99" s="130">
        <v>219.69934310257713</v>
      </c>
      <c r="U99" s="130">
        <v>117.69934310257713</v>
      </c>
      <c r="V99" s="130">
        <v>188.69934310257713</v>
      </c>
      <c r="W99" s="130">
        <v>59.699343102577132</v>
      </c>
      <c r="X99" s="130">
        <v>166.02940879231937</v>
      </c>
      <c r="Y99" s="130">
        <v>119.02940879231937</v>
      </c>
      <c r="Z99" s="130">
        <v>63.029408792319373</v>
      </c>
      <c r="AA99" s="130">
        <v>122.02940879231937</v>
      </c>
      <c r="AB99" s="130">
        <v>0</v>
      </c>
      <c r="AC99" s="130">
        <v>73.058817584638746</v>
      </c>
      <c r="AD99" s="130">
        <v>0</v>
      </c>
      <c r="AE99" s="130">
        <v>13.058817584638746</v>
      </c>
      <c r="AF99" s="130">
        <v>176.02940879231937</v>
      </c>
      <c r="AG99" s="130">
        <v>63.029408792319373</v>
      </c>
      <c r="AH99" s="130">
        <v>0</v>
      </c>
      <c r="AI99" s="130">
        <v>83.058817584638746</v>
      </c>
      <c r="AJ99" s="130">
        <v>54.369277412835004</v>
      </c>
      <c r="AK99" s="130">
        <v>150.369277412835</v>
      </c>
      <c r="AL99" s="130">
        <v>267.369277412835</v>
      </c>
      <c r="AM99" s="130">
        <v>321.369277412835</v>
      </c>
      <c r="AN99" s="130">
        <v>257.369277412835</v>
      </c>
      <c r="AO99" s="130">
        <v>136.369277412835</v>
      </c>
      <c r="AP99" s="130">
        <v>120.369277412835</v>
      </c>
      <c r="AQ99" s="130">
        <v>319.369277412835</v>
      </c>
      <c r="AR99" s="130">
        <v>214.369277412835</v>
      </c>
      <c r="AS99" s="130">
        <v>347.369277412835</v>
      </c>
      <c r="AT99" s="130">
        <v>171.369277412835</v>
      </c>
      <c r="AU99" s="130">
        <v>172.369277412835</v>
      </c>
      <c r="AV99" s="130">
        <v>149.69934310257713</v>
      </c>
      <c r="AW99" s="130">
        <v>232.69934310257713</v>
      </c>
      <c r="AX99" s="130">
        <v>123.69934310257713</v>
      </c>
      <c r="AY99" s="130">
        <v>241.69934310257713</v>
      </c>
      <c r="AZ99" s="112">
        <f>SUM($D99:$AY99)</f>
        <v>5897.1305709954559</v>
      </c>
    </row>
    <row r="100" spans="1:52" x14ac:dyDescent="0.2">
      <c r="A100" s="136" t="s">
        <v>133</v>
      </c>
      <c r="B100" s="124">
        <v>1</v>
      </c>
      <c r="C100" s="111"/>
      <c r="D100" s="111">
        <v>0</v>
      </c>
      <c r="E100" s="111">
        <v>0</v>
      </c>
      <c r="F100" s="111">
        <v>384.41637190500262</v>
      </c>
      <c r="G100" s="111">
        <v>384.41637190500262</v>
      </c>
      <c r="H100" s="111">
        <v>384.41637190500262</v>
      </c>
      <c r="I100" s="111">
        <v>384.41637190500262</v>
      </c>
      <c r="J100" s="111">
        <v>422.85800909550284</v>
      </c>
      <c r="K100" s="111">
        <v>422.85800909550284</v>
      </c>
      <c r="L100" s="111">
        <v>422.85800909550284</v>
      </c>
      <c r="M100" s="111">
        <v>422.85800909550284</v>
      </c>
      <c r="N100" s="111">
        <v>422.85800909550284</v>
      </c>
      <c r="O100" s="111">
        <v>422.85800909550284</v>
      </c>
      <c r="P100" s="111">
        <v>422.85800909550284</v>
      </c>
      <c r="Q100" s="111">
        <v>422.85800909550284</v>
      </c>
      <c r="R100" s="111">
        <v>384.41637190500262</v>
      </c>
      <c r="S100" s="111">
        <v>384.41637190500262</v>
      </c>
      <c r="T100" s="111">
        <v>384.41637190500262</v>
      </c>
      <c r="U100" s="111">
        <v>384.41637190500262</v>
      </c>
      <c r="V100" s="111">
        <v>345.9747347145024</v>
      </c>
      <c r="W100" s="111">
        <v>345.9747347145024</v>
      </c>
      <c r="X100" s="111">
        <v>345.9747347145024</v>
      </c>
      <c r="Y100" s="111">
        <v>345.9747347145024</v>
      </c>
      <c r="Z100" s="111">
        <v>345.9747347145024</v>
      </c>
      <c r="AA100" s="111">
        <v>345.9747347145024</v>
      </c>
      <c r="AB100" s="111">
        <v>345.9747347145024</v>
      </c>
      <c r="AC100" s="111">
        <v>345.9747347145024</v>
      </c>
      <c r="AD100" s="111">
        <v>345.9747347145024</v>
      </c>
      <c r="AE100" s="111">
        <v>345.9747347145024</v>
      </c>
      <c r="AF100" s="111">
        <v>345.9747347145024</v>
      </c>
      <c r="AG100" s="111">
        <v>345.9747347145024</v>
      </c>
      <c r="AH100" s="111">
        <v>422.85800909550284</v>
      </c>
      <c r="AI100" s="111">
        <v>422.85800909550284</v>
      </c>
      <c r="AJ100" s="111">
        <v>422.85800909550284</v>
      </c>
      <c r="AK100" s="111">
        <v>422.85800909550284</v>
      </c>
      <c r="AL100" s="111">
        <v>422.85800909550284</v>
      </c>
      <c r="AM100" s="111">
        <v>422.85800909550284</v>
      </c>
      <c r="AN100" s="111">
        <v>422.85800909550284</v>
      </c>
      <c r="AO100" s="111">
        <v>422.85800909550284</v>
      </c>
      <c r="AP100" s="111">
        <v>422.85800909550284</v>
      </c>
      <c r="AQ100" s="111">
        <v>422.85800909550284</v>
      </c>
      <c r="AR100" s="111">
        <v>422.85800909550284</v>
      </c>
      <c r="AS100" s="111">
        <v>422.85800909550284</v>
      </c>
      <c r="AT100" s="111">
        <v>384.41637190500262</v>
      </c>
      <c r="AU100" s="111">
        <v>384.41637190500262</v>
      </c>
      <c r="AV100" s="111">
        <v>384.41637190500262</v>
      </c>
      <c r="AW100" s="111">
        <v>384.41637190500262</v>
      </c>
      <c r="AX100" s="111">
        <v>345.9747347145024</v>
      </c>
      <c r="AY100" s="111">
        <v>345.9747347145024</v>
      </c>
    </row>
    <row r="101" spans="1:52" x14ac:dyDescent="0.2">
      <c r="A101" s="114"/>
      <c r="B101" s="124">
        <v>2</v>
      </c>
      <c r="C101" s="111"/>
      <c r="D101" s="111">
        <v>0</v>
      </c>
      <c r="E101" s="111">
        <v>0</v>
      </c>
      <c r="F101" s="111">
        <v>0</v>
      </c>
      <c r="G101" s="111">
        <v>35.41637190500262</v>
      </c>
      <c r="H101" s="111">
        <v>92.83274381000524</v>
      </c>
      <c r="I101" s="111">
        <v>136.24911571500786</v>
      </c>
      <c r="J101" s="111">
        <v>77.665487620010481</v>
      </c>
      <c r="K101" s="111">
        <v>141.52349671551332</v>
      </c>
      <c r="L101" s="111">
        <v>149.38150581101615</v>
      </c>
      <c r="M101" s="111">
        <v>254.23951490651899</v>
      </c>
      <c r="N101" s="111">
        <v>298.09752400202183</v>
      </c>
      <c r="O101" s="111">
        <v>385.95553309752466</v>
      </c>
      <c r="P101" s="111">
        <v>422.85800909550284</v>
      </c>
      <c r="Q101" s="111">
        <v>422.85800909550284</v>
      </c>
      <c r="R101" s="111">
        <v>422.85800909550284</v>
      </c>
      <c r="S101" s="111">
        <v>384.41637190500262</v>
      </c>
      <c r="T101" s="111">
        <v>384.41637190500262</v>
      </c>
      <c r="U101" s="111">
        <v>384.41637190500262</v>
      </c>
      <c r="V101" s="111">
        <v>384.41637190500262</v>
      </c>
      <c r="W101" s="111">
        <v>345.9747347145024</v>
      </c>
      <c r="X101" s="111">
        <v>345.9747347145024</v>
      </c>
      <c r="Y101" s="111">
        <v>345.9747347145024</v>
      </c>
      <c r="Z101" s="111">
        <v>345.9747347145024</v>
      </c>
      <c r="AA101" s="111">
        <v>345.9747347145024</v>
      </c>
      <c r="AB101" s="111">
        <v>345.9747347145024</v>
      </c>
      <c r="AC101" s="111">
        <v>345.9747347145024</v>
      </c>
      <c r="AD101" s="111">
        <v>345.9747347145024</v>
      </c>
      <c r="AE101" s="111">
        <v>345.9747347145024</v>
      </c>
      <c r="AF101" s="111">
        <v>345.9747347145024</v>
      </c>
      <c r="AG101" s="111">
        <v>345.9747347145024</v>
      </c>
      <c r="AH101" s="111">
        <v>345.9747347145024</v>
      </c>
      <c r="AI101" s="111">
        <v>422.85800909550284</v>
      </c>
      <c r="AJ101" s="111">
        <v>422.85800909550284</v>
      </c>
      <c r="AK101" s="111">
        <v>422.85800909550284</v>
      </c>
      <c r="AL101" s="111">
        <v>422.85800909550284</v>
      </c>
      <c r="AM101" s="111">
        <v>422.85800909550284</v>
      </c>
      <c r="AN101" s="111">
        <v>422.85800909550284</v>
      </c>
      <c r="AO101" s="111">
        <v>422.85800909550284</v>
      </c>
      <c r="AP101" s="111">
        <v>422.85800909550284</v>
      </c>
      <c r="AQ101" s="111">
        <v>422.85800909550284</v>
      </c>
      <c r="AR101" s="111">
        <v>422.85800909550284</v>
      </c>
      <c r="AS101" s="111">
        <v>422.85800909550284</v>
      </c>
      <c r="AT101" s="111">
        <v>422.85800909550284</v>
      </c>
      <c r="AU101" s="111">
        <v>384.41637190500262</v>
      </c>
      <c r="AV101" s="111">
        <v>384.41637190500262</v>
      </c>
      <c r="AW101" s="111">
        <v>384.41637190500262</v>
      </c>
      <c r="AX101" s="111">
        <v>384.41637190500262</v>
      </c>
      <c r="AY101" s="111">
        <v>345.9747347145024</v>
      </c>
    </row>
    <row r="102" spans="1:52" x14ac:dyDescent="0.2">
      <c r="A102" s="114"/>
      <c r="B102" s="125">
        <v>3</v>
      </c>
      <c r="C102" s="111"/>
      <c r="D102" s="111">
        <v>0</v>
      </c>
      <c r="E102" s="111">
        <v>0</v>
      </c>
      <c r="F102" s="111">
        <v>0</v>
      </c>
      <c r="G102" s="111">
        <v>0</v>
      </c>
      <c r="H102" s="111">
        <v>0</v>
      </c>
      <c r="I102" s="111">
        <v>0</v>
      </c>
      <c r="J102" s="111">
        <v>0</v>
      </c>
      <c r="K102" s="111">
        <v>0</v>
      </c>
      <c r="L102" s="111">
        <v>0</v>
      </c>
      <c r="M102" s="111">
        <v>0</v>
      </c>
      <c r="N102" s="111">
        <v>0</v>
      </c>
      <c r="O102" s="111">
        <v>0</v>
      </c>
      <c r="P102" s="111">
        <v>76.955533097524665</v>
      </c>
      <c r="Q102" s="111">
        <v>128.8135421930275</v>
      </c>
      <c r="R102" s="111">
        <v>223.67155128853034</v>
      </c>
      <c r="S102" s="111">
        <v>285.52956038403318</v>
      </c>
      <c r="T102" s="111">
        <v>384.41637190500262</v>
      </c>
      <c r="U102" s="111">
        <v>384.41637190500262</v>
      </c>
      <c r="V102" s="111">
        <v>384.41637190500262</v>
      </c>
      <c r="W102" s="111">
        <v>384.41637190500262</v>
      </c>
      <c r="X102" s="111">
        <v>345.9747347145024</v>
      </c>
      <c r="Y102" s="111">
        <v>345.9747347145024</v>
      </c>
      <c r="Z102" s="111">
        <v>345.9747347145024</v>
      </c>
      <c r="AA102" s="111">
        <v>345.9747347145024</v>
      </c>
      <c r="AB102" s="111">
        <v>345.9747347145024</v>
      </c>
      <c r="AC102" s="111">
        <v>345.9747347145024</v>
      </c>
      <c r="AD102" s="111">
        <v>345.9747347145024</v>
      </c>
      <c r="AE102" s="111">
        <v>338.99292572006289</v>
      </c>
      <c r="AF102" s="111">
        <v>286.96766043456529</v>
      </c>
      <c r="AG102" s="111">
        <v>236.94239514906769</v>
      </c>
      <c r="AH102" s="111">
        <v>152.9171298635701</v>
      </c>
      <c r="AI102" s="111">
        <v>162.8918645780725</v>
      </c>
      <c r="AJ102" s="111">
        <v>167.74987367357534</v>
      </c>
      <c r="AK102" s="111">
        <v>102.60788276907817</v>
      </c>
      <c r="AL102" s="111">
        <v>142.46589186458101</v>
      </c>
      <c r="AM102" s="111">
        <v>210.32390096008385</v>
      </c>
      <c r="AN102" s="111">
        <v>250.18191005558668</v>
      </c>
      <c r="AO102" s="111">
        <v>241.03991915108952</v>
      </c>
      <c r="AP102" s="111">
        <v>250.89792824659236</v>
      </c>
      <c r="AQ102" s="111">
        <v>289.75593734209519</v>
      </c>
      <c r="AR102" s="111">
        <v>289.61394643759803</v>
      </c>
      <c r="AS102" s="111">
        <v>350.47195553310087</v>
      </c>
      <c r="AT102" s="111">
        <v>393.3299646286037</v>
      </c>
      <c r="AU102" s="111">
        <v>422.85800909550284</v>
      </c>
      <c r="AV102" s="111">
        <v>384.41637190500262</v>
      </c>
      <c r="AW102" s="111">
        <v>384.41637190500262</v>
      </c>
      <c r="AX102" s="111">
        <v>384.41637190500262</v>
      </c>
      <c r="AY102" s="111">
        <v>384.41637190500262</v>
      </c>
    </row>
    <row r="103" spans="1:52" x14ac:dyDescent="0.2">
      <c r="A103" s="114"/>
      <c r="B103" s="125">
        <v>4</v>
      </c>
      <c r="C103" s="111"/>
      <c r="D103" s="111">
        <v>0</v>
      </c>
      <c r="E103" s="111">
        <v>0</v>
      </c>
      <c r="F103" s="111">
        <v>0</v>
      </c>
      <c r="G103" s="111">
        <v>0</v>
      </c>
      <c r="H103" s="111">
        <v>0</v>
      </c>
      <c r="I103" s="111">
        <v>0</v>
      </c>
      <c r="J103" s="111">
        <v>0</v>
      </c>
      <c r="K103" s="111">
        <v>0</v>
      </c>
      <c r="L103" s="111">
        <v>0</v>
      </c>
      <c r="M103" s="111">
        <v>0</v>
      </c>
      <c r="N103" s="111">
        <v>0</v>
      </c>
      <c r="O103" s="111">
        <v>0</v>
      </c>
      <c r="P103" s="111">
        <v>0</v>
      </c>
      <c r="Q103" s="111">
        <v>0</v>
      </c>
      <c r="R103" s="111">
        <v>0</v>
      </c>
      <c r="S103" s="111">
        <v>0</v>
      </c>
      <c r="T103" s="111">
        <v>4.5295603840331751</v>
      </c>
      <c r="U103" s="111">
        <v>14.945932289035795</v>
      </c>
      <c r="V103" s="111">
        <v>46.362304194038416</v>
      </c>
      <c r="W103" s="111">
        <v>38.778676099041036</v>
      </c>
      <c r="X103" s="111">
        <v>128.19504800404366</v>
      </c>
      <c r="Y103" s="111">
        <v>101.16978271854606</v>
      </c>
      <c r="Z103" s="111">
        <v>131.14451743304846</v>
      </c>
      <c r="AA103" s="111">
        <v>137.11925214755087</v>
      </c>
      <c r="AB103" s="111">
        <v>34.093986862053271</v>
      </c>
      <c r="AC103" s="111">
        <v>32.068721576555674</v>
      </c>
      <c r="AD103" s="111">
        <v>27.043456291058078</v>
      </c>
      <c r="AE103" s="111">
        <v>0</v>
      </c>
      <c r="AF103" s="111">
        <v>0</v>
      </c>
      <c r="AG103" s="111">
        <v>0</v>
      </c>
      <c r="AH103" s="111">
        <v>0</v>
      </c>
      <c r="AI103" s="111">
        <v>0</v>
      </c>
      <c r="AJ103" s="111">
        <v>0</v>
      </c>
      <c r="AK103" s="111">
        <v>0</v>
      </c>
      <c r="AL103" s="111">
        <v>0</v>
      </c>
      <c r="AM103" s="111">
        <v>0</v>
      </c>
      <c r="AN103" s="111">
        <v>0</v>
      </c>
      <c r="AO103" s="111">
        <v>0</v>
      </c>
      <c r="AP103" s="111">
        <v>0</v>
      </c>
      <c r="AQ103" s="111">
        <v>0</v>
      </c>
      <c r="AR103" s="111">
        <v>0</v>
      </c>
      <c r="AS103" s="111">
        <v>0</v>
      </c>
      <c r="AT103" s="111">
        <v>0</v>
      </c>
      <c r="AU103" s="111">
        <v>59.329964628603705</v>
      </c>
      <c r="AV103" s="111">
        <v>67.187973724106541</v>
      </c>
      <c r="AW103" s="111">
        <v>56.604345629109162</v>
      </c>
      <c r="AX103" s="111">
        <v>88.020717534111782</v>
      </c>
      <c r="AY103" s="111">
        <v>52.437089439114402</v>
      </c>
    </row>
    <row r="104" spans="1:52" x14ac:dyDescent="0.2">
      <c r="A104" s="114"/>
      <c r="B104" s="132">
        <v>5</v>
      </c>
      <c r="C104" s="111"/>
      <c r="D104" s="111">
        <v>0</v>
      </c>
      <c r="E104" s="111">
        <v>0</v>
      </c>
      <c r="F104" s="111">
        <v>0</v>
      </c>
      <c r="G104" s="111">
        <v>0</v>
      </c>
      <c r="H104" s="111">
        <v>0</v>
      </c>
      <c r="I104" s="111">
        <v>0</v>
      </c>
      <c r="J104" s="111">
        <v>0</v>
      </c>
      <c r="K104" s="111">
        <v>0</v>
      </c>
      <c r="L104" s="111">
        <v>0</v>
      </c>
      <c r="M104" s="111">
        <v>0</v>
      </c>
      <c r="N104" s="111">
        <v>0</v>
      </c>
      <c r="O104" s="111">
        <v>0</v>
      </c>
      <c r="P104" s="111">
        <v>0</v>
      </c>
      <c r="Q104" s="111">
        <v>0</v>
      </c>
      <c r="R104" s="111">
        <v>0</v>
      </c>
      <c r="S104" s="111">
        <v>0</v>
      </c>
      <c r="T104" s="111">
        <v>0</v>
      </c>
      <c r="U104" s="111">
        <v>0</v>
      </c>
      <c r="V104" s="111">
        <v>0</v>
      </c>
      <c r="W104" s="111">
        <v>0</v>
      </c>
      <c r="X104" s="111">
        <v>0</v>
      </c>
      <c r="Y104" s="111">
        <v>0</v>
      </c>
      <c r="Z104" s="111">
        <v>0</v>
      </c>
      <c r="AA104" s="111">
        <v>0</v>
      </c>
      <c r="AB104" s="111">
        <v>0</v>
      </c>
      <c r="AC104" s="111">
        <v>0</v>
      </c>
      <c r="AD104" s="111">
        <v>0</v>
      </c>
      <c r="AE104" s="111">
        <v>0</v>
      </c>
      <c r="AF104" s="111">
        <v>0</v>
      </c>
      <c r="AG104" s="111">
        <v>0</v>
      </c>
      <c r="AH104" s="111">
        <v>0</v>
      </c>
      <c r="AI104" s="111">
        <v>0</v>
      </c>
      <c r="AJ104" s="111">
        <v>0</v>
      </c>
      <c r="AK104" s="111">
        <v>0</v>
      </c>
      <c r="AL104" s="111">
        <v>0</v>
      </c>
      <c r="AM104" s="111">
        <v>0</v>
      </c>
      <c r="AN104" s="111">
        <v>0</v>
      </c>
      <c r="AO104" s="111">
        <v>0</v>
      </c>
      <c r="AP104" s="111">
        <v>0</v>
      </c>
      <c r="AQ104" s="111">
        <v>0</v>
      </c>
      <c r="AR104" s="111">
        <v>0</v>
      </c>
      <c r="AS104" s="111">
        <v>0</v>
      </c>
      <c r="AT104" s="111">
        <v>0</v>
      </c>
      <c r="AU104" s="111">
        <v>0</v>
      </c>
      <c r="AV104" s="111">
        <v>0</v>
      </c>
      <c r="AW104" s="111">
        <v>0</v>
      </c>
      <c r="AX104" s="111">
        <v>0</v>
      </c>
      <c r="AY104" s="111">
        <v>0</v>
      </c>
    </row>
    <row r="105" spans="1:52" x14ac:dyDescent="0.2">
      <c r="A105" s="114"/>
      <c r="B105" s="132">
        <v>6</v>
      </c>
      <c r="C105" s="111"/>
      <c r="D105" s="111">
        <v>0</v>
      </c>
      <c r="E105" s="111">
        <v>0</v>
      </c>
      <c r="F105" s="111">
        <v>0</v>
      </c>
      <c r="G105" s="111">
        <v>0</v>
      </c>
      <c r="H105" s="111">
        <v>0</v>
      </c>
      <c r="I105" s="111">
        <v>0</v>
      </c>
      <c r="J105" s="111">
        <v>0</v>
      </c>
      <c r="K105" s="111">
        <v>0</v>
      </c>
      <c r="L105" s="111">
        <v>0</v>
      </c>
      <c r="M105" s="111">
        <v>0</v>
      </c>
      <c r="N105" s="111">
        <v>0</v>
      </c>
      <c r="O105" s="111">
        <v>0</v>
      </c>
      <c r="P105" s="111">
        <v>0</v>
      </c>
      <c r="Q105" s="111">
        <v>0</v>
      </c>
      <c r="R105" s="111">
        <v>0</v>
      </c>
      <c r="S105" s="111">
        <v>0</v>
      </c>
      <c r="T105" s="111">
        <v>0</v>
      </c>
      <c r="U105" s="111">
        <v>0</v>
      </c>
      <c r="V105" s="111">
        <v>0</v>
      </c>
      <c r="W105" s="111">
        <v>0</v>
      </c>
      <c r="X105" s="111">
        <v>0</v>
      </c>
      <c r="Y105" s="111">
        <v>0</v>
      </c>
      <c r="Z105" s="111">
        <v>0</v>
      </c>
      <c r="AA105" s="111">
        <v>0</v>
      </c>
      <c r="AB105" s="111">
        <v>0</v>
      </c>
      <c r="AC105" s="111">
        <v>0</v>
      </c>
      <c r="AD105" s="111">
        <v>0</v>
      </c>
      <c r="AE105" s="111">
        <v>0</v>
      </c>
      <c r="AF105" s="111">
        <v>0</v>
      </c>
      <c r="AG105" s="111">
        <v>0</v>
      </c>
      <c r="AH105" s="111">
        <v>0</v>
      </c>
      <c r="AI105" s="111">
        <v>0</v>
      </c>
      <c r="AJ105" s="111">
        <v>0</v>
      </c>
      <c r="AK105" s="111">
        <v>0</v>
      </c>
      <c r="AL105" s="111">
        <v>0</v>
      </c>
      <c r="AM105" s="111">
        <v>0</v>
      </c>
      <c r="AN105" s="111">
        <v>0</v>
      </c>
      <c r="AO105" s="111">
        <v>0</v>
      </c>
      <c r="AP105" s="111">
        <v>0</v>
      </c>
      <c r="AQ105" s="111">
        <v>0</v>
      </c>
      <c r="AR105" s="111">
        <v>0</v>
      </c>
      <c r="AS105" s="111">
        <v>0</v>
      </c>
      <c r="AT105" s="111">
        <v>0</v>
      </c>
      <c r="AU105" s="111">
        <v>0</v>
      </c>
      <c r="AV105" s="111">
        <v>0</v>
      </c>
      <c r="AW105" s="111">
        <v>0</v>
      </c>
      <c r="AX105" s="111">
        <v>0</v>
      </c>
      <c r="AY105" s="111">
        <v>0</v>
      </c>
    </row>
    <row r="106" spans="1:52" x14ac:dyDescent="0.2">
      <c r="A106" s="114"/>
      <c r="B106" s="135">
        <v>7</v>
      </c>
      <c r="C106" s="111"/>
      <c r="D106" s="111">
        <v>0</v>
      </c>
      <c r="E106" s="111">
        <v>0</v>
      </c>
      <c r="F106" s="111">
        <v>0</v>
      </c>
      <c r="G106" s="111">
        <v>0</v>
      </c>
      <c r="H106" s="111">
        <v>0</v>
      </c>
      <c r="I106" s="111">
        <v>0</v>
      </c>
      <c r="J106" s="111">
        <v>0</v>
      </c>
      <c r="K106" s="111">
        <v>0</v>
      </c>
      <c r="L106" s="111">
        <v>0</v>
      </c>
      <c r="M106" s="111">
        <v>0</v>
      </c>
      <c r="N106" s="111">
        <v>0</v>
      </c>
      <c r="O106" s="111">
        <v>0</v>
      </c>
      <c r="P106" s="111">
        <v>0</v>
      </c>
      <c r="Q106" s="111">
        <v>0</v>
      </c>
      <c r="R106" s="111">
        <v>0</v>
      </c>
      <c r="S106" s="111">
        <v>0</v>
      </c>
      <c r="T106" s="111">
        <v>0</v>
      </c>
      <c r="U106" s="111">
        <v>0</v>
      </c>
      <c r="V106" s="111">
        <v>0</v>
      </c>
      <c r="W106" s="111">
        <v>0</v>
      </c>
      <c r="X106" s="111">
        <v>0</v>
      </c>
      <c r="Y106" s="111">
        <v>0</v>
      </c>
      <c r="Z106" s="111">
        <v>0</v>
      </c>
      <c r="AA106" s="111">
        <v>0</v>
      </c>
      <c r="AB106" s="111">
        <v>0</v>
      </c>
      <c r="AC106" s="111">
        <v>0</v>
      </c>
      <c r="AD106" s="111">
        <v>0</v>
      </c>
      <c r="AE106" s="111">
        <v>0</v>
      </c>
      <c r="AF106" s="111">
        <v>0</v>
      </c>
      <c r="AG106" s="111">
        <v>0</v>
      </c>
      <c r="AH106" s="111">
        <v>0</v>
      </c>
      <c r="AI106" s="111">
        <v>0</v>
      </c>
      <c r="AJ106" s="111">
        <v>0</v>
      </c>
      <c r="AK106" s="111">
        <v>0</v>
      </c>
      <c r="AL106" s="111">
        <v>0</v>
      </c>
      <c r="AM106" s="111">
        <v>0</v>
      </c>
      <c r="AN106" s="111">
        <v>0</v>
      </c>
      <c r="AO106" s="111">
        <v>0</v>
      </c>
      <c r="AP106" s="111">
        <v>0</v>
      </c>
      <c r="AQ106" s="111">
        <v>0</v>
      </c>
      <c r="AR106" s="111">
        <v>0</v>
      </c>
      <c r="AS106" s="111">
        <v>0</v>
      </c>
      <c r="AT106" s="111">
        <v>0</v>
      </c>
      <c r="AU106" s="111">
        <v>0</v>
      </c>
      <c r="AV106" s="111">
        <v>0</v>
      </c>
      <c r="AW106" s="111">
        <v>0</v>
      </c>
      <c r="AX106" s="111">
        <v>0</v>
      </c>
      <c r="AY106" s="111">
        <v>0</v>
      </c>
    </row>
    <row r="107" spans="1:52" x14ac:dyDescent="0.2">
      <c r="A107" s="114"/>
      <c r="B107" s="135">
        <v>8</v>
      </c>
      <c r="C107" s="111"/>
      <c r="D107" s="111">
        <v>0</v>
      </c>
      <c r="E107" s="111">
        <v>0</v>
      </c>
      <c r="F107" s="111">
        <v>0</v>
      </c>
      <c r="G107" s="111">
        <v>0</v>
      </c>
      <c r="H107" s="111">
        <v>0</v>
      </c>
      <c r="I107" s="111">
        <v>0</v>
      </c>
      <c r="J107" s="111">
        <v>0</v>
      </c>
      <c r="K107" s="111">
        <v>0</v>
      </c>
      <c r="L107" s="111">
        <v>0</v>
      </c>
      <c r="M107" s="111">
        <v>0</v>
      </c>
      <c r="N107" s="111">
        <v>0</v>
      </c>
      <c r="O107" s="111">
        <v>0</v>
      </c>
      <c r="P107" s="111">
        <v>0</v>
      </c>
      <c r="Q107" s="111">
        <v>0</v>
      </c>
      <c r="R107" s="111">
        <v>0</v>
      </c>
      <c r="S107" s="111">
        <v>0</v>
      </c>
      <c r="T107" s="111">
        <v>0</v>
      </c>
      <c r="U107" s="111">
        <v>0</v>
      </c>
      <c r="V107" s="111">
        <v>0</v>
      </c>
      <c r="W107" s="111">
        <v>0</v>
      </c>
      <c r="X107" s="111">
        <v>0</v>
      </c>
      <c r="Y107" s="111">
        <v>0</v>
      </c>
      <c r="Z107" s="111">
        <v>0</v>
      </c>
      <c r="AA107" s="111">
        <v>0</v>
      </c>
      <c r="AB107" s="111">
        <v>0</v>
      </c>
      <c r="AC107" s="111">
        <v>0</v>
      </c>
      <c r="AD107" s="111">
        <v>0</v>
      </c>
      <c r="AE107" s="111">
        <v>0</v>
      </c>
      <c r="AF107" s="111">
        <v>0</v>
      </c>
      <c r="AG107" s="111">
        <v>0</v>
      </c>
      <c r="AH107" s="111">
        <v>0</v>
      </c>
      <c r="AI107" s="111">
        <v>0</v>
      </c>
      <c r="AJ107" s="111">
        <v>0</v>
      </c>
      <c r="AK107" s="111">
        <v>0</v>
      </c>
      <c r="AL107" s="111">
        <v>0</v>
      </c>
      <c r="AM107" s="111">
        <v>0</v>
      </c>
      <c r="AN107" s="111">
        <v>0</v>
      </c>
      <c r="AO107" s="111">
        <v>0</v>
      </c>
      <c r="AP107" s="111">
        <v>0</v>
      </c>
      <c r="AQ107" s="111">
        <v>0</v>
      </c>
      <c r="AR107" s="111">
        <v>0</v>
      </c>
      <c r="AS107" s="111">
        <v>0</v>
      </c>
      <c r="AT107" s="111">
        <v>0</v>
      </c>
      <c r="AU107" s="111">
        <v>0</v>
      </c>
      <c r="AV107" s="111">
        <v>0</v>
      </c>
      <c r="AW107" s="111">
        <v>0</v>
      </c>
      <c r="AX107" s="111">
        <v>0</v>
      </c>
      <c r="AY107" s="111">
        <v>0</v>
      </c>
    </row>
    <row r="108" spans="1:52" x14ac:dyDescent="0.2">
      <c r="A108" s="133"/>
      <c r="B108" s="137" t="s">
        <v>298</v>
      </c>
      <c r="C108" s="119"/>
      <c r="D108" s="130">
        <v>0</v>
      </c>
      <c r="E108" s="130">
        <v>0</v>
      </c>
      <c r="F108" s="130">
        <v>0</v>
      </c>
      <c r="G108" s="130">
        <v>0</v>
      </c>
      <c r="H108" s="130">
        <v>0</v>
      </c>
      <c r="I108" s="130">
        <v>0</v>
      </c>
      <c r="J108" s="130">
        <v>0</v>
      </c>
      <c r="K108" s="130">
        <v>0</v>
      </c>
      <c r="L108" s="130">
        <v>0</v>
      </c>
      <c r="M108" s="130">
        <v>0</v>
      </c>
      <c r="N108" s="130">
        <v>0</v>
      </c>
      <c r="O108" s="130">
        <v>0</v>
      </c>
      <c r="P108" s="130">
        <v>0</v>
      </c>
      <c r="Q108" s="130">
        <v>0</v>
      </c>
      <c r="R108" s="130">
        <v>0</v>
      </c>
      <c r="S108" s="130">
        <v>0</v>
      </c>
      <c r="T108" s="130">
        <v>0</v>
      </c>
      <c r="U108" s="130">
        <v>0</v>
      </c>
      <c r="V108" s="130">
        <v>0</v>
      </c>
      <c r="W108" s="130">
        <v>0</v>
      </c>
      <c r="X108" s="130">
        <v>0</v>
      </c>
      <c r="Y108" s="130">
        <v>0</v>
      </c>
      <c r="Z108" s="130">
        <v>0</v>
      </c>
      <c r="AA108" s="130">
        <v>0</v>
      </c>
      <c r="AB108" s="130">
        <v>0</v>
      </c>
      <c r="AC108" s="130">
        <v>0</v>
      </c>
      <c r="AD108" s="130">
        <v>0</v>
      </c>
      <c r="AE108" s="130">
        <v>0</v>
      </c>
      <c r="AF108" s="130">
        <v>0</v>
      </c>
      <c r="AG108" s="130">
        <v>0</v>
      </c>
      <c r="AH108" s="130">
        <v>0</v>
      </c>
      <c r="AI108" s="130">
        <v>0</v>
      </c>
      <c r="AJ108" s="130">
        <v>0</v>
      </c>
      <c r="AK108" s="130">
        <v>0</v>
      </c>
      <c r="AL108" s="130">
        <v>0</v>
      </c>
      <c r="AM108" s="130">
        <v>0</v>
      </c>
      <c r="AN108" s="130">
        <v>0</v>
      </c>
      <c r="AO108" s="130">
        <v>0</v>
      </c>
      <c r="AP108" s="130">
        <v>0</v>
      </c>
      <c r="AQ108" s="130">
        <v>0</v>
      </c>
      <c r="AR108" s="130">
        <v>0</v>
      </c>
      <c r="AS108" s="130">
        <v>0</v>
      </c>
      <c r="AT108" s="130">
        <v>0</v>
      </c>
      <c r="AU108" s="130">
        <v>0</v>
      </c>
      <c r="AV108" s="130">
        <v>0</v>
      </c>
      <c r="AW108" s="130">
        <v>0</v>
      </c>
      <c r="AX108" s="130">
        <v>0</v>
      </c>
      <c r="AY108" s="130">
        <v>0</v>
      </c>
      <c r="AZ108" s="112">
        <f>SUM($D108:$AY108)</f>
        <v>0</v>
      </c>
    </row>
    <row r="109" spans="1:52" x14ac:dyDescent="0.2">
      <c r="A109" s="136" t="s">
        <v>134</v>
      </c>
      <c r="B109" s="124">
        <v>1</v>
      </c>
      <c r="C109" s="111"/>
      <c r="D109" s="111">
        <v>0</v>
      </c>
      <c r="E109" s="111">
        <v>232.46090813093983</v>
      </c>
      <c r="F109" s="111">
        <v>232.46090813093983</v>
      </c>
      <c r="G109" s="111">
        <v>278.11160039976244</v>
      </c>
      <c r="H109" s="111">
        <v>278.11160039976244</v>
      </c>
      <c r="I109" s="111">
        <v>278.19617571523548</v>
      </c>
      <c r="J109" s="111">
        <v>278.11160039976244</v>
      </c>
      <c r="K109" s="111">
        <v>326.40818195444996</v>
      </c>
      <c r="L109" s="111">
        <v>317.05137882929375</v>
      </c>
      <c r="M109" s="111">
        <v>353.83880026666566</v>
      </c>
      <c r="N109" s="111">
        <v>358.26448584531062</v>
      </c>
      <c r="O109" s="111">
        <v>327.69354801979949</v>
      </c>
      <c r="P109" s="111">
        <v>305.32537900288037</v>
      </c>
      <c r="Q109" s="111">
        <v>282.67666962664475</v>
      </c>
      <c r="R109" s="111">
        <v>282.67666962664475</v>
      </c>
      <c r="S109" s="111">
        <v>282.92646949361114</v>
      </c>
      <c r="T109" s="111">
        <v>286.73130538452358</v>
      </c>
      <c r="U109" s="111">
        <v>312.35127081507176</v>
      </c>
      <c r="V109" s="111">
        <v>331.37964246812129</v>
      </c>
      <c r="W109" s="111">
        <v>298.85783799673965</v>
      </c>
      <c r="X109" s="111">
        <v>273.54653117288018</v>
      </c>
      <c r="Y109" s="111">
        <v>273.54653117288018</v>
      </c>
      <c r="Z109" s="111">
        <v>273.54653117288018</v>
      </c>
      <c r="AA109" s="111">
        <v>273.54653117288018</v>
      </c>
      <c r="AB109" s="111">
        <v>273.54653117288018</v>
      </c>
      <c r="AC109" s="111">
        <v>273.54653117288018</v>
      </c>
      <c r="AD109" s="111">
        <v>273.54653117288018</v>
      </c>
      <c r="AE109" s="111">
        <v>273.54653117288018</v>
      </c>
      <c r="AF109" s="111">
        <v>273.54653117288018</v>
      </c>
      <c r="AG109" s="111">
        <v>273.54653117288018</v>
      </c>
      <c r="AH109" s="111">
        <v>273.54653117288018</v>
      </c>
      <c r="AI109" s="111">
        <v>282.67666962664475</v>
      </c>
      <c r="AJ109" s="111">
        <v>282.67666962664475</v>
      </c>
      <c r="AK109" s="111">
        <v>292.71153872049348</v>
      </c>
      <c r="AL109" s="111">
        <v>313.54013137744943</v>
      </c>
      <c r="AM109" s="111">
        <v>282.67666962664475</v>
      </c>
      <c r="AN109" s="111">
        <v>282.67666962664475</v>
      </c>
      <c r="AO109" s="111">
        <v>305.35578261502911</v>
      </c>
      <c r="AP109" s="111">
        <v>326.96752435935304</v>
      </c>
      <c r="AQ109" s="111">
        <v>325.06915258969866</v>
      </c>
      <c r="AR109" s="111">
        <v>351.05248773858204</v>
      </c>
      <c r="AS109" s="111">
        <v>341.57882256066642</v>
      </c>
      <c r="AT109" s="111">
        <v>328.77041711477557</v>
      </c>
      <c r="AU109" s="111">
        <v>318.02245542226291</v>
      </c>
      <c r="AV109" s="111">
        <v>335.8491268344024</v>
      </c>
      <c r="AW109" s="111">
        <v>278.11160039976238</v>
      </c>
      <c r="AX109" s="111">
        <v>278.11160039976244</v>
      </c>
      <c r="AY109" s="111">
        <v>273.54653117288018</v>
      </c>
    </row>
    <row r="110" spans="1:52" x14ac:dyDescent="0.2">
      <c r="A110" s="114"/>
      <c r="B110" s="124">
        <v>2</v>
      </c>
      <c r="C110" s="111"/>
      <c r="D110" s="111">
        <v>0</v>
      </c>
      <c r="E110" s="111">
        <v>0</v>
      </c>
      <c r="F110" s="111">
        <v>0</v>
      </c>
      <c r="G110" s="111">
        <v>0</v>
      </c>
      <c r="H110" s="111">
        <v>0</v>
      </c>
      <c r="I110" s="111">
        <v>0</v>
      </c>
      <c r="J110" s="111">
        <v>81.196175715235483</v>
      </c>
      <c r="K110" s="111">
        <v>116.30777611499792</v>
      </c>
      <c r="L110" s="111">
        <v>218.71595806944788</v>
      </c>
      <c r="M110" s="111">
        <v>310.76733689874163</v>
      </c>
      <c r="N110" s="111">
        <v>353.83880026666566</v>
      </c>
      <c r="O110" s="111">
        <v>358.26448584531062</v>
      </c>
      <c r="P110" s="111">
        <v>327.69354801979949</v>
      </c>
      <c r="Q110" s="111">
        <v>305.32537900288037</v>
      </c>
      <c r="R110" s="111">
        <v>282.67666962664475</v>
      </c>
      <c r="S110" s="111">
        <v>282.67666962664475</v>
      </c>
      <c r="T110" s="111">
        <v>282.92646949361114</v>
      </c>
      <c r="U110" s="111">
        <v>286.73130538452358</v>
      </c>
      <c r="V110" s="111">
        <v>312.35127081507176</v>
      </c>
      <c r="W110" s="111">
        <v>331.37964246812129</v>
      </c>
      <c r="X110" s="111">
        <v>298.85783799673965</v>
      </c>
      <c r="Y110" s="111">
        <v>273.54653117288018</v>
      </c>
      <c r="Z110" s="111">
        <v>273.54653117288018</v>
      </c>
      <c r="AA110" s="111">
        <v>273.54653117288018</v>
      </c>
      <c r="AB110" s="111">
        <v>273.54653117288018</v>
      </c>
      <c r="AC110" s="111">
        <v>273.54653117288018</v>
      </c>
      <c r="AD110" s="111">
        <v>273.54653117288018</v>
      </c>
      <c r="AE110" s="111">
        <v>273.54653117288018</v>
      </c>
      <c r="AF110" s="111">
        <v>273.54653117288018</v>
      </c>
      <c r="AG110" s="111">
        <v>273.54653117288018</v>
      </c>
      <c r="AH110" s="111">
        <v>273.54653117288018</v>
      </c>
      <c r="AI110" s="111">
        <v>273.54653117288018</v>
      </c>
      <c r="AJ110" s="111">
        <v>282.67666962664475</v>
      </c>
      <c r="AK110" s="111">
        <v>282.67666962664475</v>
      </c>
      <c r="AL110" s="111">
        <v>292.71153872049348</v>
      </c>
      <c r="AM110" s="111">
        <v>313.54013137744943</v>
      </c>
      <c r="AN110" s="111">
        <v>282.67666962664475</v>
      </c>
      <c r="AO110" s="111">
        <v>282.67666962664475</v>
      </c>
      <c r="AP110" s="111">
        <v>305.35578261502911</v>
      </c>
      <c r="AQ110" s="111">
        <v>326.96752435935304</v>
      </c>
      <c r="AR110" s="111">
        <v>325.06915258969866</v>
      </c>
      <c r="AS110" s="111">
        <v>351.05248773858204</v>
      </c>
      <c r="AT110" s="111">
        <v>341.57882256066642</v>
      </c>
      <c r="AU110" s="111">
        <v>328.77041711477557</v>
      </c>
      <c r="AV110" s="111">
        <v>318.02245542226291</v>
      </c>
      <c r="AW110" s="111">
        <v>335.8491268344024</v>
      </c>
      <c r="AX110" s="111">
        <v>278.11160039976238</v>
      </c>
      <c r="AY110" s="111">
        <v>278.11160039976244</v>
      </c>
    </row>
    <row r="111" spans="1:52" x14ac:dyDescent="0.2">
      <c r="A111" s="114"/>
      <c r="B111" s="124">
        <v>3</v>
      </c>
      <c r="C111" s="111"/>
      <c r="D111" s="111">
        <v>0</v>
      </c>
      <c r="E111" s="111">
        <v>0</v>
      </c>
      <c r="F111" s="111">
        <v>0</v>
      </c>
      <c r="G111" s="111">
        <v>0</v>
      </c>
      <c r="H111" s="111">
        <v>0</v>
      </c>
      <c r="I111" s="111">
        <v>0</v>
      </c>
      <c r="J111" s="111">
        <v>0</v>
      </c>
      <c r="K111" s="111">
        <v>0</v>
      </c>
      <c r="L111" s="111">
        <v>0</v>
      </c>
      <c r="M111" s="111">
        <v>0</v>
      </c>
      <c r="N111" s="111">
        <v>75.767336898741632</v>
      </c>
      <c r="O111" s="111">
        <v>165.60613716540729</v>
      </c>
      <c r="P111" s="111">
        <v>241.87062301071791</v>
      </c>
      <c r="Q111" s="111">
        <v>308.5641710305174</v>
      </c>
      <c r="R111" s="111">
        <v>305.32537900288037</v>
      </c>
      <c r="S111" s="111">
        <v>282.67666962664475</v>
      </c>
      <c r="T111" s="111">
        <v>282.67666962664475</v>
      </c>
      <c r="U111" s="111">
        <v>282.92646949361114</v>
      </c>
      <c r="V111" s="111">
        <v>286.73130538452358</v>
      </c>
      <c r="W111" s="111">
        <v>312.35127081507176</v>
      </c>
      <c r="X111" s="111">
        <v>331.37964246812129</v>
      </c>
      <c r="Y111" s="111">
        <v>298.85783799673965</v>
      </c>
      <c r="Z111" s="111">
        <v>273.54653117288018</v>
      </c>
      <c r="AA111" s="111">
        <v>273.54653117288018</v>
      </c>
      <c r="AB111" s="111">
        <v>273.54653117288018</v>
      </c>
      <c r="AC111" s="111">
        <v>273.54653117288018</v>
      </c>
      <c r="AD111" s="111">
        <v>273.54653117288018</v>
      </c>
      <c r="AE111" s="111">
        <v>273.54653117288018</v>
      </c>
      <c r="AF111" s="111">
        <v>273.54653117288018</v>
      </c>
      <c r="AG111" s="111">
        <v>273.54653117288018</v>
      </c>
      <c r="AH111" s="111">
        <v>273.54653117288018</v>
      </c>
      <c r="AI111" s="111">
        <v>273.54653117288018</v>
      </c>
      <c r="AJ111" s="111">
        <v>273.54653117288018</v>
      </c>
      <c r="AK111" s="111">
        <v>282.67666962664475</v>
      </c>
      <c r="AL111" s="111">
        <v>282.67666962664475</v>
      </c>
      <c r="AM111" s="111">
        <v>292.71153872049348</v>
      </c>
      <c r="AN111" s="111">
        <v>313.54013137744943</v>
      </c>
      <c r="AO111" s="111">
        <v>282.67666962664475</v>
      </c>
      <c r="AP111" s="111">
        <v>282.67666962664475</v>
      </c>
      <c r="AQ111" s="111">
        <v>305.35578261502911</v>
      </c>
      <c r="AR111" s="111">
        <v>326.96752435935304</v>
      </c>
      <c r="AS111" s="111">
        <v>325.06915258969866</v>
      </c>
      <c r="AT111" s="111">
        <v>351.05248773858204</v>
      </c>
      <c r="AU111" s="111">
        <v>341.57882256066642</v>
      </c>
      <c r="AV111" s="111">
        <v>328.77041711477557</v>
      </c>
      <c r="AW111" s="111">
        <v>318.02245542226291</v>
      </c>
      <c r="AX111" s="111">
        <v>335.8491268344024</v>
      </c>
      <c r="AY111" s="111">
        <v>278.11160039976238</v>
      </c>
    </row>
    <row r="112" spans="1:52" x14ac:dyDescent="0.2">
      <c r="A112" s="114"/>
      <c r="B112" s="125">
        <v>4</v>
      </c>
      <c r="C112" s="111"/>
      <c r="D112" s="111">
        <v>0</v>
      </c>
      <c r="E112" s="111">
        <v>0</v>
      </c>
      <c r="F112" s="111">
        <v>0</v>
      </c>
      <c r="G112" s="111">
        <v>0</v>
      </c>
      <c r="H112" s="111">
        <v>0</v>
      </c>
      <c r="I112" s="111">
        <v>0</v>
      </c>
      <c r="J112" s="111">
        <v>0</v>
      </c>
      <c r="K112" s="111">
        <v>0</v>
      </c>
      <c r="L112" s="111">
        <v>0</v>
      </c>
      <c r="M112" s="111">
        <v>0</v>
      </c>
      <c r="N112" s="111">
        <v>0</v>
      </c>
      <c r="O112" s="111">
        <v>0</v>
      </c>
      <c r="P112" s="111">
        <v>0</v>
      </c>
      <c r="Q112" s="111">
        <v>0</v>
      </c>
      <c r="R112" s="111">
        <v>54.5641710305174</v>
      </c>
      <c r="S112" s="111">
        <v>121.88955003339777</v>
      </c>
      <c r="T112" s="111">
        <v>178.56621966004252</v>
      </c>
      <c r="U112" s="111">
        <v>194.24288928668727</v>
      </c>
      <c r="V112" s="111">
        <v>167.16935878029841</v>
      </c>
      <c r="W112" s="111">
        <v>212.90066416482199</v>
      </c>
      <c r="X112" s="111">
        <v>208.25193497989375</v>
      </c>
      <c r="Y112" s="111">
        <v>247.63157744801504</v>
      </c>
      <c r="Z112" s="111">
        <v>204.48941544475468</v>
      </c>
      <c r="AA112" s="111">
        <v>231.03594661763486</v>
      </c>
      <c r="AB112" s="111">
        <v>215.58247779051504</v>
      </c>
      <c r="AC112" s="111">
        <v>191.12900896339522</v>
      </c>
      <c r="AD112" s="111">
        <v>169.6755401362754</v>
      </c>
      <c r="AE112" s="111">
        <v>124.22207130915558</v>
      </c>
      <c r="AF112" s="111">
        <v>178.76860248203576</v>
      </c>
      <c r="AG112" s="111">
        <v>156.31513365491594</v>
      </c>
      <c r="AH112" s="111">
        <v>147.86166482779612</v>
      </c>
      <c r="AI112" s="111">
        <v>191.4081960006763</v>
      </c>
      <c r="AJ112" s="111">
        <v>150.95472717355648</v>
      </c>
      <c r="AK112" s="111">
        <v>201.50125834643666</v>
      </c>
      <c r="AL112" s="111">
        <v>163.17792797308141</v>
      </c>
      <c r="AM112" s="111">
        <v>105.85459759972616</v>
      </c>
      <c r="AN112" s="111">
        <v>136.56613632021964</v>
      </c>
      <c r="AO112" s="111">
        <v>162.10626769766907</v>
      </c>
      <c r="AP112" s="111">
        <v>188.78293732431382</v>
      </c>
      <c r="AQ112" s="111">
        <v>240.45960695095857</v>
      </c>
      <c r="AR112" s="111">
        <v>230.81538956598769</v>
      </c>
      <c r="AS112" s="111">
        <v>302.78291392534072</v>
      </c>
      <c r="AT112" s="111">
        <v>279.85206651503938</v>
      </c>
      <c r="AU112" s="111">
        <v>351.05248773858204</v>
      </c>
      <c r="AV112" s="111">
        <v>341.57882256066642</v>
      </c>
      <c r="AW112" s="111">
        <v>328.77041711477557</v>
      </c>
      <c r="AX112" s="111">
        <v>318.02245542226291</v>
      </c>
      <c r="AY112" s="111">
        <v>335.8491268344024</v>
      </c>
    </row>
    <row r="113" spans="1:52" x14ac:dyDescent="0.2">
      <c r="A113" s="114"/>
      <c r="B113" s="125">
        <v>5</v>
      </c>
      <c r="C113" s="111"/>
      <c r="D113" s="111">
        <v>0</v>
      </c>
      <c r="E113" s="111">
        <v>0</v>
      </c>
      <c r="F113" s="111">
        <v>0</v>
      </c>
      <c r="G113" s="111">
        <v>0</v>
      </c>
      <c r="H113" s="111">
        <v>0</v>
      </c>
      <c r="I113" s="111">
        <v>0</v>
      </c>
      <c r="J113" s="111">
        <v>0</v>
      </c>
      <c r="K113" s="111">
        <v>0</v>
      </c>
      <c r="L113" s="111">
        <v>0</v>
      </c>
      <c r="M113" s="111">
        <v>0</v>
      </c>
      <c r="N113" s="111">
        <v>0</v>
      </c>
      <c r="O113" s="111">
        <v>0</v>
      </c>
      <c r="P113" s="111">
        <v>0</v>
      </c>
      <c r="Q113" s="111">
        <v>0</v>
      </c>
      <c r="R113" s="111">
        <v>0</v>
      </c>
      <c r="S113" s="111">
        <v>0</v>
      </c>
      <c r="T113" s="111">
        <v>0</v>
      </c>
      <c r="U113" s="111">
        <v>0</v>
      </c>
      <c r="V113" s="111">
        <v>0</v>
      </c>
      <c r="W113" s="111">
        <v>0</v>
      </c>
      <c r="X113" s="111">
        <v>0</v>
      </c>
      <c r="Y113" s="111">
        <v>0</v>
      </c>
      <c r="Z113" s="111">
        <v>0</v>
      </c>
      <c r="AA113" s="111">
        <v>0</v>
      </c>
      <c r="AB113" s="111">
        <v>0</v>
      </c>
      <c r="AC113" s="111">
        <v>0</v>
      </c>
      <c r="AD113" s="111">
        <v>0</v>
      </c>
      <c r="AE113" s="111">
        <v>0</v>
      </c>
      <c r="AF113" s="111">
        <v>0</v>
      </c>
      <c r="AG113" s="111">
        <v>0</v>
      </c>
      <c r="AH113" s="111">
        <v>0</v>
      </c>
      <c r="AI113" s="111">
        <v>0</v>
      </c>
      <c r="AJ113" s="111">
        <v>0</v>
      </c>
      <c r="AK113" s="111">
        <v>0</v>
      </c>
      <c r="AL113" s="111">
        <v>0</v>
      </c>
      <c r="AM113" s="111">
        <v>0</v>
      </c>
      <c r="AN113" s="111">
        <v>0</v>
      </c>
      <c r="AO113" s="111">
        <v>0</v>
      </c>
      <c r="AP113" s="111">
        <v>0</v>
      </c>
      <c r="AQ113" s="111">
        <v>0</v>
      </c>
      <c r="AR113" s="111">
        <v>0</v>
      </c>
      <c r="AS113" s="111">
        <v>0</v>
      </c>
      <c r="AT113" s="111">
        <v>0</v>
      </c>
      <c r="AU113" s="111">
        <v>7.8520665150393825</v>
      </c>
      <c r="AV113" s="111">
        <v>89.904554253621427</v>
      </c>
      <c r="AW113" s="111">
        <v>147.48337681428785</v>
      </c>
      <c r="AX113" s="111">
        <v>142.25379392906342</v>
      </c>
      <c r="AY113" s="111">
        <v>96.276249351326328</v>
      </c>
    </row>
    <row r="114" spans="1:52" x14ac:dyDescent="0.2">
      <c r="A114" s="114"/>
      <c r="B114" s="125">
        <v>6</v>
      </c>
      <c r="C114" s="111"/>
      <c r="D114" s="111">
        <v>0</v>
      </c>
      <c r="E114" s="111">
        <v>0</v>
      </c>
      <c r="F114" s="111">
        <v>0</v>
      </c>
      <c r="G114" s="111">
        <v>0</v>
      </c>
      <c r="H114" s="111">
        <v>0</v>
      </c>
      <c r="I114" s="111">
        <v>0</v>
      </c>
      <c r="J114" s="111">
        <v>0</v>
      </c>
      <c r="K114" s="111">
        <v>0</v>
      </c>
      <c r="L114" s="111">
        <v>0</v>
      </c>
      <c r="M114" s="111">
        <v>0</v>
      </c>
      <c r="N114" s="111">
        <v>0</v>
      </c>
      <c r="O114" s="111">
        <v>0</v>
      </c>
      <c r="P114" s="111">
        <v>0</v>
      </c>
      <c r="Q114" s="111">
        <v>0</v>
      </c>
      <c r="R114" s="111">
        <v>0</v>
      </c>
      <c r="S114" s="111">
        <v>0</v>
      </c>
      <c r="T114" s="111">
        <v>0</v>
      </c>
      <c r="U114" s="111">
        <v>0</v>
      </c>
      <c r="V114" s="111">
        <v>0</v>
      </c>
      <c r="W114" s="111">
        <v>0</v>
      </c>
      <c r="X114" s="111">
        <v>0</v>
      </c>
      <c r="Y114" s="111">
        <v>0</v>
      </c>
      <c r="Z114" s="111">
        <v>0</v>
      </c>
      <c r="AA114" s="111">
        <v>0</v>
      </c>
      <c r="AB114" s="111">
        <v>0</v>
      </c>
      <c r="AC114" s="111">
        <v>0</v>
      </c>
      <c r="AD114" s="111">
        <v>0</v>
      </c>
      <c r="AE114" s="111">
        <v>0</v>
      </c>
      <c r="AF114" s="111">
        <v>0</v>
      </c>
      <c r="AG114" s="111">
        <v>0</v>
      </c>
      <c r="AH114" s="111">
        <v>0</v>
      </c>
      <c r="AI114" s="111">
        <v>0</v>
      </c>
      <c r="AJ114" s="111">
        <v>0</v>
      </c>
      <c r="AK114" s="111">
        <v>0</v>
      </c>
      <c r="AL114" s="111">
        <v>0</v>
      </c>
      <c r="AM114" s="111">
        <v>0</v>
      </c>
      <c r="AN114" s="111">
        <v>0</v>
      </c>
      <c r="AO114" s="111">
        <v>0</v>
      </c>
      <c r="AP114" s="111">
        <v>0</v>
      </c>
      <c r="AQ114" s="111">
        <v>0</v>
      </c>
      <c r="AR114" s="111">
        <v>0</v>
      </c>
      <c r="AS114" s="111">
        <v>0</v>
      </c>
      <c r="AT114" s="111">
        <v>0</v>
      </c>
      <c r="AU114" s="111">
        <v>0</v>
      </c>
      <c r="AV114" s="111">
        <v>0</v>
      </c>
      <c r="AW114" s="111">
        <v>0</v>
      </c>
      <c r="AX114" s="111">
        <v>0</v>
      </c>
      <c r="AY114" s="111">
        <v>0</v>
      </c>
    </row>
    <row r="115" spans="1:52" x14ac:dyDescent="0.2">
      <c r="A115" s="114"/>
      <c r="B115" s="132">
        <v>7</v>
      </c>
      <c r="C115" s="111"/>
      <c r="D115" s="111">
        <v>0</v>
      </c>
      <c r="E115" s="111">
        <v>0</v>
      </c>
      <c r="F115" s="111">
        <v>0</v>
      </c>
      <c r="G115" s="111">
        <v>0</v>
      </c>
      <c r="H115" s="111">
        <v>0</v>
      </c>
      <c r="I115" s="111">
        <v>0</v>
      </c>
      <c r="J115" s="111">
        <v>0</v>
      </c>
      <c r="K115" s="111">
        <v>0</v>
      </c>
      <c r="L115" s="111">
        <v>0</v>
      </c>
      <c r="M115" s="111">
        <v>0</v>
      </c>
      <c r="N115" s="111">
        <v>0</v>
      </c>
      <c r="O115" s="111">
        <v>0</v>
      </c>
      <c r="P115" s="111">
        <v>0</v>
      </c>
      <c r="Q115" s="111">
        <v>0</v>
      </c>
      <c r="R115" s="111">
        <v>0</v>
      </c>
      <c r="S115" s="111">
        <v>0</v>
      </c>
      <c r="T115" s="111">
        <v>0</v>
      </c>
      <c r="U115" s="111">
        <v>0</v>
      </c>
      <c r="V115" s="111">
        <v>0</v>
      </c>
      <c r="W115" s="111">
        <v>0</v>
      </c>
      <c r="X115" s="111">
        <v>0</v>
      </c>
      <c r="Y115" s="111">
        <v>0</v>
      </c>
      <c r="Z115" s="111">
        <v>0</v>
      </c>
      <c r="AA115" s="111">
        <v>0</v>
      </c>
      <c r="AB115" s="111">
        <v>0</v>
      </c>
      <c r="AC115" s="111">
        <v>0</v>
      </c>
      <c r="AD115" s="111">
        <v>0</v>
      </c>
      <c r="AE115" s="111">
        <v>0</v>
      </c>
      <c r="AF115" s="111">
        <v>0</v>
      </c>
      <c r="AG115" s="111">
        <v>0</v>
      </c>
      <c r="AH115" s="111">
        <v>0</v>
      </c>
      <c r="AI115" s="111">
        <v>0</v>
      </c>
      <c r="AJ115" s="111">
        <v>0</v>
      </c>
      <c r="AK115" s="111">
        <v>0</v>
      </c>
      <c r="AL115" s="111">
        <v>0</v>
      </c>
      <c r="AM115" s="111">
        <v>0</v>
      </c>
      <c r="AN115" s="111">
        <v>0</v>
      </c>
      <c r="AO115" s="111">
        <v>0</v>
      </c>
      <c r="AP115" s="111">
        <v>0</v>
      </c>
      <c r="AQ115" s="111">
        <v>0</v>
      </c>
      <c r="AR115" s="111">
        <v>0</v>
      </c>
      <c r="AS115" s="111">
        <v>0</v>
      </c>
      <c r="AT115" s="111">
        <v>0</v>
      </c>
      <c r="AU115" s="111">
        <v>0</v>
      </c>
      <c r="AV115" s="111">
        <v>0</v>
      </c>
      <c r="AW115" s="111">
        <v>0</v>
      </c>
      <c r="AX115" s="111">
        <v>0</v>
      </c>
      <c r="AY115" s="111">
        <v>0</v>
      </c>
    </row>
    <row r="116" spans="1:52" x14ac:dyDescent="0.2">
      <c r="A116" s="114"/>
      <c r="B116" s="132">
        <v>8</v>
      </c>
      <c r="C116" s="111"/>
      <c r="D116" s="111">
        <v>0</v>
      </c>
      <c r="E116" s="111">
        <v>0</v>
      </c>
      <c r="F116" s="111">
        <v>0</v>
      </c>
      <c r="G116" s="111">
        <v>0</v>
      </c>
      <c r="H116" s="111">
        <v>0</v>
      </c>
      <c r="I116" s="111">
        <v>0</v>
      </c>
      <c r="J116" s="111">
        <v>0</v>
      </c>
      <c r="K116" s="111">
        <v>0</v>
      </c>
      <c r="L116" s="111">
        <v>0</v>
      </c>
      <c r="M116" s="111">
        <v>0</v>
      </c>
      <c r="N116" s="111">
        <v>0</v>
      </c>
      <c r="O116" s="111">
        <v>0</v>
      </c>
      <c r="P116" s="111">
        <v>0</v>
      </c>
      <c r="Q116" s="111">
        <v>0</v>
      </c>
      <c r="R116" s="111">
        <v>0</v>
      </c>
      <c r="S116" s="111">
        <v>0</v>
      </c>
      <c r="T116" s="111">
        <v>0</v>
      </c>
      <c r="U116" s="111">
        <v>0</v>
      </c>
      <c r="V116" s="111">
        <v>0</v>
      </c>
      <c r="W116" s="111">
        <v>0</v>
      </c>
      <c r="X116" s="111">
        <v>0</v>
      </c>
      <c r="Y116" s="111">
        <v>0</v>
      </c>
      <c r="Z116" s="111">
        <v>0</v>
      </c>
      <c r="AA116" s="111">
        <v>0</v>
      </c>
      <c r="AB116" s="111">
        <v>0</v>
      </c>
      <c r="AC116" s="111">
        <v>0</v>
      </c>
      <c r="AD116" s="111">
        <v>0</v>
      </c>
      <c r="AE116" s="111">
        <v>0</v>
      </c>
      <c r="AF116" s="111">
        <v>0</v>
      </c>
      <c r="AG116" s="111">
        <v>0</v>
      </c>
      <c r="AH116" s="111">
        <v>0</v>
      </c>
      <c r="AI116" s="111">
        <v>0</v>
      </c>
      <c r="AJ116" s="111">
        <v>0</v>
      </c>
      <c r="AK116" s="111">
        <v>0</v>
      </c>
      <c r="AL116" s="111">
        <v>0</v>
      </c>
      <c r="AM116" s="111">
        <v>0</v>
      </c>
      <c r="AN116" s="111">
        <v>0</v>
      </c>
      <c r="AO116" s="111">
        <v>0</v>
      </c>
      <c r="AP116" s="111">
        <v>0</v>
      </c>
      <c r="AQ116" s="111">
        <v>0</v>
      </c>
      <c r="AR116" s="111">
        <v>0</v>
      </c>
      <c r="AS116" s="111">
        <v>0</v>
      </c>
      <c r="AT116" s="111">
        <v>0</v>
      </c>
      <c r="AU116" s="111">
        <v>0</v>
      </c>
      <c r="AV116" s="111">
        <v>0</v>
      </c>
      <c r="AW116" s="111">
        <v>0</v>
      </c>
      <c r="AX116" s="111">
        <v>0</v>
      </c>
      <c r="AY116" s="111">
        <v>0</v>
      </c>
    </row>
    <row r="117" spans="1:52" x14ac:dyDescent="0.2">
      <c r="A117" s="114"/>
      <c r="B117" s="132">
        <v>9</v>
      </c>
      <c r="C117" s="111"/>
      <c r="D117" s="111">
        <v>0</v>
      </c>
      <c r="E117" s="111">
        <v>0</v>
      </c>
      <c r="F117" s="111">
        <v>0</v>
      </c>
      <c r="G117" s="111">
        <v>0</v>
      </c>
      <c r="H117" s="111">
        <v>0</v>
      </c>
      <c r="I117" s="111">
        <v>0</v>
      </c>
      <c r="J117" s="111">
        <v>0</v>
      </c>
      <c r="K117" s="111">
        <v>0</v>
      </c>
      <c r="L117" s="111">
        <v>0</v>
      </c>
      <c r="M117" s="111">
        <v>0</v>
      </c>
      <c r="N117" s="111">
        <v>0</v>
      </c>
      <c r="O117" s="111">
        <v>0</v>
      </c>
      <c r="P117" s="111">
        <v>0</v>
      </c>
      <c r="Q117" s="111">
        <v>0</v>
      </c>
      <c r="R117" s="111">
        <v>0</v>
      </c>
      <c r="S117" s="111">
        <v>0</v>
      </c>
      <c r="T117" s="111">
        <v>0</v>
      </c>
      <c r="U117" s="111">
        <v>0</v>
      </c>
      <c r="V117" s="111">
        <v>0</v>
      </c>
      <c r="W117" s="111">
        <v>0</v>
      </c>
      <c r="X117" s="111">
        <v>0</v>
      </c>
      <c r="Y117" s="111">
        <v>0</v>
      </c>
      <c r="Z117" s="111">
        <v>0</v>
      </c>
      <c r="AA117" s="111">
        <v>0</v>
      </c>
      <c r="AB117" s="111">
        <v>0</v>
      </c>
      <c r="AC117" s="111">
        <v>0</v>
      </c>
      <c r="AD117" s="111">
        <v>0</v>
      </c>
      <c r="AE117" s="111">
        <v>0</v>
      </c>
      <c r="AF117" s="111">
        <v>0</v>
      </c>
      <c r="AG117" s="111">
        <v>0</v>
      </c>
      <c r="AH117" s="111">
        <v>0</v>
      </c>
      <c r="AI117" s="111">
        <v>0</v>
      </c>
      <c r="AJ117" s="111">
        <v>0</v>
      </c>
      <c r="AK117" s="111">
        <v>0</v>
      </c>
      <c r="AL117" s="111">
        <v>0</v>
      </c>
      <c r="AM117" s="111">
        <v>0</v>
      </c>
      <c r="AN117" s="111">
        <v>0</v>
      </c>
      <c r="AO117" s="111">
        <v>0</v>
      </c>
      <c r="AP117" s="111">
        <v>0</v>
      </c>
      <c r="AQ117" s="111">
        <v>0</v>
      </c>
      <c r="AR117" s="111">
        <v>0</v>
      </c>
      <c r="AS117" s="111">
        <v>0</v>
      </c>
      <c r="AT117" s="111">
        <v>0</v>
      </c>
      <c r="AU117" s="111">
        <v>0</v>
      </c>
      <c r="AV117" s="111">
        <v>0</v>
      </c>
      <c r="AW117" s="111">
        <v>0</v>
      </c>
      <c r="AX117" s="111">
        <v>0</v>
      </c>
      <c r="AY117" s="111">
        <v>0</v>
      </c>
    </row>
    <row r="118" spans="1:52" x14ac:dyDescent="0.2">
      <c r="A118" s="114"/>
      <c r="B118" s="135">
        <v>10</v>
      </c>
      <c r="C118" s="111"/>
      <c r="D118" s="111">
        <v>0</v>
      </c>
      <c r="E118" s="111">
        <v>0</v>
      </c>
      <c r="F118" s="111">
        <v>0</v>
      </c>
      <c r="G118" s="111">
        <v>0</v>
      </c>
      <c r="H118" s="111">
        <v>0</v>
      </c>
      <c r="I118" s="111">
        <v>0</v>
      </c>
      <c r="J118" s="111">
        <v>0</v>
      </c>
      <c r="K118" s="111">
        <v>0</v>
      </c>
      <c r="L118" s="111">
        <v>0</v>
      </c>
      <c r="M118" s="111">
        <v>0</v>
      </c>
      <c r="N118" s="111">
        <v>0</v>
      </c>
      <c r="O118" s="111">
        <v>0</v>
      </c>
      <c r="P118" s="111">
        <v>0</v>
      </c>
      <c r="Q118" s="111">
        <v>0</v>
      </c>
      <c r="R118" s="111">
        <v>0</v>
      </c>
      <c r="S118" s="111">
        <v>0</v>
      </c>
      <c r="T118" s="111">
        <v>0</v>
      </c>
      <c r="U118" s="111">
        <v>0</v>
      </c>
      <c r="V118" s="111">
        <v>0</v>
      </c>
      <c r="W118" s="111">
        <v>0</v>
      </c>
      <c r="X118" s="111">
        <v>0</v>
      </c>
      <c r="Y118" s="111">
        <v>0</v>
      </c>
      <c r="Z118" s="111">
        <v>0</v>
      </c>
      <c r="AA118" s="111">
        <v>0</v>
      </c>
      <c r="AB118" s="111">
        <v>0</v>
      </c>
      <c r="AC118" s="111">
        <v>0</v>
      </c>
      <c r="AD118" s="111">
        <v>0</v>
      </c>
      <c r="AE118" s="111">
        <v>0</v>
      </c>
      <c r="AF118" s="111">
        <v>0</v>
      </c>
      <c r="AG118" s="111">
        <v>0</v>
      </c>
      <c r="AH118" s="111">
        <v>0</v>
      </c>
      <c r="AI118" s="111">
        <v>0</v>
      </c>
      <c r="AJ118" s="111">
        <v>0</v>
      </c>
      <c r="AK118" s="111">
        <v>0</v>
      </c>
      <c r="AL118" s="111">
        <v>0</v>
      </c>
      <c r="AM118" s="111">
        <v>0</v>
      </c>
      <c r="AN118" s="111">
        <v>0</v>
      </c>
      <c r="AO118" s="111">
        <v>0</v>
      </c>
      <c r="AP118" s="111">
        <v>0</v>
      </c>
      <c r="AQ118" s="111">
        <v>0</v>
      </c>
      <c r="AR118" s="111">
        <v>0</v>
      </c>
      <c r="AS118" s="111">
        <v>0</v>
      </c>
      <c r="AT118" s="111">
        <v>0</v>
      </c>
      <c r="AU118" s="111">
        <v>0</v>
      </c>
      <c r="AV118" s="111">
        <v>0</v>
      </c>
      <c r="AW118" s="111">
        <v>0</v>
      </c>
      <c r="AX118" s="111">
        <v>0</v>
      </c>
      <c r="AY118" s="111">
        <v>0</v>
      </c>
    </row>
    <row r="119" spans="1:52" x14ac:dyDescent="0.2">
      <c r="A119" s="114"/>
      <c r="B119" s="135">
        <v>11</v>
      </c>
      <c r="C119" s="111"/>
      <c r="D119" s="111">
        <v>0</v>
      </c>
      <c r="E119" s="111">
        <v>0</v>
      </c>
      <c r="F119" s="111">
        <v>0</v>
      </c>
      <c r="G119" s="111">
        <v>0</v>
      </c>
      <c r="H119" s="111">
        <v>0</v>
      </c>
      <c r="I119" s="111">
        <v>0</v>
      </c>
      <c r="J119" s="111">
        <v>0</v>
      </c>
      <c r="K119" s="111">
        <v>0</v>
      </c>
      <c r="L119" s="111">
        <v>0</v>
      </c>
      <c r="M119" s="111">
        <v>0</v>
      </c>
      <c r="N119" s="111">
        <v>0</v>
      </c>
      <c r="O119" s="111">
        <v>0</v>
      </c>
      <c r="P119" s="111">
        <v>0</v>
      </c>
      <c r="Q119" s="111">
        <v>0</v>
      </c>
      <c r="R119" s="111">
        <v>0</v>
      </c>
      <c r="S119" s="111">
        <v>0</v>
      </c>
      <c r="T119" s="111">
        <v>0</v>
      </c>
      <c r="U119" s="111">
        <v>0</v>
      </c>
      <c r="V119" s="111">
        <v>0</v>
      </c>
      <c r="W119" s="111">
        <v>0</v>
      </c>
      <c r="X119" s="111">
        <v>0</v>
      </c>
      <c r="Y119" s="111">
        <v>0</v>
      </c>
      <c r="Z119" s="111">
        <v>0</v>
      </c>
      <c r="AA119" s="111">
        <v>0</v>
      </c>
      <c r="AB119" s="111">
        <v>0</v>
      </c>
      <c r="AC119" s="111">
        <v>0</v>
      </c>
      <c r="AD119" s="111">
        <v>0</v>
      </c>
      <c r="AE119" s="111">
        <v>0</v>
      </c>
      <c r="AF119" s="111">
        <v>0</v>
      </c>
      <c r="AG119" s="111">
        <v>0</v>
      </c>
      <c r="AH119" s="111">
        <v>0</v>
      </c>
      <c r="AI119" s="111">
        <v>0</v>
      </c>
      <c r="AJ119" s="111">
        <v>0</v>
      </c>
      <c r="AK119" s="111">
        <v>0</v>
      </c>
      <c r="AL119" s="111">
        <v>0</v>
      </c>
      <c r="AM119" s="111">
        <v>0</v>
      </c>
      <c r="AN119" s="111">
        <v>0</v>
      </c>
      <c r="AO119" s="111">
        <v>0</v>
      </c>
      <c r="AP119" s="111">
        <v>0</v>
      </c>
      <c r="AQ119" s="111">
        <v>0</v>
      </c>
      <c r="AR119" s="111">
        <v>0</v>
      </c>
      <c r="AS119" s="111">
        <v>0</v>
      </c>
      <c r="AT119" s="111">
        <v>0</v>
      </c>
      <c r="AU119" s="111">
        <v>0</v>
      </c>
      <c r="AV119" s="111">
        <v>0</v>
      </c>
      <c r="AW119" s="111">
        <v>0</v>
      </c>
      <c r="AX119" s="111">
        <v>0</v>
      </c>
      <c r="AY119" s="111">
        <v>0</v>
      </c>
    </row>
    <row r="120" spans="1:52" x14ac:dyDescent="0.2">
      <c r="A120" s="114"/>
      <c r="B120" s="135">
        <v>12</v>
      </c>
      <c r="C120" s="111"/>
      <c r="D120" s="111">
        <v>0</v>
      </c>
      <c r="E120" s="111">
        <v>0</v>
      </c>
      <c r="F120" s="111">
        <v>0</v>
      </c>
      <c r="G120" s="111">
        <v>0</v>
      </c>
      <c r="H120" s="111">
        <v>0</v>
      </c>
      <c r="I120" s="111">
        <v>0</v>
      </c>
      <c r="J120" s="111">
        <v>0</v>
      </c>
      <c r="K120" s="111">
        <v>0</v>
      </c>
      <c r="L120" s="111">
        <v>0</v>
      </c>
      <c r="M120" s="111">
        <v>0</v>
      </c>
      <c r="N120" s="111">
        <v>0</v>
      </c>
      <c r="O120" s="111">
        <v>0</v>
      </c>
      <c r="P120" s="111">
        <v>0</v>
      </c>
      <c r="Q120" s="111">
        <v>0</v>
      </c>
      <c r="R120" s="111">
        <v>0</v>
      </c>
      <c r="S120" s="111">
        <v>0</v>
      </c>
      <c r="T120" s="111">
        <v>0</v>
      </c>
      <c r="U120" s="111">
        <v>0</v>
      </c>
      <c r="V120" s="111">
        <v>0</v>
      </c>
      <c r="W120" s="111">
        <v>0</v>
      </c>
      <c r="X120" s="111">
        <v>0</v>
      </c>
      <c r="Y120" s="111">
        <v>0</v>
      </c>
      <c r="Z120" s="111">
        <v>0</v>
      </c>
      <c r="AA120" s="111">
        <v>0</v>
      </c>
      <c r="AB120" s="111">
        <v>0</v>
      </c>
      <c r="AC120" s="111">
        <v>0</v>
      </c>
      <c r="AD120" s="111">
        <v>0</v>
      </c>
      <c r="AE120" s="111">
        <v>0</v>
      </c>
      <c r="AF120" s="111">
        <v>0</v>
      </c>
      <c r="AG120" s="111">
        <v>0</v>
      </c>
      <c r="AH120" s="111">
        <v>0</v>
      </c>
      <c r="AI120" s="111">
        <v>0</v>
      </c>
      <c r="AJ120" s="111">
        <v>0</v>
      </c>
      <c r="AK120" s="111">
        <v>0</v>
      </c>
      <c r="AL120" s="111">
        <v>0</v>
      </c>
      <c r="AM120" s="111">
        <v>0</v>
      </c>
      <c r="AN120" s="111">
        <v>0</v>
      </c>
      <c r="AO120" s="111">
        <v>0</v>
      </c>
      <c r="AP120" s="111">
        <v>0</v>
      </c>
      <c r="AQ120" s="111">
        <v>0</v>
      </c>
      <c r="AR120" s="111">
        <v>0</v>
      </c>
      <c r="AS120" s="111">
        <v>0</v>
      </c>
      <c r="AT120" s="111">
        <v>0</v>
      </c>
      <c r="AU120" s="111">
        <v>0</v>
      </c>
      <c r="AV120" s="111">
        <v>0</v>
      </c>
      <c r="AW120" s="111">
        <v>0</v>
      </c>
      <c r="AX120" s="111">
        <v>0</v>
      </c>
      <c r="AY120" s="111">
        <v>0</v>
      </c>
    </row>
    <row r="121" spans="1:52" x14ac:dyDescent="0.2">
      <c r="A121" s="133"/>
      <c r="B121" s="137" t="s">
        <v>298</v>
      </c>
      <c r="C121" s="119"/>
      <c r="D121" s="130">
        <v>0</v>
      </c>
      <c r="E121" s="130">
        <v>0</v>
      </c>
      <c r="F121" s="130">
        <v>0</v>
      </c>
      <c r="G121" s="130">
        <v>0</v>
      </c>
      <c r="H121" s="130">
        <v>0</v>
      </c>
      <c r="I121" s="130">
        <v>0</v>
      </c>
      <c r="J121" s="130">
        <v>0</v>
      </c>
      <c r="K121" s="130">
        <v>0</v>
      </c>
      <c r="L121" s="130">
        <v>0</v>
      </c>
      <c r="M121" s="130">
        <v>0</v>
      </c>
      <c r="N121" s="130">
        <v>0</v>
      </c>
      <c r="O121" s="130">
        <v>0</v>
      </c>
      <c r="P121" s="130">
        <v>0</v>
      </c>
      <c r="Q121" s="130">
        <v>0</v>
      </c>
      <c r="R121" s="130">
        <v>0</v>
      </c>
      <c r="S121" s="130">
        <v>0</v>
      </c>
      <c r="T121" s="130">
        <v>0</v>
      </c>
      <c r="U121" s="130">
        <v>0</v>
      </c>
      <c r="V121" s="130">
        <v>0</v>
      </c>
      <c r="W121" s="130">
        <v>0</v>
      </c>
      <c r="X121" s="130">
        <v>0</v>
      </c>
      <c r="Y121" s="130">
        <v>0</v>
      </c>
      <c r="Z121" s="130">
        <v>0</v>
      </c>
      <c r="AA121" s="130">
        <v>0</v>
      </c>
      <c r="AB121" s="130">
        <v>0</v>
      </c>
      <c r="AC121" s="130">
        <v>0</v>
      </c>
      <c r="AD121" s="130">
        <v>0</v>
      </c>
      <c r="AE121" s="130">
        <v>0</v>
      </c>
      <c r="AF121" s="130">
        <v>0</v>
      </c>
      <c r="AG121" s="130">
        <v>0</v>
      </c>
      <c r="AH121" s="130">
        <v>0</v>
      </c>
      <c r="AI121" s="130">
        <v>0</v>
      </c>
      <c r="AJ121" s="130">
        <v>0</v>
      </c>
      <c r="AK121" s="130">
        <v>0</v>
      </c>
      <c r="AL121" s="130">
        <v>0</v>
      </c>
      <c r="AM121" s="130">
        <v>0</v>
      </c>
      <c r="AN121" s="130">
        <v>0</v>
      </c>
      <c r="AO121" s="130">
        <v>0</v>
      </c>
      <c r="AP121" s="130">
        <v>0</v>
      </c>
      <c r="AQ121" s="130">
        <v>0</v>
      </c>
      <c r="AR121" s="130">
        <v>0</v>
      </c>
      <c r="AS121" s="130">
        <v>0</v>
      </c>
      <c r="AT121" s="130">
        <v>0</v>
      </c>
      <c r="AU121" s="130">
        <v>0</v>
      </c>
      <c r="AV121" s="130">
        <v>0</v>
      </c>
      <c r="AW121" s="130">
        <v>0</v>
      </c>
      <c r="AX121" s="130">
        <v>0</v>
      </c>
      <c r="AY121" s="130">
        <v>0</v>
      </c>
      <c r="AZ121" s="112">
        <f>SUM($D121:$AY121)</f>
        <v>0</v>
      </c>
    </row>
    <row r="122" spans="1:52" x14ac:dyDescent="0.2">
      <c r="A122" s="136" t="s">
        <v>123</v>
      </c>
      <c r="B122" s="124">
        <v>1</v>
      </c>
      <c r="C122" s="111"/>
      <c r="D122" s="111">
        <v>1291.4494896163324</v>
      </c>
      <c r="E122" s="111">
        <v>1291.4494896163324</v>
      </c>
      <c r="F122" s="111">
        <v>1545.0644466653468</v>
      </c>
      <c r="G122" s="111">
        <v>1545.0644466653471</v>
      </c>
      <c r="H122" s="111">
        <v>1545.0644466653468</v>
      </c>
      <c r="I122" s="111">
        <v>1545.0644466653468</v>
      </c>
      <c r="J122" s="111">
        <v>1570.4259423702488</v>
      </c>
      <c r="K122" s="111">
        <v>1570.4259423702488</v>
      </c>
      <c r="L122" s="111">
        <v>1570.4259423702488</v>
      </c>
      <c r="M122" s="111">
        <v>1570.4259423702488</v>
      </c>
      <c r="N122" s="111">
        <v>1570.4259423702488</v>
      </c>
      <c r="O122" s="111">
        <v>1570.4259423702488</v>
      </c>
      <c r="P122" s="111">
        <v>1570.4259423702488</v>
      </c>
      <c r="Q122" s="111">
        <v>1570.4259423702488</v>
      </c>
      <c r="R122" s="111">
        <v>1545.0644466653468</v>
      </c>
      <c r="S122" s="111">
        <v>1545.0644466653468</v>
      </c>
      <c r="T122" s="111">
        <v>1545.0644466653468</v>
      </c>
      <c r="U122" s="111">
        <v>1545.0644466653471</v>
      </c>
      <c r="V122" s="111">
        <v>1519.7029509604456</v>
      </c>
      <c r="W122" s="111">
        <v>1519.7029509604456</v>
      </c>
      <c r="X122" s="111">
        <v>1519.7029509604456</v>
      </c>
      <c r="Y122" s="111">
        <v>1519.7029509604456</v>
      </c>
      <c r="Z122" s="111">
        <v>1519.7029509604456</v>
      </c>
      <c r="AA122" s="111">
        <v>1519.7029509604456</v>
      </c>
      <c r="AB122" s="111">
        <v>1519.7029509604456</v>
      </c>
      <c r="AC122" s="111">
        <v>1519.7029509604456</v>
      </c>
      <c r="AD122" s="111">
        <v>1519.7029509604456</v>
      </c>
      <c r="AE122" s="111">
        <v>1519.7029509604456</v>
      </c>
      <c r="AF122" s="111">
        <v>1519.7029509604456</v>
      </c>
      <c r="AG122" s="111">
        <v>1519.7029509604456</v>
      </c>
      <c r="AH122" s="111">
        <v>1570.4259423702488</v>
      </c>
      <c r="AI122" s="111">
        <v>1570.4259423702488</v>
      </c>
      <c r="AJ122" s="111">
        <v>1570.4259423702488</v>
      </c>
      <c r="AK122" s="111">
        <v>1570.4259423702488</v>
      </c>
      <c r="AL122" s="111">
        <v>1570.4259423702488</v>
      </c>
      <c r="AM122" s="111">
        <v>1570.4259423702488</v>
      </c>
      <c r="AN122" s="111">
        <v>1696.4210145279396</v>
      </c>
      <c r="AO122" s="111">
        <v>1696.4210145279396</v>
      </c>
      <c r="AP122" s="111">
        <v>1696.4210145279396</v>
      </c>
      <c r="AQ122" s="111">
        <v>1696.4210145279396</v>
      </c>
      <c r="AR122" s="111">
        <v>1696.4210145279396</v>
      </c>
      <c r="AS122" s="111">
        <v>1696.4210145279396</v>
      </c>
      <c r="AT122" s="111">
        <v>1671.0595188230382</v>
      </c>
      <c r="AU122" s="111">
        <v>1671.0595188230379</v>
      </c>
      <c r="AV122" s="111">
        <v>1545.0644466653468</v>
      </c>
      <c r="AW122" s="111">
        <v>1545.0644466653468</v>
      </c>
      <c r="AX122" s="111">
        <v>1519.7029509604456</v>
      </c>
      <c r="AY122" s="111">
        <v>1519.7029509604456</v>
      </c>
    </row>
    <row r="123" spans="1:52" x14ac:dyDescent="0.2">
      <c r="A123" s="114"/>
      <c r="B123" s="124">
        <v>2</v>
      </c>
      <c r="C123" s="111"/>
      <c r="D123" s="111">
        <v>0</v>
      </c>
      <c r="E123" s="111">
        <v>0</v>
      </c>
      <c r="F123" s="111">
        <v>0</v>
      </c>
      <c r="G123" s="111">
        <v>0</v>
      </c>
      <c r="H123" s="111">
        <v>0.46986286373908115</v>
      </c>
      <c r="I123" s="111">
        <v>0</v>
      </c>
      <c r="J123" s="111">
        <v>242.95284626558441</v>
      </c>
      <c r="K123" s="111">
        <v>190.97060668138329</v>
      </c>
      <c r="L123" s="111">
        <v>395.34517022233831</v>
      </c>
      <c r="M123" s="111">
        <v>419.93231232592143</v>
      </c>
      <c r="N123" s="111">
        <v>250.09376885085953</v>
      </c>
      <c r="O123" s="111">
        <v>125.82616320130887</v>
      </c>
      <c r="P123" s="111">
        <v>0</v>
      </c>
      <c r="Q123" s="111">
        <v>0</v>
      </c>
      <c r="R123" s="111">
        <v>26.749272743604024</v>
      </c>
      <c r="S123" s="111">
        <v>47.88724991533968</v>
      </c>
      <c r="T123" s="111">
        <v>190.22039119616284</v>
      </c>
      <c r="U123" s="111">
        <v>295.93356704643793</v>
      </c>
      <c r="V123" s="111">
        <v>140.61837124366366</v>
      </c>
      <c r="W123" s="111">
        <v>0</v>
      </c>
      <c r="X123" s="111">
        <v>0</v>
      </c>
      <c r="Y123" s="111">
        <v>0</v>
      </c>
      <c r="Z123" s="111">
        <v>0</v>
      </c>
      <c r="AA123" s="111">
        <v>0</v>
      </c>
      <c r="AB123" s="111">
        <v>0</v>
      </c>
      <c r="AC123" s="111">
        <v>0</v>
      </c>
      <c r="AD123" s="111">
        <v>0</v>
      </c>
      <c r="AE123" s="111">
        <v>0</v>
      </c>
      <c r="AF123" s="111">
        <v>0</v>
      </c>
      <c r="AG123" s="111">
        <v>0</v>
      </c>
      <c r="AH123" s="111">
        <v>0</v>
      </c>
      <c r="AI123" s="111">
        <v>0</v>
      </c>
      <c r="AJ123" s="111">
        <v>55.749272743604024</v>
      </c>
      <c r="AK123" s="111">
        <v>171.46367639335926</v>
      </c>
      <c r="AL123" s="111">
        <v>0</v>
      </c>
      <c r="AM123" s="111">
        <v>0</v>
      </c>
      <c r="AN123" s="111">
        <v>0</v>
      </c>
      <c r="AO123" s="111">
        <v>120.06523191291058</v>
      </c>
      <c r="AP123" s="111">
        <v>109.51872208149734</v>
      </c>
      <c r="AQ123" s="111">
        <v>253.87058401973832</v>
      </c>
      <c r="AR123" s="111">
        <v>201.23911080909602</v>
      </c>
      <c r="AS123" s="111">
        <v>130.08130277636928</v>
      </c>
      <c r="AT123" s="111">
        <v>95.731900189533462</v>
      </c>
      <c r="AU123" s="111">
        <v>194.76896359030889</v>
      </c>
      <c r="AV123" s="111">
        <v>0</v>
      </c>
      <c r="AW123" s="111">
        <v>0</v>
      </c>
      <c r="AX123" s="111">
        <v>0</v>
      </c>
      <c r="AY123" s="111">
        <v>0</v>
      </c>
    </row>
    <row r="124" spans="1:52" x14ac:dyDescent="0.2">
      <c r="A124" s="114"/>
      <c r="B124" s="124">
        <v>3</v>
      </c>
      <c r="C124" s="111"/>
      <c r="D124" s="111">
        <v>0</v>
      </c>
      <c r="E124" s="111">
        <v>0</v>
      </c>
      <c r="F124" s="111">
        <v>0</v>
      </c>
      <c r="G124" s="111">
        <v>0</v>
      </c>
      <c r="H124" s="111">
        <v>0</v>
      </c>
      <c r="I124" s="111">
        <v>0</v>
      </c>
      <c r="J124" s="111">
        <v>0</v>
      </c>
      <c r="K124" s="111">
        <v>0</v>
      </c>
      <c r="L124" s="111">
        <v>0</v>
      </c>
      <c r="M124" s="111">
        <v>0</v>
      </c>
      <c r="N124" s="111">
        <v>0</v>
      </c>
      <c r="O124" s="111">
        <v>0</v>
      </c>
      <c r="P124" s="111">
        <v>0</v>
      </c>
      <c r="Q124" s="111">
        <v>0</v>
      </c>
      <c r="R124" s="111">
        <v>0</v>
      </c>
      <c r="S124" s="111">
        <v>0</v>
      </c>
      <c r="T124" s="111">
        <v>0</v>
      </c>
      <c r="U124" s="111">
        <v>0</v>
      </c>
      <c r="V124" s="111">
        <v>0</v>
      </c>
      <c r="W124" s="111">
        <v>0</v>
      </c>
      <c r="X124" s="111">
        <v>0</v>
      </c>
      <c r="Y124" s="111">
        <v>0</v>
      </c>
      <c r="Z124" s="111">
        <v>0</v>
      </c>
      <c r="AA124" s="111">
        <v>0</v>
      </c>
      <c r="AB124" s="111">
        <v>0</v>
      </c>
      <c r="AC124" s="111">
        <v>0</v>
      </c>
      <c r="AD124" s="111">
        <v>0</v>
      </c>
      <c r="AE124" s="111">
        <v>0</v>
      </c>
      <c r="AF124" s="111">
        <v>0</v>
      </c>
      <c r="AG124" s="111">
        <v>0</v>
      </c>
      <c r="AH124" s="111">
        <v>0</v>
      </c>
      <c r="AI124" s="111">
        <v>0</v>
      </c>
      <c r="AJ124" s="111">
        <v>0</v>
      </c>
      <c r="AK124" s="111">
        <v>0</v>
      </c>
      <c r="AL124" s="111">
        <v>0</v>
      </c>
      <c r="AM124" s="111">
        <v>0</v>
      </c>
      <c r="AN124" s="111">
        <v>0</v>
      </c>
      <c r="AO124" s="111">
        <v>0</v>
      </c>
      <c r="AP124" s="111">
        <v>0</v>
      </c>
      <c r="AQ124" s="111">
        <v>0</v>
      </c>
      <c r="AR124" s="111">
        <v>0</v>
      </c>
      <c r="AS124" s="111">
        <v>0</v>
      </c>
      <c r="AT124" s="111">
        <v>0</v>
      </c>
      <c r="AU124" s="111">
        <v>0</v>
      </c>
      <c r="AV124" s="111">
        <v>-2.2737367544323206E-13</v>
      </c>
      <c r="AW124" s="111">
        <v>0</v>
      </c>
      <c r="AX124" s="111">
        <v>0</v>
      </c>
      <c r="AY124" s="111">
        <v>0</v>
      </c>
    </row>
    <row r="125" spans="1:52" x14ac:dyDescent="0.2">
      <c r="A125" s="114"/>
      <c r="B125" s="124">
        <v>4</v>
      </c>
      <c r="C125" s="111"/>
      <c r="D125" s="111">
        <v>0</v>
      </c>
      <c r="E125" s="111">
        <v>0</v>
      </c>
      <c r="F125" s="111">
        <v>0</v>
      </c>
      <c r="G125" s="111">
        <v>0</v>
      </c>
      <c r="H125" s="111">
        <v>0</v>
      </c>
      <c r="I125" s="111">
        <v>0</v>
      </c>
      <c r="J125" s="111">
        <v>0</v>
      </c>
      <c r="K125" s="111">
        <v>0</v>
      </c>
      <c r="L125" s="111">
        <v>0</v>
      </c>
      <c r="M125" s="111">
        <v>0</v>
      </c>
      <c r="N125" s="111">
        <v>0</v>
      </c>
      <c r="O125" s="111">
        <v>0</v>
      </c>
      <c r="P125" s="111">
        <v>0</v>
      </c>
      <c r="Q125" s="111">
        <v>0</v>
      </c>
      <c r="R125" s="111">
        <v>0</v>
      </c>
      <c r="S125" s="111">
        <v>0</v>
      </c>
      <c r="T125" s="111">
        <v>0</v>
      </c>
      <c r="U125" s="111">
        <v>0</v>
      </c>
      <c r="V125" s="111">
        <v>0</v>
      </c>
      <c r="W125" s="111">
        <v>0</v>
      </c>
      <c r="X125" s="111">
        <v>0</v>
      </c>
      <c r="Y125" s="111">
        <v>0</v>
      </c>
      <c r="Z125" s="111">
        <v>0</v>
      </c>
      <c r="AA125" s="111">
        <v>0</v>
      </c>
      <c r="AB125" s="111">
        <v>0</v>
      </c>
      <c r="AC125" s="111">
        <v>0</v>
      </c>
      <c r="AD125" s="111">
        <v>0</v>
      </c>
      <c r="AE125" s="111">
        <v>0</v>
      </c>
      <c r="AF125" s="111">
        <v>0</v>
      </c>
      <c r="AG125" s="111">
        <v>0</v>
      </c>
      <c r="AH125" s="111">
        <v>0</v>
      </c>
      <c r="AI125" s="111">
        <v>0</v>
      </c>
      <c r="AJ125" s="111">
        <v>0</v>
      </c>
      <c r="AK125" s="111">
        <v>0</v>
      </c>
      <c r="AL125" s="111">
        <v>0</v>
      </c>
      <c r="AM125" s="111">
        <v>0</v>
      </c>
      <c r="AN125" s="111">
        <v>0</v>
      </c>
      <c r="AO125" s="111">
        <v>0</v>
      </c>
      <c r="AP125" s="111">
        <v>0</v>
      </c>
      <c r="AQ125" s="111">
        <v>0</v>
      </c>
      <c r="AR125" s="111">
        <v>0</v>
      </c>
      <c r="AS125" s="111">
        <v>0</v>
      </c>
      <c r="AT125" s="111">
        <v>0</v>
      </c>
      <c r="AU125" s="111">
        <v>0</v>
      </c>
      <c r="AV125" s="111">
        <v>0</v>
      </c>
      <c r="AW125" s="111">
        <v>1.864464138634503E-13</v>
      </c>
      <c r="AX125" s="111">
        <v>0</v>
      </c>
      <c r="AY125" s="111">
        <v>0</v>
      </c>
    </row>
    <row r="126" spans="1:52" x14ac:dyDescent="0.2">
      <c r="A126" s="114"/>
      <c r="B126" s="124">
        <v>5</v>
      </c>
      <c r="C126" s="111"/>
      <c r="D126" s="111">
        <v>0</v>
      </c>
      <c r="E126" s="111">
        <v>0</v>
      </c>
      <c r="F126" s="111">
        <v>0</v>
      </c>
      <c r="G126" s="111">
        <v>0</v>
      </c>
      <c r="H126" s="111">
        <v>0</v>
      </c>
      <c r="I126" s="111">
        <v>0</v>
      </c>
      <c r="J126" s="111">
        <v>0</v>
      </c>
      <c r="K126" s="111">
        <v>0</v>
      </c>
      <c r="L126" s="111">
        <v>0</v>
      </c>
      <c r="M126" s="111">
        <v>0</v>
      </c>
      <c r="N126" s="111">
        <v>0</v>
      </c>
      <c r="O126" s="111">
        <v>0</v>
      </c>
      <c r="P126" s="111">
        <v>0</v>
      </c>
      <c r="Q126" s="111">
        <v>0</v>
      </c>
      <c r="R126" s="111">
        <v>0</v>
      </c>
      <c r="S126" s="111">
        <v>0</v>
      </c>
      <c r="T126" s="111">
        <v>0</v>
      </c>
      <c r="U126" s="111">
        <v>0</v>
      </c>
      <c r="V126" s="111">
        <v>0</v>
      </c>
      <c r="W126" s="111">
        <v>0</v>
      </c>
      <c r="X126" s="111">
        <v>0</v>
      </c>
      <c r="Y126" s="111">
        <v>0</v>
      </c>
      <c r="Z126" s="111">
        <v>0</v>
      </c>
      <c r="AA126" s="111">
        <v>0</v>
      </c>
      <c r="AB126" s="111">
        <v>0</v>
      </c>
      <c r="AC126" s="111">
        <v>0</v>
      </c>
      <c r="AD126" s="111">
        <v>0</v>
      </c>
      <c r="AE126" s="111">
        <v>0</v>
      </c>
      <c r="AF126" s="111">
        <v>0</v>
      </c>
      <c r="AG126" s="111">
        <v>0</v>
      </c>
      <c r="AH126" s="111">
        <v>0</v>
      </c>
      <c r="AI126" s="111">
        <v>0</v>
      </c>
      <c r="AJ126" s="111">
        <v>0</v>
      </c>
      <c r="AK126" s="111">
        <v>0</v>
      </c>
      <c r="AL126" s="111">
        <v>0</v>
      </c>
      <c r="AM126" s="111">
        <v>0</v>
      </c>
      <c r="AN126" s="111">
        <v>0</v>
      </c>
      <c r="AO126" s="111">
        <v>0</v>
      </c>
      <c r="AP126" s="111">
        <v>0</v>
      </c>
      <c r="AQ126" s="111">
        <v>0</v>
      </c>
      <c r="AR126" s="111">
        <v>0</v>
      </c>
      <c r="AS126" s="111">
        <v>0</v>
      </c>
      <c r="AT126" s="111">
        <v>0</v>
      </c>
      <c r="AU126" s="111">
        <v>0</v>
      </c>
      <c r="AV126" s="111">
        <v>0</v>
      </c>
      <c r="AW126" s="111">
        <v>0</v>
      </c>
      <c r="AX126" s="111">
        <v>0</v>
      </c>
      <c r="AY126" s="111">
        <v>0</v>
      </c>
    </row>
    <row r="127" spans="1:52" x14ac:dyDescent="0.2">
      <c r="A127" s="114"/>
      <c r="B127" s="124">
        <v>6</v>
      </c>
      <c r="C127" s="111"/>
      <c r="D127" s="111">
        <v>0</v>
      </c>
      <c r="E127" s="111">
        <v>0</v>
      </c>
      <c r="F127" s="111">
        <v>0</v>
      </c>
      <c r="G127" s="111">
        <v>0</v>
      </c>
      <c r="H127" s="111">
        <v>0</v>
      </c>
      <c r="I127" s="111">
        <v>0</v>
      </c>
      <c r="J127" s="111">
        <v>0</v>
      </c>
      <c r="K127" s="111">
        <v>0</v>
      </c>
      <c r="L127" s="111">
        <v>0</v>
      </c>
      <c r="M127" s="111">
        <v>0</v>
      </c>
      <c r="N127" s="111">
        <v>0</v>
      </c>
      <c r="O127" s="111">
        <v>0</v>
      </c>
      <c r="P127" s="111">
        <v>0</v>
      </c>
      <c r="Q127" s="111">
        <v>0</v>
      </c>
      <c r="R127" s="111">
        <v>0</v>
      </c>
      <c r="S127" s="111">
        <v>0</v>
      </c>
      <c r="T127" s="111">
        <v>0</v>
      </c>
      <c r="U127" s="111">
        <v>0</v>
      </c>
      <c r="V127" s="111">
        <v>0</v>
      </c>
      <c r="W127" s="111">
        <v>0</v>
      </c>
      <c r="X127" s="111">
        <v>0</v>
      </c>
      <c r="Y127" s="111">
        <v>0</v>
      </c>
      <c r="Z127" s="111">
        <v>0</v>
      </c>
      <c r="AA127" s="111">
        <v>0</v>
      </c>
      <c r="AB127" s="111">
        <v>0</v>
      </c>
      <c r="AC127" s="111">
        <v>0</v>
      </c>
      <c r="AD127" s="111">
        <v>0</v>
      </c>
      <c r="AE127" s="111">
        <v>0</v>
      </c>
      <c r="AF127" s="111">
        <v>0</v>
      </c>
      <c r="AG127" s="111">
        <v>0</v>
      </c>
      <c r="AH127" s="111">
        <v>0</v>
      </c>
      <c r="AI127" s="111">
        <v>0</v>
      </c>
      <c r="AJ127" s="111">
        <v>0</v>
      </c>
      <c r="AK127" s="111">
        <v>0</v>
      </c>
      <c r="AL127" s="111">
        <v>0</v>
      </c>
      <c r="AM127" s="111">
        <v>0</v>
      </c>
      <c r="AN127" s="111">
        <v>0</v>
      </c>
      <c r="AO127" s="111">
        <v>0</v>
      </c>
      <c r="AP127" s="111">
        <v>0</v>
      </c>
      <c r="AQ127" s="111">
        <v>0</v>
      </c>
      <c r="AR127" s="111">
        <v>0</v>
      </c>
      <c r="AS127" s="111">
        <v>0</v>
      </c>
      <c r="AT127" s="111">
        <v>0</v>
      </c>
      <c r="AU127" s="111">
        <v>0</v>
      </c>
      <c r="AV127" s="111">
        <v>0</v>
      </c>
      <c r="AW127" s="111">
        <v>0</v>
      </c>
      <c r="AX127" s="111">
        <v>0</v>
      </c>
      <c r="AY127" s="111">
        <v>0</v>
      </c>
    </row>
    <row r="128" spans="1:52" x14ac:dyDescent="0.2">
      <c r="A128" s="114"/>
      <c r="B128" s="124">
        <v>7</v>
      </c>
      <c r="C128" s="111"/>
      <c r="D128" s="111">
        <v>0</v>
      </c>
      <c r="E128" s="111">
        <v>0</v>
      </c>
      <c r="F128" s="111">
        <v>0</v>
      </c>
      <c r="G128" s="111">
        <v>0</v>
      </c>
      <c r="H128" s="111">
        <v>0</v>
      </c>
      <c r="I128" s="111">
        <v>0</v>
      </c>
      <c r="J128" s="111">
        <v>0</v>
      </c>
      <c r="K128" s="111">
        <v>0</v>
      </c>
      <c r="L128" s="111">
        <v>0</v>
      </c>
      <c r="M128" s="111">
        <v>0</v>
      </c>
      <c r="N128" s="111">
        <v>0</v>
      </c>
      <c r="O128" s="111">
        <v>0</v>
      </c>
      <c r="P128" s="111">
        <v>0</v>
      </c>
      <c r="Q128" s="111">
        <v>0</v>
      </c>
      <c r="R128" s="111">
        <v>0</v>
      </c>
      <c r="S128" s="111">
        <v>0</v>
      </c>
      <c r="T128" s="111">
        <v>0</v>
      </c>
      <c r="U128" s="111">
        <v>0</v>
      </c>
      <c r="V128" s="111">
        <v>0</v>
      </c>
      <c r="W128" s="111">
        <v>0</v>
      </c>
      <c r="X128" s="111">
        <v>0</v>
      </c>
      <c r="Y128" s="111">
        <v>0</v>
      </c>
      <c r="Z128" s="111">
        <v>0</v>
      </c>
      <c r="AA128" s="111">
        <v>0</v>
      </c>
      <c r="AB128" s="111">
        <v>0</v>
      </c>
      <c r="AC128" s="111">
        <v>0</v>
      </c>
      <c r="AD128" s="111">
        <v>0</v>
      </c>
      <c r="AE128" s="111">
        <v>0</v>
      </c>
      <c r="AF128" s="111">
        <v>0</v>
      </c>
      <c r="AG128" s="111">
        <v>0</v>
      </c>
      <c r="AH128" s="111">
        <v>0</v>
      </c>
      <c r="AI128" s="111">
        <v>0</v>
      </c>
      <c r="AJ128" s="111">
        <v>0</v>
      </c>
      <c r="AK128" s="111">
        <v>0</v>
      </c>
      <c r="AL128" s="111">
        <v>0</v>
      </c>
      <c r="AM128" s="111">
        <v>0</v>
      </c>
      <c r="AN128" s="111">
        <v>0</v>
      </c>
      <c r="AO128" s="111">
        <v>0</v>
      </c>
      <c r="AP128" s="111">
        <v>0</v>
      </c>
      <c r="AQ128" s="111">
        <v>0</v>
      </c>
      <c r="AR128" s="111">
        <v>0</v>
      </c>
      <c r="AS128" s="111">
        <v>0</v>
      </c>
      <c r="AT128" s="111">
        <v>0</v>
      </c>
      <c r="AU128" s="111">
        <v>0</v>
      </c>
      <c r="AV128" s="111">
        <v>0</v>
      </c>
      <c r="AW128" s="111">
        <v>0</v>
      </c>
      <c r="AX128" s="111">
        <v>0</v>
      </c>
      <c r="AY128" s="111">
        <v>0</v>
      </c>
    </row>
    <row r="129" spans="1:51" x14ac:dyDescent="0.2">
      <c r="A129" s="114"/>
      <c r="B129" s="124">
        <v>8</v>
      </c>
      <c r="C129" s="111"/>
      <c r="D129" s="111">
        <v>0</v>
      </c>
      <c r="E129" s="111">
        <v>0</v>
      </c>
      <c r="F129" s="111">
        <v>0</v>
      </c>
      <c r="G129" s="111">
        <v>0</v>
      </c>
      <c r="H129" s="111">
        <v>0</v>
      </c>
      <c r="I129" s="111">
        <v>0</v>
      </c>
      <c r="J129" s="111">
        <v>0</v>
      </c>
      <c r="K129" s="111">
        <v>0</v>
      </c>
      <c r="L129" s="111">
        <v>0</v>
      </c>
      <c r="M129" s="111">
        <v>0</v>
      </c>
      <c r="N129" s="111">
        <v>0</v>
      </c>
      <c r="O129" s="111">
        <v>0</v>
      </c>
      <c r="P129" s="111">
        <v>0</v>
      </c>
      <c r="Q129" s="111">
        <v>0</v>
      </c>
      <c r="R129" s="111">
        <v>0</v>
      </c>
      <c r="S129" s="111">
        <v>0</v>
      </c>
      <c r="T129" s="111">
        <v>0</v>
      </c>
      <c r="U129" s="111">
        <v>0</v>
      </c>
      <c r="V129" s="111">
        <v>0</v>
      </c>
      <c r="W129" s="111">
        <v>0</v>
      </c>
      <c r="X129" s="111">
        <v>0</v>
      </c>
      <c r="Y129" s="111">
        <v>0</v>
      </c>
      <c r="Z129" s="111">
        <v>0</v>
      </c>
      <c r="AA129" s="111">
        <v>0</v>
      </c>
      <c r="AB129" s="111">
        <v>0</v>
      </c>
      <c r="AC129" s="111">
        <v>0</v>
      </c>
      <c r="AD129" s="111">
        <v>0</v>
      </c>
      <c r="AE129" s="111">
        <v>0</v>
      </c>
      <c r="AF129" s="111">
        <v>0</v>
      </c>
      <c r="AG129" s="111">
        <v>0</v>
      </c>
      <c r="AH129" s="111">
        <v>0</v>
      </c>
      <c r="AI129" s="111">
        <v>0</v>
      </c>
      <c r="AJ129" s="111">
        <v>0</v>
      </c>
      <c r="AK129" s="111">
        <v>0</v>
      </c>
      <c r="AL129" s="111">
        <v>0</v>
      </c>
      <c r="AM129" s="111">
        <v>0</v>
      </c>
      <c r="AN129" s="111">
        <v>0</v>
      </c>
      <c r="AO129" s="111">
        <v>0</v>
      </c>
      <c r="AP129" s="111">
        <v>0</v>
      </c>
      <c r="AQ129" s="111">
        <v>0</v>
      </c>
      <c r="AR129" s="111">
        <v>0</v>
      </c>
      <c r="AS129" s="111">
        <v>0</v>
      </c>
      <c r="AT129" s="111">
        <v>0</v>
      </c>
      <c r="AU129" s="111">
        <v>0</v>
      </c>
      <c r="AV129" s="111">
        <v>0</v>
      </c>
      <c r="AW129" s="111">
        <v>0</v>
      </c>
      <c r="AX129" s="111">
        <v>0</v>
      </c>
      <c r="AY129" s="111">
        <v>0</v>
      </c>
    </row>
    <row r="130" spans="1:51" x14ac:dyDescent="0.2">
      <c r="A130" s="114"/>
      <c r="B130" s="124">
        <v>9</v>
      </c>
      <c r="C130" s="111"/>
      <c r="D130" s="111">
        <v>0</v>
      </c>
      <c r="E130" s="111">
        <v>0</v>
      </c>
      <c r="F130" s="111">
        <v>0</v>
      </c>
      <c r="G130" s="111">
        <v>0</v>
      </c>
      <c r="H130" s="111">
        <v>0</v>
      </c>
      <c r="I130" s="111">
        <v>0</v>
      </c>
      <c r="J130" s="111">
        <v>0</v>
      </c>
      <c r="K130" s="111">
        <v>0</v>
      </c>
      <c r="L130" s="111">
        <v>0</v>
      </c>
      <c r="M130" s="111">
        <v>0</v>
      </c>
      <c r="N130" s="111">
        <v>0</v>
      </c>
      <c r="O130" s="111">
        <v>0</v>
      </c>
      <c r="P130" s="111">
        <v>0</v>
      </c>
      <c r="Q130" s="111">
        <v>0</v>
      </c>
      <c r="R130" s="111">
        <v>0</v>
      </c>
      <c r="S130" s="111">
        <v>0</v>
      </c>
      <c r="T130" s="111">
        <v>0</v>
      </c>
      <c r="U130" s="111">
        <v>0</v>
      </c>
      <c r="V130" s="111">
        <v>0</v>
      </c>
      <c r="W130" s="111">
        <v>0</v>
      </c>
      <c r="X130" s="111">
        <v>0</v>
      </c>
      <c r="Y130" s="111">
        <v>0</v>
      </c>
      <c r="Z130" s="111">
        <v>0</v>
      </c>
      <c r="AA130" s="111">
        <v>0</v>
      </c>
      <c r="AB130" s="111">
        <v>0</v>
      </c>
      <c r="AC130" s="111">
        <v>0</v>
      </c>
      <c r="AD130" s="111">
        <v>0</v>
      </c>
      <c r="AE130" s="111">
        <v>0</v>
      </c>
      <c r="AF130" s="111">
        <v>0</v>
      </c>
      <c r="AG130" s="111">
        <v>0</v>
      </c>
      <c r="AH130" s="111">
        <v>0</v>
      </c>
      <c r="AI130" s="111">
        <v>0</v>
      </c>
      <c r="AJ130" s="111">
        <v>0</v>
      </c>
      <c r="AK130" s="111">
        <v>0</v>
      </c>
      <c r="AL130" s="111">
        <v>0</v>
      </c>
      <c r="AM130" s="111">
        <v>0</v>
      </c>
      <c r="AN130" s="111">
        <v>0</v>
      </c>
      <c r="AO130" s="111">
        <v>0</v>
      </c>
      <c r="AP130" s="111">
        <v>0</v>
      </c>
      <c r="AQ130" s="111">
        <v>0</v>
      </c>
      <c r="AR130" s="111">
        <v>0</v>
      </c>
      <c r="AS130" s="111">
        <v>0</v>
      </c>
      <c r="AT130" s="111">
        <v>0</v>
      </c>
      <c r="AU130" s="111">
        <v>0</v>
      </c>
      <c r="AV130" s="111">
        <v>0</v>
      </c>
      <c r="AW130" s="111">
        <v>0</v>
      </c>
      <c r="AX130" s="111">
        <v>0</v>
      </c>
      <c r="AY130" s="111">
        <v>0</v>
      </c>
    </row>
    <row r="131" spans="1:51" x14ac:dyDescent="0.2">
      <c r="A131" s="114"/>
      <c r="B131" s="124">
        <v>10</v>
      </c>
      <c r="C131" s="111"/>
      <c r="D131" s="111">
        <v>0</v>
      </c>
      <c r="E131" s="111">
        <v>0</v>
      </c>
      <c r="F131" s="111">
        <v>0</v>
      </c>
      <c r="G131" s="111">
        <v>0</v>
      </c>
      <c r="H131" s="111">
        <v>0</v>
      </c>
      <c r="I131" s="111">
        <v>0</v>
      </c>
      <c r="J131" s="111">
        <v>0</v>
      </c>
      <c r="K131" s="111">
        <v>0</v>
      </c>
      <c r="L131" s="111">
        <v>0</v>
      </c>
      <c r="M131" s="111">
        <v>0</v>
      </c>
      <c r="N131" s="111">
        <v>0</v>
      </c>
      <c r="O131" s="111">
        <v>0</v>
      </c>
      <c r="P131" s="111">
        <v>0</v>
      </c>
      <c r="Q131" s="111">
        <v>0</v>
      </c>
      <c r="R131" s="111">
        <v>0</v>
      </c>
      <c r="S131" s="111">
        <v>0</v>
      </c>
      <c r="T131" s="111">
        <v>0</v>
      </c>
      <c r="U131" s="111">
        <v>0</v>
      </c>
      <c r="V131" s="111">
        <v>0</v>
      </c>
      <c r="W131" s="111">
        <v>0</v>
      </c>
      <c r="X131" s="111">
        <v>0</v>
      </c>
      <c r="Y131" s="111">
        <v>0</v>
      </c>
      <c r="Z131" s="111">
        <v>0</v>
      </c>
      <c r="AA131" s="111">
        <v>0</v>
      </c>
      <c r="AB131" s="111">
        <v>0</v>
      </c>
      <c r="AC131" s="111">
        <v>0</v>
      </c>
      <c r="AD131" s="111">
        <v>0</v>
      </c>
      <c r="AE131" s="111">
        <v>0</v>
      </c>
      <c r="AF131" s="111">
        <v>0</v>
      </c>
      <c r="AG131" s="111">
        <v>0</v>
      </c>
      <c r="AH131" s="111">
        <v>0</v>
      </c>
      <c r="AI131" s="111">
        <v>0</v>
      </c>
      <c r="AJ131" s="111">
        <v>0</v>
      </c>
      <c r="AK131" s="111">
        <v>0</v>
      </c>
      <c r="AL131" s="111">
        <v>0</v>
      </c>
      <c r="AM131" s="111">
        <v>0</v>
      </c>
      <c r="AN131" s="111">
        <v>0</v>
      </c>
      <c r="AO131" s="111">
        <v>0</v>
      </c>
      <c r="AP131" s="111">
        <v>0</v>
      </c>
      <c r="AQ131" s="111">
        <v>0</v>
      </c>
      <c r="AR131" s="111">
        <v>0</v>
      </c>
      <c r="AS131" s="111">
        <v>0</v>
      </c>
      <c r="AT131" s="111">
        <v>0</v>
      </c>
      <c r="AU131" s="111">
        <v>0</v>
      </c>
      <c r="AV131" s="111">
        <v>0</v>
      </c>
      <c r="AW131" s="111">
        <v>0</v>
      </c>
      <c r="AX131" s="111">
        <v>0</v>
      </c>
      <c r="AY131" s="111">
        <v>0</v>
      </c>
    </row>
    <row r="132" spans="1:51" x14ac:dyDescent="0.2">
      <c r="A132" s="114"/>
      <c r="B132" s="124">
        <v>11</v>
      </c>
      <c r="C132" s="111"/>
      <c r="D132" s="111">
        <v>0</v>
      </c>
      <c r="E132" s="111">
        <v>0</v>
      </c>
      <c r="F132" s="111">
        <v>0</v>
      </c>
      <c r="G132" s="111">
        <v>0</v>
      </c>
      <c r="H132" s="111">
        <v>0</v>
      </c>
      <c r="I132" s="111">
        <v>0</v>
      </c>
      <c r="J132" s="111">
        <v>0</v>
      </c>
      <c r="K132" s="111">
        <v>0</v>
      </c>
      <c r="L132" s="111">
        <v>0</v>
      </c>
      <c r="M132" s="111">
        <v>0</v>
      </c>
      <c r="N132" s="111">
        <v>0</v>
      </c>
      <c r="O132" s="111">
        <v>0</v>
      </c>
      <c r="P132" s="111">
        <v>0</v>
      </c>
      <c r="Q132" s="111">
        <v>0</v>
      </c>
      <c r="R132" s="111">
        <v>0</v>
      </c>
      <c r="S132" s="111">
        <v>0</v>
      </c>
      <c r="T132" s="111">
        <v>0</v>
      </c>
      <c r="U132" s="111">
        <v>0</v>
      </c>
      <c r="V132" s="111">
        <v>0</v>
      </c>
      <c r="W132" s="111">
        <v>0</v>
      </c>
      <c r="X132" s="111">
        <v>0</v>
      </c>
      <c r="Y132" s="111">
        <v>0</v>
      </c>
      <c r="Z132" s="111">
        <v>0</v>
      </c>
      <c r="AA132" s="111">
        <v>0</v>
      </c>
      <c r="AB132" s="111">
        <v>0</v>
      </c>
      <c r="AC132" s="111">
        <v>0</v>
      </c>
      <c r="AD132" s="111">
        <v>0</v>
      </c>
      <c r="AE132" s="111">
        <v>0</v>
      </c>
      <c r="AF132" s="111">
        <v>0</v>
      </c>
      <c r="AG132" s="111">
        <v>0</v>
      </c>
      <c r="AH132" s="111">
        <v>0</v>
      </c>
      <c r="AI132" s="111">
        <v>0</v>
      </c>
      <c r="AJ132" s="111">
        <v>0</v>
      </c>
      <c r="AK132" s="111">
        <v>0</v>
      </c>
      <c r="AL132" s="111">
        <v>0</v>
      </c>
      <c r="AM132" s="111">
        <v>0</v>
      </c>
      <c r="AN132" s="111">
        <v>0</v>
      </c>
      <c r="AO132" s="111">
        <v>0</v>
      </c>
      <c r="AP132" s="111">
        <v>0</v>
      </c>
      <c r="AQ132" s="111">
        <v>0</v>
      </c>
      <c r="AR132" s="111">
        <v>0</v>
      </c>
      <c r="AS132" s="111">
        <v>0</v>
      </c>
      <c r="AT132" s="111">
        <v>0</v>
      </c>
      <c r="AU132" s="111">
        <v>0</v>
      </c>
      <c r="AV132" s="111">
        <v>0</v>
      </c>
      <c r="AW132" s="111">
        <v>0</v>
      </c>
      <c r="AX132" s="111">
        <v>0</v>
      </c>
      <c r="AY132" s="111">
        <v>0</v>
      </c>
    </row>
    <row r="133" spans="1:51" x14ac:dyDescent="0.2">
      <c r="A133" s="114"/>
      <c r="B133" s="124">
        <v>12</v>
      </c>
      <c r="C133" s="111"/>
      <c r="D133" s="111">
        <v>0</v>
      </c>
      <c r="E133" s="111">
        <v>0</v>
      </c>
      <c r="F133" s="111">
        <v>0</v>
      </c>
      <c r="G133" s="111">
        <v>0</v>
      </c>
      <c r="H133" s="111">
        <v>0</v>
      </c>
      <c r="I133" s="111">
        <v>0</v>
      </c>
      <c r="J133" s="111">
        <v>0</v>
      </c>
      <c r="K133" s="111">
        <v>0</v>
      </c>
      <c r="L133" s="111">
        <v>0</v>
      </c>
      <c r="M133" s="111">
        <v>0</v>
      </c>
      <c r="N133" s="111">
        <v>0</v>
      </c>
      <c r="O133" s="111">
        <v>0</v>
      </c>
      <c r="P133" s="111">
        <v>0</v>
      </c>
      <c r="Q133" s="111">
        <v>0</v>
      </c>
      <c r="R133" s="111">
        <v>0</v>
      </c>
      <c r="S133" s="111">
        <v>0</v>
      </c>
      <c r="T133" s="111">
        <v>0</v>
      </c>
      <c r="U133" s="111">
        <v>0</v>
      </c>
      <c r="V133" s="111">
        <v>0</v>
      </c>
      <c r="W133" s="111">
        <v>0</v>
      </c>
      <c r="X133" s="111">
        <v>0</v>
      </c>
      <c r="Y133" s="111">
        <v>0</v>
      </c>
      <c r="Z133" s="111">
        <v>0</v>
      </c>
      <c r="AA133" s="111">
        <v>0</v>
      </c>
      <c r="AB133" s="111">
        <v>0</v>
      </c>
      <c r="AC133" s="111">
        <v>0</v>
      </c>
      <c r="AD133" s="111">
        <v>0</v>
      </c>
      <c r="AE133" s="111">
        <v>0</v>
      </c>
      <c r="AF133" s="111">
        <v>0</v>
      </c>
      <c r="AG133" s="111">
        <v>0</v>
      </c>
      <c r="AH133" s="111">
        <v>0</v>
      </c>
      <c r="AI133" s="111">
        <v>0</v>
      </c>
      <c r="AJ133" s="111">
        <v>0</v>
      </c>
      <c r="AK133" s="111">
        <v>0</v>
      </c>
      <c r="AL133" s="111">
        <v>0</v>
      </c>
      <c r="AM133" s="111">
        <v>0</v>
      </c>
      <c r="AN133" s="111">
        <v>0</v>
      </c>
      <c r="AO133" s="111">
        <v>0</v>
      </c>
      <c r="AP133" s="111">
        <v>0</v>
      </c>
      <c r="AQ133" s="111">
        <v>0</v>
      </c>
      <c r="AR133" s="111">
        <v>0</v>
      </c>
      <c r="AS133" s="111">
        <v>0</v>
      </c>
      <c r="AT133" s="111">
        <v>0</v>
      </c>
      <c r="AU133" s="111">
        <v>0</v>
      </c>
      <c r="AV133" s="111">
        <v>0</v>
      </c>
      <c r="AW133" s="111">
        <v>0</v>
      </c>
      <c r="AX133" s="111">
        <v>0</v>
      </c>
      <c r="AY133" s="111">
        <v>0</v>
      </c>
    </row>
    <row r="134" spans="1:51" x14ac:dyDescent="0.2">
      <c r="A134" s="114"/>
      <c r="B134" s="125">
        <v>13</v>
      </c>
      <c r="C134" s="111"/>
      <c r="D134" s="111">
        <v>0</v>
      </c>
      <c r="E134" s="111">
        <v>0</v>
      </c>
      <c r="F134" s="111">
        <v>0</v>
      </c>
      <c r="G134" s="111">
        <v>0</v>
      </c>
      <c r="H134" s="111">
        <v>0</v>
      </c>
      <c r="I134" s="111">
        <v>0</v>
      </c>
      <c r="J134" s="111">
        <v>0</v>
      </c>
      <c r="K134" s="111">
        <v>0</v>
      </c>
      <c r="L134" s="111">
        <v>0</v>
      </c>
      <c r="M134" s="111">
        <v>0</v>
      </c>
      <c r="N134" s="111">
        <v>0</v>
      </c>
      <c r="O134" s="111">
        <v>0</v>
      </c>
      <c r="P134" s="111">
        <v>0</v>
      </c>
      <c r="Q134" s="111">
        <v>0</v>
      </c>
      <c r="R134" s="111">
        <v>0</v>
      </c>
      <c r="S134" s="111">
        <v>0</v>
      </c>
      <c r="T134" s="111">
        <v>0</v>
      </c>
      <c r="U134" s="111">
        <v>0</v>
      </c>
      <c r="V134" s="111">
        <v>0</v>
      </c>
      <c r="W134" s="111">
        <v>0</v>
      </c>
      <c r="X134" s="111">
        <v>0</v>
      </c>
      <c r="Y134" s="111">
        <v>0</v>
      </c>
      <c r="Z134" s="111">
        <v>0</v>
      </c>
      <c r="AA134" s="111">
        <v>0</v>
      </c>
      <c r="AB134" s="111">
        <v>0</v>
      </c>
      <c r="AC134" s="111">
        <v>0</v>
      </c>
      <c r="AD134" s="111">
        <v>0</v>
      </c>
      <c r="AE134" s="111">
        <v>0</v>
      </c>
      <c r="AF134" s="111">
        <v>0</v>
      </c>
      <c r="AG134" s="111">
        <v>0</v>
      </c>
      <c r="AH134" s="111">
        <v>0</v>
      </c>
      <c r="AI134" s="111">
        <v>0</v>
      </c>
      <c r="AJ134" s="111">
        <v>0</v>
      </c>
      <c r="AK134" s="111">
        <v>0</v>
      </c>
      <c r="AL134" s="111">
        <v>0</v>
      </c>
      <c r="AM134" s="111">
        <v>0</v>
      </c>
      <c r="AN134" s="111">
        <v>0</v>
      </c>
      <c r="AO134" s="111">
        <v>0</v>
      </c>
      <c r="AP134" s="111">
        <v>0</v>
      </c>
      <c r="AQ134" s="111">
        <v>0</v>
      </c>
      <c r="AR134" s="111">
        <v>0</v>
      </c>
      <c r="AS134" s="111">
        <v>0</v>
      </c>
      <c r="AT134" s="111">
        <v>0</v>
      </c>
      <c r="AU134" s="111">
        <v>0</v>
      </c>
      <c r="AV134" s="111">
        <v>0</v>
      </c>
      <c r="AW134" s="111">
        <v>0</v>
      </c>
      <c r="AX134" s="111">
        <v>0</v>
      </c>
      <c r="AY134" s="111">
        <v>0</v>
      </c>
    </row>
    <row r="135" spans="1:51" x14ac:dyDescent="0.2">
      <c r="A135" s="114"/>
      <c r="B135" s="125">
        <v>14</v>
      </c>
      <c r="C135" s="111"/>
      <c r="D135" s="111">
        <v>0</v>
      </c>
      <c r="E135" s="111">
        <v>0</v>
      </c>
      <c r="F135" s="111">
        <v>0</v>
      </c>
      <c r="G135" s="111">
        <v>0</v>
      </c>
      <c r="H135" s="111">
        <v>0</v>
      </c>
      <c r="I135" s="111">
        <v>0</v>
      </c>
      <c r="J135" s="111">
        <v>0</v>
      </c>
      <c r="K135" s="111">
        <v>0</v>
      </c>
      <c r="L135" s="111">
        <v>0</v>
      </c>
      <c r="M135" s="111">
        <v>0</v>
      </c>
      <c r="N135" s="111">
        <v>0</v>
      </c>
      <c r="O135" s="111">
        <v>0</v>
      </c>
      <c r="P135" s="111">
        <v>0</v>
      </c>
      <c r="Q135" s="111">
        <v>0</v>
      </c>
      <c r="R135" s="111">
        <v>0</v>
      </c>
      <c r="S135" s="111">
        <v>0</v>
      </c>
      <c r="T135" s="111">
        <v>0</v>
      </c>
      <c r="U135" s="111">
        <v>0</v>
      </c>
      <c r="V135" s="111">
        <v>0</v>
      </c>
      <c r="W135" s="111">
        <v>0</v>
      </c>
      <c r="X135" s="111">
        <v>0</v>
      </c>
      <c r="Y135" s="111">
        <v>0</v>
      </c>
      <c r="Z135" s="111">
        <v>0</v>
      </c>
      <c r="AA135" s="111">
        <v>0</v>
      </c>
      <c r="AB135" s="111">
        <v>0</v>
      </c>
      <c r="AC135" s="111">
        <v>0</v>
      </c>
      <c r="AD135" s="111">
        <v>0</v>
      </c>
      <c r="AE135" s="111">
        <v>0</v>
      </c>
      <c r="AF135" s="111">
        <v>0</v>
      </c>
      <c r="AG135" s="111">
        <v>0</v>
      </c>
      <c r="AH135" s="111">
        <v>0</v>
      </c>
      <c r="AI135" s="111">
        <v>0</v>
      </c>
      <c r="AJ135" s="111">
        <v>0</v>
      </c>
      <c r="AK135" s="111">
        <v>0</v>
      </c>
      <c r="AL135" s="111">
        <v>0</v>
      </c>
      <c r="AM135" s="111">
        <v>0</v>
      </c>
      <c r="AN135" s="111">
        <v>0</v>
      </c>
      <c r="AO135" s="111">
        <v>0</v>
      </c>
      <c r="AP135" s="111">
        <v>0</v>
      </c>
      <c r="AQ135" s="111">
        <v>0</v>
      </c>
      <c r="AR135" s="111">
        <v>0</v>
      </c>
      <c r="AS135" s="111">
        <v>0</v>
      </c>
      <c r="AT135" s="111">
        <v>0</v>
      </c>
      <c r="AU135" s="111">
        <v>0</v>
      </c>
      <c r="AV135" s="111">
        <v>0</v>
      </c>
      <c r="AW135" s="111">
        <v>0</v>
      </c>
      <c r="AX135" s="111">
        <v>0</v>
      </c>
      <c r="AY135" s="111">
        <v>0</v>
      </c>
    </row>
    <row r="136" spans="1:51" x14ac:dyDescent="0.2">
      <c r="A136" s="114"/>
      <c r="B136" s="125">
        <v>15</v>
      </c>
      <c r="C136" s="111"/>
      <c r="D136" s="111">
        <v>0</v>
      </c>
      <c r="E136" s="111">
        <v>0</v>
      </c>
      <c r="F136" s="111">
        <v>0</v>
      </c>
      <c r="G136" s="111">
        <v>0</v>
      </c>
      <c r="H136" s="111">
        <v>0</v>
      </c>
      <c r="I136" s="111">
        <v>0</v>
      </c>
      <c r="J136" s="111">
        <v>0</v>
      </c>
      <c r="K136" s="111">
        <v>0</v>
      </c>
      <c r="L136" s="111">
        <v>0</v>
      </c>
      <c r="M136" s="111">
        <v>0</v>
      </c>
      <c r="N136" s="111">
        <v>0</v>
      </c>
      <c r="O136" s="111">
        <v>0</v>
      </c>
      <c r="P136" s="111">
        <v>0</v>
      </c>
      <c r="Q136" s="111">
        <v>0</v>
      </c>
      <c r="R136" s="111">
        <v>0</v>
      </c>
      <c r="S136" s="111">
        <v>0</v>
      </c>
      <c r="T136" s="111">
        <v>0</v>
      </c>
      <c r="U136" s="111">
        <v>0</v>
      </c>
      <c r="V136" s="111">
        <v>0</v>
      </c>
      <c r="W136" s="111">
        <v>0</v>
      </c>
      <c r="X136" s="111">
        <v>0</v>
      </c>
      <c r="Y136" s="111">
        <v>0</v>
      </c>
      <c r="Z136" s="111">
        <v>0</v>
      </c>
      <c r="AA136" s="111">
        <v>0</v>
      </c>
      <c r="AB136" s="111">
        <v>0</v>
      </c>
      <c r="AC136" s="111">
        <v>0</v>
      </c>
      <c r="AD136" s="111">
        <v>0</v>
      </c>
      <c r="AE136" s="111">
        <v>0</v>
      </c>
      <c r="AF136" s="111">
        <v>0</v>
      </c>
      <c r="AG136" s="111">
        <v>0</v>
      </c>
      <c r="AH136" s="111">
        <v>0</v>
      </c>
      <c r="AI136" s="111">
        <v>0</v>
      </c>
      <c r="AJ136" s="111">
        <v>0</v>
      </c>
      <c r="AK136" s="111">
        <v>0</v>
      </c>
      <c r="AL136" s="111">
        <v>0</v>
      </c>
      <c r="AM136" s="111">
        <v>0</v>
      </c>
      <c r="AN136" s="111">
        <v>0</v>
      </c>
      <c r="AO136" s="111">
        <v>0</v>
      </c>
      <c r="AP136" s="111">
        <v>0</v>
      </c>
      <c r="AQ136" s="111">
        <v>0</v>
      </c>
      <c r="AR136" s="111">
        <v>0</v>
      </c>
      <c r="AS136" s="111">
        <v>0</v>
      </c>
      <c r="AT136" s="111">
        <v>0</v>
      </c>
      <c r="AU136" s="111">
        <v>0</v>
      </c>
      <c r="AV136" s="111">
        <v>0</v>
      </c>
      <c r="AW136" s="111">
        <v>0</v>
      </c>
      <c r="AX136" s="111">
        <v>0</v>
      </c>
      <c r="AY136" s="111">
        <v>0</v>
      </c>
    </row>
    <row r="137" spans="1:51" x14ac:dyDescent="0.2">
      <c r="A137" s="114"/>
      <c r="B137" s="125">
        <v>16</v>
      </c>
      <c r="C137" s="111"/>
      <c r="D137" s="111">
        <v>0</v>
      </c>
      <c r="E137" s="111">
        <v>0</v>
      </c>
      <c r="F137" s="111">
        <v>0</v>
      </c>
      <c r="G137" s="111">
        <v>0</v>
      </c>
      <c r="H137" s="111">
        <v>0</v>
      </c>
      <c r="I137" s="111">
        <v>0</v>
      </c>
      <c r="J137" s="111">
        <v>0</v>
      </c>
      <c r="K137" s="111">
        <v>0</v>
      </c>
      <c r="L137" s="111">
        <v>0</v>
      </c>
      <c r="M137" s="111">
        <v>0</v>
      </c>
      <c r="N137" s="111">
        <v>0</v>
      </c>
      <c r="O137" s="111">
        <v>0</v>
      </c>
      <c r="P137" s="111">
        <v>0</v>
      </c>
      <c r="Q137" s="111">
        <v>0</v>
      </c>
      <c r="R137" s="111">
        <v>0</v>
      </c>
      <c r="S137" s="111">
        <v>0</v>
      </c>
      <c r="T137" s="111">
        <v>0</v>
      </c>
      <c r="U137" s="111">
        <v>0</v>
      </c>
      <c r="V137" s="111">
        <v>0</v>
      </c>
      <c r="W137" s="111">
        <v>0</v>
      </c>
      <c r="X137" s="111">
        <v>0</v>
      </c>
      <c r="Y137" s="111">
        <v>0</v>
      </c>
      <c r="Z137" s="111">
        <v>0</v>
      </c>
      <c r="AA137" s="111">
        <v>0</v>
      </c>
      <c r="AB137" s="111">
        <v>0</v>
      </c>
      <c r="AC137" s="111">
        <v>0</v>
      </c>
      <c r="AD137" s="111">
        <v>0</v>
      </c>
      <c r="AE137" s="111">
        <v>0</v>
      </c>
      <c r="AF137" s="111">
        <v>0</v>
      </c>
      <c r="AG137" s="111">
        <v>0</v>
      </c>
      <c r="AH137" s="111">
        <v>0</v>
      </c>
      <c r="AI137" s="111">
        <v>0</v>
      </c>
      <c r="AJ137" s="111">
        <v>0</v>
      </c>
      <c r="AK137" s="111">
        <v>0</v>
      </c>
      <c r="AL137" s="111">
        <v>0</v>
      </c>
      <c r="AM137" s="111">
        <v>0</v>
      </c>
      <c r="AN137" s="111">
        <v>0</v>
      </c>
      <c r="AO137" s="111">
        <v>0</v>
      </c>
      <c r="AP137" s="111">
        <v>0</v>
      </c>
      <c r="AQ137" s="111">
        <v>0</v>
      </c>
      <c r="AR137" s="111">
        <v>0</v>
      </c>
      <c r="AS137" s="111">
        <v>0</v>
      </c>
      <c r="AT137" s="111">
        <v>0</v>
      </c>
      <c r="AU137" s="111">
        <v>0</v>
      </c>
      <c r="AV137" s="111">
        <v>0</v>
      </c>
      <c r="AW137" s="111">
        <v>0</v>
      </c>
      <c r="AX137" s="111">
        <v>0</v>
      </c>
      <c r="AY137" s="111">
        <v>0</v>
      </c>
    </row>
    <row r="138" spans="1:51" x14ac:dyDescent="0.2">
      <c r="A138" s="114"/>
      <c r="B138" s="125">
        <v>17</v>
      </c>
      <c r="C138" s="111"/>
      <c r="D138" s="111">
        <v>0</v>
      </c>
      <c r="E138" s="111">
        <v>0</v>
      </c>
      <c r="F138" s="111">
        <v>0</v>
      </c>
      <c r="G138" s="111">
        <v>0</v>
      </c>
      <c r="H138" s="111">
        <v>0</v>
      </c>
      <c r="I138" s="111">
        <v>0</v>
      </c>
      <c r="J138" s="111">
        <v>0</v>
      </c>
      <c r="K138" s="111">
        <v>0</v>
      </c>
      <c r="L138" s="111">
        <v>0</v>
      </c>
      <c r="M138" s="111">
        <v>0</v>
      </c>
      <c r="N138" s="111">
        <v>0</v>
      </c>
      <c r="O138" s="111">
        <v>0</v>
      </c>
      <c r="P138" s="111">
        <v>0</v>
      </c>
      <c r="Q138" s="111">
        <v>0</v>
      </c>
      <c r="R138" s="111">
        <v>0</v>
      </c>
      <c r="S138" s="111">
        <v>0</v>
      </c>
      <c r="T138" s="111">
        <v>0</v>
      </c>
      <c r="U138" s="111">
        <v>0</v>
      </c>
      <c r="V138" s="111">
        <v>0</v>
      </c>
      <c r="W138" s="111">
        <v>0</v>
      </c>
      <c r="X138" s="111">
        <v>0</v>
      </c>
      <c r="Y138" s="111">
        <v>0</v>
      </c>
      <c r="Z138" s="111">
        <v>0</v>
      </c>
      <c r="AA138" s="111">
        <v>0</v>
      </c>
      <c r="AB138" s="111">
        <v>0</v>
      </c>
      <c r="AC138" s="111">
        <v>0</v>
      </c>
      <c r="AD138" s="111">
        <v>0</v>
      </c>
      <c r="AE138" s="111">
        <v>0</v>
      </c>
      <c r="AF138" s="111">
        <v>0</v>
      </c>
      <c r="AG138" s="111">
        <v>0</v>
      </c>
      <c r="AH138" s="111">
        <v>0</v>
      </c>
      <c r="AI138" s="111">
        <v>0</v>
      </c>
      <c r="AJ138" s="111">
        <v>0</v>
      </c>
      <c r="AK138" s="111">
        <v>0</v>
      </c>
      <c r="AL138" s="111">
        <v>0</v>
      </c>
      <c r="AM138" s="111">
        <v>0</v>
      </c>
      <c r="AN138" s="111">
        <v>0</v>
      </c>
      <c r="AO138" s="111">
        <v>0</v>
      </c>
      <c r="AP138" s="111">
        <v>0</v>
      </c>
      <c r="AQ138" s="111">
        <v>0</v>
      </c>
      <c r="AR138" s="111">
        <v>0</v>
      </c>
      <c r="AS138" s="111">
        <v>0</v>
      </c>
      <c r="AT138" s="111">
        <v>0</v>
      </c>
      <c r="AU138" s="111">
        <v>0</v>
      </c>
      <c r="AV138" s="111">
        <v>0</v>
      </c>
      <c r="AW138" s="111">
        <v>0</v>
      </c>
      <c r="AX138" s="111">
        <v>0</v>
      </c>
      <c r="AY138" s="111">
        <v>0</v>
      </c>
    </row>
    <row r="139" spans="1:51" x14ac:dyDescent="0.2">
      <c r="A139" s="114"/>
      <c r="B139" s="125">
        <v>18</v>
      </c>
      <c r="C139" s="111"/>
      <c r="D139" s="111">
        <v>0</v>
      </c>
      <c r="E139" s="111">
        <v>0</v>
      </c>
      <c r="F139" s="111">
        <v>0</v>
      </c>
      <c r="G139" s="111">
        <v>0</v>
      </c>
      <c r="H139" s="111">
        <v>0</v>
      </c>
      <c r="I139" s="111">
        <v>0</v>
      </c>
      <c r="J139" s="111">
        <v>0</v>
      </c>
      <c r="K139" s="111">
        <v>0</v>
      </c>
      <c r="L139" s="111">
        <v>0</v>
      </c>
      <c r="M139" s="111">
        <v>0</v>
      </c>
      <c r="N139" s="111">
        <v>0</v>
      </c>
      <c r="O139" s="111">
        <v>0</v>
      </c>
      <c r="P139" s="111">
        <v>0</v>
      </c>
      <c r="Q139" s="111">
        <v>0</v>
      </c>
      <c r="R139" s="111">
        <v>0</v>
      </c>
      <c r="S139" s="111">
        <v>0</v>
      </c>
      <c r="T139" s="111">
        <v>0</v>
      </c>
      <c r="U139" s="111">
        <v>0</v>
      </c>
      <c r="V139" s="111">
        <v>0</v>
      </c>
      <c r="W139" s="111">
        <v>0</v>
      </c>
      <c r="X139" s="111">
        <v>0</v>
      </c>
      <c r="Y139" s="111">
        <v>0</v>
      </c>
      <c r="Z139" s="111">
        <v>0</v>
      </c>
      <c r="AA139" s="111">
        <v>0</v>
      </c>
      <c r="AB139" s="111">
        <v>0</v>
      </c>
      <c r="AC139" s="111">
        <v>0</v>
      </c>
      <c r="AD139" s="111">
        <v>0</v>
      </c>
      <c r="AE139" s="111">
        <v>0</v>
      </c>
      <c r="AF139" s="111">
        <v>0</v>
      </c>
      <c r="AG139" s="111">
        <v>0</v>
      </c>
      <c r="AH139" s="111">
        <v>0</v>
      </c>
      <c r="AI139" s="111">
        <v>0</v>
      </c>
      <c r="AJ139" s="111">
        <v>0</v>
      </c>
      <c r="AK139" s="111">
        <v>0</v>
      </c>
      <c r="AL139" s="111">
        <v>0</v>
      </c>
      <c r="AM139" s="111">
        <v>0</v>
      </c>
      <c r="AN139" s="111">
        <v>0</v>
      </c>
      <c r="AO139" s="111">
        <v>0</v>
      </c>
      <c r="AP139" s="111">
        <v>0</v>
      </c>
      <c r="AQ139" s="111">
        <v>0</v>
      </c>
      <c r="AR139" s="111">
        <v>0</v>
      </c>
      <c r="AS139" s="111">
        <v>0</v>
      </c>
      <c r="AT139" s="111">
        <v>0</v>
      </c>
      <c r="AU139" s="111">
        <v>0</v>
      </c>
      <c r="AV139" s="111">
        <v>0</v>
      </c>
      <c r="AW139" s="111">
        <v>0</v>
      </c>
      <c r="AX139" s="111">
        <v>0</v>
      </c>
      <c r="AY139" s="111">
        <v>0</v>
      </c>
    </row>
    <row r="140" spans="1:51" x14ac:dyDescent="0.2">
      <c r="A140" s="114"/>
      <c r="B140" s="125">
        <v>19</v>
      </c>
      <c r="C140" s="111"/>
      <c r="D140" s="111">
        <v>0</v>
      </c>
      <c r="E140" s="111">
        <v>0</v>
      </c>
      <c r="F140" s="111">
        <v>0</v>
      </c>
      <c r="G140" s="111">
        <v>0</v>
      </c>
      <c r="H140" s="111">
        <v>0</v>
      </c>
      <c r="I140" s="111">
        <v>0</v>
      </c>
      <c r="J140" s="111">
        <v>0</v>
      </c>
      <c r="K140" s="111">
        <v>0</v>
      </c>
      <c r="L140" s="111">
        <v>0</v>
      </c>
      <c r="M140" s="111">
        <v>0</v>
      </c>
      <c r="N140" s="111">
        <v>0</v>
      </c>
      <c r="O140" s="111">
        <v>0</v>
      </c>
      <c r="P140" s="111">
        <v>0</v>
      </c>
      <c r="Q140" s="111">
        <v>0</v>
      </c>
      <c r="R140" s="111">
        <v>0</v>
      </c>
      <c r="S140" s="111">
        <v>0</v>
      </c>
      <c r="T140" s="111">
        <v>0</v>
      </c>
      <c r="U140" s="111">
        <v>0</v>
      </c>
      <c r="V140" s="111">
        <v>0</v>
      </c>
      <c r="W140" s="111">
        <v>0</v>
      </c>
      <c r="X140" s="111">
        <v>0</v>
      </c>
      <c r="Y140" s="111">
        <v>0</v>
      </c>
      <c r="Z140" s="111">
        <v>0</v>
      </c>
      <c r="AA140" s="111">
        <v>0</v>
      </c>
      <c r="AB140" s="111">
        <v>0</v>
      </c>
      <c r="AC140" s="111">
        <v>0</v>
      </c>
      <c r="AD140" s="111">
        <v>0</v>
      </c>
      <c r="AE140" s="111">
        <v>0</v>
      </c>
      <c r="AF140" s="111">
        <v>0</v>
      </c>
      <c r="AG140" s="111">
        <v>0</v>
      </c>
      <c r="AH140" s="111">
        <v>0</v>
      </c>
      <c r="AI140" s="111">
        <v>0</v>
      </c>
      <c r="AJ140" s="111">
        <v>0</v>
      </c>
      <c r="AK140" s="111">
        <v>0</v>
      </c>
      <c r="AL140" s="111">
        <v>0</v>
      </c>
      <c r="AM140" s="111">
        <v>0</v>
      </c>
      <c r="AN140" s="111">
        <v>0</v>
      </c>
      <c r="AO140" s="111">
        <v>0</v>
      </c>
      <c r="AP140" s="111">
        <v>0</v>
      </c>
      <c r="AQ140" s="111">
        <v>0</v>
      </c>
      <c r="AR140" s="111">
        <v>0</v>
      </c>
      <c r="AS140" s="111">
        <v>0</v>
      </c>
      <c r="AT140" s="111">
        <v>0</v>
      </c>
      <c r="AU140" s="111">
        <v>0</v>
      </c>
      <c r="AV140" s="111">
        <v>0</v>
      </c>
      <c r="AW140" s="111">
        <v>0</v>
      </c>
      <c r="AX140" s="111">
        <v>0</v>
      </c>
      <c r="AY140" s="111">
        <v>0</v>
      </c>
    </row>
    <row r="141" spans="1:51" x14ac:dyDescent="0.2">
      <c r="A141" s="114"/>
      <c r="B141" s="125">
        <v>20</v>
      </c>
      <c r="C141" s="111"/>
      <c r="D141" s="111">
        <v>0</v>
      </c>
      <c r="E141" s="111">
        <v>0</v>
      </c>
      <c r="F141" s="111">
        <v>0</v>
      </c>
      <c r="G141" s="111">
        <v>0</v>
      </c>
      <c r="H141" s="111">
        <v>0</v>
      </c>
      <c r="I141" s="111">
        <v>0</v>
      </c>
      <c r="J141" s="111">
        <v>0</v>
      </c>
      <c r="K141" s="111">
        <v>0</v>
      </c>
      <c r="L141" s="111">
        <v>0</v>
      </c>
      <c r="M141" s="111">
        <v>0</v>
      </c>
      <c r="N141" s="111">
        <v>0</v>
      </c>
      <c r="O141" s="111">
        <v>0</v>
      </c>
      <c r="P141" s="111">
        <v>0</v>
      </c>
      <c r="Q141" s="111">
        <v>0</v>
      </c>
      <c r="R141" s="111">
        <v>0</v>
      </c>
      <c r="S141" s="111">
        <v>0</v>
      </c>
      <c r="T141" s="111">
        <v>0</v>
      </c>
      <c r="U141" s="111">
        <v>0</v>
      </c>
      <c r="V141" s="111">
        <v>0</v>
      </c>
      <c r="W141" s="111">
        <v>0</v>
      </c>
      <c r="X141" s="111">
        <v>0</v>
      </c>
      <c r="Y141" s="111">
        <v>0</v>
      </c>
      <c r="Z141" s="111">
        <v>0</v>
      </c>
      <c r="AA141" s="111">
        <v>0</v>
      </c>
      <c r="AB141" s="111">
        <v>0</v>
      </c>
      <c r="AC141" s="111">
        <v>0</v>
      </c>
      <c r="AD141" s="111">
        <v>0</v>
      </c>
      <c r="AE141" s="111">
        <v>0</v>
      </c>
      <c r="AF141" s="111">
        <v>0</v>
      </c>
      <c r="AG141" s="111">
        <v>0</v>
      </c>
      <c r="AH141" s="111">
        <v>0</v>
      </c>
      <c r="AI141" s="111">
        <v>0</v>
      </c>
      <c r="AJ141" s="111">
        <v>0</v>
      </c>
      <c r="AK141" s="111">
        <v>0</v>
      </c>
      <c r="AL141" s="111">
        <v>0</v>
      </c>
      <c r="AM141" s="111">
        <v>0</v>
      </c>
      <c r="AN141" s="111">
        <v>0</v>
      </c>
      <c r="AO141" s="111">
        <v>0</v>
      </c>
      <c r="AP141" s="111">
        <v>0</v>
      </c>
      <c r="AQ141" s="111">
        <v>0</v>
      </c>
      <c r="AR141" s="111">
        <v>0</v>
      </c>
      <c r="AS141" s="111">
        <v>0</v>
      </c>
      <c r="AT141" s="111">
        <v>0</v>
      </c>
      <c r="AU141" s="111">
        <v>0</v>
      </c>
      <c r="AV141" s="111">
        <v>0</v>
      </c>
      <c r="AW141" s="111">
        <v>0</v>
      </c>
      <c r="AX141" s="111">
        <v>0</v>
      </c>
      <c r="AY141" s="111">
        <v>0</v>
      </c>
    </row>
    <row r="142" spans="1:51" x14ac:dyDescent="0.2">
      <c r="A142" s="114"/>
      <c r="B142" s="125">
        <v>21</v>
      </c>
      <c r="C142" s="111"/>
      <c r="D142" s="111">
        <v>0</v>
      </c>
      <c r="E142" s="111">
        <v>0</v>
      </c>
      <c r="F142" s="111">
        <v>0</v>
      </c>
      <c r="G142" s="111">
        <v>0</v>
      </c>
      <c r="H142" s="111">
        <v>0</v>
      </c>
      <c r="I142" s="111">
        <v>0</v>
      </c>
      <c r="J142" s="111">
        <v>0</v>
      </c>
      <c r="K142" s="111">
        <v>0</v>
      </c>
      <c r="L142" s="111">
        <v>0</v>
      </c>
      <c r="M142" s="111">
        <v>0</v>
      </c>
      <c r="N142" s="111">
        <v>0</v>
      </c>
      <c r="O142" s="111">
        <v>0</v>
      </c>
      <c r="P142" s="111">
        <v>0</v>
      </c>
      <c r="Q142" s="111">
        <v>0</v>
      </c>
      <c r="R142" s="111">
        <v>0</v>
      </c>
      <c r="S142" s="111">
        <v>0</v>
      </c>
      <c r="T142" s="111">
        <v>0</v>
      </c>
      <c r="U142" s="111">
        <v>0</v>
      </c>
      <c r="V142" s="111">
        <v>0</v>
      </c>
      <c r="W142" s="111">
        <v>0</v>
      </c>
      <c r="X142" s="111">
        <v>0</v>
      </c>
      <c r="Y142" s="111">
        <v>0</v>
      </c>
      <c r="Z142" s="111">
        <v>0</v>
      </c>
      <c r="AA142" s="111">
        <v>0</v>
      </c>
      <c r="AB142" s="111">
        <v>0</v>
      </c>
      <c r="AC142" s="111">
        <v>0</v>
      </c>
      <c r="AD142" s="111">
        <v>0</v>
      </c>
      <c r="AE142" s="111">
        <v>0</v>
      </c>
      <c r="AF142" s="111">
        <v>0</v>
      </c>
      <c r="AG142" s="111">
        <v>0</v>
      </c>
      <c r="AH142" s="111">
        <v>0</v>
      </c>
      <c r="AI142" s="111">
        <v>0</v>
      </c>
      <c r="AJ142" s="111">
        <v>0</v>
      </c>
      <c r="AK142" s="111">
        <v>0</v>
      </c>
      <c r="AL142" s="111">
        <v>0</v>
      </c>
      <c r="AM142" s="111">
        <v>0</v>
      </c>
      <c r="AN142" s="111">
        <v>0</v>
      </c>
      <c r="AO142" s="111">
        <v>0</v>
      </c>
      <c r="AP142" s="111">
        <v>0</v>
      </c>
      <c r="AQ142" s="111">
        <v>0</v>
      </c>
      <c r="AR142" s="111">
        <v>0</v>
      </c>
      <c r="AS142" s="111">
        <v>0</v>
      </c>
      <c r="AT142" s="111">
        <v>0</v>
      </c>
      <c r="AU142" s="111">
        <v>0</v>
      </c>
      <c r="AV142" s="111">
        <v>0</v>
      </c>
      <c r="AW142" s="111">
        <v>0</v>
      </c>
      <c r="AX142" s="111">
        <v>0</v>
      </c>
      <c r="AY142" s="111">
        <v>0</v>
      </c>
    </row>
    <row r="143" spans="1:51" x14ac:dyDescent="0.2">
      <c r="A143" s="114"/>
      <c r="B143" s="125">
        <v>22</v>
      </c>
      <c r="C143" s="111"/>
      <c r="D143" s="111">
        <v>0</v>
      </c>
      <c r="E143" s="111">
        <v>0</v>
      </c>
      <c r="F143" s="111">
        <v>0</v>
      </c>
      <c r="G143" s="111">
        <v>0</v>
      </c>
      <c r="H143" s="111">
        <v>0</v>
      </c>
      <c r="I143" s="111">
        <v>0</v>
      </c>
      <c r="J143" s="111">
        <v>0</v>
      </c>
      <c r="K143" s="111">
        <v>0</v>
      </c>
      <c r="L143" s="111">
        <v>0</v>
      </c>
      <c r="M143" s="111">
        <v>0</v>
      </c>
      <c r="N143" s="111">
        <v>0</v>
      </c>
      <c r="O143" s="111">
        <v>0</v>
      </c>
      <c r="P143" s="111">
        <v>0</v>
      </c>
      <c r="Q143" s="111">
        <v>0</v>
      </c>
      <c r="R143" s="111">
        <v>0</v>
      </c>
      <c r="S143" s="111">
        <v>0</v>
      </c>
      <c r="T143" s="111">
        <v>0</v>
      </c>
      <c r="U143" s="111">
        <v>0</v>
      </c>
      <c r="V143" s="111">
        <v>0</v>
      </c>
      <c r="W143" s="111">
        <v>0</v>
      </c>
      <c r="X143" s="111">
        <v>0</v>
      </c>
      <c r="Y143" s="111">
        <v>0</v>
      </c>
      <c r="Z143" s="111">
        <v>0</v>
      </c>
      <c r="AA143" s="111">
        <v>0</v>
      </c>
      <c r="AB143" s="111">
        <v>0</v>
      </c>
      <c r="AC143" s="111">
        <v>0</v>
      </c>
      <c r="AD143" s="111">
        <v>0</v>
      </c>
      <c r="AE143" s="111">
        <v>0</v>
      </c>
      <c r="AF143" s="111">
        <v>0</v>
      </c>
      <c r="AG143" s="111">
        <v>0</v>
      </c>
      <c r="AH143" s="111">
        <v>0</v>
      </c>
      <c r="AI143" s="111">
        <v>0</v>
      </c>
      <c r="AJ143" s="111">
        <v>0</v>
      </c>
      <c r="AK143" s="111">
        <v>0</v>
      </c>
      <c r="AL143" s="111">
        <v>0</v>
      </c>
      <c r="AM143" s="111">
        <v>0</v>
      </c>
      <c r="AN143" s="111">
        <v>0</v>
      </c>
      <c r="AO143" s="111">
        <v>0</v>
      </c>
      <c r="AP143" s="111">
        <v>0</v>
      </c>
      <c r="AQ143" s="111">
        <v>0</v>
      </c>
      <c r="AR143" s="111">
        <v>0</v>
      </c>
      <c r="AS143" s="111">
        <v>0</v>
      </c>
      <c r="AT143" s="111">
        <v>0</v>
      </c>
      <c r="AU143" s="111">
        <v>0</v>
      </c>
      <c r="AV143" s="111">
        <v>0</v>
      </c>
      <c r="AW143" s="111">
        <v>0</v>
      </c>
      <c r="AX143" s="111">
        <v>0</v>
      </c>
      <c r="AY143" s="111">
        <v>0</v>
      </c>
    </row>
    <row r="144" spans="1:51" x14ac:dyDescent="0.2">
      <c r="A144" s="114"/>
      <c r="B144" s="125">
        <v>23</v>
      </c>
      <c r="C144" s="111"/>
      <c r="D144" s="111">
        <v>0</v>
      </c>
      <c r="E144" s="111">
        <v>0</v>
      </c>
      <c r="F144" s="111">
        <v>0</v>
      </c>
      <c r="G144" s="111">
        <v>0</v>
      </c>
      <c r="H144" s="111">
        <v>0</v>
      </c>
      <c r="I144" s="111">
        <v>0</v>
      </c>
      <c r="J144" s="111">
        <v>0</v>
      </c>
      <c r="K144" s="111">
        <v>0</v>
      </c>
      <c r="L144" s="111">
        <v>0</v>
      </c>
      <c r="M144" s="111">
        <v>0</v>
      </c>
      <c r="N144" s="111">
        <v>0</v>
      </c>
      <c r="O144" s="111">
        <v>0</v>
      </c>
      <c r="P144" s="111">
        <v>0</v>
      </c>
      <c r="Q144" s="111">
        <v>0</v>
      </c>
      <c r="R144" s="111">
        <v>0</v>
      </c>
      <c r="S144" s="111">
        <v>0</v>
      </c>
      <c r="T144" s="111">
        <v>0</v>
      </c>
      <c r="U144" s="111">
        <v>0</v>
      </c>
      <c r="V144" s="111">
        <v>0</v>
      </c>
      <c r="W144" s="111">
        <v>0</v>
      </c>
      <c r="X144" s="111">
        <v>0</v>
      </c>
      <c r="Y144" s="111">
        <v>0</v>
      </c>
      <c r="Z144" s="111">
        <v>0</v>
      </c>
      <c r="AA144" s="111">
        <v>0</v>
      </c>
      <c r="AB144" s="111">
        <v>0</v>
      </c>
      <c r="AC144" s="111">
        <v>0</v>
      </c>
      <c r="AD144" s="111">
        <v>0</v>
      </c>
      <c r="AE144" s="111">
        <v>0</v>
      </c>
      <c r="AF144" s="111">
        <v>0</v>
      </c>
      <c r="AG144" s="111">
        <v>0</v>
      </c>
      <c r="AH144" s="111">
        <v>0</v>
      </c>
      <c r="AI144" s="111">
        <v>0</v>
      </c>
      <c r="AJ144" s="111">
        <v>0</v>
      </c>
      <c r="AK144" s="111">
        <v>0</v>
      </c>
      <c r="AL144" s="111">
        <v>0</v>
      </c>
      <c r="AM144" s="111">
        <v>0</v>
      </c>
      <c r="AN144" s="111">
        <v>0</v>
      </c>
      <c r="AO144" s="111">
        <v>0</v>
      </c>
      <c r="AP144" s="111">
        <v>0</v>
      </c>
      <c r="AQ144" s="111">
        <v>0</v>
      </c>
      <c r="AR144" s="111">
        <v>0</v>
      </c>
      <c r="AS144" s="111">
        <v>0</v>
      </c>
      <c r="AT144" s="111">
        <v>0</v>
      </c>
      <c r="AU144" s="111">
        <v>0</v>
      </c>
      <c r="AV144" s="111">
        <v>0</v>
      </c>
      <c r="AW144" s="111">
        <v>0</v>
      </c>
      <c r="AX144" s="111">
        <v>0</v>
      </c>
      <c r="AY144" s="111">
        <v>0</v>
      </c>
    </row>
    <row r="145" spans="1:51" x14ac:dyDescent="0.2">
      <c r="A145" s="114"/>
      <c r="B145" s="125">
        <v>24</v>
      </c>
      <c r="C145" s="111"/>
      <c r="D145" s="111">
        <v>0</v>
      </c>
      <c r="E145" s="111">
        <v>0</v>
      </c>
      <c r="F145" s="111">
        <v>0</v>
      </c>
      <c r="G145" s="111">
        <v>0</v>
      </c>
      <c r="H145" s="111">
        <v>0</v>
      </c>
      <c r="I145" s="111">
        <v>0</v>
      </c>
      <c r="J145" s="111">
        <v>0</v>
      </c>
      <c r="K145" s="111">
        <v>0</v>
      </c>
      <c r="L145" s="111">
        <v>0</v>
      </c>
      <c r="M145" s="111">
        <v>0</v>
      </c>
      <c r="N145" s="111">
        <v>0</v>
      </c>
      <c r="O145" s="111">
        <v>0</v>
      </c>
      <c r="P145" s="111">
        <v>0</v>
      </c>
      <c r="Q145" s="111">
        <v>0</v>
      </c>
      <c r="R145" s="111">
        <v>0</v>
      </c>
      <c r="S145" s="111">
        <v>0</v>
      </c>
      <c r="T145" s="111">
        <v>0</v>
      </c>
      <c r="U145" s="111">
        <v>0</v>
      </c>
      <c r="V145" s="111">
        <v>0</v>
      </c>
      <c r="W145" s="111">
        <v>0</v>
      </c>
      <c r="X145" s="111">
        <v>0</v>
      </c>
      <c r="Y145" s="111">
        <v>0</v>
      </c>
      <c r="Z145" s="111">
        <v>0</v>
      </c>
      <c r="AA145" s="111">
        <v>0</v>
      </c>
      <c r="AB145" s="111">
        <v>0</v>
      </c>
      <c r="AC145" s="111">
        <v>0</v>
      </c>
      <c r="AD145" s="111">
        <v>0</v>
      </c>
      <c r="AE145" s="111">
        <v>0</v>
      </c>
      <c r="AF145" s="111">
        <v>0</v>
      </c>
      <c r="AG145" s="111">
        <v>0</v>
      </c>
      <c r="AH145" s="111">
        <v>0</v>
      </c>
      <c r="AI145" s="111">
        <v>0</v>
      </c>
      <c r="AJ145" s="111">
        <v>0</v>
      </c>
      <c r="AK145" s="111">
        <v>0</v>
      </c>
      <c r="AL145" s="111">
        <v>0</v>
      </c>
      <c r="AM145" s="111">
        <v>0</v>
      </c>
      <c r="AN145" s="111">
        <v>0</v>
      </c>
      <c r="AO145" s="111">
        <v>0</v>
      </c>
      <c r="AP145" s="111">
        <v>0</v>
      </c>
      <c r="AQ145" s="111">
        <v>0</v>
      </c>
      <c r="AR145" s="111">
        <v>0</v>
      </c>
      <c r="AS145" s="111">
        <v>0</v>
      </c>
      <c r="AT145" s="111">
        <v>0</v>
      </c>
      <c r="AU145" s="111">
        <v>0</v>
      </c>
      <c r="AV145" s="111">
        <v>0</v>
      </c>
      <c r="AW145" s="111">
        <v>0</v>
      </c>
      <c r="AX145" s="111">
        <v>0</v>
      </c>
      <c r="AY145" s="111">
        <v>0</v>
      </c>
    </row>
    <row r="146" spans="1:51" x14ac:dyDescent="0.2">
      <c r="A146" s="114"/>
      <c r="B146" s="132">
        <v>25</v>
      </c>
      <c r="C146" s="111"/>
      <c r="D146" s="111">
        <v>0</v>
      </c>
      <c r="E146" s="111">
        <v>0</v>
      </c>
      <c r="F146" s="111">
        <v>0</v>
      </c>
      <c r="G146" s="111">
        <v>0</v>
      </c>
      <c r="H146" s="111">
        <v>0</v>
      </c>
      <c r="I146" s="111">
        <v>0</v>
      </c>
      <c r="J146" s="111">
        <v>0</v>
      </c>
      <c r="K146" s="111">
        <v>0</v>
      </c>
      <c r="L146" s="111">
        <v>0</v>
      </c>
      <c r="M146" s="111">
        <v>0</v>
      </c>
      <c r="N146" s="111">
        <v>0</v>
      </c>
      <c r="O146" s="111">
        <v>0</v>
      </c>
      <c r="P146" s="111">
        <v>0</v>
      </c>
      <c r="Q146" s="111">
        <v>0</v>
      </c>
      <c r="R146" s="111">
        <v>0</v>
      </c>
      <c r="S146" s="111">
        <v>0</v>
      </c>
      <c r="T146" s="111">
        <v>0</v>
      </c>
      <c r="U146" s="111">
        <v>0</v>
      </c>
      <c r="V146" s="111">
        <v>0</v>
      </c>
      <c r="W146" s="111">
        <v>0</v>
      </c>
      <c r="X146" s="111">
        <v>0</v>
      </c>
      <c r="Y146" s="111">
        <v>0</v>
      </c>
      <c r="Z146" s="111">
        <v>0</v>
      </c>
      <c r="AA146" s="111">
        <v>0</v>
      </c>
      <c r="AB146" s="111">
        <v>0</v>
      </c>
      <c r="AC146" s="111">
        <v>0</v>
      </c>
      <c r="AD146" s="111">
        <v>0</v>
      </c>
      <c r="AE146" s="111">
        <v>0</v>
      </c>
      <c r="AF146" s="111">
        <v>0</v>
      </c>
      <c r="AG146" s="111">
        <v>0</v>
      </c>
      <c r="AH146" s="111">
        <v>0</v>
      </c>
      <c r="AI146" s="111">
        <v>0</v>
      </c>
      <c r="AJ146" s="111">
        <v>0</v>
      </c>
      <c r="AK146" s="111">
        <v>0</v>
      </c>
      <c r="AL146" s="111">
        <v>0</v>
      </c>
      <c r="AM146" s="111">
        <v>0</v>
      </c>
      <c r="AN146" s="111">
        <v>0</v>
      </c>
      <c r="AO146" s="111">
        <v>0</v>
      </c>
      <c r="AP146" s="111">
        <v>0</v>
      </c>
      <c r="AQ146" s="111">
        <v>0</v>
      </c>
      <c r="AR146" s="111">
        <v>0</v>
      </c>
      <c r="AS146" s="111">
        <v>0</v>
      </c>
      <c r="AT146" s="111">
        <v>0</v>
      </c>
      <c r="AU146" s="111">
        <v>0</v>
      </c>
      <c r="AV146" s="111">
        <v>0</v>
      </c>
      <c r="AW146" s="111">
        <v>0</v>
      </c>
      <c r="AX146" s="111">
        <v>0</v>
      </c>
      <c r="AY146" s="111">
        <v>0</v>
      </c>
    </row>
    <row r="147" spans="1:51" x14ac:dyDescent="0.2">
      <c r="A147" s="114"/>
      <c r="B147" s="132">
        <v>26</v>
      </c>
      <c r="C147" s="111"/>
      <c r="D147" s="111">
        <v>0</v>
      </c>
      <c r="E147" s="111">
        <v>0</v>
      </c>
      <c r="F147" s="111">
        <v>0</v>
      </c>
      <c r="G147" s="111">
        <v>0</v>
      </c>
      <c r="H147" s="111">
        <v>0</v>
      </c>
      <c r="I147" s="111">
        <v>0</v>
      </c>
      <c r="J147" s="111">
        <v>0</v>
      </c>
      <c r="K147" s="111">
        <v>0</v>
      </c>
      <c r="L147" s="111">
        <v>0</v>
      </c>
      <c r="M147" s="111">
        <v>0</v>
      </c>
      <c r="N147" s="111">
        <v>0</v>
      </c>
      <c r="O147" s="111">
        <v>0</v>
      </c>
      <c r="P147" s="111">
        <v>0</v>
      </c>
      <c r="Q147" s="111">
        <v>0</v>
      </c>
      <c r="R147" s="111">
        <v>0</v>
      </c>
      <c r="S147" s="111">
        <v>0</v>
      </c>
      <c r="T147" s="111">
        <v>0</v>
      </c>
      <c r="U147" s="111">
        <v>0</v>
      </c>
      <c r="V147" s="111">
        <v>0</v>
      </c>
      <c r="W147" s="111">
        <v>0</v>
      </c>
      <c r="X147" s="111">
        <v>0</v>
      </c>
      <c r="Y147" s="111">
        <v>0</v>
      </c>
      <c r="Z147" s="111">
        <v>0</v>
      </c>
      <c r="AA147" s="111">
        <v>0</v>
      </c>
      <c r="AB147" s="111">
        <v>0</v>
      </c>
      <c r="AC147" s="111">
        <v>0</v>
      </c>
      <c r="AD147" s="111">
        <v>0</v>
      </c>
      <c r="AE147" s="111">
        <v>0</v>
      </c>
      <c r="AF147" s="111">
        <v>0</v>
      </c>
      <c r="AG147" s="111">
        <v>0</v>
      </c>
      <c r="AH147" s="111">
        <v>0</v>
      </c>
      <c r="AI147" s="111">
        <v>0</v>
      </c>
      <c r="AJ147" s="111">
        <v>0</v>
      </c>
      <c r="AK147" s="111">
        <v>0</v>
      </c>
      <c r="AL147" s="111">
        <v>0</v>
      </c>
      <c r="AM147" s="111">
        <v>0</v>
      </c>
      <c r="AN147" s="111">
        <v>0</v>
      </c>
      <c r="AO147" s="111">
        <v>0</v>
      </c>
      <c r="AP147" s="111">
        <v>0</v>
      </c>
      <c r="AQ147" s="111">
        <v>0</v>
      </c>
      <c r="AR147" s="111">
        <v>0</v>
      </c>
      <c r="AS147" s="111">
        <v>0</v>
      </c>
      <c r="AT147" s="111">
        <v>0</v>
      </c>
      <c r="AU147" s="111">
        <v>0</v>
      </c>
      <c r="AV147" s="111">
        <v>0</v>
      </c>
      <c r="AW147" s="111">
        <v>0</v>
      </c>
      <c r="AX147" s="111">
        <v>0</v>
      </c>
      <c r="AY147" s="111">
        <v>0</v>
      </c>
    </row>
    <row r="148" spans="1:51" x14ac:dyDescent="0.2">
      <c r="A148" s="114"/>
      <c r="B148" s="132">
        <v>27</v>
      </c>
      <c r="C148" s="111"/>
      <c r="D148" s="111">
        <v>0</v>
      </c>
      <c r="E148" s="111">
        <v>0</v>
      </c>
      <c r="F148" s="111">
        <v>0</v>
      </c>
      <c r="G148" s="111">
        <v>0</v>
      </c>
      <c r="H148" s="111">
        <v>0</v>
      </c>
      <c r="I148" s="111">
        <v>0</v>
      </c>
      <c r="J148" s="111">
        <v>0</v>
      </c>
      <c r="K148" s="111">
        <v>0</v>
      </c>
      <c r="L148" s="111">
        <v>0</v>
      </c>
      <c r="M148" s="111">
        <v>0</v>
      </c>
      <c r="N148" s="111">
        <v>0</v>
      </c>
      <c r="O148" s="111">
        <v>0</v>
      </c>
      <c r="P148" s="111">
        <v>0</v>
      </c>
      <c r="Q148" s="111">
        <v>0</v>
      </c>
      <c r="R148" s="111">
        <v>0</v>
      </c>
      <c r="S148" s="111">
        <v>0</v>
      </c>
      <c r="T148" s="111">
        <v>0</v>
      </c>
      <c r="U148" s="111">
        <v>0</v>
      </c>
      <c r="V148" s="111">
        <v>0</v>
      </c>
      <c r="W148" s="111">
        <v>0</v>
      </c>
      <c r="X148" s="111">
        <v>0</v>
      </c>
      <c r="Y148" s="111">
        <v>0</v>
      </c>
      <c r="Z148" s="111">
        <v>0</v>
      </c>
      <c r="AA148" s="111">
        <v>0</v>
      </c>
      <c r="AB148" s="111">
        <v>0</v>
      </c>
      <c r="AC148" s="111">
        <v>0</v>
      </c>
      <c r="AD148" s="111">
        <v>0</v>
      </c>
      <c r="AE148" s="111">
        <v>0</v>
      </c>
      <c r="AF148" s="111">
        <v>0</v>
      </c>
      <c r="AG148" s="111">
        <v>0</v>
      </c>
      <c r="AH148" s="111">
        <v>0</v>
      </c>
      <c r="AI148" s="111">
        <v>0</v>
      </c>
      <c r="AJ148" s="111">
        <v>0</v>
      </c>
      <c r="AK148" s="111">
        <v>0</v>
      </c>
      <c r="AL148" s="111">
        <v>0</v>
      </c>
      <c r="AM148" s="111">
        <v>0</v>
      </c>
      <c r="AN148" s="111">
        <v>0</v>
      </c>
      <c r="AO148" s="111">
        <v>0</v>
      </c>
      <c r="AP148" s="111">
        <v>0</v>
      </c>
      <c r="AQ148" s="111">
        <v>0</v>
      </c>
      <c r="AR148" s="111">
        <v>0</v>
      </c>
      <c r="AS148" s="111">
        <v>0</v>
      </c>
      <c r="AT148" s="111">
        <v>0</v>
      </c>
      <c r="AU148" s="111">
        <v>0</v>
      </c>
      <c r="AV148" s="111">
        <v>0</v>
      </c>
      <c r="AW148" s="111">
        <v>0</v>
      </c>
      <c r="AX148" s="111">
        <v>0</v>
      </c>
      <c r="AY148" s="111">
        <v>0</v>
      </c>
    </row>
    <row r="149" spans="1:51" x14ac:dyDescent="0.2">
      <c r="A149" s="114"/>
      <c r="B149" s="132">
        <v>28</v>
      </c>
      <c r="C149" s="111"/>
      <c r="D149" s="111">
        <v>0</v>
      </c>
      <c r="E149" s="111">
        <v>0</v>
      </c>
      <c r="F149" s="111">
        <v>0</v>
      </c>
      <c r="G149" s="111">
        <v>0</v>
      </c>
      <c r="H149" s="111">
        <v>0</v>
      </c>
      <c r="I149" s="111">
        <v>0</v>
      </c>
      <c r="J149" s="111">
        <v>0</v>
      </c>
      <c r="K149" s="111">
        <v>0</v>
      </c>
      <c r="L149" s="111">
        <v>0</v>
      </c>
      <c r="M149" s="111">
        <v>0</v>
      </c>
      <c r="N149" s="111">
        <v>0</v>
      </c>
      <c r="O149" s="111">
        <v>0</v>
      </c>
      <c r="P149" s="111">
        <v>0</v>
      </c>
      <c r="Q149" s="111">
        <v>0</v>
      </c>
      <c r="R149" s="111">
        <v>0</v>
      </c>
      <c r="S149" s="111">
        <v>0</v>
      </c>
      <c r="T149" s="111">
        <v>0</v>
      </c>
      <c r="U149" s="111">
        <v>0</v>
      </c>
      <c r="V149" s="111">
        <v>0</v>
      </c>
      <c r="W149" s="111">
        <v>0</v>
      </c>
      <c r="X149" s="111">
        <v>0</v>
      </c>
      <c r="Y149" s="111">
        <v>0</v>
      </c>
      <c r="Z149" s="111">
        <v>0</v>
      </c>
      <c r="AA149" s="111">
        <v>0</v>
      </c>
      <c r="AB149" s="111">
        <v>0</v>
      </c>
      <c r="AC149" s="111">
        <v>0</v>
      </c>
      <c r="AD149" s="111">
        <v>0</v>
      </c>
      <c r="AE149" s="111">
        <v>0</v>
      </c>
      <c r="AF149" s="111">
        <v>0</v>
      </c>
      <c r="AG149" s="111">
        <v>0</v>
      </c>
      <c r="AH149" s="111">
        <v>0</v>
      </c>
      <c r="AI149" s="111">
        <v>0</v>
      </c>
      <c r="AJ149" s="111">
        <v>0</v>
      </c>
      <c r="AK149" s="111">
        <v>0</v>
      </c>
      <c r="AL149" s="111">
        <v>0</v>
      </c>
      <c r="AM149" s="111">
        <v>0</v>
      </c>
      <c r="AN149" s="111">
        <v>0</v>
      </c>
      <c r="AO149" s="111">
        <v>0</v>
      </c>
      <c r="AP149" s="111">
        <v>0</v>
      </c>
      <c r="AQ149" s="111">
        <v>0</v>
      </c>
      <c r="AR149" s="111">
        <v>0</v>
      </c>
      <c r="AS149" s="111">
        <v>0</v>
      </c>
      <c r="AT149" s="111">
        <v>0</v>
      </c>
      <c r="AU149" s="111">
        <v>0</v>
      </c>
      <c r="AV149" s="111">
        <v>0</v>
      </c>
      <c r="AW149" s="111">
        <v>0</v>
      </c>
      <c r="AX149" s="111">
        <v>0</v>
      </c>
      <c r="AY149" s="111">
        <v>0</v>
      </c>
    </row>
    <row r="150" spans="1:51" x14ac:dyDescent="0.2">
      <c r="A150" s="114"/>
      <c r="B150" s="132">
        <v>29</v>
      </c>
      <c r="C150" s="111"/>
      <c r="D150" s="111">
        <v>0</v>
      </c>
      <c r="E150" s="111">
        <v>0</v>
      </c>
      <c r="F150" s="111">
        <v>0</v>
      </c>
      <c r="G150" s="111">
        <v>0</v>
      </c>
      <c r="H150" s="111">
        <v>0</v>
      </c>
      <c r="I150" s="111">
        <v>0</v>
      </c>
      <c r="J150" s="111">
        <v>0</v>
      </c>
      <c r="K150" s="111">
        <v>0</v>
      </c>
      <c r="L150" s="111">
        <v>0</v>
      </c>
      <c r="M150" s="111">
        <v>0</v>
      </c>
      <c r="N150" s="111">
        <v>0</v>
      </c>
      <c r="O150" s="111">
        <v>0</v>
      </c>
      <c r="P150" s="111">
        <v>0</v>
      </c>
      <c r="Q150" s="111">
        <v>0</v>
      </c>
      <c r="R150" s="111">
        <v>0</v>
      </c>
      <c r="S150" s="111">
        <v>0</v>
      </c>
      <c r="T150" s="111">
        <v>0</v>
      </c>
      <c r="U150" s="111">
        <v>0</v>
      </c>
      <c r="V150" s="111">
        <v>0</v>
      </c>
      <c r="W150" s="111">
        <v>0</v>
      </c>
      <c r="X150" s="111">
        <v>0</v>
      </c>
      <c r="Y150" s="111">
        <v>0</v>
      </c>
      <c r="Z150" s="111">
        <v>0</v>
      </c>
      <c r="AA150" s="111">
        <v>0</v>
      </c>
      <c r="AB150" s="111">
        <v>0</v>
      </c>
      <c r="AC150" s="111">
        <v>0</v>
      </c>
      <c r="AD150" s="111">
        <v>0</v>
      </c>
      <c r="AE150" s="111">
        <v>0</v>
      </c>
      <c r="AF150" s="111">
        <v>0</v>
      </c>
      <c r="AG150" s="111">
        <v>0</v>
      </c>
      <c r="AH150" s="111">
        <v>0</v>
      </c>
      <c r="AI150" s="111">
        <v>0</v>
      </c>
      <c r="AJ150" s="111">
        <v>0</v>
      </c>
      <c r="AK150" s="111">
        <v>0</v>
      </c>
      <c r="AL150" s="111">
        <v>0</v>
      </c>
      <c r="AM150" s="111">
        <v>0</v>
      </c>
      <c r="AN150" s="111">
        <v>0</v>
      </c>
      <c r="AO150" s="111">
        <v>0</v>
      </c>
      <c r="AP150" s="111">
        <v>0</v>
      </c>
      <c r="AQ150" s="111">
        <v>0</v>
      </c>
      <c r="AR150" s="111">
        <v>0</v>
      </c>
      <c r="AS150" s="111">
        <v>0</v>
      </c>
      <c r="AT150" s="111">
        <v>0</v>
      </c>
      <c r="AU150" s="111">
        <v>0</v>
      </c>
      <c r="AV150" s="111">
        <v>0</v>
      </c>
      <c r="AW150" s="111">
        <v>0</v>
      </c>
      <c r="AX150" s="111">
        <v>0</v>
      </c>
      <c r="AY150" s="111">
        <v>0</v>
      </c>
    </row>
    <row r="151" spans="1:51" x14ac:dyDescent="0.2">
      <c r="A151" s="114"/>
      <c r="B151" s="132">
        <v>30</v>
      </c>
      <c r="C151" s="111"/>
      <c r="D151" s="111">
        <v>0</v>
      </c>
      <c r="E151" s="111">
        <v>0</v>
      </c>
      <c r="F151" s="111">
        <v>0</v>
      </c>
      <c r="G151" s="111">
        <v>0</v>
      </c>
      <c r="H151" s="111">
        <v>0</v>
      </c>
      <c r="I151" s="111">
        <v>0</v>
      </c>
      <c r="J151" s="111">
        <v>0</v>
      </c>
      <c r="K151" s="111">
        <v>0</v>
      </c>
      <c r="L151" s="111">
        <v>0</v>
      </c>
      <c r="M151" s="111">
        <v>0</v>
      </c>
      <c r="N151" s="111">
        <v>0</v>
      </c>
      <c r="O151" s="111">
        <v>0</v>
      </c>
      <c r="P151" s="111">
        <v>0</v>
      </c>
      <c r="Q151" s="111">
        <v>0</v>
      </c>
      <c r="R151" s="111">
        <v>0</v>
      </c>
      <c r="S151" s="111">
        <v>0</v>
      </c>
      <c r="T151" s="111">
        <v>0</v>
      </c>
      <c r="U151" s="111">
        <v>0</v>
      </c>
      <c r="V151" s="111">
        <v>0</v>
      </c>
      <c r="W151" s="111">
        <v>0</v>
      </c>
      <c r="X151" s="111">
        <v>0</v>
      </c>
      <c r="Y151" s="111">
        <v>0</v>
      </c>
      <c r="Z151" s="111">
        <v>0</v>
      </c>
      <c r="AA151" s="111">
        <v>0</v>
      </c>
      <c r="AB151" s="111">
        <v>0</v>
      </c>
      <c r="AC151" s="111">
        <v>0</v>
      </c>
      <c r="AD151" s="111">
        <v>0</v>
      </c>
      <c r="AE151" s="111">
        <v>0</v>
      </c>
      <c r="AF151" s="111">
        <v>0</v>
      </c>
      <c r="AG151" s="111">
        <v>0</v>
      </c>
      <c r="AH151" s="111">
        <v>0</v>
      </c>
      <c r="AI151" s="111">
        <v>0</v>
      </c>
      <c r="AJ151" s="111">
        <v>0</v>
      </c>
      <c r="AK151" s="111">
        <v>0</v>
      </c>
      <c r="AL151" s="111">
        <v>0</v>
      </c>
      <c r="AM151" s="111">
        <v>0</v>
      </c>
      <c r="AN151" s="111">
        <v>0</v>
      </c>
      <c r="AO151" s="111">
        <v>0</v>
      </c>
      <c r="AP151" s="111">
        <v>0</v>
      </c>
      <c r="AQ151" s="111">
        <v>0</v>
      </c>
      <c r="AR151" s="111">
        <v>0</v>
      </c>
      <c r="AS151" s="111">
        <v>0</v>
      </c>
      <c r="AT151" s="111">
        <v>0</v>
      </c>
      <c r="AU151" s="111">
        <v>0</v>
      </c>
      <c r="AV151" s="111">
        <v>0</v>
      </c>
      <c r="AW151" s="111">
        <v>0</v>
      </c>
      <c r="AX151" s="111">
        <v>0</v>
      </c>
      <c r="AY151" s="111">
        <v>0</v>
      </c>
    </row>
    <row r="152" spans="1:51" x14ac:dyDescent="0.2">
      <c r="A152" s="114"/>
      <c r="B152" s="132">
        <v>31</v>
      </c>
      <c r="C152" s="111"/>
      <c r="D152" s="111">
        <v>0</v>
      </c>
      <c r="E152" s="111">
        <v>0</v>
      </c>
      <c r="F152" s="111">
        <v>0</v>
      </c>
      <c r="G152" s="111">
        <v>0</v>
      </c>
      <c r="H152" s="111">
        <v>0</v>
      </c>
      <c r="I152" s="111">
        <v>0</v>
      </c>
      <c r="J152" s="111">
        <v>0</v>
      </c>
      <c r="K152" s="111">
        <v>0</v>
      </c>
      <c r="L152" s="111">
        <v>0</v>
      </c>
      <c r="M152" s="111">
        <v>0</v>
      </c>
      <c r="N152" s="111">
        <v>0</v>
      </c>
      <c r="O152" s="111">
        <v>0</v>
      </c>
      <c r="P152" s="111">
        <v>0</v>
      </c>
      <c r="Q152" s="111">
        <v>0</v>
      </c>
      <c r="R152" s="111">
        <v>0</v>
      </c>
      <c r="S152" s="111">
        <v>0</v>
      </c>
      <c r="T152" s="111">
        <v>0</v>
      </c>
      <c r="U152" s="111">
        <v>0</v>
      </c>
      <c r="V152" s="111">
        <v>0</v>
      </c>
      <c r="W152" s="111">
        <v>0</v>
      </c>
      <c r="X152" s="111">
        <v>0</v>
      </c>
      <c r="Y152" s="111">
        <v>0</v>
      </c>
      <c r="Z152" s="111">
        <v>0</v>
      </c>
      <c r="AA152" s="111">
        <v>0</v>
      </c>
      <c r="AB152" s="111">
        <v>0</v>
      </c>
      <c r="AC152" s="111">
        <v>0</v>
      </c>
      <c r="AD152" s="111">
        <v>0</v>
      </c>
      <c r="AE152" s="111">
        <v>0</v>
      </c>
      <c r="AF152" s="111">
        <v>0</v>
      </c>
      <c r="AG152" s="111">
        <v>0</v>
      </c>
      <c r="AH152" s="111">
        <v>0</v>
      </c>
      <c r="AI152" s="111">
        <v>0</v>
      </c>
      <c r="AJ152" s="111">
        <v>0</v>
      </c>
      <c r="AK152" s="111">
        <v>0</v>
      </c>
      <c r="AL152" s="111">
        <v>0</v>
      </c>
      <c r="AM152" s="111">
        <v>0</v>
      </c>
      <c r="AN152" s="111">
        <v>0</v>
      </c>
      <c r="AO152" s="111">
        <v>0</v>
      </c>
      <c r="AP152" s="111">
        <v>0</v>
      </c>
      <c r="AQ152" s="111">
        <v>0</v>
      </c>
      <c r="AR152" s="111">
        <v>0</v>
      </c>
      <c r="AS152" s="111">
        <v>0</v>
      </c>
      <c r="AT152" s="111">
        <v>0</v>
      </c>
      <c r="AU152" s="111">
        <v>0</v>
      </c>
      <c r="AV152" s="111">
        <v>0</v>
      </c>
      <c r="AW152" s="111">
        <v>0</v>
      </c>
      <c r="AX152" s="111">
        <v>0</v>
      </c>
      <c r="AY152" s="111">
        <v>0</v>
      </c>
    </row>
    <row r="153" spans="1:51" x14ac:dyDescent="0.2">
      <c r="A153" s="114"/>
      <c r="B153" s="132">
        <v>32</v>
      </c>
      <c r="C153" s="111"/>
      <c r="D153" s="111">
        <v>0</v>
      </c>
      <c r="E153" s="111">
        <v>0</v>
      </c>
      <c r="F153" s="111">
        <v>0</v>
      </c>
      <c r="G153" s="111">
        <v>0</v>
      </c>
      <c r="H153" s="111">
        <v>0</v>
      </c>
      <c r="I153" s="111">
        <v>0</v>
      </c>
      <c r="J153" s="111">
        <v>0</v>
      </c>
      <c r="K153" s="111">
        <v>0</v>
      </c>
      <c r="L153" s="111">
        <v>0</v>
      </c>
      <c r="M153" s="111">
        <v>0</v>
      </c>
      <c r="N153" s="111">
        <v>0</v>
      </c>
      <c r="O153" s="111">
        <v>0</v>
      </c>
      <c r="P153" s="111">
        <v>0</v>
      </c>
      <c r="Q153" s="111">
        <v>0</v>
      </c>
      <c r="R153" s="111">
        <v>0</v>
      </c>
      <c r="S153" s="111">
        <v>0</v>
      </c>
      <c r="T153" s="111">
        <v>0</v>
      </c>
      <c r="U153" s="111">
        <v>0</v>
      </c>
      <c r="V153" s="111">
        <v>0</v>
      </c>
      <c r="W153" s="111">
        <v>0</v>
      </c>
      <c r="X153" s="111">
        <v>0</v>
      </c>
      <c r="Y153" s="111">
        <v>0</v>
      </c>
      <c r="Z153" s="111">
        <v>0</v>
      </c>
      <c r="AA153" s="111">
        <v>0</v>
      </c>
      <c r="AB153" s="111">
        <v>0</v>
      </c>
      <c r="AC153" s="111">
        <v>0</v>
      </c>
      <c r="AD153" s="111">
        <v>0</v>
      </c>
      <c r="AE153" s="111">
        <v>0</v>
      </c>
      <c r="AF153" s="111">
        <v>0</v>
      </c>
      <c r="AG153" s="111">
        <v>0</v>
      </c>
      <c r="AH153" s="111">
        <v>0</v>
      </c>
      <c r="AI153" s="111">
        <v>0</v>
      </c>
      <c r="AJ153" s="111">
        <v>0</v>
      </c>
      <c r="AK153" s="111">
        <v>0</v>
      </c>
      <c r="AL153" s="111">
        <v>0</v>
      </c>
      <c r="AM153" s="111">
        <v>0</v>
      </c>
      <c r="AN153" s="111">
        <v>0</v>
      </c>
      <c r="AO153" s="111">
        <v>0</v>
      </c>
      <c r="AP153" s="111">
        <v>0</v>
      </c>
      <c r="AQ153" s="111">
        <v>0</v>
      </c>
      <c r="AR153" s="111">
        <v>0</v>
      </c>
      <c r="AS153" s="111">
        <v>0</v>
      </c>
      <c r="AT153" s="111">
        <v>0</v>
      </c>
      <c r="AU153" s="111">
        <v>0</v>
      </c>
      <c r="AV153" s="111">
        <v>0</v>
      </c>
      <c r="AW153" s="111">
        <v>0</v>
      </c>
      <c r="AX153" s="111">
        <v>0</v>
      </c>
      <c r="AY153" s="111">
        <v>0</v>
      </c>
    </row>
    <row r="154" spans="1:51" x14ac:dyDescent="0.2">
      <c r="A154" s="114"/>
      <c r="B154" s="132">
        <v>33</v>
      </c>
      <c r="C154" s="111"/>
      <c r="D154" s="111">
        <v>0</v>
      </c>
      <c r="E154" s="111">
        <v>0</v>
      </c>
      <c r="F154" s="111">
        <v>0</v>
      </c>
      <c r="G154" s="111">
        <v>0</v>
      </c>
      <c r="H154" s="111">
        <v>0</v>
      </c>
      <c r="I154" s="111">
        <v>0</v>
      </c>
      <c r="J154" s="111">
        <v>0</v>
      </c>
      <c r="K154" s="111">
        <v>0</v>
      </c>
      <c r="L154" s="111">
        <v>0</v>
      </c>
      <c r="M154" s="111">
        <v>0</v>
      </c>
      <c r="N154" s="111">
        <v>0</v>
      </c>
      <c r="O154" s="111">
        <v>0</v>
      </c>
      <c r="P154" s="111">
        <v>0</v>
      </c>
      <c r="Q154" s="111">
        <v>0</v>
      </c>
      <c r="R154" s="111">
        <v>0</v>
      </c>
      <c r="S154" s="111">
        <v>0</v>
      </c>
      <c r="T154" s="111">
        <v>0</v>
      </c>
      <c r="U154" s="111">
        <v>0</v>
      </c>
      <c r="V154" s="111">
        <v>0</v>
      </c>
      <c r="W154" s="111">
        <v>0</v>
      </c>
      <c r="X154" s="111">
        <v>0</v>
      </c>
      <c r="Y154" s="111">
        <v>0</v>
      </c>
      <c r="Z154" s="111">
        <v>0</v>
      </c>
      <c r="AA154" s="111">
        <v>0</v>
      </c>
      <c r="AB154" s="111">
        <v>0</v>
      </c>
      <c r="AC154" s="111">
        <v>0</v>
      </c>
      <c r="AD154" s="111">
        <v>0</v>
      </c>
      <c r="AE154" s="111">
        <v>0</v>
      </c>
      <c r="AF154" s="111">
        <v>0</v>
      </c>
      <c r="AG154" s="111">
        <v>0</v>
      </c>
      <c r="AH154" s="111">
        <v>0</v>
      </c>
      <c r="AI154" s="111">
        <v>0</v>
      </c>
      <c r="AJ154" s="111">
        <v>0</v>
      </c>
      <c r="AK154" s="111">
        <v>0</v>
      </c>
      <c r="AL154" s="111">
        <v>0</v>
      </c>
      <c r="AM154" s="111">
        <v>0</v>
      </c>
      <c r="AN154" s="111">
        <v>0</v>
      </c>
      <c r="AO154" s="111">
        <v>0</v>
      </c>
      <c r="AP154" s="111">
        <v>0</v>
      </c>
      <c r="AQ154" s="111">
        <v>0</v>
      </c>
      <c r="AR154" s="111">
        <v>0</v>
      </c>
      <c r="AS154" s="111">
        <v>0</v>
      </c>
      <c r="AT154" s="111">
        <v>0</v>
      </c>
      <c r="AU154" s="111">
        <v>0</v>
      </c>
      <c r="AV154" s="111">
        <v>0</v>
      </c>
      <c r="AW154" s="111">
        <v>0</v>
      </c>
      <c r="AX154" s="111">
        <v>0</v>
      </c>
      <c r="AY154" s="111">
        <v>0</v>
      </c>
    </row>
    <row r="155" spans="1:51" x14ac:dyDescent="0.2">
      <c r="A155" s="114"/>
      <c r="B155" s="132">
        <v>34</v>
      </c>
      <c r="C155" s="111"/>
      <c r="D155" s="111">
        <v>0</v>
      </c>
      <c r="E155" s="111">
        <v>0</v>
      </c>
      <c r="F155" s="111">
        <v>0</v>
      </c>
      <c r="G155" s="111">
        <v>0</v>
      </c>
      <c r="H155" s="111">
        <v>0</v>
      </c>
      <c r="I155" s="111">
        <v>0</v>
      </c>
      <c r="J155" s="111">
        <v>0</v>
      </c>
      <c r="K155" s="111">
        <v>0</v>
      </c>
      <c r="L155" s="111">
        <v>0</v>
      </c>
      <c r="M155" s="111">
        <v>0</v>
      </c>
      <c r="N155" s="111">
        <v>0</v>
      </c>
      <c r="O155" s="111">
        <v>0</v>
      </c>
      <c r="P155" s="111">
        <v>0</v>
      </c>
      <c r="Q155" s="111">
        <v>0</v>
      </c>
      <c r="R155" s="111">
        <v>0</v>
      </c>
      <c r="S155" s="111">
        <v>0</v>
      </c>
      <c r="T155" s="111">
        <v>0</v>
      </c>
      <c r="U155" s="111">
        <v>0</v>
      </c>
      <c r="V155" s="111">
        <v>0</v>
      </c>
      <c r="W155" s="111">
        <v>0</v>
      </c>
      <c r="X155" s="111">
        <v>0</v>
      </c>
      <c r="Y155" s="111">
        <v>0</v>
      </c>
      <c r="Z155" s="111">
        <v>0</v>
      </c>
      <c r="AA155" s="111">
        <v>0</v>
      </c>
      <c r="AB155" s="111">
        <v>0</v>
      </c>
      <c r="AC155" s="111">
        <v>0</v>
      </c>
      <c r="AD155" s="111">
        <v>0</v>
      </c>
      <c r="AE155" s="111">
        <v>0</v>
      </c>
      <c r="AF155" s="111">
        <v>0</v>
      </c>
      <c r="AG155" s="111">
        <v>0</v>
      </c>
      <c r="AH155" s="111">
        <v>0</v>
      </c>
      <c r="AI155" s="111">
        <v>0</v>
      </c>
      <c r="AJ155" s="111">
        <v>0</v>
      </c>
      <c r="AK155" s="111">
        <v>0</v>
      </c>
      <c r="AL155" s="111">
        <v>0</v>
      </c>
      <c r="AM155" s="111">
        <v>0</v>
      </c>
      <c r="AN155" s="111">
        <v>0</v>
      </c>
      <c r="AO155" s="111">
        <v>0</v>
      </c>
      <c r="AP155" s="111">
        <v>0</v>
      </c>
      <c r="AQ155" s="111">
        <v>0</v>
      </c>
      <c r="AR155" s="111">
        <v>0</v>
      </c>
      <c r="AS155" s="111">
        <v>0</v>
      </c>
      <c r="AT155" s="111">
        <v>0</v>
      </c>
      <c r="AU155" s="111">
        <v>0</v>
      </c>
      <c r="AV155" s="111">
        <v>0</v>
      </c>
      <c r="AW155" s="111">
        <v>0</v>
      </c>
      <c r="AX155" s="111">
        <v>0</v>
      </c>
      <c r="AY155" s="111">
        <v>0</v>
      </c>
    </row>
    <row r="156" spans="1:51" x14ac:dyDescent="0.2">
      <c r="A156" s="114"/>
      <c r="B156" s="132">
        <v>35</v>
      </c>
      <c r="C156" s="111"/>
      <c r="D156" s="111">
        <v>0</v>
      </c>
      <c r="E156" s="111">
        <v>0</v>
      </c>
      <c r="F156" s="111">
        <v>0</v>
      </c>
      <c r="G156" s="111">
        <v>0</v>
      </c>
      <c r="H156" s="111">
        <v>0</v>
      </c>
      <c r="I156" s="111">
        <v>0</v>
      </c>
      <c r="J156" s="111">
        <v>0</v>
      </c>
      <c r="K156" s="111">
        <v>0</v>
      </c>
      <c r="L156" s="111">
        <v>0</v>
      </c>
      <c r="M156" s="111">
        <v>0</v>
      </c>
      <c r="N156" s="111">
        <v>0</v>
      </c>
      <c r="O156" s="111">
        <v>0</v>
      </c>
      <c r="P156" s="111">
        <v>0</v>
      </c>
      <c r="Q156" s="111">
        <v>0</v>
      </c>
      <c r="R156" s="111">
        <v>0</v>
      </c>
      <c r="S156" s="111">
        <v>0</v>
      </c>
      <c r="T156" s="111">
        <v>0</v>
      </c>
      <c r="U156" s="111">
        <v>0</v>
      </c>
      <c r="V156" s="111">
        <v>0</v>
      </c>
      <c r="W156" s="111">
        <v>0</v>
      </c>
      <c r="X156" s="111">
        <v>0</v>
      </c>
      <c r="Y156" s="111">
        <v>0</v>
      </c>
      <c r="Z156" s="111">
        <v>0</v>
      </c>
      <c r="AA156" s="111">
        <v>0</v>
      </c>
      <c r="AB156" s="111">
        <v>0</v>
      </c>
      <c r="AC156" s="111">
        <v>0</v>
      </c>
      <c r="AD156" s="111">
        <v>0</v>
      </c>
      <c r="AE156" s="111">
        <v>0</v>
      </c>
      <c r="AF156" s="111">
        <v>0</v>
      </c>
      <c r="AG156" s="111">
        <v>0</v>
      </c>
      <c r="AH156" s="111">
        <v>0</v>
      </c>
      <c r="AI156" s="111">
        <v>0</v>
      </c>
      <c r="AJ156" s="111">
        <v>0</v>
      </c>
      <c r="AK156" s="111">
        <v>0</v>
      </c>
      <c r="AL156" s="111">
        <v>0</v>
      </c>
      <c r="AM156" s="111">
        <v>0</v>
      </c>
      <c r="AN156" s="111">
        <v>0</v>
      </c>
      <c r="AO156" s="111">
        <v>0</v>
      </c>
      <c r="AP156" s="111">
        <v>0</v>
      </c>
      <c r="AQ156" s="111">
        <v>0</v>
      </c>
      <c r="AR156" s="111">
        <v>0</v>
      </c>
      <c r="AS156" s="111">
        <v>0</v>
      </c>
      <c r="AT156" s="111">
        <v>0</v>
      </c>
      <c r="AU156" s="111">
        <v>0</v>
      </c>
      <c r="AV156" s="111">
        <v>0</v>
      </c>
      <c r="AW156" s="111">
        <v>0</v>
      </c>
      <c r="AX156" s="111">
        <v>0</v>
      </c>
      <c r="AY156" s="111">
        <v>0</v>
      </c>
    </row>
    <row r="157" spans="1:51" x14ac:dyDescent="0.2">
      <c r="A157" s="114"/>
      <c r="B157" s="132">
        <v>36</v>
      </c>
      <c r="C157" s="111"/>
      <c r="D157" s="111">
        <v>0</v>
      </c>
      <c r="E157" s="111">
        <v>0</v>
      </c>
      <c r="F157" s="111">
        <v>0</v>
      </c>
      <c r="G157" s="111">
        <v>0</v>
      </c>
      <c r="H157" s="111">
        <v>0</v>
      </c>
      <c r="I157" s="111">
        <v>0</v>
      </c>
      <c r="J157" s="111">
        <v>0</v>
      </c>
      <c r="K157" s="111">
        <v>0</v>
      </c>
      <c r="L157" s="111">
        <v>0</v>
      </c>
      <c r="M157" s="111">
        <v>0</v>
      </c>
      <c r="N157" s="111">
        <v>0</v>
      </c>
      <c r="O157" s="111">
        <v>0</v>
      </c>
      <c r="P157" s="111">
        <v>0</v>
      </c>
      <c r="Q157" s="111">
        <v>0</v>
      </c>
      <c r="R157" s="111">
        <v>0</v>
      </c>
      <c r="S157" s="111">
        <v>0</v>
      </c>
      <c r="T157" s="111">
        <v>0</v>
      </c>
      <c r="U157" s="111">
        <v>0</v>
      </c>
      <c r="V157" s="111">
        <v>0</v>
      </c>
      <c r="W157" s="111">
        <v>0</v>
      </c>
      <c r="X157" s="111">
        <v>0</v>
      </c>
      <c r="Y157" s="111">
        <v>0</v>
      </c>
      <c r="Z157" s="111">
        <v>0</v>
      </c>
      <c r="AA157" s="111">
        <v>0</v>
      </c>
      <c r="AB157" s="111">
        <v>0</v>
      </c>
      <c r="AC157" s="111">
        <v>0</v>
      </c>
      <c r="AD157" s="111">
        <v>0</v>
      </c>
      <c r="AE157" s="111">
        <v>0</v>
      </c>
      <c r="AF157" s="111">
        <v>0</v>
      </c>
      <c r="AG157" s="111">
        <v>0</v>
      </c>
      <c r="AH157" s="111">
        <v>0</v>
      </c>
      <c r="AI157" s="111">
        <v>0</v>
      </c>
      <c r="AJ157" s="111">
        <v>0</v>
      </c>
      <c r="AK157" s="111">
        <v>0</v>
      </c>
      <c r="AL157" s="111">
        <v>0</v>
      </c>
      <c r="AM157" s="111">
        <v>0</v>
      </c>
      <c r="AN157" s="111">
        <v>0</v>
      </c>
      <c r="AO157" s="111">
        <v>0</v>
      </c>
      <c r="AP157" s="111">
        <v>0</v>
      </c>
      <c r="AQ157" s="111">
        <v>0</v>
      </c>
      <c r="AR157" s="111">
        <v>0</v>
      </c>
      <c r="AS157" s="111">
        <v>0</v>
      </c>
      <c r="AT157" s="111">
        <v>0</v>
      </c>
      <c r="AU157" s="111">
        <v>0</v>
      </c>
      <c r="AV157" s="111">
        <v>0</v>
      </c>
      <c r="AW157" s="111">
        <v>0</v>
      </c>
      <c r="AX157" s="111">
        <v>0</v>
      </c>
      <c r="AY157" s="111">
        <v>0</v>
      </c>
    </row>
    <row r="158" spans="1:51" x14ac:dyDescent="0.2">
      <c r="A158" s="114"/>
      <c r="B158" s="135">
        <v>37</v>
      </c>
      <c r="C158" s="111"/>
      <c r="D158" s="111">
        <v>0</v>
      </c>
      <c r="E158" s="111">
        <v>0</v>
      </c>
      <c r="F158" s="111">
        <v>0</v>
      </c>
      <c r="G158" s="111">
        <v>0</v>
      </c>
      <c r="H158" s="111">
        <v>0</v>
      </c>
      <c r="I158" s="111">
        <v>0</v>
      </c>
      <c r="J158" s="111">
        <v>0</v>
      </c>
      <c r="K158" s="111">
        <v>0</v>
      </c>
      <c r="L158" s="111">
        <v>0</v>
      </c>
      <c r="M158" s="111">
        <v>0</v>
      </c>
      <c r="N158" s="111">
        <v>0</v>
      </c>
      <c r="O158" s="111">
        <v>0</v>
      </c>
      <c r="P158" s="111">
        <v>0</v>
      </c>
      <c r="Q158" s="111">
        <v>0</v>
      </c>
      <c r="R158" s="111">
        <v>0</v>
      </c>
      <c r="S158" s="111">
        <v>0</v>
      </c>
      <c r="T158" s="111">
        <v>0</v>
      </c>
      <c r="U158" s="111">
        <v>0</v>
      </c>
      <c r="V158" s="111">
        <v>0</v>
      </c>
      <c r="W158" s="111">
        <v>0</v>
      </c>
      <c r="X158" s="111">
        <v>0</v>
      </c>
      <c r="Y158" s="111">
        <v>0</v>
      </c>
      <c r="Z158" s="111">
        <v>0</v>
      </c>
      <c r="AA158" s="111">
        <v>0</v>
      </c>
      <c r="AB158" s="111">
        <v>0</v>
      </c>
      <c r="AC158" s="111">
        <v>0</v>
      </c>
      <c r="AD158" s="111">
        <v>0</v>
      </c>
      <c r="AE158" s="111">
        <v>0</v>
      </c>
      <c r="AF158" s="111">
        <v>0</v>
      </c>
      <c r="AG158" s="111">
        <v>0</v>
      </c>
      <c r="AH158" s="111">
        <v>0</v>
      </c>
      <c r="AI158" s="111">
        <v>0</v>
      </c>
      <c r="AJ158" s="111">
        <v>0</v>
      </c>
      <c r="AK158" s="111">
        <v>0</v>
      </c>
      <c r="AL158" s="111">
        <v>0</v>
      </c>
      <c r="AM158" s="111">
        <v>0</v>
      </c>
      <c r="AN158" s="111">
        <v>0</v>
      </c>
      <c r="AO158" s="111">
        <v>0</v>
      </c>
      <c r="AP158" s="111">
        <v>0</v>
      </c>
      <c r="AQ158" s="111">
        <v>0</v>
      </c>
      <c r="AR158" s="111">
        <v>0</v>
      </c>
      <c r="AS158" s="111">
        <v>0</v>
      </c>
      <c r="AT158" s="111">
        <v>0</v>
      </c>
      <c r="AU158" s="111">
        <v>0</v>
      </c>
      <c r="AV158" s="111">
        <v>0</v>
      </c>
      <c r="AW158" s="111">
        <v>0</v>
      </c>
      <c r="AX158" s="111">
        <v>0</v>
      </c>
      <c r="AY158" s="111">
        <v>0</v>
      </c>
    </row>
    <row r="159" spans="1:51" x14ac:dyDescent="0.2">
      <c r="A159" s="114"/>
      <c r="B159" s="135">
        <v>38</v>
      </c>
      <c r="C159" s="111"/>
      <c r="D159" s="111">
        <v>0</v>
      </c>
      <c r="E159" s="111">
        <v>0</v>
      </c>
      <c r="F159" s="111">
        <v>0</v>
      </c>
      <c r="G159" s="111">
        <v>0</v>
      </c>
      <c r="H159" s="111">
        <v>0</v>
      </c>
      <c r="I159" s="111">
        <v>0</v>
      </c>
      <c r="J159" s="111">
        <v>0</v>
      </c>
      <c r="K159" s="111">
        <v>0</v>
      </c>
      <c r="L159" s="111">
        <v>0</v>
      </c>
      <c r="M159" s="111">
        <v>0</v>
      </c>
      <c r="N159" s="111">
        <v>0</v>
      </c>
      <c r="O159" s="111">
        <v>0</v>
      </c>
      <c r="P159" s="111">
        <v>0</v>
      </c>
      <c r="Q159" s="111">
        <v>0</v>
      </c>
      <c r="R159" s="111">
        <v>0</v>
      </c>
      <c r="S159" s="111">
        <v>0</v>
      </c>
      <c r="T159" s="111">
        <v>0</v>
      </c>
      <c r="U159" s="111">
        <v>0</v>
      </c>
      <c r="V159" s="111">
        <v>0</v>
      </c>
      <c r="W159" s="111">
        <v>0</v>
      </c>
      <c r="X159" s="111">
        <v>0</v>
      </c>
      <c r="Y159" s="111">
        <v>0</v>
      </c>
      <c r="Z159" s="111">
        <v>0</v>
      </c>
      <c r="AA159" s="111">
        <v>0</v>
      </c>
      <c r="AB159" s="111">
        <v>0</v>
      </c>
      <c r="AC159" s="111">
        <v>0</v>
      </c>
      <c r="AD159" s="111">
        <v>0</v>
      </c>
      <c r="AE159" s="111">
        <v>0</v>
      </c>
      <c r="AF159" s="111">
        <v>0</v>
      </c>
      <c r="AG159" s="111">
        <v>0</v>
      </c>
      <c r="AH159" s="111">
        <v>0</v>
      </c>
      <c r="AI159" s="111">
        <v>0</v>
      </c>
      <c r="AJ159" s="111">
        <v>0</v>
      </c>
      <c r="AK159" s="111">
        <v>0</v>
      </c>
      <c r="AL159" s="111">
        <v>0</v>
      </c>
      <c r="AM159" s="111">
        <v>0</v>
      </c>
      <c r="AN159" s="111">
        <v>0</v>
      </c>
      <c r="AO159" s="111">
        <v>0</v>
      </c>
      <c r="AP159" s="111">
        <v>0</v>
      </c>
      <c r="AQ159" s="111">
        <v>0</v>
      </c>
      <c r="AR159" s="111">
        <v>0</v>
      </c>
      <c r="AS159" s="111">
        <v>0</v>
      </c>
      <c r="AT159" s="111">
        <v>0</v>
      </c>
      <c r="AU159" s="111">
        <v>0</v>
      </c>
      <c r="AV159" s="111">
        <v>0</v>
      </c>
      <c r="AW159" s="111">
        <v>0</v>
      </c>
      <c r="AX159" s="111">
        <v>0</v>
      </c>
      <c r="AY159" s="111">
        <v>0</v>
      </c>
    </row>
    <row r="160" spans="1:51" x14ac:dyDescent="0.2">
      <c r="A160" s="114"/>
      <c r="B160" s="135">
        <v>39</v>
      </c>
      <c r="C160" s="111"/>
      <c r="D160" s="111">
        <v>0</v>
      </c>
      <c r="E160" s="111">
        <v>0</v>
      </c>
      <c r="F160" s="111">
        <v>0</v>
      </c>
      <c r="G160" s="111">
        <v>0</v>
      </c>
      <c r="H160" s="111">
        <v>0</v>
      </c>
      <c r="I160" s="111">
        <v>0</v>
      </c>
      <c r="J160" s="111">
        <v>0</v>
      </c>
      <c r="K160" s="111">
        <v>0</v>
      </c>
      <c r="L160" s="111">
        <v>0</v>
      </c>
      <c r="M160" s="111">
        <v>0</v>
      </c>
      <c r="N160" s="111">
        <v>0</v>
      </c>
      <c r="O160" s="111">
        <v>0</v>
      </c>
      <c r="P160" s="111">
        <v>0</v>
      </c>
      <c r="Q160" s="111">
        <v>0</v>
      </c>
      <c r="R160" s="111">
        <v>0</v>
      </c>
      <c r="S160" s="111">
        <v>0</v>
      </c>
      <c r="T160" s="111">
        <v>0</v>
      </c>
      <c r="U160" s="111">
        <v>0</v>
      </c>
      <c r="V160" s="111">
        <v>0</v>
      </c>
      <c r="W160" s="111">
        <v>0</v>
      </c>
      <c r="X160" s="111">
        <v>0</v>
      </c>
      <c r="Y160" s="111">
        <v>0</v>
      </c>
      <c r="Z160" s="111">
        <v>0</v>
      </c>
      <c r="AA160" s="111">
        <v>0</v>
      </c>
      <c r="AB160" s="111">
        <v>0</v>
      </c>
      <c r="AC160" s="111">
        <v>0</v>
      </c>
      <c r="AD160" s="111">
        <v>0</v>
      </c>
      <c r="AE160" s="111">
        <v>0</v>
      </c>
      <c r="AF160" s="111">
        <v>0</v>
      </c>
      <c r="AG160" s="111">
        <v>0</v>
      </c>
      <c r="AH160" s="111">
        <v>0</v>
      </c>
      <c r="AI160" s="111">
        <v>0</v>
      </c>
      <c r="AJ160" s="111">
        <v>0</v>
      </c>
      <c r="AK160" s="111">
        <v>0</v>
      </c>
      <c r="AL160" s="111">
        <v>0</v>
      </c>
      <c r="AM160" s="111">
        <v>0</v>
      </c>
      <c r="AN160" s="111">
        <v>0</v>
      </c>
      <c r="AO160" s="111">
        <v>0</v>
      </c>
      <c r="AP160" s="111">
        <v>0</v>
      </c>
      <c r="AQ160" s="111">
        <v>0</v>
      </c>
      <c r="AR160" s="111">
        <v>0</v>
      </c>
      <c r="AS160" s="111">
        <v>0</v>
      </c>
      <c r="AT160" s="111">
        <v>0</v>
      </c>
      <c r="AU160" s="111">
        <v>0</v>
      </c>
      <c r="AV160" s="111">
        <v>0</v>
      </c>
      <c r="AW160" s="111">
        <v>0</v>
      </c>
      <c r="AX160" s="111">
        <v>0</v>
      </c>
      <c r="AY160" s="111">
        <v>0</v>
      </c>
    </row>
    <row r="161" spans="1:52" x14ac:dyDescent="0.2">
      <c r="A161" s="114"/>
      <c r="B161" s="135">
        <v>40</v>
      </c>
      <c r="C161" s="111"/>
      <c r="D161" s="111">
        <v>0</v>
      </c>
      <c r="E161" s="111">
        <v>0</v>
      </c>
      <c r="F161" s="111">
        <v>0</v>
      </c>
      <c r="G161" s="111">
        <v>0</v>
      </c>
      <c r="H161" s="111">
        <v>0</v>
      </c>
      <c r="I161" s="111">
        <v>0</v>
      </c>
      <c r="J161" s="111">
        <v>0</v>
      </c>
      <c r="K161" s="111">
        <v>0</v>
      </c>
      <c r="L161" s="111">
        <v>0</v>
      </c>
      <c r="M161" s="111">
        <v>0</v>
      </c>
      <c r="N161" s="111">
        <v>0</v>
      </c>
      <c r="O161" s="111">
        <v>0</v>
      </c>
      <c r="P161" s="111">
        <v>0</v>
      </c>
      <c r="Q161" s="111">
        <v>0</v>
      </c>
      <c r="R161" s="111">
        <v>0</v>
      </c>
      <c r="S161" s="111">
        <v>0</v>
      </c>
      <c r="T161" s="111">
        <v>0</v>
      </c>
      <c r="U161" s="111">
        <v>0</v>
      </c>
      <c r="V161" s="111">
        <v>0</v>
      </c>
      <c r="W161" s="111">
        <v>0</v>
      </c>
      <c r="X161" s="111">
        <v>0</v>
      </c>
      <c r="Y161" s="111">
        <v>0</v>
      </c>
      <c r="Z161" s="111">
        <v>0</v>
      </c>
      <c r="AA161" s="111">
        <v>0</v>
      </c>
      <c r="AB161" s="111">
        <v>0</v>
      </c>
      <c r="AC161" s="111">
        <v>0</v>
      </c>
      <c r="AD161" s="111">
        <v>0</v>
      </c>
      <c r="AE161" s="111">
        <v>0</v>
      </c>
      <c r="AF161" s="111">
        <v>0</v>
      </c>
      <c r="AG161" s="111">
        <v>0</v>
      </c>
      <c r="AH161" s="111">
        <v>0</v>
      </c>
      <c r="AI161" s="111">
        <v>0</v>
      </c>
      <c r="AJ161" s="111">
        <v>0</v>
      </c>
      <c r="AK161" s="111">
        <v>0</v>
      </c>
      <c r="AL161" s="111">
        <v>0</v>
      </c>
      <c r="AM161" s="111">
        <v>0</v>
      </c>
      <c r="AN161" s="111">
        <v>0</v>
      </c>
      <c r="AO161" s="111">
        <v>0</v>
      </c>
      <c r="AP161" s="111">
        <v>0</v>
      </c>
      <c r="AQ161" s="111">
        <v>0</v>
      </c>
      <c r="AR161" s="111">
        <v>0</v>
      </c>
      <c r="AS161" s="111">
        <v>0</v>
      </c>
      <c r="AT161" s="111">
        <v>0</v>
      </c>
      <c r="AU161" s="111">
        <v>0</v>
      </c>
      <c r="AV161" s="111">
        <v>0</v>
      </c>
      <c r="AW161" s="111">
        <v>0</v>
      </c>
      <c r="AX161" s="111">
        <v>0</v>
      </c>
      <c r="AY161" s="111">
        <v>0</v>
      </c>
    </row>
    <row r="162" spans="1:52" x14ac:dyDescent="0.2">
      <c r="A162" s="114"/>
      <c r="B162" s="135">
        <v>41</v>
      </c>
      <c r="C162" s="111"/>
      <c r="D162" s="111">
        <v>0</v>
      </c>
      <c r="E162" s="111">
        <v>0</v>
      </c>
      <c r="F162" s="111">
        <v>0</v>
      </c>
      <c r="G162" s="111">
        <v>0</v>
      </c>
      <c r="H162" s="111">
        <v>0</v>
      </c>
      <c r="I162" s="111">
        <v>0</v>
      </c>
      <c r="J162" s="111">
        <v>0</v>
      </c>
      <c r="K162" s="111">
        <v>0</v>
      </c>
      <c r="L162" s="111">
        <v>0</v>
      </c>
      <c r="M162" s="111">
        <v>0</v>
      </c>
      <c r="N162" s="111">
        <v>0</v>
      </c>
      <c r="O162" s="111">
        <v>0</v>
      </c>
      <c r="P162" s="111">
        <v>0</v>
      </c>
      <c r="Q162" s="111">
        <v>0</v>
      </c>
      <c r="R162" s="111">
        <v>0</v>
      </c>
      <c r="S162" s="111">
        <v>0</v>
      </c>
      <c r="T162" s="111">
        <v>0</v>
      </c>
      <c r="U162" s="111">
        <v>0</v>
      </c>
      <c r="V162" s="111">
        <v>0</v>
      </c>
      <c r="W162" s="111">
        <v>0</v>
      </c>
      <c r="X162" s="111">
        <v>0</v>
      </c>
      <c r="Y162" s="111">
        <v>0</v>
      </c>
      <c r="Z162" s="111">
        <v>0</v>
      </c>
      <c r="AA162" s="111">
        <v>0</v>
      </c>
      <c r="AB162" s="111">
        <v>0</v>
      </c>
      <c r="AC162" s="111">
        <v>0</v>
      </c>
      <c r="AD162" s="111">
        <v>0</v>
      </c>
      <c r="AE162" s="111">
        <v>0</v>
      </c>
      <c r="AF162" s="111">
        <v>0</v>
      </c>
      <c r="AG162" s="111">
        <v>0</v>
      </c>
      <c r="AH162" s="111">
        <v>0</v>
      </c>
      <c r="AI162" s="111">
        <v>0</v>
      </c>
      <c r="AJ162" s="111">
        <v>0</v>
      </c>
      <c r="AK162" s="111">
        <v>0</v>
      </c>
      <c r="AL162" s="111">
        <v>0</v>
      </c>
      <c r="AM162" s="111">
        <v>0</v>
      </c>
      <c r="AN162" s="111">
        <v>0</v>
      </c>
      <c r="AO162" s="111">
        <v>0</v>
      </c>
      <c r="AP162" s="111">
        <v>0</v>
      </c>
      <c r="AQ162" s="111">
        <v>0</v>
      </c>
      <c r="AR162" s="111">
        <v>0</v>
      </c>
      <c r="AS162" s="111">
        <v>0</v>
      </c>
      <c r="AT162" s="111">
        <v>0</v>
      </c>
      <c r="AU162" s="111">
        <v>0</v>
      </c>
      <c r="AV162" s="111">
        <v>0</v>
      </c>
      <c r="AW162" s="111">
        <v>0</v>
      </c>
      <c r="AX162" s="111">
        <v>0</v>
      </c>
      <c r="AY162" s="111">
        <v>0</v>
      </c>
    </row>
    <row r="163" spans="1:52" x14ac:dyDescent="0.2">
      <c r="A163" s="114"/>
      <c r="B163" s="135">
        <v>42</v>
      </c>
      <c r="C163" s="111"/>
      <c r="D163" s="111">
        <v>0</v>
      </c>
      <c r="E163" s="111">
        <v>0</v>
      </c>
      <c r="F163" s="111">
        <v>0</v>
      </c>
      <c r="G163" s="111">
        <v>0</v>
      </c>
      <c r="H163" s="111">
        <v>0</v>
      </c>
      <c r="I163" s="111">
        <v>0</v>
      </c>
      <c r="J163" s="111">
        <v>0</v>
      </c>
      <c r="K163" s="111">
        <v>0</v>
      </c>
      <c r="L163" s="111">
        <v>0</v>
      </c>
      <c r="M163" s="111">
        <v>0</v>
      </c>
      <c r="N163" s="111">
        <v>0</v>
      </c>
      <c r="O163" s="111">
        <v>0</v>
      </c>
      <c r="P163" s="111">
        <v>0</v>
      </c>
      <c r="Q163" s="111">
        <v>0</v>
      </c>
      <c r="R163" s="111">
        <v>0</v>
      </c>
      <c r="S163" s="111">
        <v>0</v>
      </c>
      <c r="T163" s="111">
        <v>0</v>
      </c>
      <c r="U163" s="111">
        <v>0</v>
      </c>
      <c r="V163" s="111">
        <v>0</v>
      </c>
      <c r="W163" s="111">
        <v>0</v>
      </c>
      <c r="X163" s="111">
        <v>0</v>
      </c>
      <c r="Y163" s="111">
        <v>0</v>
      </c>
      <c r="Z163" s="111">
        <v>0</v>
      </c>
      <c r="AA163" s="111">
        <v>0</v>
      </c>
      <c r="AB163" s="111">
        <v>0</v>
      </c>
      <c r="AC163" s="111">
        <v>0</v>
      </c>
      <c r="AD163" s="111">
        <v>0</v>
      </c>
      <c r="AE163" s="111">
        <v>0</v>
      </c>
      <c r="AF163" s="111">
        <v>0</v>
      </c>
      <c r="AG163" s="111">
        <v>0</v>
      </c>
      <c r="AH163" s="111">
        <v>0</v>
      </c>
      <c r="AI163" s="111">
        <v>0</v>
      </c>
      <c r="AJ163" s="111">
        <v>0</v>
      </c>
      <c r="AK163" s="111">
        <v>0</v>
      </c>
      <c r="AL163" s="111">
        <v>0</v>
      </c>
      <c r="AM163" s="111">
        <v>0</v>
      </c>
      <c r="AN163" s="111">
        <v>0</v>
      </c>
      <c r="AO163" s="111">
        <v>0</v>
      </c>
      <c r="AP163" s="111">
        <v>0</v>
      </c>
      <c r="AQ163" s="111">
        <v>0</v>
      </c>
      <c r="AR163" s="111">
        <v>0</v>
      </c>
      <c r="AS163" s="111">
        <v>0</v>
      </c>
      <c r="AT163" s="111">
        <v>0</v>
      </c>
      <c r="AU163" s="111">
        <v>0</v>
      </c>
      <c r="AV163" s="111">
        <v>0</v>
      </c>
      <c r="AW163" s="111">
        <v>0</v>
      </c>
      <c r="AX163" s="111">
        <v>0</v>
      </c>
      <c r="AY163" s="111">
        <v>0</v>
      </c>
    </row>
    <row r="164" spans="1:52" x14ac:dyDescent="0.2">
      <c r="A164" s="114"/>
      <c r="B164" s="135">
        <v>43</v>
      </c>
      <c r="C164" s="111"/>
      <c r="D164" s="111">
        <v>0</v>
      </c>
      <c r="E164" s="111">
        <v>0</v>
      </c>
      <c r="F164" s="111">
        <v>0</v>
      </c>
      <c r="G164" s="111">
        <v>0</v>
      </c>
      <c r="H164" s="111">
        <v>0</v>
      </c>
      <c r="I164" s="111">
        <v>0</v>
      </c>
      <c r="J164" s="111">
        <v>0</v>
      </c>
      <c r="K164" s="111">
        <v>0</v>
      </c>
      <c r="L164" s="111">
        <v>0</v>
      </c>
      <c r="M164" s="111">
        <v>0</v>
      </c>
      <c r="N164" s="111">
        <v>0</v>
      </c>
      <c r="O164" s="111">
        <v>0</v>
      </c>
      <c r="P164" s="111">
        <v>0</v>
      </c>
      <c r="Q164" s="111">
        <v>0</v>
      </c>
      <c r="R164" s="111">
        <v>0</v>
      </c>
      <c r="S164" s="111">
        <v>0</v>
      </c>
      <c r="T164" s="111">
        <v>0</v>
      </c>
      <c r="U164" s="111">
        <v>0</v>
      </c>
      <c r="V164" s="111">
        <v>0</v>
      </c>
      <c r="W164" s="111">
        <v>0</v>
      </c>
      <c r="X164" s="111">
        <v>0</v>
      </c>
      <c r="Y164" s="111">
        <v>0</v>
      </c>
      <c r="Z164" s="111">
        <v>0</v>
      </c>
      <c r="AA164" s="111">
        <v>0</v>
      </c>
      <c r="AB164" s="111">
        <v>0</v>
      </c>
      <c r="AC164" s="111">
        <v>0</v>
      </c>
      <c r="AD164" s="111">
        <v>0</v>
      </c>
      <c r="AE164" s="111">
        <v>0</v>
      </c>
      <c r="AF164" s="111">
        <v>0</v>
      </c>
      <c r="AG164" s="111">
        <v>0</v>
      </c>
      <c r="AH164" s="111">
        <v>0</v>
      </c>
      <c r="AI164" s="111">
        <v>0</v>
      </c>
      <c r="AJ164" s="111">
        <v>0</v>
      </c>
      <c r="AK164" s="111">
        <v>0</v>
      </c>
      <c r="AL164" s="111">
        <v>0</v>
      </c>
      <c r="AM164" s="111">
        <v>0</v>
      </c>
      <c r="AN164" s="111">
        <v>0</v>
      </c>
      <c r="AO164" s="111">
        <v>0</v>
      </c>
      <c r="AP164" s="111">
        <v>0</v>
      </c>
      <c r="AQ164" s="111">
        <v>0</v>
      </c>
      <c r="AR164" s="111">
        <v>0</v>
      </c>
      <c r="AS164" s="111">
        <v>0</v>
      </c>
      <c r="AT164" s="111">
        <v>0</v>
      </c>
      <c r="AU164" s="111">
        <v>0</v>
      </c>
      <c r="AV164" s="111">
        <v>0</v>
      </c>
      <c r="AW164" s="111">
        <v>0</v>
      </c>
      <c r="AX164" s="111">
        <v>0</v>
      </c>
      <c r="AY164" s="111">
        <v>0</v>
      </c>
    </row>
    <row r="165" spans="1:52" x14ac:dyDescent="0.2">
      <c r="A165" s="114"/>
      <c r="B165" s="135">
        <v>44</v>
      </c>
      <c r="C165" s="111"/>
      <c r="D165" s="111">
        <v>0</v>
      </c>
      <c r="E165" s="111">
        <v>0</v>
      </c>
      <c r="F165" s="111">
        <v>0</v>
      </c>
      <c r="G165" s="111">
        <v>0</v>
      </c>
      <c r="H165" s="111">
        <v>0</v>
      </c>
      <c r="I165" s="111">
        <v>0</v>
      </c>
      <c r="J165" s="111">
        <v>0</v>
      </c>
      <c r="K165" s="111">
        <v>0</v>
      </c>
      <c r="L165" s="111">
        <v>0</v>
      </c>
      <c r="M165" s="111">
        <v>0</v>
      </c>
      <c r="N165" s="111">
        <v>0</v>
      </c>
      <c r="O165" s="111">
        <v>0</v>
      </c>
      <c r="P165" s="111">
        <v>0</v>
      </c>
      <c r="Q165" s="111">
        <v>0</v>
      </c>
      <c r="R165" s="111">
        <v>0</v>
      </c>
      <c r="S165" s="111">
        <v>0</v>
      </c>
      <c r="T165" s="111">
        <v>0</v>
      </c>
      <c r="U165" s="111">
        <v>0</v>
      </c>
      <c r="V165" s="111">
        <v>0</v>
      </c>
      <c r="W165" s="111">
        <v>0</v>
      </c>
      <c r="X165" s="111">
        <v>0</v>
      </c>
      <c r="Y165" s="111">
        <v>0</v>
      </c>
      <c r="Z165" s="111">
        <v>0</v>
      </c>
      <c r="AA165" s="111">
        <v>0</v>
      </c>
      <c r="AB165" s="111">
        <v>0</v>
      </c>
      <c r="AC165" s="111">
        <v>0</v>
      </c>
      <c r="AD165" s="111">
        <v>0</v>
      </c>
      <c r="AE165" s="111">
        <v>0</v>
      </c>
      <c r="AF165" s="111">
        <v>0</v>
      </c>
      <c r="AG165" s="111">
        <v>0</v>
      </c>
      <c r="AH165" s="111">
        <v>0</v>
      </c>
      <c r="AI165" s="111">
        <v>0</v>
      </c>
      <c r="AJ165" s="111">
        <v>0</v>
      </c>
      <c r="AK165" s="111">
        <v>0</v>
      </c>
      <c r="AL165" s="111">
        <v>0</v>
      </c>
      <c r="AM165" s="111">
        <v>0</v>
      </c>
      <c r="AN165" s="111">
        <v>0</v>
      </c>
      <c r="AO165" s="111">
        <v>0</v>
      </c>
      <c r="AP165" s="111">
        <v>0</v>
      </c>
      <c r="AQ165" s="111">
        <v>0</v>
      </c>
      <c r="AR165" s="111">
        <v>0</v>
      </c>
      <c r="AS165" s="111">
        <v>0</v>
      </c>
      <c r="AT165" s="111">
        <v>0</v>
      </c>
      <c r="AU165" s="111">
        <v>0</v>
      </c>
      <c r="AV165" s="111">
        <v>0</v>
      </c>
      <c r="AW165" s="111">
        <v>0</v>
      </c>
      <c r="AX165" s="111">
        <v>0</v>
      </c>
      <c r="AY165" s="111">
        <v>0</v>
      </c>
    </row>
    <row r="166" spans="1:52" x14ac:dyDescent="0.2">
      <c r="A166" s="114"/>
      <c r="B166" s="135">
        <v>45</v>
      </c>
      <c r="C166" s="111"/>
      <c r="D166" s="111">
        <v>0</v>
      </c>
      <c r="E166" s="111">
        <v>0</v>
      </c>
      <c r="F166" s="111">
        <v>0</v>
      </c>
      <c r="G166" s="111">
        <v>0</v>
      </c>
      <c r="H166" s="111">
        <v>0</v>
      </c>
      <c r="I166" s="111">
        <v>0</v>
      </c>
      <c r="J166" s="111">
        <v>0</v>
      </c>
      <c r="K166" s="111">
        <v>0</v>
      </c>
      <c r="L166" s="111">
        <v>0</v>
      </c>
      <c r="M166" s="111">
        <v>0</v>
      </c>
      <c r="N166" s="111">
        <v>0</v>
      </c>
      <c r="O166" s="111">
        <v>0</v>
      </c>
      <c r="P166" s="111">
        <v>0</v>
      </c>
      <c r="Q166" s="111">
        <v>0</v>
      </c>
      <c r="R166" s="111">
        <v>0</v>
      </c>
      <c r="S166" s="111">
        <v>0</v>
      </c>
      <c r="T166" s="111">
        <v>0</v>
      </c>
      <c r="U166" s="111">
        <v>0</v>
      </c>
      <c r="V166" s="111">
        <v>0</v>
      </c>
      <c r="W166" s="111">
        <v>0</v>
      </c>
      <c r="X166" s="111">
        <v>0</v>
      </c>
      <c r="Y166" s="111">
        <v>0</v>
      </c>
      <c r="Z166" s="111">
        <v>0</v>
      </c>
      <c r="AA166" s="111">
        <v>0</v>
      </c>
      <c r="AB166" s="111">
        <v>0</v>
      </c>
      <c r="AC166" s="111">
        <v>0</v>
      </c>
      <c r="AD166" s="111">
        <v>0</v>
      </c>
      <c r="AE166" s="111">
        <v>0</v>
      </c>
      <c r="AF166" s="111">
        <v>0</v>
      </c>
      <c r="AG166" s="111">
        <v>0</v>
      </c>
      <c r="AH166" s="111">
        <v>0</v>
      </c>
      <c r="AI166" s="111">
        <v>0</v>
      </c>
      <c r="AJ166" s="111">
        <v>0</v>
      </c>
      <c r="AK166" s="111">
        <v>0</v>
      </c>
      <c r="AL166" s="111">
        <v>0</v>
      </c>
      <c r="AM166" s="111">
        <v>0</v>
      </c>
      <c r="AN166" s="111">
        <v>0</v>
      </c>
      <c r="AO166" s="111">
        <v>0</v>
      </c>
      <c r="AP166" s="111">
        <v>0</v>
      </c>
      <c r="AQ166" s="111">
        <v>0</v>
      </c>
      <c r="AR166" s="111">
        <v>0</v>
      </c>
      <c r="AS166" s="111">
        <v>0</v>
      </c>
      <c r="AT166" s="111">
        <v>0</v>
      </c>
      <c r="AU166" s="111">
        <v>0</v>
      </c>
      <c r="AV166" s="111">
        <v>0</v>
      </c>
      <c r="AW166" s="111">
        <v>0</v>
      </c>
      <c r="AX166" s="111">
        <v>0</v>
      </c>
      <c r="AY166" s="111">
        <v>0</v>
      </c>
    </row>
    <row r="167" spans="1:52" x14ac:dyDescent="0.2">
      <c r="A167" s="114"/>
      <c r="B167" s="135">
        <v>46</v>
      </c>
      <c r="C167" s="111"/>
      <c r="D167" s="111">
        <v>0</v>
      </c>
      <c r="E167" s="111">
        <v>0</v>
      </c>
      <c r="F167" s="111">
        <v>0</v>
      </c>
      <c r="G167" s="111">
        <v>0</v>
      </c>
      <c r="H167" s="111">
        <v>0</v>
      </c>
      <c r="I167" s="111">
        <v>0</v>
      </c>
      <c r="J167" s="111">
        <v>0</v>
      </c>
      <c r="K167" s="111">
        <v>0</v>
      </c>
      <c r="L167" s="111">
        <v>0</v>
      </c>
      <c r="M167" s="111">
        <v>0</v>
      </c>
      <c r="N167" s="111">
        <v>0</v>
      </c>
      <c r="O167" s="111">
        <v>0</v>
      </c>
      <c r="P167" s="111">
        <v>0</v>
      </c>
      <c r="Q167" s="111">
        <v>0</v>
      </c>
      <c r="R167" s="111">
        <v>0</v>
      </c>
      <c r="S167" s="111">
        <v>0</v>
      </c>
      <c r="T167" s="111">
        <v>0</v>
      </c>
      <c r="U167" s="111">
        <v>0</v>
      </c>
      <c r="V167" s="111">
        <v>0</v>
      </c>
      <c r="W167" s="111">
        <v>0</v>
      </c>
      <c r="X167" s="111">
        <v>0</v>
      </c>
      <c r="Y167" s="111">
        <v>0</v>
      </c>
      <c r="Z167" s="111">
        <v>0</v>
      </c>
      <c r="AA167" s="111">
        <v>0</v>
      </c>
      <c r="AB167" s="111">
        <v>0</v>
      </c>
      <c r="AC167" s="111">
        <v>0</v>
      </c>
      <c r="AD167" s="111">
        <v>0</v>
      </c>
      <c r="AE167" s="111">
        <v>0</v>
      </c>
      <c r="AF167" s="111">
        <v>0</v>
      </c>
      <c r="AG167" s="111">
        <v>0</v>
      </c>
      <c r="AH167" s="111">
        <v>0</v>
      </c>
      <c r="AI167" s="111">
        <v>0</v>
      </c>
      <c r="AJ167" s="111">
        <v>0</v>
      </c>
      <c r="AK167" s="111">
        <v>0</v>
      </c>
      <c r="AL167" s="111">
        <v>0</v>
      </c>
      <c r="AM167" s="111">
        <v>0</v>
      </c>
      <c r="AN167" s="111">
        <v>0</v>
      </c>
      <c r="AO167" s="111">
        <v>0</v>
      </c>
      <c r="AP167" s="111">
        <v>0</v>
      </c>
      <c r="AQ167" s="111">
        <v>0</v>
      </c>
      <c r="AR167" s="111">
        <v>0</v>
      </c>
      <c r="AS167" s="111">
        <v>0</v>
      </c>
      <c r="AT167" s="111">
        <v>0</v>
      </c>
      <c r="AU167" s="111">
        <v>0</v>
      </c>
      <c r="AV167" s="111">
        <v>0</v>
      </c>
      <c r="AW167" s="111">
        <v>0</v>
      </c>
      <c r="AX167" s="111">
        <v>0</v>
      </c>
      <c r="AY167" s="111">
        <v>0</v>
      </c>
    </row>
    <row r="168" spans="1:52" x14ac:dyDescent="0.2">
      <c r="A168" s="114"/>
      <c r="B168" s="135">
        <v>47</v>
      </c>
      <c r="C168" s="111"/>
      <c r="D168" s="111">
        <v>0</v>
      </c>
      <c r="E168" s="111">
        <v>0</v>
      </c>
      <c r="F168" s="111">
        <v>0</v>
      </c>
      <c r="G168" s="111">
        <v>0</v>
      </c>
      <c r="H168" s="111">
        <v>0</v>
      </c>
      <c r="I168" s="111">
        <v>0</v>
      </c>
      <c r="J168" s="111">
        <v>0</v>
      </c>
      <c r="K168" s="111">
        <v>0</v>
      </c>
      <c r="L168" s="111">
        <v>0</v>
      </c>
      <c r="M168" s="111">
        <v>0</v>
      </c>
      <c r="N168" s="111">
        <v>0</v>
      </c>
      <c r="O168" s="111">
        <v>0</v>
      </c>
      <c r="P168" s="111">
        <v>0</v>
      </c>
      <c r="Q168" s="111">
        <v>0</v>
      </c>
      <c r="R168" s="111">
        <v>0</v>
      </c>
      <c r="S168" s="111">
        <v>0</v>
      </c>
      <c r="T168" s="111">
        <v>0</v>
      </c>
      <c r="U168" s="111">
        <v>0</v>
      </c>
      <c r="V168" s="111">
        <v>0</v>
      </c>
      <c r="W168" s="111">
        <v>0</v>
      </c>
      <c r="X168" s="111">
        <v>0</v>
      </c>
      <c r="Y168" s="111">
        <v>0</v>
      </c>
      <c r="Z168" s="111">
        <v>0</v>
      </c>
      <c r="AA168" s="111">
        <v>0</v>
      </c>
      <c r="AB168" s="111">
        <v>0</v>
      </c>
      <c r="AC168" s="111">
        <v>0</v>
      </c>
      <c r="AD168" s="111">
        <v>0</v>
      </c>
      <c r="AE168" s="111">
        <v>0</v>
      </c>
      <c r="AF168" s="111">
        <v>0</v>
      </c>
      <c r="AG168" s="111">
        <v>0</v>
      </c>
      <c r="AH168" s="111">
        <v>0</v>
      </c>
      <c r="AI168" s="111">
        <v>0</v>
      </c>
      <c r="AJ168" s="111">
        <v>0</v>
      </c>
      <c r="AK168" s="111">
        <v>0</v>
      </c>
      <c r="AL168" s="111">
        <v>0</v>
      </c>
      <c r="AM168" s="111">
        <v>0</v>
      </c>
      <c r="AN168" s="111">
        <v>0</v>
      </c>
      <c r="AO168" s="111">
        <v>0</v>
      </c>
      <c r="AP168" s="111">
        <v>0</v>
      </c>
      <c r="AQ168" s="111">
        <v>0</v>
      </c>
      <c r="AR168" s="111">
        <v>0</v>
      </c>
      <c r="AS168" s="111">
        <v>0</v>
      </c>
      <c r="AT168" s="111">
        <v>0</v>
      </c>
      <c r="AU168" s="111">
        <v>0</v>
      </c>
      <c r="AV168" s="111">
        <v>0</v>
      </c>
      <c r="AW168" s="111">
        <v>0</v>
      </c>
      <c r="AX168" s="111">
        <v>0</v>
      </c>
      <c r="AY168" s="111">
        <v>0</v>
      </c>
    </row>
    <row r="169" spans="1:52" x14ac:dyDescent="0.2">
      <c r="A169" s="114"/>
      <c r="B169" s="135">
        <v>48</v>
      </c>
      <c r="C169" s="111"/>
      <c r="D169" s="111">
        <v>0</v>
      </c>
      <c r="E169" s="111">
        <v>0</v>
      </c>
      <c r="F169" s="111">
        <v>0</v>
      </c>
      <c r="G169" s="111">
        <v>0</v>
      </c>
      <c r="H169" s="111">
        <v>0</v>
      </c>
      <c r="I169" s="111">
        <v>0</v>
      </c>
      <c r="J169" s="111">
        <v>0</v>
      </c>
      <c r="K169" s="111">
        <v>0</v>
      </c>
      <c r="L169" s="111">
        <v>0</v>
      </c>
      <c r="M169" s="111">
        <v>0</v>
      </c>
      <c r="N169" s="111">
        <v>0</v>
      </c>
      <c r="O169" s="111">
        <v>0</v>
      </c>
      <c r="P169" s="111">
        <v>0</v>
      </c>
      <c r="Q169" s="111">
        <v>0</v>
      </c>
      <c r="R169" s="111">
        <v>0</v>
      </c>
      <c r="S169" s="111">
        <v>0</v>
      </c>
      <c r="T169" s="111">
        <v>0</v>
      </c>
      <c r="U169" s="111">
        <v>0</v>
      </c>
      <c r="V169" s="111">
        <v>0</v>
      </c>
      <c r="W169" s="111">
        <v>0</v>
      </c>
      <c r="X169" s="111">
        <v>0</v>
      </c>
      <c r="Y169" s="111">
        <v>0</v>
      </c>
      <c r="Z169" s="111">
        <v>0</v>
      </c>
      <c r="AA169" s="111">
        <v>0</v>
      </c>
      <c r="AB169" s="111">
        <v>0</v>
      </c>
      <c r="AC169" s="111">
        <v>0</v>
      </c>
      <c r="AD169" s="111">
        <v>0</v>
      </c>
      <c r="AE169" s="111">
        <v>0</v>
      </c>
      <c r="AF169" s="111">
        <v>0</v>
      </c>
      <c r="AG169" s="111">
        <v>0</v>
      </c>
      <c r="AH169" s="111">
        <v>0</v>
      </c>
      <c r="AI169" s="111">
        <v>0</v>
      </c>
      <c r="AJ169" s="111">
        <v>0</v>
      </c>
      <c r="AK169" s="111">
        <v>0</v>
      </c>
      <c r="AL169" s="111">
        <v>0</v>
      </c>
      <c r="AM169" s="111">
        <v>0</v>
      </c>
      <c r="AN169" s="111">
        <v>0</v>
      </c>
      <c r="AO169" s="111">
        <v>0</v>
      </c>
      <c r="AP169" s="111">
        <v>0</v>
      </c>
      <c r="AQ169" s="111">
        <v>0</v>
      </c>
      <c r="AR169" s="111">
        <v>0</v>
      </c>
      <c r="AS169" s="111">
        <v>0</v>
      </c>
      <c r="AT169" s="111">
        <v>0</v>
      </c>
      <c r="AU169" s="111">
        <v>0</v>
      </c>
      <c r="AV169" s="111">
        <v>0</v>
      </c>
      <c r="AW169" s="111">
        <v>0</v>
      </c>
      <c r="AX169" s="111">
        <v>0</v>
      </c>
      <c r="AY169" s="111">
        <v>0</v>
      </c>
    </row>
    <row r="170" spans="1:52" x14ac:dyDescent="0.2">
      <c r="A170" s="133"/>
      <c r="B170" s="137" t="s">
        <v>298</v>
      </c>
      <c r="C170" s="119"/>
      <c r="D170" s="130">
        <v>0</v>
      </c>
      <c r="E170" s="130">
        <v>0</v>
      </c>
      <c r="F170" s="130">
        <v>0</v>
      </c>
      <c r="G170" s="130">
        <v>0</v>
      </c>
      <c r="H170" s="130">
        <v>0</v>
      </c>
      <c r="I170" s="130">
        <v>0</v>
      </c>
      <c r="J170" s="130">
        <v>0</v>
      </c>
      <c r="K170" s="130">
        <v>0</v>
      </c>
      <c r="L170" s="130">
        <v>0</v>
      </c>
      <c r="M170" s="130">
        <v>0</v>
      </c>
      <c r="N170" s="130">
        <v>0</v>
      </c>
      <c r="O170" s="130">
        <v>0</v>
      </c>
      <c r="P170" s="130">
        <v>0</v>
      </c>
      <c r="Q170" s="130">
        <v>0</v>
      </c>
      <c r="R170" s="130">
        <v>0</v>
      </c>
      <c r="S170" s="130">
        <v>0</v>
      </c>
      <c r="T170" s="130">
        <v>0</v>
      </c>
      <c r="U170" s="130">
        <v>0</v>
      </c>
      <c r="V170" s="130">
        <v>0</v>
      </c>
      <c r="W170" s="130">
        <v>0</v>
      </c>
      <c r="X170" s="130">
        <v>0</v>
      </c>
      <c r="Y170" s="130">
        <v>0</v>
      </c>
      <c r="Z170" s="130">
        <v>0</v>
      </c>
      <c r="AA170" s="130">
        <v>0</v>
      </c>
      <c r="AB170" s="130">
        <v>0</v>
      </c>
      <c r="AC170" s="130">
        <v>0</v>
      </c>
      <c r="AD170" s="130">
        <v>0</v>
      </c>
      <c r="AE170" s="130">
        <v>0</v>
      </c>
      <c r="AF170" s="130">
        <v>0</v>
      </c>
      <c r="AG170" s="130">
        <v>0</v>
      </c>
      <c r="AH170" s="130">
        <v>0</v>
      </c>
      <c r="AI170" s="130">
        <v>0</v>
      </c>
      <c r="AJ170" s="130">
        <v>0</v>
      </c>
      <c r="AK170" s="130">
        <v>0</v>
      </c>
      <c r="AL170" s="130">
        <v>0</v>
      </c>
      <c r="AM170" s="130">
        <v>0</v>
      </c>
      <c r="AN170" s="130">
        <v>0</v>
      </c>
      <c r="AO170" s="130">
        <v>0</v>
      </c>
      <c r="AP170" s="130">
        <v>0</v>
      </c>
      <c r="AQ170" s="130">
        <v>0</v>
      </c>
      <c r="AR170" s="130">
        <v>0</v>
      </c>
      <c r="AS170" s="130">
        <v>0</v>
      </c>
      <c r="AT170" s="130">
        <v>0</v>
      </c>
      <c r="AU170" s="130">
        <v>0</v>
      </c>
      <c r="AV170" s="130">
        <v>0</v>
      </c>
      <c r="AW170" s="130">
        <v>0</v>
      </c>
      <c r="AX170" s="130">
        <v>0</v>
      </c>
      <c r="AY170" s="130">
        <v>0</v>
      </c>
      <c r="AZ170" s="112">
        <f>SUM($D170:$AY170)</f>
        <v>0</v>
      </c>
    </row>
    <row r="172" spans="1:52" x14ac:dyDescent="0.2">
      <c r="A172" s="107" t="s">
        <v>124</v>
      </c>
      <c r="B172" s="138" t="s">
        <v>299</v>
      </c>
      <c r="C172" s="139"/>
      <c r="D172" s="139">
        <v>0.18</v>
      </c>
      <c r="E172" s="139">
        <v>0.18</v>
      </c>
      <c r="F172" s="139">
        <v>0.18</v>
      </c>
      <c r="G172" s="139">
        <v>0.18</v>
      </c>
      <c r="H172" s="139">
        <v>0.18</v>
      </c>
      <c r="I172" s="139">
        <v>0.18</v>
      </c>
      <c r="J172" s="139">
        <v>0.18</v>
      </c>
      <c r="K172" s="139">
        <v>0.18</v>
      </c>
      <c r="L172" s="139">
        <v>0.18</v>
      </c>
      <c r="M172" s="139">
        <v>0.18</v>
      </c>
      <c r="N172" s="139">
        <v>0.18</v>
      </c>
      <c r="O172" s="139">
        <v>0.18</v>
      </c>
      <c r="P172" s="139">
        <v>0.18</v>
      </c>
      <c r="Q172" s="139">
        <v>0.18</v>
      </c>
      <c r="R172" s="139">
        <v>0.18</v>
      </c>
      <c r="S172" s="139">
        <v>0.18</v>
      </c>
      <c r="T172" s="139">
        <v>0.18</v>
      </c>
      <c r="U172" s="139">
        <v>0.18</v>
      </c>
      <c r="V172" s="139">
        <v>0.18</v>
      </c>
      <c r="W172" s="139">
        <v>0.18</v>
      </c>
      <c r="X172" s="139">
        <v>0.18</v>
      </c>
      <c r="Y172" s="139">
        <v>0.18</v>
      </c>
      <c r="Z172" s="139">
        <v>0.18</v>
      </c>
      <c r="AA172" s="139">
        <v>0.18</v>
      </c>
      <c r="AB172" s="139">
        <v>0.18</v>
      </c>
      <c r="AC172" s="139">
        <v>0.18</v>
      </c>
      <c r="AD172" s="139">
        <v>0.18</v>
      </c>
      <c r="AE172" s="139">
        <v>0.18</v>
      </c>
      <c r="AF172" s="139">
        <v>0.18</v>
      </c>
      <c r="AG172" s="139">
        <v>0.18</v>
      </c>
      <c r="AH172" s="139">
        <v>0.18</v>
      </c>
      <c r="AI172" s="139">
        <v>0.18</v>
      </c>
      <c r="AJ172" s="139">
        <v>0.18</v>
      </c>
      <c r="AK172" s="139">
        <v>0.18</v>
      </c>
      <c r="AL172" s="139">
        <v>0.18</v>
      </c>
      <c r="AM172" s="139">
        <v>0.18</v>
      </c>
      <c r="AN172" s="139">
        <v>0.18</v>
      </c>
      <c r="AO172" s="139">
        <v>0.18</v>
      </c>
      <c r="AP172" s="139">
        <v>0.18</v>
      </c>
      <c r="AQ172" s="139">
        <v>0.18</v>
      </c>
      <c r="AR172" s="139">
        <v>0.18</v>
      </c>
      <c r="AS172" s="139">
        <v>0.18</v>
      </c>
      <c r="AT172" s="139">
        <v>0.18</v>
      </c>
      <c r="AU172" s="139">
        <v>0.18</v>
      </c>
      <c r="AV172" s="139">
        <v>0.18</v>
      </c>
      <c r="AW172" s="139">
        <v>0.18</v>
      </c>
      <c r="AX172" s="139">
        <v>0.18</v>
      </c>
      <c r="AY172" s="139">
        <v>0.18</v>
      </c>
    </row>
    <row r="174" spans="1:52" x14ac:dyDescent="0.2">
      <c r="A174" s="107" t="s">
        <v>274</v>
      </c>
    </row>
    <row r="175" spans="1:52" x14ac:dyDescent="0.2">
      <c r="A175" s="140" t="s">
        <v>125</v>
      </c>
      <c r="B175" s="140" t="s">
        <v>300</v>
      </c>
      <c r="C175" s="129" t="s">
        <v>295</v>
      </c>
      <c r="D175" s="129">
        <f t="shared" ref="D175:AY175" si="1">SUM(D95:D98)</f>
        <v>856.69934310257713</v>
      </c>
      <c r="E175" s="129">
        <f t="shared" si="1"/>
        <v>1162.3986862051543</v>
      </c>
      <c r="F175" s="129">
        <f t="shared" si="1"/>
        <v>1331.0980293077314</v>
      </c>
      <c r="G175" s="129">
        <f t="shared" si="1"/>
        <v>1617.7973724103085</v>
      </c>
      <c r="H175" s="129">
        <f t="shared" si="1"/>
        <v>1837.1666498231434</v>
      </c>
      <c r="I175" s="129">
        <f t="shared" si="1"/>
        <v>2062.5359272359783</v>
      </c>
      <c r="J175" s="129">
        <f t="shared" si="1"/>
        <v>2429.9052046488137</v>
      </c>
      <c r="K175" s="129">
        <f t="shared" si="1"/>
        <v>2730.2744820616485</v>
      </c>
      <c r="L175" s="129">
        <f t="shared" si="1"/>
        <v>2884.6437594744839</v>
      </c>
      <c r="M175" s="129">
        <f t="shared" si="1"/>
        <v>3074.0130368873188</v>
      </c>
      <c r="N175" s="129">
        <f t="shared" si="1"/>
        <v>3470.3823143001537</v>
      </c>
      <c r="O175" s="129">
        <f t="shared" si="1"/>
        <v>3769.47710965134</v>
      </c>
      <c r="P175" s="129">
        <f t="shared" si="1"/>
        <v>3683.8071753410818</v>
      </c>
      <c r="Q175" s="129">
        <f t="shared" si="1"/>
        <v>3598.137241030824</v>
      </c>
      <c r="R175" s="129">
        <f t="shared" si="1"/>
        <v>3512.4673067205663</v>
      </c>
      <c r="S175" s="129">
        <f t="shared" si="1"/>
        <v>3426.7973724103085</v>
      </c>
      <c r="T175" s="129">
        <f t="shared" si="1"/>
        <v>3341.1274381000508</v>
      </c>
      <c r="U175" s="129">
        <f t="shared" si="1"/>
        <v>3255.457503789793</v>
      </c>
      <c r="V175" s="129">
        <f t="shared" si="1"/>
        <v>3169.7875694795353</v>
      </c>
      <c r="W175" s="129">
        <f t="shared" si="1"/>
        <v>3084.1176351692775</v>
      </c>
      <c r="X175" s="129">
        <f t="shared" si="1"/>
        <v>3084.1176351692775</v>
      </c>
      <c r="Y175" s="129">
        <f t="shared" si="1"/>
        <v>3084.1176351692775</v>
      </c>
      <c r="Z175" s="129">
        <f t="shared" si="1"/>
        <v>3084.1176351692775</v>
      </c>
      <c r="AA175" s="129">
        <f t="shared" si="1"/>
        <v>3084.1176351692775</v>
      </c>
      <c r="AB175" s="129">
        <f t="shared" si="1"/>
        <v>3057.1470439615969</v>
      </c>
      <c r="AC175" s="129">
        <f t="shared" si="1"/>
        <v>3084.1176351692775</v>
      </c>
      <c r="AD175" s="129">
        <f t="shared" si="1"/>
        <v>3013.1470439615969</v>
      </c>
      <c r="AE175" s="129">
        <f t="shared" si="1"/>
        <v>3084.1176351692775</v>
      </c>
      <c r="AF175" s="129">
        <f t="shared" si="1"/>
        <v>3255.457503789793</v>
      </c>
      <c r="AG175" s="129">
        <f t="shared" si="1"/>
        <v>3426.7973724103085</v>
      </c>
      <c r="AH175" s="129">
        <f t="shared" si="1"/>
        <v>3592.1666498231439</v>
      </c>
      <c r="AI175" s="129">
        <f t="shared" si="1"/>
        <v>3769.47710965134</v>
      </c>
      <c r="AJ175" s="129">
        <f t="shared" si="1"/>
        <v>3769.47710965134</v>
      </c>
      <c r="AK175" s="129">
        <f t="shared" si="1"/>
        <v>3769.47710965134</v>
      </c>
      <c r="AL175" s="129">
        <f t="shared" si="1"/>
        <v>3769.47710965134</v>
      </c>
      <c r="AM175" s="129">
        <f t="shared" si="1"/>
        <v>3769.47710965134</v>
      </c>
      <c r="AN175" s="129">
        <f t="shared" si="1"/>
        <v>3769.47710965134</v>
      </c>
      <c r="AO175" s="129">
        <f t="shared" si="1"/>
        <v>3769.47710965134</v>
      </c>
      <c r="AP175" s="129">
        <f t="shared" si="1"/>
        <v>3769.47710965134</v>
      </c>
      <c r="AQ175" s="129">
        <f t="shared" si="1"/>
        <v>3769.47710965134</v>
      </c>
      <c r="AR175" s="129">
        <f t="shared" si="1"/>
        <v>3683.8071753410818</v>
      </c>
      <c r="AS175" s="129">
        <f t="shared" si="1"/>
        <v>3598.137241030824</v>
      </c>
      <c r="AT175" s="129">
        <f t="shared" si="1"/>
        <v>3512.4673067205663</v>
      </c>
      <c r="AU175" s="129">
        <f t="shared" si="1"/>
        <v>3426.7973724103085</v>
      </c>
      <c r="AV175" s="129">
        <f t="shared" si="1"/>
        <v>3341.1274381000508</v>
      </c>
      <c r="AW175" s="129">
        <f t="shared" si="1"/>
        <v>3255.457503789793</v>
      </c>
      <c r="AX175" s="129">
        <f t="shared" si="1"/>
        <v>3169.7875694795353</v>
      </c>
      <c r="AY175" s="129">
        <f t="shared" si="1"/>
        <v>3084.1176351692775</v>
      </c>
    </row>
    <row r="176" spans="1:52" x14ac:dyDescent="0.2">
      <c r="A176" s="130"/>
      <c r="B176" s="141" t="s">
        <v>301</v>
      </c>
      <c r="C176" s="130" t="s">
        <v>295</v>
      </c>
      <c r="D176" s="130">
        <v>551</v>
      </c>
      <c r="E176" s="130">
        <v>688</v>
      </c>
      <c r="F176" s="130">
        <v>570</v>
      </c>
      <c r="G176" s="130">
        <v>723</v>
      </c>
      <c r="H176" s="130">
        <v>717</v>
      </c>
      <c r="I176" s="130">
        <v>575</v>
      </c>
      <c r="J176" s="130">
        <v>642</v>
      </c>
      <c r="K176" s="130">
        <v>788</v>
      </c>
      <c r="L176" s="130">
        <v>753</v>
      </c>
      <c r="M176" s="130">
        <v>546</v>
      </c>
      <c r="N176" s="130">
        <v>541</v>
      </c>
      <c r="O176" s="130">
        <v>683</v>
      </c>
      <c r="P176" s="130">
        <v>674</v>
      </c>
      <c r="Q176" s="130">
        <v>640</v>
      </c>
      <c r="R176" s="130">
        <v>722</v>
      </c>
      <c r="S176" s="130">
        <v>637</v>
      </c>
      <c r="T176" s="130">
        <v>739</v>
      </c>
      <c r="U176" s="130">
        <v>668</v>
      </c>
      <c r="V176" s="130">
        <v>797</v>
      </c>
      <c r="W176" s="130">
        <v>605</v>
      </c>
      <c r="X176" s="130">
        <v>652</v>
      </c>
      <c r="Y176" s="130">
        <v>708</v>
      </c>
      <c r="Z176" s="130">
        <v>649</v>
      </c>
      <c r="AA176" s="130">
        <v>798</v>
      </c>
      <c r="AB176" s="130">
        <v>671</v>
      </c>
      <c r="AC176" s="130">
        <v>842</v>
      </c>
      <c r="AD176" s="130">
        <v>687</v>
      </c>
      <c r="AE176" s="130">
        <v>595</v>
      </c>
      <c r="AF176" s="130">
        <v>708</v>
      </c>
      <c r="AG176" s="130">
        <v>777</v>
      </c>
      <c r="AH176" s="130">
        <v>682</v>
      </c>
      <c r="AI176" s="130">
        <v>888</v>
      </c>
      <c r="AJ176" s="130">
        <v>792</v>
      </c>
      <c r="AK176" s="130">
        <v>675</v>
      </c>
      <c r="AL176" s="130">
        <v>621</v>
      </c>
      <c r="AM176" s="130">
        <v>685</v>
      </c>
      <c r="AN176" s="130">
        <v>806</v>
      </c>
      <c r="AO176" s="130">
        <v>822</v>
      </c>
      <c r="AP176" s="130">
        <v>623</v>
      </c>
      <c r="AQ176" s="130">
        <v>728</v>
      </c>
      <c r="AR176" s="130">
        <v>595</v>
      </c>
      <c r="AS176" s="130">
        <v>771</v>
      </c>
      <c r="AT176" s="130">
        <v>770</v>
      </c>
      <c r="AU176" s="130">
        <v>707</v>
      </c>
      <c r="AV176" s="130">
        <v>624</v>
      </c>
      <c r="AW176" s="130">
        <v>733</v>
      </c>
      <c r="AX176" s="130">
        <v>615</v>
      </c>
      <c r="AY176" s="130">
        <v>599</v>
      </c>
    </row>
    <row r="177" spans="1:51" x14ac:dyDescent="0.2">
      <c r="A177" s="140" t="s">
        <v>133</v>
      </c>
      <c r="B177" s="140" t="s">
        <v>300</v>
      </c>
      <c r="C177" s="129" t="s">
        <v>295</v>
      </c>
      <c r="D177" s="129">
        <f t="shared" ref="D177:AY177" si="2">SUM(D100:D107)</f>
        <v>0</v>
      </c>
      <c r="E177" s="129">
        <f t="shared" si="2"/>
        <v>0</v>
      </c>
      <c r="F177" s="129">
        <f t="shared" si="2"/>
        <v>384.41637190500262</v>
      </c>
      <c r="G177" s="129">
        <f t="shared" si="2"/>
        <v>419.83274381000524</v>
      </c>
      <c r="H177" s="129">
        <f t="shared" si="2"/>
        <v>477.24911571500786</v>
      </c>
      <c r="I177" s="129">
        <f t="shared" si="2"/>
        <v>520.66548762001048</v>
      </c>
      <c r="J177" s="129">
        <f t="shared" si="2"/>
        <v>500.52349671551332</v>
      </c>
      <c r="K177" s="129">
        <f t="shared" si="2"/>
        <v>564.38150581101615</v>
      </c>
      <c r="L177" s="129">
        <f t="shared" si="2"/>
        <v>572.23951490651893</v>
      </c>
      <c r="M177" s="129">
        <f t="shared" si="2"/>
        <v>677.09752400202183</v>
      </c>
      <c r="N177" s="129">
        <f t="shared" si="2"/>
        <v>720.95553309752472</v>
      </c>
      <c r="O177" s="129">
        <f t="shared" si="2"/>
        <v>808.8135421930275</v>
      </c>
      <c r="P177" s="129">
        <f t="shared" si="2"/>
        <v>922.67155128853028</v>
      </c>
      <c r="Q177" s="129">
        <f t="shared" si="2"/>
        <v>974.52956038403318</v>
      </c>
      <c r="R177" s="129">
        <f t="shared" si="2"/>
        <v>1030.9459322890357</v>
      </c>
      <c r="S177" s="129">
        <f t="shared" si="2"/>
        <v>1054.3623041940384</v>
      </c>
      <c r="T177" s="129">
        <f t="shared" si="2"/>
        <v>1157.7786760990411</v>
      </c>
      <c r="U177" s="129">
        <f t="shared" si="2"/>
        <v>1168.1950480040437</v>
      </c>
      <c r="V177" s="129">
        <f t="shared" si="2"/>
        <v>1161.169782718546</v>
      </c>
      <c r="W177" s="129">
        <f t="shared" si="2"/>
        <v>1115.1445174330483</v>
      </c>
      <c r="X177" s="129">
        <f t="shared" si="2"/>
        <v>1166.1192521475509</v>
      </c>
      <c r="Y177" s="129">
        <f t="shared" si="2"/>
        <v>1139.0939868620533</v>
      </c>
      <c r="Z177" s="129">
        <f t="shared" si="2"/>
        <v>1169.0687215765556</v>
      </c>
      <c r="AA177" s="129">
        <f t="shared" si="2"/>
        <v>1175.0434562910582</v>
      </c>
      <c r="AB177" s="129">
        <f t="shared" si="2"/>
        <v>1072.0181910055605</v>
      </c>
      <c r="AC177" s="129">
        <f t="shared" si="2"/>
        <v>1069.9929257200629</v>
      </c>
      <c r="AD177" s="129">
        <f t="shared" si="2"/>
        <v>1064.9676604345655</v>
      </c>
      <c r="AE177" s="129">
        <f t="shared" si="2"/>
        <v>1030.9423951490676</v>
      </c>
      <c r="AF177" s="129">
        <f t="shared" si="2"/>
        <v>978.91712986357015</v>
      </c>
      <c r="AG177" s="129">
        <f t="shared" si="2"/>
        <v>928.8918645780725</v>
      </c>
      <c r="AH177" s="129">
        <f t="shared" si="2"/>
        <v>921.74987367357539</v>
      </c>
      <c r="AI177" s="129">
        <f t="shared" si="2"/>
        <v>1008.6078827690782</v>
      </c>
      <c r="AJ177" s="129">
        <f t="shared" si="2"/>
        <v>1013.465891864581</v>
      </c>
      <c r="AK177" s="129">
        <f t="shared" si="2"/>
        <v>948.32390096008385</v>
      </c>
      <c r="AL177" s="129">
        <f t="shared" si="2"/>
        <v>988.18191005558674</v>
      </c>
      <c r="AM177" s="129">
        <f t="shared" si="2"/>
        <v>1056.0399191510896</v>
      </c>
      <c r="AN177" s="129">
        <f t="shared" si="2"/>
        <v>1095.8979282465923</v>
      </c>
      <c r="AO177" s="129">
        <f t="shared" si="2"/>
        <v>1086.7559373420952</v>
      </c>
      <c r="AP177" s="129">
        <f t="shared" si="2"/>
        <v>1096.6139464375981</v>
      </c>
      <c r="AQ177" s="129">
        <f t="shared" si="2"/>
        <v>1135.4719555331008</v>
      </c>
      <c r="AR177" s="129">
        <f t="shared" si="2"/>
        <v>1135.3299646286036</v>
      </c>
      <c r="AS177" s="129">
        <f t="shared" si="2"/>
        <v>1196.1879737241065</v>
      </c>
      <c r="AT177" s="129">
        <f t="shared" si="2"/>
        <v>1200.604345629109</v>
      </c>
      <c r="AU177" s="129">
        <f t="shared" si="2"/>
        <v>1251.0207175341118</v>
      </c>
      <c r="AV177" s="129">
        <f t="shared" si="2"/>
        <v>1220.4370894391145</v>
      </c>
      <c r="AW177" s="129">
        <f t="shared" si="2"/>
        <v>1209.853461344117</v>
      </c>
      <c r="AX177" s="129">
        <f t="shared" si="2"/>
        <v>1202.8281960586194</v>
      </c>
      <c r="AY177" s="129">
        <f t="shared" si="2"/>
        <v>1128.8029307731217</v>
      </c>
    </row>
    <row r="178" spans="1:51" x14ac:dyDescent="0.2">
      <c r="A178" s="130"/>
      <c r="B178" s="141" t="s">
        <v>301</v>
      </c>
      <c r="C178" s="130" t="s">
        <v>295</v>
      </c>
      <c r="D178" s="130">
        <v>0</v>
      </c>
      <c r="E178" s="130">
        <v>0</v>
      </c>
      <c r="F178" s="130">
        <v>349</v>
      </c>
      <c r="G178" s="130">
        <v>327</v>
      </c>
      <c r="H178" s="130">
        <v>341</v>
      </c>
      <c r="I178" s="130">
        <v>443</v>
      </c>
      <c r="J178" s="130">
        <v>359</v>
      </c>
      <c r="K178" s="130">
        <v>415</v>
      </c>
      <c r="L178" s="130">
        <v>318</v>
      </c>
      <c r="M178" s="130">
        <v>379</v>
      </c>
      <c r="N178" s="130">
        <v>335</v>
      </c>
      <c r="O178" s="130">
        <v>309</v>
      </c>
      <c r="P178" s="130">
        <v>371</v>
      </c>
      <c r="Q178" s="130">
        <v>328</v>
      </c>
      <c r="R178" s="130">
        <v>361</v>
      </c>
      <c r="S178" s="130">
        <v>281</v>
      </c>
      <c r="T178" s="130">
        <v>374</v>
      </c>
      <c r="U178" s="130">
        <v>353</v>
      </c>
      <c r="V178" s="130">
        <v>392</v>
      </c>
      <c r="W178" s="130">
        <v>295</v>
      </c>
      <c r="X178" s="130">
        <v>373</v>
      </c>
      <c r="Y178" s="130">
        <v>316</v>
      </c>
      <c r="Z178" s="130">
        <v>340</v>
      </c>
      <c r="AA178" s="130">
        <v>449</v>
      </c>
      <c r="AB178" s="130">
        <v>348</v>
      </c>
      <c r="AC178" s="130">
        <v>351</v>
      </c>
      <c r="AD178" s="130">
        <v>380</v>
      </c>
      <c r="AE178" s="130">
        <v>398</v>
      </c>
      <c r="AF178" s="130">
        <v>396</v>
      </c>
      <c r="AG178" s="130">
        <v>430</v>
      </c>
      <c r="AH178" s="130">
        <v>336</v>
      </c>
      <c r="AI178" s="130">
        <v>418</v>
      </c>
      <c r="AJ178" s="130">
        <v>488</v>
      </c>
      <c r="AK178" s="130">
        <v>383</v>
      </c>
      <c r="AL178" s="130">
        <v>355</v>
      </c>
      <c r="AM178" s="130">
        <v>383</v>
      </c>
      <c r="AN178" s="130">
        <v>432</v>
      </c>
      <c r="AO178" s="130">
        <v>413</v>
      </c>
      <c r="AP178" s="130">
        <v>384</v>
      </c>
      <c r="AQ178" s="130">
        <v>423</v>
      </c>
      <c r="AR178" s="130">
        <v>362</v>
      </c>
      <c r="AS178" s="130">
        <v>380</v>
      </c>
      <c r="AT178" s="130">
        <v>334</v>
      </c>
      <c r="AU178" s="130">
        <v>415</v>
      </c>
      <c r="AV178" s="130">
        <v>395</v>
      </c>
      <c r="AW178" s="130">
        <v>353</v>
      </c>
      <c r="AX178" s="130">
        <v>420</v>
      </c>
      <c r="AY178" s="130">
        <v>400</v>
      </c>
    </row>
    <row r="179" spans="1:51" x14ac:dyDescent="0.2">
      <c r="A179" s="140" t="s">
        <v>134</v>
      </c>
      <c r="B179" s="140" t="s">
        <v>300</v>
      </c>
      <c r="C179" s="129" t="s">
        <v>295</v>
      </c>
      <c r="D179" s="129">
        <f t="shared" ref="D179:AY179" si="3">SUM(D109:D120)</f>
        <v>0</v>
      </c>
      <c r="E179" s="129">
        <f t="shared" si="3"/>
        <v>232.46090813093983</v>
      </c>
      <c r="F179" s="129">
        <f t="shared" si="3"/>
        <v>232.46090813093983</v>
      </c>
      <c r="G179" s="129">
        <f t="shared" si="3"/>
        <v>278.11160039976244</v>
      </c>
      <c r="H179" s="129">
        <f t="shared" si="3"/>
        <v>278.11160039976244</v>
      </c>
      <c r="I179" s="129">
        <f t="shared" si="3"/>
        <v>278.19617571523548</v>
      </c>
      <c r="J179" s="129">
        <f t="shared" si="3"/>
        <v>359.30777611499792</v>
      </c>
      <c r="K179" s="129">
        <f t="shared" si="3"/>
        <v>442.71595806944788</v>
      </c>
      <c r="L179" s="129">
        <f t="shared" si="3"/>
        <v>535.76733689874163</v>
      </c>
      <c r="M179" s="129">
        <f t="shared" si="3"/>
        <v>664.60613716540729</v>
      </c>
      <c r="N179" s="129">
        <f t="shared" si="3"/>
        <v>787.87062301071796</v>
      </c>
      <c r="O179" s="129">
        <f t="shared" si="3"/>
        <v>851.5641710305174</v>
      </c>
      <c r="P179" s="129">
        <f t="shared" si="3"/>
        <v>874.88955003339788</v>
      </c>
      <c r="Q179" s="129">
        <f t="shared" si="3"/>
        <v>896.56621966004252</v>
      </c>
      <c r="R179" s="129">
        <f t="shared" si="3"/>
        <v>925.24288928668727</v>
      </c>
      <c r="S179" s="129">
        <f t="shared" si="3"/>
        <v>970.16935878029847</v>
      </c>
      <c r="T179" s="129">
        <f t="shared" si="3"/>
        <v>1030.900664164822</v>
      </c>
      <c r="U179" s="129">
        <f t="shared" si="3"/>
        <v>1076.2519349798936</v>
      </c>
      <c r="V179" s="129">
        <f t="shared" si="3"/>
        <v>1097.6315774480152</v>
      </c>
      <c r="W179" s="129">
        <f t="shared" si="3"/>
        <v>1155.4894154447547</v>
      </c>
      <c r="X179" s="129">
        <f t="shared" si="3"/>
        <v>1112.0359466176349</v>
      </c>
      <c r="Y179" s="129">
        <f t="shared" si="3"/>
        <v>1093.582477790515</v>
      </c>
      <c r="Z179" s="129">
        <f t="shared" si="3"/>
        <v>1025.1290089633953</v>
      </c>
      <c r="AA179" s="129">
        <f t="shared" si="3"/>
        <v>1051.6755401362755</v>
      </c>
      <c r="AB179" s="129">
        <f t="shared" si="3"/>
        <v>1036.2220713091556</v>
      </c>
      <c r="AC179" s="129">
        <f t="shared" si="3"/>
        <v>1011.7686024820358</v>
      </c>
      <c r="AD179" s="129">
        <f t="shared" si="3"/>
        <v>990.31513365491605</v>
      </c>
      <c r="AE179" s="129">
        <f t="shared" si="3"/>
        <v>944.86166482779618</v>
      </c>
      <c r="AF179" s="129">
        <f t="shared" si="3"/>
        <v>999.4081960006763</v>
      </c>
      <c r="AG179" s="129">
        <f t="shared" si="3"/>
        <v>976.95472717355653</v>
      </c>
      <c r="AH179" s="129">
        <f t="shared" si="3"/>
        <v>968.50125834643677</v>
      </c>
      <c r="AI179" s="129">
        <f t="shared" si="3"/>
        <v>1021.1779279730813</v>
      </c>
      <c r="AJ179" s="129">
        <f t="shared" si="3"/>
        <v>989.85459759972605</v>
      </c>
      <c r="AK179" s="129">
        <f t="shared" si="3"/>
        <v>1059.5661363202198</v>
      </c>
      <c r="AL179" s="129">
        <f t="shared" si="3"/>
        <v>1052.106267697669</v>
      </c>
      <c r="AM179" s="129">
        <f t="shared" si="3"/>
        <v>994.78293732431382</v>
      </c>
      <c r="AN179" s="129">
        <f t="shared" si="3"/>
        <v>1015.4596069509585</v>
      </c>
      <c r="AO179" s="129">
        <f t="shared" si="3"/>
        <v>1032.8153895659875</v>
      </c>
      <c r="AP179" s="129">
        <f t="shared" si="3"/>
        <v>1103.7829139253408</v>
      </c>
      <c r="AQ179" s="129">
        <f t="shared" si="3"/>
        <v>1197.8520665150395</v>
      </c>
      <c r="AR179" s="129">
        <f t="shared" si="3"/>
        <v>1233.9045542536214</v>
      </c>
      <c r="AS179" s="129">
        <f t="shared" si="3"/>
        <v>1320.483376814288</v>
      </c>
      <c r="AT179" s="129">
        <f t="shared" si="3"/>
        <v>1301.2537939290635</v>
      </c>
      <c r="AU179" s="129">
        <f t="shared" si="3"/>
        <v>1347.2762493513264</v>
      </c>
      <c r="AV179" s="129">
        <f t="shared" si="3"/>
        <v>1414.1253761857288</v>
      </c>
      <c r="AW179" s="129">
        <f t="shared" si="3"/>
        <v>1408.2369765854912</v>
      </c>
      <c r="AX179" s="129">
        <f t="shared" si="3"/>
        <v>1352.3485769852537</v>
      </c>
      <c r="AY179" s="129">
        <f t="shared" si="3"/>
        <v>1261.8951081581336</v>
      </c>
    </row>
    <row r="180" spans="1:51" x14ac:dyDescent="0.2">
      <c r="A180" s="130"/>
      <c r="B180" s="141" t="s">
        <v>301</v>
      </c>
      <c r="C180" s="130" t="s">
        <v>295</v>
      </c>
      <c r="D180" s="130">
        <v>0</v>
      </c>
      <c r="E180" s="130">
        <v>232.46090813093983</v>
      </c>
      <c r="F180" s="130">
        <v>232.46090813093983</v>
      </c>
      <c r="G180" s="130">
        <v>278.11160039976244</v>
      </c>
      <c r="H180" s="130">
        <v>278.11160039976244</v>
      </c>
      <c r="I180" s="130">
        <v>197</v>
      </c>
      <c r="J180" s="130">
        <v>243</v>
      </c>
      <c r="K180" s="130">
        <v>224</v>
      </c>
      <c r="L180" s="130">
        <v>225</v>
      </c>
      <c r="M180" s="130">
        <v>235</v>
      </c>
      <c r="N180" s="130">
        <v>264</v>
      </c>
      <c r="O180" s="130">
        <v>282</v>
      </c>
      <c r="P180" s="130">
        <v>261</v>
      </c>
      <c r="Q180" s="130">
        <v>254</v>
      </c>
      <c r="R180" s="130">
        <v>238</v>
      </c>
      <c r="S180" s="130">
        <v>226</v>
      </c>
      <c r="T180" s="130">
        <v>267</v>
      </c>
      <c r="U180" s="130">
        <v>310</v>
      </c>
      <c r="V180" s="130">
        <v>241</v>
      </c>
      <c r="W180" s="130">
        <v>317</v>
      </c>
      <c r="X180" s="130">
        <v>292</v>
      </c>
      <c r="Y180" s="130">
        <v>342</v>
      </c>
      <c r="Z180" s="130">
        <v>247</v>
      </c>
      <c r="AA180" s="130">
        <v>289</v>
      </c>
      <c r="AB180" s="130">
        <v>298</v>
      </c>
      <c r="AC180" s="130">
        <v>295</v>
      </c>
      <c r="AD180" s="130">
        <v>319</v>
      </c>
      <c r="AE180" s="130">
        <v>219</v>
      </c>
      <c r="AF180" s="130">
        <v>296</v>
      </c>
      <c r="AG180" s="130">
        <v>282</v>
      </c>
      <c r="AH180" s="130">
        <v>230</v>
      </c>
      <c r="AI180" s="130">
        <v>314</v>
      </c>
      <c r="AJ180" s="130">
        <v>223</v>
      </c>
      <c r="AK180" s="130">
        <v>321</v>
      </c>
      <c r="AL180" s="130">
        <v>340</v>
      </c>
      <c r="AM180" s="130">
        <v>262</v>
      </c>
      <c r="AN180" s="130">
        <v>288</v>
      </c>
      <c r="AO180" s="130">
        <v>256</v>
      </c>
      <c r="AP180" s="130">
        <v>231</v>
      </c>
      <c r="AQ180" s="130">
        <v>315</v>
      </c>
      <c r="AR180" s="130">
        <v>255</v>
      </c>
      <c r="AS180" s="130">
        <v>348</v>
      </c>
      <c r="AT180" s="130">
        <v>272</v>
      </c>
      <c r="AU180" s="130">
        <v>269</v>
      </c>
      <c r="AV180" s="130">
        <v>284</v>
      </c>
      <c r="AW180" s="130">
        <v>334</v>
      </c>
      <c r="AX180" s="130">
        <v>364</v>
      </c>
      <c r="AY180" s="130">
        <v>248</v>
      </c>
    </row>
    <row r="181" spans="1:51" x14ac:dyDescent="0.2">
      <c r="A181" s="140" t="s">
        <v>123</v>
      </c>
      <c r="B181" s="140" t="s">
        <v>300</v>
      </c>
      <c r="C181" s="129" t="s">
        <v>295</v>
      </c>
      <c r="D181" s="129">
        <f t="shared" ref="D181:AY181" si="4">(1-D172)*SUM(D122:D169)</f>
        <v>1058.9885814853926</v>
      </c>
      <c r="E181" s="129">
        <f t="shared" si="4"/>
        <v>1058.9885814853926</v>
      </c>
      <c r="F181" s="129">
        <f t="shared" si="4"/>
        <v>1266.9528462655844</v>
      </c>
      <c r="G181" s="129">
        <f t="shared" si="4"/>
        <v>1266.9528462655846</v>
      </c>
      <c r="H181" s="129">
        <f t="shared" si="4"/>
        <v>1267.3381338138506</v>
      </c>
      <c r="I181" s="129">
        <f t="shared" si="4"/>
        <v>1266.9528462655844</v>
      </c>
      <c r="J181" s="129">
        <f t="shared" si="4"/>
        <v>1486.9706066813833</v>
      </c>
      <c r="K181" s="129">
        <f t="shared" si="4"/>
        <v>1444.3451702223383</v>
      </c>
      <c r="L181" s="129">
        <f t="shared" si="4"/>
        <v>1611.9323123259214</v>
      </c>
      <c r="M181" s="129">
        <f t="shared" si="4"/>
        <v>1632.0937688508598</v>
      </c>
      <c r="N181" s="129">
        <f t="shared" si="4"/>
        <v>1492.8261632013089</v>
      </c>
      <c r="O181" s="129">
        <f t="shared" si="4"/>
        <v>1390.9267265686774</v>
      </c>
      <c r="P181" s="129">
        <f t="shared" si="4"/>
        <v>1287.749272743604</v>
      </c>
      <c r="Q181" s="129">
        <f t="shared" si="4"/>
        <v>1287.749272743604</v>
      </c>
      <c r="R181" s="129">
        <f t="shared" si="4"/>
        <v>1288.8872499153399</v>
      </c>
      <c r="S181" s="129">
        <f t="shared" si="4"/>
        <v>1306.2203911961631</v>
      </c>
      <c r="T181" s="129">
        <f t="shared" si="4"/>
        <v>1422.9335670464382</v>
      </c>
      <c r="U181" s="129">
        <f t="shared" si="4"/>
        <v>1509.6183712436639</v>
      </c>
      <c r="V181" s="129">
        <f t="shared" si="4"/>
        <v>1361.4634842073697</v>
      </c>
      <c r="W181" s="129">
        <f t="shared" si="4"/>
        <v>1246.1564197875655</v>
      </c>
      <c r="X181" s="129">
        <f t="shared" si="4"/>
        <v>1246.1564197875655</v>
      </c>
      <c r="Y181" s="129">
        <f t="shared" si="4"/>
        <v>1246.1564197875655</v>
      </c>
      <c r="Z181" s="129">
        <f t="shared" si="4"/>
        <v>1246.1564197875655</v>
      </c>
      <c r="AA181" s="129">
        <f t="shared" si="4"/>
        <v>1246.1564197875655</v>
      </c>
      <c r="AB181" s="129">
        <f t="shared" si="4"/>
        <v>1246.1564197875655</v>
      </c>
      <c r="AC181" s="129">
        <f t="shared" si="4"/>
        <v>1246.1564197875655</v>
      </c>
      <c r="AD181" s="129">
        <f t="shared" si="4"/>
        <v>1246.1564197875655</v>
      </c>
      <c r="AE181" s="129">
        <f t="shared" si="4"/>
        <v>1246.1564197875655</v>
      </c>
      <c r="AF181" s="129">
        <f t="shared" si="4"/>
        <v>1246.1564197875655</v>
      </c>
      <c r="AG181" s="129">
        <f t="shared" si="4"/>
        <v>1246.1564197875655</v>
      </c>
      <c r="AH181" s="129">
        <f t="shared" si="4"/>
        <v>1287.749272743604</v>
      </c>
      <c r="AI181" s="129">
        <f t="shared" si="4"/>
        <v>1287.749272743604</v>
      </c>
      <c r="AJ181" s="129">
        <f t="shared" si="4"/>
        <v>1333.4636763933595</v>
      </c>
      <c r="AK181" s="129">
        <f t="shared" si="4"/>
        <v>1428.3494873861587</v>
      </c>
      <c r="AL181" s="129">
        <f t="shared" si="4"/>
        <v>1287.749272743604</v>
      </c>
      <c r="AM181" s="129">
        <f t="shared" si="4"/>
        <v>1287.749272743604</v>
      </c>
      <c r="AN181" s="129">
        <f t="shared" si="4"/>
        <v>1391.0652319129106</v>
      </c>
      <c r="AO181" s="129">
        <f t="shared" si="4"/>
        <v>1489.5187220814973</v>
      </c>
      <c r="AP181" s="129">
        <f t="shared" si="4"/>
        <v>1480.8705840197385</v>
      </c>
      <c r="AQ181" s="129">
        <f t="shared" si="4"/>
        <v>1599.239110809096</v>
      </c>
      <c r="AR181" s="129">
        <f t="shared" si="4"/>
        <v>1556.0813027763693</v>
      </c>
      <c r="AS181" s="129">
        <f t="shared" si="4"/>
        <v>1497.7319001895335</v>
      </c>
      <c r="AT181" s="129">
        <f t="shared" si="4"/>
        <v>1448.7689635903089</v>
      </c>
      <c r="AU181" s="129">
        <f t="shared" si="4"/>
        <v>1529.9793555789445</v>
      </c>
      <c r="AV181" s="129">
        <f t="shared" si="4"/>
        <v>1266.9528462655844</v>
      </c>
      <c r="AW181" s="129">
        <f t="shared" si="4"/>
        <v>1266.9528462655846</v>
      </c>
      <c r="AX181" s="129">
        <f t="shared" si="4"/>
        <v>1246.1564197875655</v>
      </c>
      <c r="AY181" s="129">
        <f t="shared" si="4"/>
        <v>1246.1564197875655</v>
      </c>
    </row>
    <row r="182" spans="1:51" x14ac:dyDescent="0.2">
      <c r="A182" s="130"/>
      <c r="B182" s="141" t="s">
        <v>301</v>
      </c>
      <c r="C182" s="130" t="s">
        <v>295</v>
      </c>
      <c r="D182" s="130">
        <v>1058.9885814853926</v>
      </c>
      <c r="E182" s="130">
        <v>1058.9885814853926</v>
      </c>
      <c r="F182" s="130">
        <v>1266.9528462655844</v>
      </c>
      <c r="G182" s="130">
        <v>1266.4829834018453</v>
      </c>
      <c r="H182" s="130">
        <v>1267.3381338138506</v>
      </c>
      <c r="I182" s="130">
        <v>1024</v>
      </c>
      <c r="J182" s="130">
        <v>1296</v>
      </c>
      <c r="K182" s="130">
        <v>1049</v>
      </c>
      <c r="L182" s="130">
        <v>1192</v>
      </c>
      <c r="M182" s="130">
        <v>1382</v>
      </c>
      <c r="N182" s="130">
        <v>1367</v>
      </c>
      <c r="O182" s="130">
        <v>1390.9267265686774</v>
      </c>
      <c r="P182" s="130">
        <v>1287.749272743604</v>
      </c>
      <c r="Q182" s="130">
        <v>1261</v>
      </c>
      <c r="R182" s="130">
        <v>1241</v>
      </c>
      <c r="S182" s="130">
        <v>1116</v>
      </c>
      <c r="T182" s="130">
        <v>1127</v>
      </c>
      <c r="U182" s="130">
        <v>1369</v>
      </c>
      <c r="V182" s="130">
        <v>1361.4634842073697</v>
      </c>
      <c r="W182" s="130">
        <v>1246.1564197875655</v>
      </c>
      <c r="X182" s="130">
        <v>1246.1564197875655</v>
      </c>
      <c r="Y182" s="130">
        <v>1246.1564197875655</v>
      </c>
      <c r="Z182" s="130">
        <v>1246.1564197875655</v>
      </c>
      <c r="AA182" s="130">
        <v>1246.1564197875655</v>
      </c>
      <c r="AB182" s="130">
        <v>1246.1564197875655</v>
      </c>
      <c r="AC182" s="130">
        <v>1246.1564197875655</v>
      </c>
      <c r="AD182" s="130">
        <v>1246.1564197875655</v>
      </c>
      <c r="AE182" s="130">
        <v>1246.1564197875655</v>
      </c>
      <c r="AF182" s="130">
        <v>1246.1564197875655</v>
      </c>
      <c r="AG182" s="130">
        <v>1246.1564197875655</v>
      </c>
      <c r="AH182" s="130">
        <v>1287.749272743604</v>
      </c>
      <c r="AI182" s="130">
        <v>1232</v>
      </c>
      <c r="AJ182" s="130">
        <v>1162</v>
      </c>
      <c r="AK182" s="130">
        <v>1428.3494873861587</v>
      </c>
      <c r="AL182" s="130">
        <v>1287.749272743604</v>
      </c>
      <c r="AM182" s="130">
        <v>1287.749272743604</v>
      </c>
      <c r="AN182" s="130">
        <v>1271</v>
      </c>
      <c r="AO182" s="130">
        <v>1380</v>
      </c>
      <c r="AP182" s="130">
        <v>1227</v>
      </c>
      <c r="AQ182" s="130">
        <v>1398</v>
      </c>
      <c r="AR182" s="130">
        <v>1426</v>
      </c>
      <c r="AS182" s="130">
        <v>1402</v>
      </c>
      <c r="AT182" s="130">
        <v>1254</v>
      </c>
      <c r="AU182" s="130">
        <v>1529.9793555789445</v>
      </c>
      <c r="AV182" s="130">
        <v>1266.9528462655844</v>
      </c>
      <c r="AW182" s="130">
        <v>1266.9528462655846</v>
      </c>
      <c r="AX182" s="130">
        <v>1246.1564197875655</v>
      </c>
      <c r="AY182" s="130">
        <v>1246.1564197875655</v>
      </c>
    </row>
    <row r="184" spans="1:51" x14ac:dyDescent="0.2">
      <c r="A184" s="107" t="s">
        <v>302</v>
      </c>
    </row>
    <row r="185" spans="1:51" x14ac:dyDescent="0.2">
      <c r="A185" s="131" t="s">
        <v>125</v>
      </c>
      <c r="B185" s="128">
        <v>1</v>
      </c>
      <c r="C185" s="129"/>
      <c r="D185" s="129">
        <v>551</v>
      </c>
      <c r="E185" s="129">
        <v>382.30065689742287</v>
      </c>
      <c r="F185" s="129">
        <v>95.601313794845737</v>
      </c>
      <c r="G185" s="129">
        <v>0</v>
      </c>
      <c r="H185" s="129">
        <v>0</v>
      </c>
      <c r="I185" s="129">
        <v>0</v>
      </c>
      <c r="J185" s="129">
        <v>0</v>
      </c>
      <c r="K185" s="129">
        <v>0</v>
      </c>
      <c r="L185" s="129">
        <v>0</v>
      </c>
      <c r="M185" s="129">
        <v>0</v>
      </c>
      <c r="N185" s="129">
        <v>0</v>
      </c>
      <c r="O185" s="129">
        <v>0</v>
      </c>
      <c r="P185" s="129">
        <v>0</v>
      </c>
      <c r="Q185" s="129">
        <v>0</v>
      </c>
      <c r="R185" s="129">
        <v>0</v>
      </c>
      <c r="S185" s="129">
        <v>0</v>
      </c>
      <c r="T185" s="129">
        <v>0</v>
      </c>
      <c r="U185" s="129">
        <v>0</v>
      </c>
      <c r="V185" s="129">
        <v>0</v>
      </c>
      <c r="W185" s="129">
        <v>0</v>
      </c>
      <c r="X185" s="129">
        <v>0</v>
      </c>
      <c r="Y185" s="129">
        <v>0</v>
      </c>
      <c r="Z185" s="129">
        <v>0</v>
      </c>
      <c r="AA185" s="129">
        <v>0</v>
      </c>
      <c r="AB185" s="129">
        <v>0</v>
      </c>
      <c r="AC185" s="129">
        <v>0</v>
      </c>
      <c r="AD185" s="129">
        <v>0</v>
      </c>
      <c r="AE185" s="129">
        <v>0</v>
      </c>
      <c r="AF185" s="129">
        <v>0</v>
      </c>
      <c r="AG185" s="129">
        <v>0</v>
      </c>
      <c r="AH185" s="129">
        <v>0</v>
      </c>
      <c r="AI185" s="129">
        <v>0</v>
      </c>
      <c r="AJ185" s="129">
        <v>0</v>
      </c>
      <c r="AK185" s="129">
        <v>0</v>
      </c>
      <c r="AL185" s="129">
        <v>0</v>
      </c>
      <c r="AM185" s="129">
        <v>0</v>
      </c>
      <c r="AN185" s="129">
        <v>0</v>
      </c>
      <c r="AO185" s="129">
        <v>0</v>
      </c>
      <c r="AP185" s="129">
        <v>0</v>
      </c>
      <c r="AQ185" s="129">
        <v>0</v>
      </c>
      <c r="AR185" s="129">
        <v>0</v>
      </c>
      <c r="AS185" s="129">
        <v>0</v>
      </c>
      <c r="AT185" s="129">
        <v>0</v>
      </c>
      <c r="AU185" s="129">
        <v>0</v>
      </c>
      <c r="AV185" s="129">
        <v>0</v>
      </c>
      <c r="AW185" s="129">
        <v>0</v>
      </c>
      <c r="AX185" s="129">
        <v>0</v>
      </c>
      <c r="AY185" s="129">
        <v>0</v>
      </c>
    </row>
    <row r="186" spans="1:51" x14ac:dyDescent="0.2">
      <c r="A186" s="114"/>
      <c r="B186" s="125">
        <v>2</v>
      </c>
      <c r="C186" s="111"/>
      <c r="D186" s="111">
        <v>0</v>
      </c>
      <c r="E186" s="111">
        <v>305.69934310257713</v>
      </c>
      <c r="F186" s="111">
        <v>474.39868620515426</v>
      </c>
      <c r="G186" s="111">
        <v>723</v>
      </c>
      <c r="H186" s="111">
        <v>678.90197069226861</v>
      </c>
      <c r="I186" s="111">
        <v>397.20262758969147</v>
      </c>
      <c r="J186" s="111">
        <v>96.83335017685647</v>
      </c>
      <c r="K186" s="111">
        <v>0</v>
      </c>
      <c r="L186" s="111">
        <v>0</v>
      </c>
      <c r="M186" s="111">
        <v>0</v>
      </c>
      <c r="N186" s="111">
        <v>0</v>
      </c>
      <c r="O186" s="111">
        <v>0</v>
      </c>
      <c r="P186" s="111">
        <v>0</v>
      </c>
      <c r="Q186" s="111">
        <v>0</v>
      </c>
      <c r="R186" s="111">
        <v>0</v>
      </c>
      <c r="S186" s="111">
        <v>0</v>
      </c>
      <c r="T186" s="111">
        <v>0</v>
      </c>
      <c r="U186" s="111">
        <v>0</v>
      </c>
      <c r="V186" s="111">
        <v>0</v>
      </c>
      <c r="W186" s="111">
        <v>0</v>
      </c>
      <c r="X186" s="111">
        <v>0</v>
      </c>
      <c r="Y186" s="111">
        <v>0</v>
      </c>
      <c r="Z186" s="111">
        <v>0</v>
      </c>
      <c r="AA186" s="111">
        <v>0</v>
      </c>
      <c r="AB186" s="111">
        <v>0</v>
      </c>
      <c r="AC186" s="111">
        <v>0</v>
      </c>
      <c r="AD186" s="111">
        <v>0</v>
      </c>
      <c r="AE186" s="111">
        <v>0</v>
      </c>
      <c r="AF186" s="111">
        <v>0</v>
      </c>
      <c r="AG186" s="111">
        <v>0</v>
      </c>
      <c r="AH186" s="111">
        <v>0</v>
      </c>
      <c r="AI186" s="111">
        <v>0</v>
      </c>
      <c r="AJ186" s="111">
        <v>0</v>
      </c>
      <c r="AK186" s="111">
        <v>0</v>
      </c>
      <c r="AL186" s="111">
        <v>0</v>
      </c>
      <c r="AM186" s="111">
        <v>0</v>
      </c>
      <c r="AN186" s="111">
        <v>0</v>
      </c>
      <c r="AO186" s="111">
        <v>0</v>
      </c>
      <c r="AP186" s="111">
        <v>0</v>
      </c>
      <c r="AQ186" s="111">
        <v>0</v>
      </c>
      <c r="AR186" s="111">
        <v>0</v>
      </c>
      <c r="AS186" s="111">
        <v>0</v>
      </c>
      <c r="AT186" s="111">
        <v>0</v>
      </c>
      <c r="AU186" s="111">
        <v>0</v>
      </c>
      <c r="AV186" s="111">
        <v>0</v>
      </c>
      <c r="AW186" s="111">
        <v>0</v>
      </c>
      <c r="AX186" s="111">
        <v>0</v>
      </c>
      <c r="AY186" s="111">
        <v>0</v>
      </c>
    </row>
    <row r="187" spans="1:51" x14ac:dyDescent="0.2">
      <c r="A187" s="114"/>
      <c r="B187" s="132">
        <v>3</v>
      </c>
      <c r="C187" s="111"/>
      <c r="D187" s="111">
        <v>0</v>
      </c>
      <c r="E187" s="111">
        <v>0</v>
      </c>
      <c r="F187" s="111">
        <v>0</v>
      </c>
      <c r="G187" s="111">
        <v>0</v>
      </c>
      <c r="H187" s="111">
        <v>38.098029307731395</v>
      </c>
      <c r="I187" s="111">
        <v>177.79737241030853</v>
      </c>
      <c r="J187" s="111">
        <v>545.16664982314353</v>
      </c>
      <c r="K187" s="111">
        <v>788</v>
      </c>
      <c r="L187" s="111">
        <v>695.46407276402147</v>
      </c>
      <c r="M187" s="111">
        <v>299.09479535118646</v>
      </c>
      <c r="N187" s="111">
        <v>0</v>
      </c>
      <c r="O187" s="111">
        <v>0</v>
      </c>
      <c r="P187" s="111">
        <v>0</v>
      </c>
      <c r="Q187" s="111">
        <v>0</v>
      </c>
      <c r="R187" s="111">
        <v>0</v>
      </c>
      <c r="S187" s="111">
        <v>0</v>
      </c>
      <c r="T187" s="111">
        <v>0</v>
      </c>
      <c r="U187" s="111">
        <v>0</v>
      </c>
      <c r="V187" s="111">
        <v>0</v>
      </c>
      <c r="W187" s="111">
        <v>0</v>
      </c>
      <c r="X187" s="111">
        <v>0</v>
      </c>
      <c r="Y187" s="111">
        <v>0</v>
      </c>
      <c r="Z187" s="111">
        <v>0</v>
      </c>
      <c r="AA187" s="111">
        <v>26.970591207680627</v>
      </c>
      <c r="AB187" s="111">
        <v>0</v>
      </c>
      <c r="AC187" s="111">
        <v>70.970591207680627</v>
      </c>
      <c r="AD187" s="111">
        <v>0</v>
      </c>
      <c r="AE187" s="111">
        <v>0</v>
      </c>
      <c r="AF187" s="111">
        <v>0</v>
      </c>
      <c r="AG187" s="111">
        <v>5.9705912076806271</v>
      </c>
      <c r="AH187" s="111">
        <v>0</v>
      </c>
      <c r="AI187" s="111">
        <v>0</v>
      </c>
      <c r="AJ187" s="111">
        <v>0</v>
      </c>
      <c r="AK187" s="111">
        <v>0</v>
      </c>
      <c r="AL187" s="111">
        <v>0</v>
      </c>
      <c r="AM187" s="111">
        <v>0</v>
      </c>
      <c r="AN187" s="111">
        <v>0</v>
      </c>
      <c r="AO187" s="111">
        <v>0</v>
      </c>
      <c r="AP187" s="111">
        <v>0</v>
      </c>
      <c r="AQ187" s="111">
        <v>0</v>
      </c>
      <c r="AR187" s="111">
        <v>0</v>
      </c>
      <c r="AS187" s="111">
        <v>0</v>
      </c>
      <c r="AT187" s="111">
        <v>0</v>
      </c>
      <c r="AU187" s="111">
        <v>0</v>
      </c>
      <c r="AV187" s="111">
        <v>0</v>
      </c>
      <c r="AW187" s="111">
        <v>0</v>
      </c>
      <c r="AX187" s="111">
        <v>0</v>
      </c>
      <c r="AY187" s="111">
        <v>0</v>
      </c>
    </row>
    <row r="188" spans="1:51" x14ac:dyDescent="0.2">
      <c r="A188" s="133"/>
      <c r="B188" s="134">
        <v>4</v>
      </c>
      <c r="C188" s="111"/>
      <c r="D188" s="111">
        <v>0</v>
      </c>
      <c r="E188" s="111">
        <v>0</v>
      </c>
      <c r="F188" s="111">
        <v>0</v>
      </c>
      <c r="G188" s="111">
        <v>0</v>
      </c>
      <c r="H188" s="111">
        <v>0</v>
      </c>
      <c r="I188" s="111">
        <v>0</v>
      </c>
      <c r="J188" s="111">
        <v>0</v>
      </c>
      <c r="K188" s="111">
        <v>0</v>
      </c>
      <c r="L188" s="111">
        <v>57.535927235978534</v>
      </c>
      <c r="M188" s="111">
        <v>246.90520464881354</v>
      </c>
      <c r="N188" s="111">
        <v>541</v>
      </c>
      <c r="O188" s="111">
        <v>683</v>
      </c>
      <c r="P188" s="111">
        <v>674</v>
      </c>
      <c r="Q188" s="111">
        <v>640</v>
      </c>
      <c r="R188" s="111">
        <v>722</v>
      </c>
      <c r="S188" s="111">
        <v>637</v>
      </c>
      <c r="T188" s="111">
        <v>739</v>
      </c>
      <c r="U188" s="111">
        <v>668</v>
      </c>
      <c r="V188" s="111">
        <v>797</v>
      </c>
      <c r="W188" s="111">
        <v>605</v>
      </c>
      <c r="X188" s="111">
        <v>652</v>
      </c>
      <c r="Y188" s="111">
        <v>708</v>
      </c>
      <c r="Z188" s="111">
        <v>649</v>
      </c>
      <c r="AA188" s="111">
        <v>771.02940879231937</v>
      </c>
      <c r="AB188" s="111">
        <v>671</v>
      </c>
      <c r="AC188" s="111">
        <v>771.02940879231937</v>
      </c>
      <c r="AD188" s="111">
        <v>687</v>
      </c>
      <c r="AE188" s="111">
        <v>595</v>
      </c>
      <c r="AF188" s="111">
        <v>708</v>
      </c>
      <c r="AG188" s="111">
        <v>771.02940879231937</v>
      </c>
      <c r="AH188" s="111">
        <v>682</v>
      </c>
      <c r="AI188" s="111">
        <v>888</v>
      </c>
      <c r="AJ188" s="111">
        <v>792</v>
      </c>
      <c r="AK188" s="111">
        <v>675</v>
      </c>
      <c r="AL188" s="111">
        <v>621</v>
      </c>
      <c r="AM188" s="111">
        <v>685</v>
      </c>
      <c r="AN188" s="111">
        <v>806</v>
      </c>
      <c r="AO188" s="111">
        <v>822</v>
      </c>
      <c r="AP188" s="111">
        <v>623</v>
      </c>
      <c r="AQ188" s="111">
        <v>728</v>
      </c>
      <c r="AR188" s="111">
        <v>595</v>
      </c>
      <c r="AS188" s="111">
        <v>771</v>
      </c>
      <c r="AT188" s="111">
        <v>770</v>
      </c>
      <c r="AU188" s="111">
        <v>707</v>
      </c>
      <c r="AV188" s="111">
        <v>624</v>
      </c>
      <c r="AW188" s="111">
        <v>733</v>
      </c>
      <c r="AX188" s="111">
        <v>615</v>
      </c>
      <c r="AY188" s="111">
        <v>599</v>
      </c>
    </row>
    <row r="189" spans="1:51" x14ac:dyDescent="0.2">
      <c r="A189" s="131" t="s">
        <v>133</v>
      </c>
      <c r="B189" s="128">
        <v>1</v>
      </c>
      <c r="C189" s="129"/>
      <c r="D189" s="129">
        <v>0</v>
      </c>
      <c r="E189" s="129">
        <v>0</v>
      </c>
      <c r="F189" s="129">
        <v>349</v>
      </c>
      <c r="G189" s="129">
        <v>291.58362809499738</v>
      </c>
      <c r="H189" s="129">
        <v>248.16725618999476</v>
      </c>
      <c r="I189" s="129">
        <v>306.75088428499214</v>
      </c>
      <c r="J189" s="129">
        <v>281.33451237998952</v>
      </c>
      <c r="K189" s="129">
        <v>273.47650328448668</v>
      </c>
      <c r="L189" s="129">
        <v>168.61849418898385</v>
      </c>
      <c r="M189" s="129">
        <v>124.76048509348101</v>
      </c>
      <c r="N189" s="129">
        <v>36.902475997978172</v>
      </c>
      <c r="O189" s="129">
        <v>0</v>
      </c>
      <c r="P189" s="129">
        <v>0</v>
      </c>
      <c r="Q189" s="129">
        <v>0</v>
      </c>
      <c r="R189" s="129">
        <v>0</v>
      </c>
      <c r="S189" s="129">
        <v>0</v>
      </c>
      <c r="T189" s="129">
        <v>0</v>
      </c>
      <c r="U189" s="129">
        <v>0</v>
      </c>
      <c r="V189" s="129">
        <v>0</v>
      </c>
      <c r="W189" s="129">
        <v>0</v>
      </c>
      <c r="X189" s="129">
        <v>0</v>
      </c>
      <c r="Y189" s="129">
        <v>0</v>
      </c>
      <c r="Z189" s="129">
        <v>0</v>
      </c>
      <c r="AA189" s="129">
        <v>0</v>
      </c>
      <c r="AB189" s="129">
        <v>0</v>
      </c>
      <c r="AC189" s="129">
        <v>0</v>
      </c>
      <c r="AD189" s="129">
        <v>0</v>
      </c>
      <c r="AE189" s="129">
        <v>0</v>
      </c>
      <c r="AF189" s="129">
        <v>0</v>
      </c>
      <c r="AG189" s="129">
        <v>0</v>
      </c>
      <c r="AH189" s="129">
        <v>0</v>
      </c>
      <c r="AI189" s="129">
        <v>0</v>
      </c>
      <c r="AJ189" s="129">
        <v>0</v>
      </c>
      <c r="AK189" s="129">
        <v>0</v>
      </c>
      <c r="AL189" s="129">
        <v>0</v>
      </c>
      <c r="AM189" s="129">
        <v>0</v>
      </c>
      <c r="AN189" s="129">
        <v>0</v>
      </c>
      <c r="AO189" s="129">
        <v>0</v>
      </c>
      <c r="AP189" s="129">
        <v>0</v>
      </c>
      <c r="AQ189" s="129">
        <v>0</v>
      </c>
      <c r="AR189" s="129">
        <v>0</v>
      </c>
      <c r="AS189" s="129">
        <v>0</v>
      </c>
      <c r="AT189" s="129">
        <v>0</v>
      </c>
      <c r="AU189" s="129">
        <v>0</v>
      </c>
      <c r="AV189" s="129">
        <v>0</v>
      </c>
      <c r="AW189" s="129">
        <v>0</v>
      </c>
      <c r="AX189" s="129">
        <v>0</v>
      </c>
      <c r="AY189" s="129">
        <v>0</v>
      </c>
    </row>
    <row r="190" spans="1:51" x14ac:dyDescent="0.2">
      <c r="A190" s="114"/>
      <c r="B190" s="124">
        <v>2</v>
      </c>
      <c r="C190" s="111"/>
      <c r="D190" s="111">
        <v>0</v>
      </c>
      <c r="E190" s="111">
        <v>0</v>
      </c>
      <c r="F190" s="111">
        <v>0</v>
      </c>
      <c r="G190" s="111">
        <v>35.41637190500262</v>
      </c>
      <c r="H190" s="111">
        <v>92.83274381000524</v>
      </c>
      <c r="I190" s="111">
        <v>136.24911571500786</v>
      </c>
      <c r="J190" s="111">
        <v>77.665487620010481</v>
      </c>
      <c r="K190" s="111">
        <v>141.52349671551332</v>
      </c>
      <c r="L190" s="111">
        <v>149.38150581101615</v>
      </c>
      <c r="M190" s="111">
        <v>254.23951490651899</v>
      </c>
      <c r="N190" s="111">
        <v>298.09752400202183</v>
      </c>
      <c r="O190" s="111">
        <v>309</v>
      </c>
      <c r="P190" s="111">
        <v>294.04446690247534</v>
      </c>
      <c r="Q190" s="111">
        <v>199.1864578069725</v>
      </c>
      <c r="R190" s="111">
        <v>137.32844871146966</v>
      </c>
      <c r="S190" s="111">
        <v>0</v>
      </c>
      <c r="T190" s="111">
        <v>0</v>
      </c>
      <c r="U190" s="111">
        <v>0</v>
      </c>
      <c r="V190" s="111">
        <v>0</v>
      </c>
      <c r="W190" s="111">
        <v>0</v>
      </c>
      <c r="X190" s="111">
        <v>0</v>
      </c>
      <c r="Y190" s="111">
        <v>0</v>
      </c>
      <c r="Z190" s="111">
        <v>0</v>
      </c>
      <c r="AA190" s="111">
        <v>0</v>
      </c>
      <c r="AB190" s="111">
        <v>0</v>
      </c>
      <c r="AC190" s="111">
        <v>0</v>
      </c>
      <c r="AD190" s="111">
        <v>6.9818089944395183</v>
      </c>
      <c r="AE190" s="111">
        <v>59.007074279937115</v>
      </c>
      <c r="AF190" s="111">
        <v>109.03233956543471</v>
      </c>
      <c r="AG190" s="111">
        <v>193.05760485093231</v>
      </c>
      <c r="AH190" s="111">
        <v>183.0828701364299</v>
      </c>
      <c r="AI190" s="111">
        <v>255.1081354219275</v>
      </c>
      <c r="AJ190" s="111">
        <v>320.25012632642466</v>
      </c>
      <c r="AK190" s="111">
        <v>280.39211723092183</v>
      </c>
      <c r="AL190" s="111">
        <v>212.53410813541899</v>
      </c>
      <c r="AM190" s="111">
        <v>172.67609903991615</v>
      </c>
      <c r="AN190" s="111">
        <v>181.81808994441332</v>
      </c>
      <c r="AO190" s="111">
        <v>171.96008084891048</v>
      </c>
      <c r="AP190" s="111">
        <v>133.10207175340764</v>
      </c>
      <c r="AQ190" s="111">
        <v>133.24406265790481</v>
      </c>
      <c r="AR190" s="111">
        <v>72.386053562401969</v>
      </c>
      <c r="AS190" s="111">
        <v>29.528044466899132</v>
      </c>
      <c r="AT190" s="111">
        <v>0</v>
      </c>
      <c r="AU190" s="111">
        <v>0</v>
      </c>
      <c r="AV190" s="111">
        <v>0</v>
      </c>
      <c r="AW190" s="111">
        <v>0</v>
      </c>
      <c r="AX190" s="111">
        <v>0</v>
      </c>
      <c r="AY190" s="111">
        <v>0</v>
      </c>
    </row>
    <row r="191" spans="1:51" x14ac:dyDescent="0.2">
      <c r="A191" s="114"/>
      <c r="B191" s="125">
        <v>3</v>
      </c>
      <c r="C191" s="111"/>
      <c r="D191" s="111">
        <v>0</v>
      </c>
      <c r="E191" s="111">
        <v>0</v>
      </c>
      <c r="F191" s="111">
        <v>0</v>
      </c>
      <c r="G191" s="111">
        <v>0</v>
      </c>
      <c r="H191" s="111">
        <v>0</v>
      </c>
      <c r="I191" s="111">
        <v>0</v>
      </c>
      <c r="J191" s="111">
        <v>0</v>
      </c>
      <c r="K191" s="111">
        <v>0</v>
      </c>
      <c r="L191" s="111">
        <v>0</v>
      </c>
      <c r="M191" s="111">
        <v>0</v>
      </c>
      <c r="N191" s="111">
        <v>0</v>
      </c>
      <c r="O191" s="111">
        <v>0</v>
      </c>
      <c r="P191" s="111">
        <v>76.955533097524665</v>
      </c>
      <c r="Q191" s="111">
        <v>128.8135421930275</v>
      </c>
      <c r="R191" s="111">
        <v>223.67155128853034</v>
      </c>
      <c r="S191" s="111">
        <v>281</v>
      </c>
      <c r="T191" s="111">
        <v>369.47043961596682</v>
      </c>
      <c r="U191" s="111">
        <v>338.0540677109642</v>
      </c>
      <c r="V191" s="111">
        <v>345.63769580596158</v>
      </c>
      <c r="W191" s="111">
        <v>256.22132390095896</v>
      </c>
      <c r="X191" s="111">
        <v>244.80495199595634</v>
      </c>
      <c r="Y191" s="111">
        <v>214.83021728145394</v>
      </c>
      <c r="Z191" s="111">
        <v>208.85548256695154</v>
      </c>
      <c r="AA191" s="111">
        <v>311.88074785244913</v>
      </c>
      <c r="AB191" s="111">
        <v>313.90601313794673</v>
      </c>
      <c r="AC191" s="111">
        <v>318.93127842344433</v>
      </c>
      <c r="AD191" s="111">
        <v>345.9747347145024</v>
      </c>
      <c r="AE191" s="111">
        <v>338.99292572006289</v>
      </c>
      <c r="AF191" s="111">
        <v>286.96766043456529</v>
      </c>
      <c r="AG191" s="111">
        <v>236.94239514906769</v>
      </c>
      <c r="AH191" s="111">
        <v>152.9171298635701</v>
      </c>
      <c r="AI191" s="111">
        <v>162.8918645780725</v>
      </c>
      <c r="AJ191" s="111">
        <v>167.74987367357534</v>
      </c>
      <c r="AK191" s="111">
        <v>102.60788276907817</v>
      </c>
      <c r="AL191" s="111">
        <v>142.46589186458101</v>
      </c>
      <c r="AM191" s="111">
        <v>210.32390096008385</v>
      </c>
      <c r="AN191" s="111">
        <v>250.18191005558668</v>
      </c>
      <c r="AO191" s="111">
        <v>241.03991915108952</v>
      </c>
      <c r="AP191" s="111">
        <v>250.89792824659236</v>
      </c>
      <c r="AQ191" s="111">
        <v>289.75593734209519</v>
      </c>
      <c r="AR191" s="111">
        <v>289.61394643759803</v>
      </c>
      <c r="AS191" s="111">
        <v>350.47195553310087</v>
      </c>
      <c r="AT191" s="111">
        <v>334</v>
      </c>
      <c r="AU191" s="111">
        <v>355.6700353713963</v>
      </c>
      <c r="AV191" s="111">
        <v>327.81202627589346</v>
      </c>
      <c r="AW191" s="111">
        <v>296.39565437089084</v>
      </c>
      <c r="AX191" s="111">
        <v>331.97928246588822</v>
      </c>
      <c r="AY191" s="111">
        <v>347.5629105608856</v>
      </c>
    </row>
    <row r="192" spans="1:51" x14ac:dyDescent="0.2">
      <c r="A192" s="114"/>
      <c r="B192" s="125">
        <v>4</v>
      </c>
      <c r="C192" s="111"/>
      <c r="D192" s="111">
        <v>0</v>
      </c>
      <c r="E192" s="111">
        <v>0</v>
      </c>
      <c r="F192" s="111">
        <v>0</v>
      </c>
      <c r="G192" s="111">
        <v>0</v>
      </c>
      <c r="H192" s="111">
        <v>0</v>
      </c>
      <c r="I192" s="111">
        <v>0</v>
      </c>
      <c r="J192" s="111">
        <v>0</v>
      </c>
      <c r="K192" s="111">
        <v>0</v>
      </c>
      <c r="L192" s="111">
        <v>0</v>
      </c>
      <c r="M192" s="111">
        <v>0</v>
      </c>
      <c r="N192" s="111">
        <v>0</v>
      </c>
      <c r="O192" s="111">
        <v>0</v>
      </c>
      <c r="P192" s="111">
        <v>0</v>
      </c>
      <c r="Q192" s="111">
        <v>0</v>
      </c>
      <c r="R192" s="111">
        <v>0</v>
      </c>
      <c r="S192" s="111">
        <v>0</v>
      </c>
      <c r="T192" s="111">
        <v>4.5295603840331751</v>
      </c>
      <c r="U192" s="111">
        <v>14.945932289035795</v>
      </c>
      <c r="V192" s="111">
        <v>46.362304194038416</v>
      </c>
      <c r="W192" s="111">
        <v>38.778676099041036</v>
      </c>
      <c r="X192" s="111">
        <v>128.19504800404366</v>
      </c>
      <c r="Y192" s="111">
        <v>101.16978271854606</v>
      </c>
      <c r="Z192" s="111">
        <v>131.14451743304846</v>
      </c>
      <c r="AA192" s="111">
        <v>137.11925214755087</v>
      </c>
      <c r="AB192" s="111">
        <v>34.093986862053271</v>
      </c>
      <c r="AC192" s="111">
        <v>32.068721576555674</v>
      </c>
      <c r="AD192" s="111">
        <v>27.043456291058078</v>
      </c>
      <c r="AE192" s="111">
        <v>0</v>
      </c>
      <c r="AF192" s="111">
        <v>0</v>
      </c>
      <c r="AG192" s="111">
        <v>0</v>
      </c>
      <c r="AH192" s="111">
        <v>0</v>
      </c>
      <c r="AI192" s="111">
        <v>0</v>
      </c>
      <c r="AJ192" s="111">
        <v>0</v>
      </c>
      <c r="AK192" s="111">
        <v>0</v>
      </c>
      <c r="AL192" s="111">
        <v>0</v>
      </c>
      <c r="AM192" s="111">
        <v>0</v>
      </c>
      <c r="AN192" s="111">
        <v>0</v>
      </c>
      <c r="AO192" s="111">
        <v>0</v>
      </c>
      <c r="AP192" s="111">
        <v>0</v>
      </c>
      <c r="AQ192" s="111">
        <v>0</v>
      </c>
      <c r="AR192" s="111">
        <v>0</v>
      </c>
      <c r="AS192" s="111">
        <v>0</v>
      </c>
      <c r="AT192" s="111">
        <v>0</v>
      </c>
      <c r="AU192" s="111">
        <v>59.329964628603705</v>
      </c>
      <c r="AV192" s="111">
        <v>67.187973724106541</v>
      </c>
      <c r="AW192" s="111">
        <v>56.604345629109162</v>
      </c>
      <c r="AX192" s="111">
        <v>88.020717534111782</v>
      </c>
      <c r="AY192" s="111">
        <v>52.437089439114402</v>
      </c>
    </row>
    <row r="193" spans="1:51" x14ac:dyDescent="0.2">
      <c r="A193" s="114"/>
      <c r="B193" s="132">
        <v>5</v>
      </c>
      <c r="C193" s="111"/>
      <c r="D193" s="111">
        <v>0</v>
      </c>
      <c r="E193" s="111">
        <v>0</v>
      </c>
      <c r="F193" s="111">
        <v>0</v>
      </c>
      <c r="G193" s="111">
        <v>0</v>
      </c>
      <c r="H193" s="111">
        <v>0</v>
      </c>
      <c r="I193" s="111">
        <v>0</v>
      </c>
      <c r="J193" s="111">
        <v>0</v>
      </c>
      <c r="K193" s="111">
        <v>0</v>
      </c>
      <c r="L193" s="111">
        <v>0</v>
      </c>
      <c r="M193" s="111">
        <v>0</v>
      </c>
      <c r="N193" s="111">
        <v>0</v>
      </c>
      <c r="O193" s="111">
        <v>0</v>
      </c>
      <c r="P193" s="111">
        <v>0</v>
      </c>
      <c r="Q193" s="111">
        <v>0</v>
      </c>
      <c r="R193" s="111">
        <v>0</v>
      </c>
      <c r="S193" s="111">
        <v>0</v>
      </c>
      <c r="T193" s="111">
        <v>0</v>
      </c>
      <c r="U193" s="111">
        <v>0</v>
      </c>
      <c r="V193" s="111">
        <v>0</v>
      </c>
      <c r="W193" s="111">
        <v>0</v>
      </c>
      <c r="X193" s="111">
        <v>0</v>
      </c>
      <c r="Y193" s="111">
        <v>0</v>
      </c>
      <c r="Z193" s="111">
        <v>0</v>
      </c>
      <c r="AA193" s="111">
        <v>0</v>
      </c>
      <c r="AB193" s="111">
        <v>0</v>
      </c>
      <c r="AC193" s="111">
        <v>0</v>
      </c>
      <c r="AD193" s="111">
        <v>0</v>
      </c>
      <c r="AE193" s="111">
        <v>0</v>
      </c>
      <c r="AF193" s="111">
        <v>0</v>
      </c>
      <c r="AG193" s="111">
        <v>0</v>
      </c>
      <c r="AH193" s="111">
        <v>0</v>
      </c>
      <c r="AI193" s="111">
        <v>0</v>
      </c>
      <c r="AJ193" s="111">
        <v>0</v>
      </c>
      <c r="AK193" s="111">
        <v>0</v>
      </c>
      <c r="AL193" s="111">
        <v>0</v>
      </c>
      <c r="AM193" s="111">
        <v>0</v>
      </c>
      <c r="AN193" s="111">
        <v>0</v>
      </c>
      <c r="AO193" s="111">
        <v>0</v>
      </c>
      <c r="AP193" s="111">
        <v>0</v>
      </c>
      <c r="AQ193" s="111">
        <v>0</v>
      </c>
      <c r="AR193" s="111">
        <v>0</v>
      </c>
      <c r="AS193" s="111">
        <v>0</v>
      </c>
      <c r="AT193" s="111">
        <v>0</v>
      </c>
      <c r="AU193" s="111">
        <v>0</v>
      </c>
      <c r="AV193" s="111">
        <v>0</v>
      </c>
      <c r="AW193" s="111">
        <v>0</v>
      </c>
      <c r="AX193" s="111">
        <v>0</v>
      </c>
      <c r="AY193" s="111">
        <v>0</v>
      </c>
    </row>
    <row r="194" spans="1:51" x14ac:dyDescent="0.2">
      <c r="A194" s="114"/>
      <c r="B194" s="132">
        <v>6</v>
      </c>
      <c r="C194" s="111"/>
      <c r="D194" s="111">
        <v>0</v>
      </c>
      <c r="E194" s="111">
        <v>0</v>
      </c>
      <c r="F194" s="111">
        <v>0</v>
      </c>
      <c r="G194" s="111">
        <v>0</v>
      </c>
      <c r="H194" s="111">
        <v>0</v>
      </c>
      <c r="I194" s="111">
        <v>0</v>
      </c>
      <c r="J194" s="111">
        <v>0</v>
      </c>
      <c r="K194" s="111">
        <v>0</v>
      </c>
      <c r="L194" s="111">
        <v>0</v>
      </c>
      <c r="M194" s="111">
        <v>0</v>
      </c>
      <c r="N194" s="111">
        <v>0</v>
      </c>
      <c r="O194" s="111">
        <v>0</v>
      </c>
      <c r="P194" s="111">
        <v>0</v>
      </c>
      <c r="Q194" s="111">
        <v>0</v>
      </c>
      <c r="R194" s="111">
        <v>0</v>
      </c>
      <c r="S194" s="111">
        <v>0</v>
      </c>
      <c r="T194" s="111">
        <v>0</v>
      </c>
      <c r="U194" s="111">
        <v>0</v>
      </c>
      <c r="V194" s="111">
        <v>0</v>
      </c>
      <c r="W194" s="111">
        <v>0</v>
      </c>
      <c r="X194" s="111">
        <v>0</v>
      </c>
      <c r="Y194" s="111">
        <v>0</v>
      </c>
      <c r="Z194" s="111">
        <v>0</v>
      </c>
      <c r="AA194" s="111">
        <v>0</v>
      </c>
      <c r="AB194" s="111">
        <v>0</v>
      </c>
      <c r="AC194" s="111">
        <v>0</v>
      </c>
      <c r="AD194" s="111">
        <v>0</v>
      </c>
      <c r="AE194" s="111">
        <v>0</v>
      </c>
      <c r="AF194" s="111">
        <v>0</v>
      </c>
      <c r="AG194" s="111">
        <v>0</v>
      </c>
      <c r="AH194" s="111">
        <v>0</v>
      </c>
      <c r="AI194" s="111">
        <v>0</v>
      </c>
      <c r="AJ194" s="111">
        <v>0</v>
      </c>
      <c r="AK194" s="111">
        <v>0</v>
      </c>
      <c r="AL194" s="111">
        <v>0</v>
      </c>
      <c r="AM194" s="111">
        <v>0</v>
      </c>
      <c r="AN194" s="111">
        <v>0</v>
      </c>
      <c r="AO194" s="111">
        <v>0</v>
      </c>
      <c r="AP194" s="111">
        <v>0</v>
      </c>
      <c r="AQ194" s="111">
        <v>0</v>
      </c>
      <c r="AR194" s="111">
        <v>0</v>
      </c>
      <c r="AS194" s="111">
        <v>0</v>
      </c>
      <c r="AT194" s="111">
        <v>0</v>
      </c>
      <c r="AU194" s="111">
        <v>0</v>
      </c>
      <c r="AV194" s="111">
        <v>0</v>
      </c>
      <c r="AW194" s="111">
        <v>0</v>
      </c>
      <c r="AX194" s="111">
        <v>0</v>
      </c>
      <c r="AY194" s="111">
        <v>0</v>
      </c>
    </row>
    <row r="195" spans="1:51" x14ac:dyDescent="0.2">
      <c r="A195" s="114"/>
      <c r="B195" s="135">
        <v>7</v>
      </c>
      <c r="C195" s="111"/>
      <c r="D195" s="111">
        <v>0</v>
      </c>
      <c r="E195" s="111">
        <v>0</v>
      </c>
      <c r="F195" s="111">
        <v>0</v>
      </c>
      <c r="G195" s="111">
        <v>0</v>
      </c>
      <c r="H195" s="111">
        <v>0</v>
      </c>
      <c r="I195" s="111">
        <v>0</v>
      </c>
      <c r="J195" s="111">
        <v>0</v>
      </c>
      <c r="K195" s="111">
        <v>0</v>
      </c>
      <c r="L195" s="111">
        <v>0</v>
      </c>
      <c r="M195" s="111">
        <v>0</v>
      </c>
      <c r="N195" s="111">
        <v>0</v>
      </c>
      <c r="O195" s="111">
        <v>0</v>
      </c>
      <c r="P195" s="111">
        <v>0</v>
      </c>
      <c r="Q195" s="111">
        <v>0</v>
      </c>
      <c r="R195" s="111">
        <v>0</v>
      </c>
      <c r="S195" s="111">
        <v>0</v>
      </c>
      <c r="T195" s="111">
        <v>0</v>
      </c>
      <c r="U195" s="111">
        <v>0</v>
      </c>
      <c r="V195" s="111">
        <v>0</v>
      </c>
      <c r="W195" s="111">
        <v>0</v>
      </c>
      <c r="X195" s="111">
        <v>0</v>
      </c>
      <c r="Y195" s="111">
        <v>0</v>
      </c>
      <c r="Z195" s="111">
        <v>0</v>
      </c>
      <c r="AA195" s="111">
        <v>0</v>
      </c>
      <c r="AB195" s="111">
        <v>0</v>
      </c>
      <c r="AC195" s="111">
        <v>0</v>
      </c>
      <c r="AD195" s="111">
        <v>0</v>
      </c>
      <c r="AE195" s="111">
        <v>0</v>
      </c>
      <c r="AF195" s="111">
        <v>0</v>
      </c>
      <c r="AG195" s="111">
        <v>0</v>
      </c>
      <c r="AH195" s="111">
        <v>0</v>
      </c>
      <c r="AI195" s="111">
        <v>0</v>
      </c>
      <c r="AJ195" s="111">
        <v>0</v>
      </c>
      <c r="AK195" s="111">
        <v>0</v>
      </c>
      <c r="AL195" s="111">
        <v>0</v>
      </c>
      <c r="AM195" s="111">
        <v>0</v>
      </c>
      <c r="AN195" s="111">
        <v>0</v>
      </c>
      <c r="AO195" s="111">
        <v>0</v>
      </c>
      <c r="AP195" s="111">
        <v>0</v>
      </c>
      <c r="AQ195" s="111">
        <v>0</v>
      </c>
      <c r="AR195" s="111">
        <v>0</v>
      </c>
      <c r="AS195" s="111">
        <v>0</v>
      </c>
      <c r="AT195" s="111">
        <v>0</v>
      </c>
      <c r="AU195" s="111">
        <v>0</v>
      </c>
      <c r="AV195" s="111">
        <v>0</v>
      </c>
      <c r="AW195" s="111">
        <v>0</v>
      </c>
      <c r="AX195" s="111">
        <v>0</v>
      </c>
      <c r="AY195" s="111">
        <v>0</v>
      </c>
    </row>
    <row r="196" spans="1:51" x14ac:dyDescent="0.2">
      <c r="A196" s="133"/>
      <c r="B196" s="134">
        <v>8</v>
      </c>
      <c r="C196" s="119"/>
      <c r="D196" s="119">
        <v>0</v>
      </c>
      <c r="E196" s="119">
        <v>0</v>
      </c>
      <c r="F196" s="119">
        <v>0</v>
      </c>
      <c r="G196" s="119">
        <v>0</v>
      </c>
      <c r="H196" s="119">
        <v>0</v>
      </c>
      <c r="I196" s="119">
        <v>0</v>
      </c>
      <c r="J196" s="119">
        <v>0</v>
      </c>
      <c r="K196" s="119">
        <v>0</v>
      </c>
      <c r="L196" s="119">
        <v>0</v>
      </c>
      <c r="M196" s="119">
        <v>0</v>
      </c>
      <c r="N196" s="119">
        <v>0</v>
      </c>
      <c r="O196" s="119">
        <v>0</v>
      </c>
      <c r="P196" s="119">
        <v>0</v>
      </c>
      <c r="Q196" s="119">
        <v>0</v>
      </c>
      <c r="R196" s="119">
        <v>0</v>
      </c>
      <c r="S196" s="119">
        <v>0</v>
      </c>
      <c r="T196" s="119">
        <v>0</v>
      </c>
      <c r="U196" s="119">
        <v>0</v>
      </c>
      <c r="V196" s="119">
        <v>0</v>
      </c>
      <c r="W196" s="119">
        <v>0</v>
      </c>
      <c r="X196" s="119">
        <v>0</v>
      </c>
      <c r="Y196" s="119">
        <v>0</v>
      </c>
      <c r="Z196" s="119">
        <v>0</v>
      </c>
      <c r="AA196" s="119">
        <v>0</v>
      </c>
      <c r="AB196" s="119">
        <v>0</v>
      </c>
      <c r="AC196" s="119">
        <v>0</v>
      </c>
      <c r="AD196" s="119">
        <v>0</v>
      </c>
      <c r="AE196" s="119">
        <v>0</v>
      </c>
      <c r="AF196" s="119">
        <v>0</v>
      </c>
      <c r="AG196" s="119">
        <v>0</v>
      </c>
      <c r="AH196" s="119">
        <v>0</v>
      </c>
      <c r="AI196" s="119">
        <v>0</v>
      </c>
      <c r="AJ196" s="119">
        <v>0</v>
      </c>
      <c r="AK196" s="119">
        <v>0</v>
      </c>
      <c r="AL196" s="119">
        <v>0</v>
      </c>
      <c r="AM196" s="119">
        <v>0</v>
      </c>
      <c r="AN196" s="119">
        <v>0</v>
      </c>
      <c r="AO196" s="119">
        <v>0</v>
      </c>
      <c r="AP196" s="119">
        <v>0</v>
      </c>
      <c r="AQ196" s="119">
        <v>0</v>
      </c>
      <c r="AR196" s="119">
        <v>0</v>
      </c>
      <c r="AS196" s="119">
        <v>0</v>
      </c>
      <c r="AT196" s="119">
        <v>0</v>
      </c>
      <c r="AU196" s="119">
        <v>0</v>
      </c>
      <c r="AV196" s="119">
        <v>0</v>
      </c>
      <c r="AW196" s="119">
        <v>0</v>
      </c>
      <c r="AX196" s="119">
        <v>0</v>
      </c>
      <c r="AY196" s="119">
        <v>0</v>
      </c>
    </row>
    <row r="197" spans="1:51" x14ac:dyDescent="0.2">
      <c r="A197" s="136" t="s">
        <v>134</v>
      </c>
      <c r="B197" s="124">
        <v>1</v>
      </c>
      <c r="C197" s="111"/>
      <c r="D197" s="111">
        <v>0</v>
      </c>
      <c r="E197" s="111">
        <v>232.46090813093983</v>
      </c>
      <c r="F197" s="111">
        <v>232.46090813093983</v>
      </c>
      <c r="G197" s="111">
        <v>278.11160039976244</v>
      </c>
      <c r="H197" s="111">
        <v>278.11160039976244</v>
      </c>
      <c r="I197" s="111">
        <v>197</v>
      </c>
      <c r="J197" s="111">
        <v>161.80382428476452</v>
      </c>
      <c r="K197" s="111">
        <v>107.69222388500208</v>
      </c>
      <c r="L197" s="111">
        <v>6.2840419305521209</v>
      </c>
      <c r="M197" s="111">
        <v>0</v>
      </c>
      <c r="N197" s="111">
        <v>0</v>
      </c>
      <c r="O197" s="111">
        <v>0</v>
      </c>
      <c r="P197" s="111">
        <v>0</v>
      </c>
      <c r="Q197" s="111">
        <v>0</v>
      </c>
      <c r="R197" s="111">
        <v>0</v>
      </c>
      <c r="S197" s="111">
        <v>0</v>
      </c>
      <c r="T197" s="111">
        <v>0</v>
      </c>
      <c r="U197" s="111">
        <v>0</v>
      </c>
      <c r="V197" s="111">
        <v>0</v>
      </c>
      <c r="W197" s="111">
        <v>0</v>
      </c>
      <c r="X197" s="111">
        <v>0</v>
      </c>
      <c r="Y197" s="111">
        <v>0</v>
      </c>
      <c r="Z197" s="111">
        <v>0</v>
      </c>
      <c r="AA197" s="111">
        <v>0</v>
      </c>
      <c r="AB197" s="111">
        <v>0</v>
      </c>
      <c r="AC197" s="111">
        <v>0</v>
      </c>
      <c r="AD197" s="111">
        <v>0</v>
      </c>
      <c r="AE197" s="111">
        <v>0</v>
      </c>
      <c r="AF197" s="111">
        <v>0</v>
      </c>
      <c r="AG197" s="111">
        <v>0</v>
      </c>
      <c r="AH197" s="111">
        <v>0</v>
      </c>
      <c r="AI197" s="111">
        <v>0</v>
      </c>
      <c r="AJ197" s="111">
        <v>0</v>
      </c>
      <c r="AK197" s="111">
        <v>0</v>
      </c>
      <c r="AL197" s="111">
        <v>0</v>
      </c>
      <c r="AM197" s="111">
        <v>0</v>
      </c>
      <c r="AN197" s="111">
        <v>0</v>
      </c>
      <c r="AO197" s="111">
        <v>0</v>
      </c>
      <c r="AP197" s="111">
        <v>0</v>
      </c>
      <c r="AQ197" s="111">
        <v>0</v>
      </c>
      <c r="AR197" s="111">
        <v>0</v>
      </c>
      <c r="AS197" s="111">
        <v>0</v>
      </c>
      <c r="AT197" s="111">
        <v>0</v>
      </c>
      <c r="AU197" s="111">
        <v>0</v>
      </c>
      <c r="AV197" s="111">
        <v>0</v>
      </c>
      <c r="AW197" s="111">
        <v>0</v>
      </c>
      <c r="AX197" s="111">
        <v>0</v>
      </c>
      <c r="AY197" s="111">
        <v>0</v>
      </c>
    </row>
    <row r="198" spans="1:51" x14ac:dyDescent="0.2">
      <c r="A198" s="114"/>
      <c r="B198" s="124">
        <v>2</v>
      </c>
      <c r="C198" s="111"/>
      <c r="D198" s="111">
        <v>0</v>
      </c>
      <c r="E198" s="111">
        <v>0</v>
      </c>
      <c r="F198" s="111">
        <v>0</v>
      </c>
      <c r="G198" s="111">
        <v>0</v>
      </c>
      <c r="H198" s="111">
        <v>0</v>
      </c>
      <c r="I198" s="111">
        <v>0</v>
      </c>
      <c r="J198" s="111">
        <v>81.196175715235483</v>
      </c>
      <c r="K198" s="111">
        <v>116.30777611499792</v>
      </c>
      <c r="L198" s="111">
        <v>218.71595806944788</v>
      </c>
      <c r="M198" s="111">
        <v>235</v>
      </c>
      <c r="N198" s="111">
        <v>188.23266310125837</v>
      </c>
      <c r="O198" s="111">
        <v>116.39386283459271</v>
      </c>
      <c r="P198" s="111">
        <v>19.129376989282093</v>
      </c>
      <c r="Q198" s="111">
        <v>0</v>
      </c>
      <c r="R198" s="111">
        <v>0</v>
      </c>
      <c r="S198" s="111">
        <v>0</v>
      </c>
      <c r="T198" s="111">
        <v>0</v>
      </c>
      <c r="U198" s="111">
        <v>0</v>
      </c>
      <c r="V198" s="111">
        <v>0</v>
      </c>
      <c r="W198" s="111">
        <v>0</v>
      </c>
      <c r="X198" s="111">
        <v>0</v>
      </c>
      <c r="Y198" s="111">
        <v>0</v>
      </c>
      <c r="Z198" s="111">
        <v>0</v>
      </c>
      <c r="AA198" s="111">
        <v>0</v>
      </c>
      <c r="AB198" s="111">
        <v>0</v>
      </c>
      <c r="AC198" s="111">
        <v>0</v>
      </c>
      <c r="AD198" s="111">
        <v>0</v>
      </c>
      <c r="AE198" s="111">
        <v>0</v>
      </c>
      <c r="AF198" s="111">
        <v>0</v>
      </c>
      <c r="AG198" s="111">
        <v>0</v>
      </c>
      <c r="AH198" s="111">
        <v>0</v>
      </c>
      <c r="AI198" s="111">
        <v>0</v>
      </c>
      <c r="AJ198" s="111">
        <v>0</v>
      </c>
      <c r="AK198" s="111">
        <v>0</v>
      </c>
      <c r="AL198" s="111">
        <v>0</v>
      </c>
      <c r="AM198" s="111">
        <v>0</v>
      </c>
      <c r="AN198" s="111">
        <v>0</v>
      </c>
      <c r="AO198" s="111">
        <v>0</v>
      </c>
      <c r="AP198" s="111">
        <v>0</v>
      </c>
      <c r="AQ198" s="111">
        <v>0</v>
      </c>
      <c r="AR198" s="111">
        <v>0</v>
      </c>
      <c r="AS198" s="111">
        <v>0</v>
      </c>
      <c r="AT198" s="111">
        <v>0</v>
      </c>
      <c r="AU198" s="111">
        <v>0</v>
      </c>
      <c r="AV198" s="111">
        <v>0</v>
      </c>
      <c r="AW198" s="111">
        <v>0</v>
      </c>
      <c r="AX198" s="111">
        <v>0</v>
      </c>
      <c r="AY198" s="111">
        <v>0</v>
      </c>
    </row>
    <row r="199" spans="1:51" x14ac:dyDescent="0.2">
      <c r="A199" s="114"/>
      <c r="B199" s="124">
        <v>3</v>
      </c>
      <c r="C199" s="111"/>
      <c r="D199" s="111">
        <v>0</v>
      </c>
      <c r="E199" s="111">
        <v>0</v>
      </c>
      <c r="F199" s="111">
        <v>0</v>
      </c>
      <c r="G199" s="111">
        <v>0</v>
      </c>
      <c r="H199" s="111">
        <v>0</v>
      </c>
      <c r="I199" s="111">
        <v>0</v>
      </c>
      <c r="J199" s="111">
        <v>0</v>
      </c>
      <c r="K199" s="111">
        <v>0</v>
      </c>
      <c r="L199" s="111">
        <v>0</v>
      </c>
      <c r="M199" s="111">
        <v>0</v>
      </c>
      <c r="N199" s="111">
        <v>75.767336898741632</v>
      </c>
      <c r="O199" s="111">
        <v>165.60613716540729</v>
      </c>
      <c r="P199" s="111">
        <v>241.87062301071791</v>
      </c>
      <c r="Q199" s="111">
        <v>254</v>
      </c>
      <c r="R199" s="111">
        <v>183.4358289694826</v>
      </c>
      <c r="S199" s="111">
        <v>104.11044996660223</v>
      </c>
      <c r="T199" s="111">
        <v>88.43378033995748</v>
      </c>
      <c r="U199" s="111">
        <v>115.75711071331273</v>
      </c>
      <c r="V199" s="111">
        <v>73.83064121970159</v>
      </c>
      <c r="W199" s="111">
        <v>104.09933583517801</v>
      </c>
      <c r="X199" s="111">
        <v>83.748065020106253</v>
      </c>
      <c r="Y199" s="111">
        <v>94.368422551984963</v>
      </c>
      <c r="Z199" s="111">
        <v>42.510584555245316</v>
      </c>
      <c r="AA199" s="111">
        <v>57.964053382365137</v>
      </c>
      <c r="AB199" s="111">
        <v>82.417522209484957</v>
      </c>
      <c r="AC199" s="111">
        <v>103.87099103660478</v>
      </c>
      <c r="AD199" s="111">
        <v>149.3244598637246</v>
      </c>
      <c r="AE199" s="111">
        <v>94.777928690844419</v>
      </c>
      <c r="AF199" s="111">
        <v>117.23139751796424</v>
      </c>
      <c r="AG199" s="111">
        <v>125.68486634508406</v>
      </c>
      <c r="AH199" s="111">
        <v>82.138335172203881</v>
      </c>
      <c r="AI199" s="111">
        <v>122.5918039993237</v>
      </c>
      <c r="AJ199" s="111">
        <v>72.045272826443522</v>
      </c>
      <c r="AK199" s="111">
        <v>119.49874165356334</v>
      </c>
      <c r="AL199" s="111">
        <v>176.82207202691859</v>
      </c>
      <c r="AM199" s="111">
        <v>156.14540240027384</v>
      </c>
      <c r="AN199" s="111">
        <v>151.43386367978036</v>
      </c>
      <c r="AO199" s="111">
        <v>93.893732302330932</v>
      </c>
      <c r="AP199" s="111">
        <v>42.217062675686179</v>
      </c>
      <c r="AQ199" s="111">
        <v>74.540393049041427</v>
      </c>
      <c r="AR199" s="111">
        <v>24.184610434012313</v>
      </c>
      <c r="AS199" s="111">
        <v>45.217086074659278</v>
      </c>
      <c r="AT199" s="111">
        <v>0</v>
      </c>
      <c r="AU199" s="111">
        <v>0</v>
      </c>
      <c r="AV199" s="111">
        <v>0</v>
      </c>
      <c r="AW199" s="111">
        <v>0</v>
      </c>
      <c r="AX199" s="111">
        <v>0</v>
      </c>
      <c r="AY199" s="111">
        <v>0</v>
      </c>
    </row>
    <row r="200" spans="1:51" x14ac:dyDescent="0.2">
      <c r="A200" s="114"/>
      <c r="B200" s="125">
        <v>4</v>
      </c>
      <c r="C200" s="111"/>
      <c r="D200" s="111">
        <v>0</v>
      </c>
      <c r="E200" s="111">
        <v>0</v>
      </c>
      <c r="F200" s="111">
        <v>0</v>
      </c>
      <c r="G200" s="111">
        <v>0</v>
      </c>
      <c r="H200" s="111">
        <v>0</v>
      </c>
      <c r="I200" s="111">
        <v>0</v>
      </c>
      <c r="J200" s="111">
        <v>0</v>
      </c>
      <c r="K200" s="111">
        <v>0</v>
      </c>
      <c r="L200" s="111">
        <v>0</v>
      </c>
      <c r="M200" s="111">
        <v>0</v>
      </c>
      <c r="N200" s="111">
        <v>0</v>
      </c>
      <c r="O200" s="111">
        <v>0</v>
      </c>
      <c r="P200" s="111">
        <v>0</v>
      </c>
      <c r="Q200" s="111">
        <v>0</v>
      </c>
      <c r="R200" s="111">
        <v>54.5641710305174</v>
      </c>
      <c r="S200" s="111">
        <v>121.88955003339777</v>
      </c>
      <c r="T200" s="111">
        <v>178.56621966004252</v>
      </c>
      <c r="U200" s="111">
        <v>194.24288928668727</v>
      </c>
      <c r="V200" s="111">
        <v>167.16935878029841</v>
      </c>
      <c r="W200" s="111">
        <v>212.90066416482199</v>
      </c>
      <c r="X200" s="111">
        <v>208.25193497989375</v>
      </c>
      <c r="Y200" s="111">
        <v>247.63157744801504</v>
      </c>
      <c r="Z200" s="111">
        <v>204.48941544475468</v>
      </c>
      <c r="AA200" s="111">
        <v>231.03594661763486</v>
      </c>
      <c r="AB200" s="111">
        <v>215.58247779051504</v>
      </c>
      <c r="AC200" s="111">
        <v>191.12900896339522</v>
      </c>
      <c r="AD200" s="111">
        <v>169.6755401362754</v>
      </c>
      <c r="AE200" s="111">
        <v>124.22207130915558</v>
      </c>
      <c r="AF200" s="111">
        <v>178.76860248203576</v>
      </c>
      <c r="AG200" s="111">
        <v>156.31513365491594</v>
      </c>
      <c r="AH200" s="111">
        <v>147.86166482779612</v>
      </c>
      <c r="AI200" s="111">
        <v>191.4081960006763</v>
      </c>
      <c r="AJ200" s="111">
        <v>150.95472717355648</v>
      </c>
      <c r="AK200" s="111">
        <v>201.50125834643666</v>
      </c>
      <c r="AL200" s="111">
        <v>163.17792797308141</v>
      </c>
      <c r="AM200" s="111">
        <v>105.85459759972616</v>
      </c>
      <c r="AN200" s="111">
        <v>136.56613632021964</v>
      </c>
      <c r="AO200" s="111">
        <v>162.10626769766907</v>
      </c>
      <c r="AP200" s="111">
        <v>188.78293732431382</v>
      </c>
      <c r="AQ200" s="111">
        <v>240.45960695095857</v>
      </c>
      <c r="AR200" s="111">
        <v>230.81538956598769</v>
      </c>
      <c r="AS200" s="111">
        <v>302.78291392534072</v>
      </c>
      <c r="AT200" s="111">
        <v>272</v>
      </c>
      <c r="AU200" s="111">
        <v>261.14793348496062</v>
      </c>
      <c r="AV200" s="111">
        <v>194.09544574637857</v>
      </c>
      <c r="AW200" s="111">
        <v>186.51662318571215</v>
      </c>
      <c r="AX200" s="111">
        <v>221.74620607093658</v>
      </c>
      <c r="AY200" s="111">
        <v>151.72375064867367</v>
      </c>
    </row>
    <row r="201" spans="1:51" x14ac:dyDescent="0.2">
      <c r="A201" s="114"/>
      <c r="B201" s="125">
        <v>5</v>
      </c>
      <c r="C201" s="111"/>
      <c r="D201" s="111">
        <v>0</v>
      </c>
      <c r="E201" s="111">
        <v>0</v>
      </c>
      <c r="F201" s="111">
        <v>0</v>
      </c>
      <c r="G201" s="111">
        <v>0</v>
      </c>
      <c r="H201" s="111">
        <v>0</v>
      </c>
      <c r="I201" s="111">
        <v>0</v>
      </c>
      <c r="J201" s="111">
        <v>0</v>
      </c>
      <c r="K201" s="111">
        <v>0</v>
      </c>
      <c r="L201" s="111">
        <v>0</v>
      </c>
      <c r="M201" s="111">
        <v>0</v>
      </c>
      <c r="N201" s="111">
        <v>0</v>
      </c>
      <c r="O201" s="111">
        <v>0</v>
      </c>
      <c r="P201" s="111">
        <v>0</v>
      </c>
      <c r="Q201" s="111">
        <v>0</v>
      </c>
      <c r="R201" s="111">
        <v>0</v>
      </c>
      <c r="S201" s="111">
        <v>0</v>
      </c>
      <c r="T201" s="111">
        <v>0</v>
      </c>
      <c r="U201" s="111">
        <v>0</v>
      </c>
      <c r="V201" s="111">
        <v>0</v>
      </c>
      <c r="W201" s="111">
        <v>0</v>
      </c>
      <c r="X201" s="111">
        <v>0</v>
      </c>
      <c r="Y201" s="111">
        <v>0</v>
      </c>
      <c r="Z201" s="111">
        <v>0</v>
      </c>
      <c r="AA201" s="111">
        <v>0</v>
      </c>
      <c r="AB201" s="111">
        <v>0</v>
      </c>
      <c r="AC201" s="111">
        <v>0</v>
      </c>
      <c r="AD201" s="111">
        <v>0</v>
      </c>
      <c r="AE201" s="111">
        <v>0</v>
      </c>
      <c r="AF201" s="111">
        <v>0</v>
      </c>
      <c r="AG201" s="111">
        <v>0</v>
      </c>
      <c r="AH201" s="111">
        <v>0</v>
      </c>
      <c r="AI201" s="111">
        <v>0</v>
      </c>
      <c r="AJ201" s="111">
        <v>0</v>
      </c>
      <c r="AK201" s="111">
        <v>0</v>
      </c>
      <c r="AL201" s="111">
        <v>0</v>
      </c>
      <c r="AM201" s="111">
        <v>0</v>
      </c>
      <c r="AN201" s="111">
        <v>0</v>
      </c>
      <c r="AO201" s="111">
        <v>0</v>
      </c>
      <c r="AP201" s="111">
        <v>0</v>
      </c>
      <c r="AQ201" s="111">
        <v>0</v>
      </c>
      <c r="AR201" s="111">
        <v>0</v>
      </c>
      <c r="AS201" s="111">
        <v>0</v>
      </c>
      <c r="AT201" s="111">
        <v>0</v>
      </c>
      <c r="AU201" s="111">
        <v>7.8520665150393825</v>
      </c>
      <c r="AV201" s="111">
        <v>89.904554253621427</v>
      </c>
      <c r="AW201" s="111">
        <v>147.48337681428785</v>
      </c>
      <c r="AX201" s="111">
        <v>142.25379392906342</v>
      </c>
      <c r="AY201" s="111">
        <v>96.276249351326328</v>
      </c>
    </row>
    <row r="202" spans="1:51" x14ac:dyDescent="0.2">
      <c r="A202" s="114"/>
      <c r="B202" s="125">
        <v>6</v>
      </c>
      <c r="C202" s="111"/>
      <c r="D202" s="111">
        <v>0</v>
      </c>
      <c r="E202" s="111">
        <v>0</v>
      </c>
      <c r="F202" s="111">
        <v>0</v>
      </c>
      <c r="G202" s="111">
        <v>0</v>
      </c>
      <c r="H202" s="111">
        <v>0</v>
      </c>
      <c r="I202" s="111">
        <v>0</v>
      </c>
      <c r="J202" s="111">
        <v>0</v>
      </c>
      <c r="K202" s="111">
        <v>0</v>
      </c>
      <c r="L202" s="111">
        <v>0</v>
      </c>
      <c r="M202" s="111">
        <v>0</v>
      </c>
      <c r="N202" s="111">
        <v>0</v>
      </c>
      <c r="O202" s="111">
        <v>0</v>
      </c>
      <c r="P202" s="111">
        <v>0</v>
      </c>
      <c r="Q202" s="111">
        <v>0</v>
      </c>
      <c r="R202" s="111">
        <v>0</v>
      </c>
      <c r="S202" s="111">
        <v>0</v>
      </c>
      <c r="T202" s="111">
        <v>0</v>
      </c>
      <c r="U202" s="111">
        <v>0</v>
      </c>
      <c r="V202" s="111">
        <v>0</v>
      </c>
      <c r="W202" s="111">
        <v>0</v>
      </c>
      <c r="X202" s="111">
        <v>0</v>
      </c>
      <c r="Y202" s="111">
        <v>0</v>
      </c>
      <c r="Z202" s="111">
        <v>0</v>
      </c>
      <c r="AA202" s="111">
        <v>0</v>
      </c>
      <c r="AB202" s="111">
        <v>0</v>
      </c>
      <c r="AC202" s="111">
        <v>0</v>
      </c>
      <c r="AD202" s="111">
        <v>0</v>
      </c>
      <c r="AE202" s="111">
        <v>0</v>
      </c>
      <c r="AF202" s="111">
        <v>0</v>
      </c>
      <c r="AG202" s="111">
        <v>0</v>
      </c>
      <c r="AH202" s="111">
        <v>0</v>
      </c>
      <c r="AI202" s="111">
        <v>0</v>
      </c>
      <c r="AJ202" s="111">
        <v>0</v>
      </c>
      <c r="AK202" s="111">
        <v>0</v>
      </c>
      <c r="AL202" s="111">
        <v>0</v>
      </c>
      <c r="AM202" s="111">
        <v>0</v>
      </c>
      <c r="AN202" s="111">
        <v>0</v>
      </c>
      <c r="AO202" s="111">
        <v>0</v>
      </c>
      <c r="AP202" s="111">
        <v>0</v>
      </c>
      <c r="AQ202" s="111">
        <v>0</v>
      </c>
      <c r="AR202" s="111">
        <v>0</v>
      </c>
      <c r="AS202" s="111">
        <v>0</v>
      </c>
      <c r="AT202" s="111">
        <v>0</v>
      </c>
      <c r="AU202" s="111">
        <v>0</v>
      </c>
      <c r="AV202" s="111">
        <v>0</v>
      </c>
      <c r="AW202" s="111">
        <v>0</v>
      </c>
      <c r="AX202" s="111">
        <v>0</v>
      </c>
      <c r="AY202" s="111">
        <v>0</v>
      </c>
    </row>
    <row r="203" spans="1:51" x14ac:dyDescent="0.2">
      <c r="A203" s="114"/>
      <c r="B203" s="132">
        <v>7</v>
      </c>
      <c r="C203" s="111"/>
      <c r="D203" s="111">
        <v>0</v>
      </c>
      <c r="E203" s="111">
        <v>0</v>
      </c>
      <c r="F203" s="111">
        <v>0</v>
      </c>
      <c r="G203" s="111">
        <v>0</v>
      </c>
      <c r="H203" s="111">
        <v>0</v>
      </c>
      <c r="I203" s="111">
        <v>0</v>
      </c>
      <c r="J203" s="111">
        <v>0</v>
      </c>
      <c r="K203" s="111">
        <v>0</v>
      </c>
      <c r="L203" s="111">
        <v>0</v>
      </c>
      <c r="M203" s="111">
        <v>0</v>
      </c>
      <c r="N203" s="111">
        <v>0</v>
      </c>
      <c r="O203" s="111">
        <v>0</v>
      </c>
      <c r="P203" s="111">
        <v>0</v>
      </c>
      <c r="Q203" s="111">
        <v>0</v>
      </c>
      <c r="R203" s="111">
        <v>0</v>
      </c>
      <c r="S203" s="111">
        <v>0</v>
      </c>
      <c r="T203" s="111">
        <v>0</v>
      </c>
      <c r="U203" s="111">
        <v>0</v>
      </c>
      <c r="V203" s="111">
        <v>0</v>
      </c>
      <c r="W203" s="111">
        <v>0</v>
      </c>
      <c r="X203" s="111">
        <v>0</v>
      </c>
      <c r="Y203" s="111">
        <v>0</v>
      </c>
      <c r="Z203" s="111">
        <v>0</v>
      </c>
      <c r="AA203" s="111">
        <v>0</v>
      </c>
      <c r="AB203" s="111">
        <v>0</v>
      </c>
      <c r="AC203" s="111">
        <v>0</v>
      </c>
      <c r="AD203" s="111">
        <v>0</v>
      </c>
      <c r="AE203" s="111">
        <v>0</v>
      </c>
      <c r="AF203" s="111">
        <v>0</v>
      </c>
      <c r="AG203" s="111">
        <v>0</v>
      </c>
      <c r="AH203" s="111">
        <v>0</v>
      </c>
      <c r="AI203" s="111">
        <v>0</v>
      </c>
      <c r="AJ203" s="111">
        <v>0</v>
      </c>
      <c r="AK203" s="111">
        <v>0</v>
      </c>
      <c r="AL203" s="111">
        <v>0</v>
      </c>
      <c r="AM203" s="111">
        <v>0</v>
      </c>
      <c r="AN203" s="111">
        <v>0</v>
      </c>
      <c r="AO203" s="111">
        <v>0</v>
      </c>
      <c r="AP203" s="111">
        <v>0</v>
      </c>
      <c r="AQ203" s="111">
        <v>0</v>
      </c>
      <c r="AR203" s="111">
        <v>0</v>
      </c>
      <c r="AS203" s="111">
        <v>0</v>
      </c>
      <c r="AT203" s="111">
        <v>0</v>
      </c>
      <c r="AU203" s="111">
        <v>0</v>
      </c>
      <c r="AV203" s="111">
        <v>0</v>
      </c>
      <c r="AW203" s="111">
        <v>0</v>
      </c>
      <c r="AX203" s="111">
        <v>0</v>
      </c>
      <c r="AY203" s="111">
        <v>0</v>
      </c>
    </row>
    <row r="204" spans="1:51" x14ac:dyDescent="0.2">
      <c r="A204" s="114"/>
      <c r="B204" s="132">
        <v>8</v>
      </c>
      <c r="C204" s="111"/>
      <c r="D204" s="111">
        <v>0</v>
      </c>
      <c r="E204" s="111">
        <v>0</v>
      </c>
      <c r="F204" s="111">
        <v>0</v>
      </c>
      <c r="G204" s="111">
        <v>0</v>
      </c>
      <c r="H204" s="111">
        <v>0</v>
      </c>
      <c r="I204" s="111">
        <v>0</v>
      </c>
      <c r="J204" s="111">
        <v>0</v>
      </c>
      <c r="K204" s="111">
        <v>0</v>
      </c>
      <c r="L204" s="111">
        <v>0</v>
      </c>
      <c r="M204" s="111">
        <v>0</v>
      </c>
      <c r="N204" s="111">
        <v>0</v>
      </c>
      <c r="O204" s="111">
        <v>0</v>
      </c>
      <c r="P204" s="111">
        <v>0</v>
      </c>
      <c r="Q204" s="111">
        <v>0</v>
      </c>
      <c r="R204" s="111">
        <v>0</v>
      </c>
      <c r="S204" s="111">
        <v>0</v>
      </c>
      <c r="T204" s="111">
        <v>0</v>
      </c>
      <c r="U204" s="111">
        <v>0</v>
      </c>
      <c r="V204" s="111">
        <v>0</v>
      </c>
      <c r="W204" s="111">
        <v>0</v>
      </c>
      <c r="X204" s="111">
        <v>0</v>
      </c>
      <c r="Y204" s="111">
        <v>0</v>
      </c>
      <c r="Z204" s="111">
        <v>0</v>
      </c>
      <c r="AA204" s="111">
        <v>0</v>
      </c>
      <c r="AB204" s="111">
        <v>0</v>
      </c>
      <c r="AC204" s="111">
        <v>0</v>
      </c>
      <c r="AD204" s="111">
        <v>0</v>
      </c>
      <c r="AE204" s="111">
        <v>0</v>
      </c>
      <c r="AF204" s="111">
        <v>0</v>
      </c>
      <c r="AG204" s="111">
        <v>0</v>
      </c>
      <c r="AH204" s="111">
        <v>0</v>
      </c>
      <c r="AI204" s="111">
        <v>0</v>
      </c>
      <c r="AJ204" s="111">
        <v>0</v>
      </c>
      <c r="AK204" s="111">
        <v>0</v>
      </c>
      <c r="AL204" s="111">
        <v>0</v>
      </c>
      <c r="AM204" s="111">
        <v>0</v>
      </c>
      <c r="AN204" s="111">
        <v>0</v>
      </c>
      <c r="AO204" s="111">
        <v>0</v>
      </c>
      <c r="AP204" s="111">
        <v>0</v>
      </c>
      <c r="AQ204" s="111">
        <v>0</v>
      </c>
      <c r="AR204" s="111">
        <v>0</v>
      </c>
      <c r="AS204" s="111">
        <v>0</v>
      </c>
      <c r="AT204" s="111">
        <v>0</v>
      </c>
      <c r="AU204" s="111">
        <v>0</v>
      </c>
      <c r="AV204" s="111">
        <v>0</v>
      </c>
      <c r="AW204" s="111">
        <v>0</v>
      </c>
      <c r="AX204" s="111">
        <v>0</v>
      </c>
      <c r="AY204" s="111">
        <v>0</v>
      </c>
    </row>
    <row r="205" spans="1:51" x14ac:dyDescent="0.2">
      <c r="A205" s="114"/>
      <c r="B205" s="132">
        <v>9</v>
      </c>
      <c r="C205" s="111"/>
      <c r="D205" s="111">
        <v>0</v>
      </c>
      <c r="E205" s="111">
        <v>0</v>
      </c>
      <c r="F205" s="111">
        <v>0</v>
      </c>
      <c r="G205" s="111">
        <v>0</v>
      </c>
      <c r="H205" s="111">
        <v>0</v>
      </c>
      <c r="I205" s="111">
        <v>0</v>
      </c>
      <c r="J205" s="111">
        <v>0</v>
      </c>
      <c r="K205" s="111">
        <v>0</v>
      </c>
      <c r="L205" s="111">
        <v>0</v>
      </c>
      <c r="M205" s="111">
        <v>0</v>
      </c>
      <c r="N205" s="111">
        <v>0</v>
      </c>
      <c r="O205" s="111">
        <v>0</v>
      </c>
      <c r="P205" s="111">
        <v>0</v>
      </c>
      <c r="Q205" s="111">
        <v>0</v>
      </c>
      <c r="R205" s="111">
        <v>0</v>
      </c>
      <c r="S205" s="111">
        <v>0</v>
      </c>
      <c r="T205" s="111">
        <v>0</v>
      </c>
      <c r="U205" s="111">
        <v>0</v>
      </c>
      <c r="V205" s="111">
        <v>0</v>
      </c>
      <c r="W205" s="111">
        <v>0</v>
      </c>
      <c r="X205" s="111">
        <v>0</v>
      </c>
      <c r="Y205" s="111">
        <v>0</v>
      </c>
      <c r="Z205" s="111">
        <v>0</v>
      </c>
      <c r="AA205" s="111">
        <v>0</v>
      </c>
      <c r="AB205" s="111">
        <v>0</v>
      </c>
      <c r="AC205" s="111">
        <v>0</v>
      </c>
      <c r="AD205" s="111">
        <v>0</v>
      </c>
      <c r="AE205" s="111">
        <v>0</v>
      </c>
      <c r="AF205" s="111">
        <v>0</v>
      </c>
      <c r="AG205" s="111">
        <v>0</v>
      </c>
      <c r="AH205" s="111">
        <v>0</v>
      </c>
      <c r="AI205" s="111">
        <v>0</v>
      </c>
      <c r="AJ205" s="111">
        <v>0</v>
      </c>
      <c r="AK205" s="111">
        <v>0</v>
      </c>
      <c r="AL205" s="111">
        <v>0</v>
      </c>
      <c r="AM205" s="111">
        <v>0</v>
      </c>
      <c r="AN205" s="111">
        <v>0</v>
      </c>
      <c r="AO205" s="111">
        <v>0</v>
      </c>
      <c r="AP205" s="111">
        <v>0</v>
      </c>
      <c r="AQ205" s="111">
        <v>0</v>
      </c>
      <c r="AR205" s="111">
        <v>0</v>
      </c>
      <c r="AS205" s="111">
        <v>0</v>
      </c>
      <c r="AT205" s="111">
        <v>0</v>
      </c>
      <c r="AU205" s="111">
        <v>0</v>
      </c>
      <c r="AV205" s="111">
        <v>0</v>
      </c>
      <c r="AW205" s="111">
        <v>0</v>
      </c>
      <c r="AX205" s="111">
        <v>0</v>
      </c>
      <c r="AY205" s="111">
        <v>0</v>
      </c>
    </row>
    <row r="206" spans="1:51" x14ac:dyDescent="0.2">
      <c r="A206" s="114"/>
      <c r="B206" s="135">
        <v>10</v>
      </c>
      <c r="C206" s="111"/>
      <c r="D206" s="111">
        <v>0</v>
      </c>
      <c r="E206" s="111">
        <v>0</v>
      </c>
      <c r="F206" s="111">
        <v>0</v>
      </c>
      <c r="G206" s="111">
        <v>0</v>
      </c>
      <c r="H206" s="111">
        <v>0</v>
      </c>
      <c r="I206" s="111">
        <v>0</v>
      </c>
      <c r="J206" s="111">
        <v>0</v>
      </c>
      <c r="K206" s="111">
        <v>0</v>
      </c>
      <c r="L206" s="111">
        <v>0</v>
      </c>
      <c r="M206" s="111">
        <v>0</v>
      </c>
      <c r="N206" s="111">
        <v>0</v>
      </c>
      <c r="O206" s="111">
        <v>0</v>
      </c>
      <c r="P206" s="111">
        <v>0</v>
      </c>
      <c r="Q206" s="111">
        <v>0</v>
      </c>
      <c r="R206" s="111">
        <v>0</v>
      </c>
      <c r="S206" s="111">
        <v>0</v>
      </c>
      <c r="T206" s="111">
        <v>0</v>
      </c>
      <c r="U206" s="111">
        <v>0</v>
      </c>
      <c r="V206" s="111">
        <v>0</v>
      </c>
      <c r="W206" s="111">
        <v>0</v>
      </c>
      <c r="X206" s="111">
        <v>0</v>
      </c>
      <c r="Y206" s="111">
        <v>0</v>
      </c>
      <c r="Z206" s="111">
        <v>0</v>
      </c>
      <c r="AA206" s="111">
        <v>0</v>
      </c>
      <c r="AB206" s="111">
        <v>0</v>
      </c>
      <c r="AC206" s="111">
        <v>0</v>
      </c>
      <c r="AD206" s="111">
        <v>0</v>
      </c>
      <c r="AE206" s="111">
        <v>0</v>
      </c>
      <c r="AF206" s="111">
        <v>0</v>
      </c>
      <c r="AG206" s="111">
        <v>0</v>
      </c>
      <c r="AH206" s="111">
        <v>0</v>
      </c>
      <c r="AI206" s="111">
        <v>0</v>
      </c>
      <c r="AJ206" s="111">
        <v>0</v>
      </c>
      <c r="AK206" s="111">
        <v>0</v>
      </c>
      <c r="AL206" s="111">
        <v>0</v>
      </c>
      <c r="AM206" s="111">
        <v>0</v>
      </c>
      <c r="AN206" s="111">
        <v>0</v>
      </c>
      <c r="AO206" s="111">
        <v>0</v>
      </c>
      <c r="AP206" s="111">
        <v>0</v>
      </c>
      <c r="AQ206" s="111">
        <v>0</v>
      </c>
      <c r="AR206" s="111">
        <v>0</v>
      </c>
      <c r="AS206" s="111">
        <v>0</v>
      </c>
      <c r="AT206" s="111">
        <v>0</v>
      </c>
      <c r="AU206" s="111">
        <v>0</v>
      </c>
      <c r="AV206" s="111">
        <v>0</v>
      </c>
      <c r="AW206" s="111">
        <v>0</v>
      </c>
      <c r="AX206" s="111">
        <v>0</v>
      </c>
      <c r="AY206" s="111">
        <v>0</v>
      </c>
    </row>
    <row r="207" spans="1:51" x14ac:dyDescent="0.2">
      <c r="A207" s="114"/>
      <c r="B207" s="135">
        <v>11</v>
      </c>
      <c r="C207" s="111"/>
      <c r="D207" s="111">
        <v>0</v>
      </c>
      <c r="E207" s="111">
        <v>0</v>
      </c>
      <c r="F207" s="111">
        <v>0</v>
      </c>
      <c r="G207" s="111">
        <v>0</v>
      </c>
      <c r="H207" s="111">
        <v>0</v>
      </c>
      <c r="I207" s="111">
        <v>0</v>
      </c>
      <c r="J207" s="111">
        <v>0</v>
      </c>
      <c r="K207" s="111">
        <v>0</v>
      </c>
      <c r="L207" s="111">
        <v>0</v>
      </c>
      <c r="M207" s="111">
        <v>0</v>
      </c>
      <c r="N207" s="111">
        <v>0</v>
      </c>
      <c r="O207" s="111">
        <v>0</v>
      </c>
      <c r="P207" s="111">
        <v>0</v>
      </c>
      <c r="Q207" s="111">
        <v>0</v>
      </c>
      <c r="R207" s="111">
        <v>0</v>
      </c>
      <c r="S207" s="111">
        <v>0</v>
      </c>
      <c r="T207" s="111">
        <v>0</v>
      </c>
      <c r="U207" s="111">
        <v>0</v>
      </c>
      <c r="V207" s="111">
        <v>0</v>
      </c>
      <c r="W207" s="111">
        <v>0</v>
      </c>
      <c r="X207" s="111">
        <v>0</v>
      </c>
      <c r="Y207" s="111">
        <v>0</v>
      </c>
      <c r="Z207" s="111">
        <v>0</v>
      </c>
      <c r="AA207" s="111">
        <v>0</v>
      </c>
      <c r="AB207" s="111">
        <v>0</v>
      </c>
      <c r="AC207" s="111">
        <v>0</v>
      </c>
      <c r="AD207" s="111">
        <v>0</v>
      </c>
      <c r="AE207" s="111">
        <v>0</v>
      </c>
      <c r="AF207" s="111">
        <v>0</v>
      </c>
      <c r="AG207" s="111">
        <v>0</v>
      </c>
      <c r="AH207" s="111">
        <v>0</v>
      </c>
      <c r="AI207" s="111">
        <v>0</v>
      </c>
      <c r="AJ207" s="111">
        <v>0</v>
      </c>
      <c r="AK207" s="111">
        <v>0</v>
      </c>
      <c r="AL207" s="111">
        <v>0</v>
      </c>
      <c r="AM207" s="111">
        <v>0</v>
      </c>
      <c r="AN207" s="111">
        <v>0</v>
      </c>
      <c r="AO207" s="111">
        <v>0</v>
      </c>
      <c r="AP207" s="111">
        <v>0</v>
      </c>
      <c r="AQ207" s="111">
        <v>0</v>
      </c>
      <c r="AR207" s="111">
        <v>0</v>
      </c>
      <c r="AS207" s="111">
        <v>0</v>
      </c>
      <c r="AT207" s="111">
        <v>0</v>
      </c>
      <c r="AU207" s="111">
        <v>0</v>
      </c>
      <c r="AV207" s="111">
        <v>0</v>
      </c>
      <c r="AW207" s="111">
        <v>0</v>
      </c>
      <c r="AX207" s="111">
        <v>0</v>
      </c>
      <c r="AY207" s="111">
        <v>0</v>
      </c>
    </row>
    <row r="208" spans="1:51" x14ac:dyDescent="0.2">
      <c r="A208" s="114"/>
      <c r="B208" s="135">
        <v>12</v>
      </c>
      <c r="C208" s="111"/>
      <c r="D208" s="111">
        <v>0</v>
      </c>
      <c r="E208" s="111">
        <v>0</v>
      </c>
      <c r="F208" s="111">
        <v>0</v>
      </c>
      <c r="G208" s="111">
        <v>0</v>
      </c>
      <c r="H208" s="111">
        <v>0</v>
      </c>
      <c r="I208" s="111">
        <v>0</v>
      </c>
      <c r="J208" s="111">
        <v>0</v>
      </c>
      <c r="K208" s="111">
        <v>0</v>
      </c>
      <c r="L208" s="111">
        <v>0</v>
      </c>
      <c r="M208" s="111">
        <v>0</v>
      </c>
      <c r="N208" s="111">
        <v>0</v>
      </c>
      <c r="O208" s="111">
        <v>0</v>
      </c>
      <c r="P208" s="111">
        <v>0</v>
      </c>
      <c r="Q208" s="111">
        <v>0</v>
      </c>
      <c r="R208" s="111">
        <v>0</v>
      </c>
      <c r="S208" s="111">
        <v>0</v>
      </c>
      <c r="T208" s="111">
        <v>0</v>
      </c>
      <c r="U208" s="111">
        <v>0</v>
      </c>
      <c r="V208" s="111">
        <v>0</v>
      </c>
      <c r="W208" s="111">
        <v>0</v>
      </c>
      <c r="X208" s="111">
        <v>0</v>
      </c>
      <c r="Y208" s="111">
        <v>0</v>
      </c>
      <c r="Z208" s="111">
        <v>0</v>
      </c>
      <c r="AA208" s="111">
        <v>0</v>
      </c>
      <c r="AB208" s="111">
        <v>0</v>
      </c>
      <c r="AC208" s="111">
        <v>0</v>
      </c>
      <c r="AD208" s="111">
        <v>0</v>
      </c>
      <c r="AE208" s="111">
        <v>0</v>
      </c>
      <c r="AF208" s="111">
        <v>0</v>
      </c>
      <c r="AG208" s="111">
        <v>0</v>
      </c>
      <c r="AH208" s="111">
        <v>0</v>
      </c>
      <c r="AI208" s="111">
        <v>0</v>
      </c>
      <c r="AJ208" s="111">
        <v>0</v>
      </c>
      <c r="AK208" s="111">
        <v>0</v>
      </c>
      <c r="AL208" s="111">
        <v>0</v>
      </c>
      <c r="AM208" s="111">
        <v>0</v>
      </c>
      <c r="AN208" s="111">
        <v>0</v>
      </c>
      <c r="AO208" s="111">
        <v>0</v>
      </c>
      <c r="AP208" s="111">
        <v>0</v>
      </c>
      <c r="AQ208" s="111">
        <v>0</v>
      </c>
      <c r="AR208" s="111">
        <v>0</v>
      </c>
      <c r="AS208" s="111">
        <v>0</v>
      </c>
      <c r="AT208" s="111">
        <v>0</v>
      </c>
      <c r="AU208" s="111">
        <v>0</v>
      </c>
      <c r="AV208" s="111">
        <v>0</v>
      </c>
      <c r="AW208" s="111">
        <v>0</v>
      </c>
      <c r="AX208" s="111">
        <v>0</v>
      </c>
      <c r="AY208" s="111">
        <v>0</v>
      </c>
    </row>
    <row r="209" spans="1:51" x14ac:dyDescent="0.2">
      <c r="A209" s="131" t="s">
        <v>123</v>
      </c>
      <c r="B209" s="128">
        <v>1</v>
      </c>
      <c r="C209" s="129"/>
      <c r="D209" s="129">
        <v>1058.9885814853926</v>
      </c>
      <c r="E209" s="129">
        <v>1058.9885814853926</v>
      </c>
      <c r="F209" s="129">
        <v>1266.9528462655844</v>
      </c>
      <c r="G209" s="129">
        <v>1266.4829834018453</v>
      </c>
      <c r="H209" s="129">
        <v>1266.9528462655844</v>
      </c>
      <c r="I209" s="129">
        <v>1024</v>
      </c>
      <c r="J209" s="129">
        <v>1096.7786660622207</v>
      </c>
      <c r="K209" s="129">
        <v>892.40410252126571</v>
      </c>
      <c r="L209" s="129">
        <v>867.81696041768259</v>
      </c>
      <c r="M209" s="129">
        <v>1037.6555038927445</v>
      </c>
      <c r="N209" s="129">
        <v>1161.9231095422952</v>
      </c>
      <c r="O209" s="129">
        <v>1287.749272743604</v>
      </c>
      <c r="P209" s="129">
        <v>1287.749272743604</v>
      </c>
      <c r="Q209" s="129">
        <v>1261</v>
      </c>
      <c r="R209" s="129">
        <v>1219.0655963502447</v>
      </c>
      <c r="S209" s="129">
        <v>1076.7324550694216</v>
      </c>
      <c r="T209" s="129">
        <v>971.01927921914648</v>
      </c>
      <c r="U209" s="129">
        <v>1126.3344750219208</v>
      </c>
      <c r="V209" s="129">
        <v>1246.1564197875655</v>
      </c>
      <c r="W209" s="129">
        <v>1246.1564197875655</v>
      </c>
      <c r="X209" s="129">
        <v>1246.1564197875655</v>
      </c>
      <c r="Y209" s="129">
        <v>1246.1564197875655</v>
      </c>
      <c r="Z209" s="129">
        <v>1246.1564197875655</v>
      </c>
      <c r="AA209" s="129">
        <v>1246.1564197875655</v>
      </c>
      <c r="AB209" s="129">
        <v>1246.1564197875655</v>
      </c>
      <c r="AC209" s="129">
        <v>1246.1564197875655</v>
      </c>
      <c r="AD209" s="129">
        <v>1246.1564197875655</v>
      </c>
      <c r="AE209" s="129">
        <v>1246.1564197875655</v>
      </c>
      <c r="AF209" s="129">
        <v>1246.1564197875655</v>
      </c>
      <c r="AG209" s="129">
        <v>1246.1564197875655</v>
      </c>
      <c r="AH209" s="129">
        <v>1287.749272743604</v>
      </c>
      <c r="AI209" s="129">
        <v>1232</v>
      </c>
      <c r="AJ209" s="129">
        <v>1116.2855963502448</v>
      </c>
      <c r="AK209" s="129">
        <v>1287.749272743604</v>
      </c>
      <c r="AL209" s="129">
        <v>1287.749272743604</v>
      </c>
      <c r="AM209" s="129">
        <v>1287.749272743604</v>
      </c>
      <c r="AN209" s="129">
        <v>1271</v>
      </c>
      <c r="AO209" s="129">
        <v>1281.5465098314132</v>
      </c>
      <c r="AP209" s="129">
        <v>1137.1946478931723</v>
      </c>
      <c r="AQ209" s="129">
        <v>1189.8261211038146</v>
      </c>
      <c r="AR209" s="129">
        <v>1260.9839291365413</v>
      </c>
      <c r="AS209" s="129">
        <v>1295.3333317233771</v>
      </c>
      <c r="AT209" s="129">
        <v>1175.4998418445825</v>
      </c>
      <c r="AU209" s="129">
        <v>1370.2688054348912</v>
      </c>
      <c r="AV209" s="129">
        <v>1266.9528462655844</v>
      </c>
      <c r="AW209" s="129">
        <v>1266.9528462655844</v>
      </c>
      <c r="AX209" s="129">
        <v>1246.1564197875655</v>
      </c>
      <c r="AY209" s="129">
        <v>1246.1564197875655</v>
      </c>
    </row>
    <row r="210" spans="1:51" x14ac:dyDescent="0.2">
      <c r="A210" s="114"/>
      <c r="B210" s="124">
        <v>2</v>
      </c>
      <c r="C210" s="111"/>
      <c r="D210" s="115">
        <v>0</v>
      </c>
      <c r="E210" s="115">
        <v>0</v>
      </c>
      <c r="F210" s="115">
        <v>0</v>
      </c>
      <c r="G210" s="115">
        <v>0</v>
      </c>
      <c r="H210" s="115">
        <v>0.38528754826604655</v>
      </c>
      <c r="I210" s="115">
        <v>0</v>
      </c>
      <c r="J210" s="115">
        <v>199.22133393777924</v>
      </c>
      <c r="K210" s="115">
        <v>156.59589747873432</v>
      </c>
      <c r="L210" s="115">
        <v>324.18303958231746</v>
      </c>
      <c r="M210" s="115">
        <v>344.34449610725562</v>
      </c>
      <c r="N210" s="115">
        <v>205.07689045770482</v>
      </c>
      <c r="O210" s="115">
        <v>103.17745382507329</v>
      </c>
      <c r="P210" s="115">
        <v>0</v>
      </c>
      <c r="Q210" s="115">
        <v>0</v>
      </c>
      <c r="R210" s="115">
        <v>21.9344036497553</v>
      </c>
      <c r="S210" s="115">
        <v>39.267544930578538</v>
      </c>
      <c r="T210" s="115">
        <v>155.98072078085355</v>
      </c>
      <c r="U210" s="115">
        <v>242.66552497807913</v>
      </c>
      <c r="V210" s="115">
        <v>115.30706441980421</v>
      </c>
      <c r="W210" s="115">
        <v>0</v>
      </c>
      <c r="X210" s="115">
        <v>0</v>
      </c>
      <c r="Y210" s="115">
        <v>0</v>
      </c>
      <c r="Z210" s="115">
        <v>0</v>
      </c>
      <c r="AA210" s="115">
        <v>0</v>
      </c>
      <c r="AB210" s="115">
        <v>0</v>
      </c>
      <c r="AC210" s="115">
        <v>0</v>
      </c>
      <c r="AD210" s="115">
        <v>0</v>
      </c>
      <c r="AE210" s="115">
        <v>0</v>
      </c>
      <c r="AF210" s="115">
        <v>0</v>
      </c>
      <c r="AG210" s="115">
        <v>0</v>
      </c>
      <c r="AH210" s="115">
        <v>0</v>
      </c>
      <c r="AI210" s="115">
        <v>0</v>
      </c>
      <c r="AJ210" s="115">
        <v>45.714403649755305</v>
      </c>
      <c r="AK210" s="115">
        <v>140.60021464255462</v>
      </c>
      <c r="AL210" s="115">
        <v>0</v>
      </c>
      <c r="AM210" s="115">
        <v>0</v>
      </c>
      <c r="AN210" s="115">
        <v>0</v>
      </c>
      <c r="AO210" s="115">
        <v>98.453490168586683</v>
      </c>
      <c r="AP210" s="115">
        <v>89.805352106827826</v>
      </c>
      <c r="AQ210" s="115">
        <v>208.17387889618544</v>
      </c>
      <c r="AR210" s="115">
        <v>165.01607086345874</v>
      </c>
      <c r="AS210" s="115">
        <v>106.66666827662281</v>
      </c>
      <c r="AT210" s="115">
        <v>78.500158155417438</v>
      </c>
      <c r="AU210" s="115">
        <v>159.71055014405329</v>
      </c>
      <c r="AV210" s="115">
        <v>0</v>
      </c>
      <c r="AW210" s="115">
        <v>0</v>
      </c>
      <c r="AX210" s="115">
        <v>0</v>
      </c>
      <c r="AY210" s="115">
        <v>0</v>
      </c>
    </row>
    <row r="211" spans="1:51" x14ac:dyDescent="0.2">
      <c r="A211" s="114"/>
      <c r="B211" s="124">
        <v>3</v>
      </c>
      <c r="C211" s="111"/>
      <c r="D211" s="115">
        <v>0</v>
      </c>
      <c r="E211" s="115">
        <v>0</v>
      </c>
      <c r="F211" s="115">
        <v>0</v>
      </c>
      <c r="G211" s="115">
        <v>0</v>
      </c>
      <c r="H211" s="115">
        <v>0</v>
      </c>
      <c r="I211" s="115">
        <v>0</v>
      </c>
      <c r="J211" s="115">
        <v>0</v>
      </c>
      <c r="K211" s="115">
        <v>0</v>
      </c>
      <c r="L211" s="115">
        <v>0</v>
      </c>
      <c r="M211" s="115">
        <v>0</v>
      </c>
      <c r="N211" s="115">
        <v>0</v>
      </c>
      <c r="O211" s="115">
        <v>0</v>
      </c>
      <c r="P211" s="115">
        <v>0</v>
      </c>
      <c r="Q211" s="115">
        <v>0</v>
      </c>
      <c r="R211" s="115">
        <v>0</v>
      </c>
      <c r="S211" s="115">
        <v>0</v>
      </c>
      <c r="T211" s="115">
        <v>0</v>
      </c>
      <c r="U211" s="115">
        <v>0</v>
      </c>
      <c r="V211" s="115">
        <v>0</v>
      </c>
      <c r="W211" s="115">
        <v>0</v>
      </c>
      <c r="X211" s="115">
        <v>0</v>
      </c>
      <c r="Y211" s="115">
        <v>0</v>
      </c>
      <c r="Z211" s="115">
        <v>0</v>
      </c>
      <c r="AA211" s="115">
        <v>0</v>
      </c>
      <c r="AB211" s="115">
        <v>0</v>
      </c>
      <c r="AC211" s="115">
        <v>0</v>
      </c>
      <c r="AD211" s="115">
        <v>0</v>
      </c>
      <c r="AE211" s="115">
        <v>0</v>
      </c>
      <c r="AF211" s="115">
        <v>0</v>
      </c>
      <c r="AG211" s="115">
        <v>0</v>
      </c>
      <c r="AH211" s="115">
        <v>0</v>
      </c>
      <c r="AI211" s="115">
        <v>0</v>
      </c>
      <c r="AJ211" s="115">
        <v>0</v>
      </c>
      <c r="AK211" s="115">
        <v>0</v>
      </c>
      <c r="AL211" s="115">
        <v>0</v>
      </c>
      <c r="AM211" s="115">
        <v>0</v>
      </c>
      <c r="AN211" s="115">
        <v>0</v>
      </c>
      <c r="AO211" s="115">
        <v>0</v>
      </c>
      <c r="AP211" s="115">
        <v>0</v>
      </c>
      <c r="AQ211" s="115">
        <v>0</v>
      </c>
      <c r="AR211" s="115">
        <v>0</v>
      </c>
      <c r="AS211" s="115">
        <v>0</v>
      </c>
      <c r="AT211" s="115">
        <v>0</v>
      </c>
      <c r="AU211" s="115">
        <v>0</v>
      </c>
      <c r="AV211" s="115">
        <v>-1.864464138634503E-13</v>
      </c>
      <c r="AW211" s="115">
        <v>0</v>
      </c>
      <c r="AX211" s="115">
        <v>0</v>
      </c>
      <c r="AY211" s="115">
        <v>0</v>
      </c>
    </row>
    <row r="212" spans="1:51" x14ac:dyDescent="0.2">
      <c r="A212" s="114"/>
      <c r="B212" s="124">
        <v>4</v>
      </c>
      <c r="C212" s="111"/>
      <c r="D212" s="115">
        <v>0</v>
      </c>
      <c r="E212" s="115">
        <v>0</v>
      </c>
      <c r="F212" s="115">
        <v>0</v>
      </c>
      <c r="G212" s="115">
        <v>0</v>
      </c>
      <c r="H212" s="115">
        <v>0</v>
      </c>
      <c r="I212" s="115">
        <v>0</v>
      </c>
      <c r="J212" s="115">
        <v>0</v>
      </c>
      <c r="K212" s="115">
        <v>0</v>
      </c>
      <c r="L212" s="115">
        <v>0</v>
      </c>
      <c r="M212" s="115">
        <v>0</v>
      </c>
      <c r="N212" s="115">
        <v>0</v>
      </c>
      <c r="O212" s="115">
        <v>0</v>
      </c>
      <c r="P212" s="115">
        <v>0</v>
      </c>
      <c r="Q212" s="115">
        <v>0</v>
      </c>
      <c r="R212" s="115">
        <v>0</v>
      </c>
      <c r="S212" s="115">
        <v>0</v>
      </c>
      <c r="T212" s="115">
        <v>0</v>
      </c>
      <c r="U212" s="115">
        <v>0</v>
      </c>
      <c r="V212" s="115">
        <v>0</v>
      </c>
      <c r="W212" s="115">
        <v>0</v>
      </c>
      <c r="X212" s="115">
        <v>0</v>
      </c>
      <c r="Y212" s="115">
        <v>0</v>
      </c>
      <c r="Z212" s="115">
        <v>0</v>
      </c>
      <c r="AA212" s="115">
        <v>0</v>
      </c>
      <c r="AB212" s="115">
        <v>0</v>
      </c>
      <c r="AC212" s="115">
        <v>0</v>
      </c>
      <c r="AD212" s="115">
        <v>0</v>
      </c>
      <c r="AE212" s="115">
        <v>0</v>
      </c>
      <c r="AF212" s="115">
        <v>0</v>
      </c>
      <c r="AG212" s="115">
        <v>0</v>
      </c>
      <c r="AH212" s="115">
        <v>0</v>
      </c>
      <c r="AI212" s="115">
        <v>0</v>
      </c>
      <c r="AJ212" s="115">
        <v>0</v>
      </c>
      <c r="AK212" s="115">
        <v>0</v>
      </c>
      <c r="AL212" s="115">
        <v>0</v>
      </c>
      <c r="AM212" s="115">
        <v>0</v>
      </c>
      <c r="AN212" s="115">
        <v>0</v>
      </c>
      <c r="AO212" s="115">
        <v>0</v>
      </c>
      <c r="AP212" s="115">
        <v>0</v>
      </c>
      <c r="AQ212" s="115">
        <v>0</v>
      </c>
      <c r="AR212" s="115">
        <v>0</v>
      </c>
      <c r="AS212" s="115">
        <v>0</v>
      </c>
      <c r="AT212" s="115">
        <v>0</v>
      </c>
      <c r="AU212" s="115">
        <v>0</v>
      </c>
      <c r="AV212" s="115">
        <v>0</v>
      </c>
      <c r="AW212" s="115">
        <v>1.5288605936802926E-13</v>
      </c>
      <c r="AX212" s="115">
        <v>0</v>
      </c>
      <c r="AY212" s="115">
        <v>0</v>
      </c>
    </row>
    <row r="213" spans="1:51" x14ac:dyDescent="0.2">
      <c r="A213" s="114"/>
      <c r="B213" s="124">
        <v>5</v>
      </c>
      <c r="C213" s="111"/>
      <c r="D213" s="115">
        <v>0</v>
      </c>
      <c r="E213" s="115">
        <v>0</v>
      </c>
      <c r="F213" s="115">
        <v>0</v>
      </c>
      <c r="G213" s="115">
        <v>0</v>
      </c>
      <c r="H213" s="115">
        <v>0</v>
      </c>
      <c r="I213" s="115">
        <v>0</v>
      </c>
      <c r="J213" s="115">
        <v>0</v>
      </c>
      <c r="K213" s="115">
        <v>0</v>
      </c>
      <c r="L213" s="115">
        <v>0</v>
      </c>
      <c r="M213" s="115">
        <v>0</v>
      </c>
      <c r="N213" s="115">
        <v>0</v>
      </c>
      <c r="O213" s="115">
        <v>0</v>
      </c>
      <c r="P213" s="115">
        <v>0</v>
      </c>
      <c r="Q213" s="115">
        <v>0</v>
      </c>
      <c r="R213" s="115">
        <v>0</v>
      </c>
      <c r="S213" s="115">
        <v>0</v>
      </c>
      <c r="T213" s="115">
        <v>0</v>
      </c>
      <c r="U213" s="115">
        <v>0</v>
      </c>
      <c r="V213" s="115">
        <v>0</v>
      </c>
      <c r="W213" s="115">
        <v>0</v>
      </c>
      <c r="X213" s="115">
        <v>0</v>
      </c>
      <c r="Y213" s="115">
        <v>0</v>
      </c>
      <c r="Z213" s="115">
        <v>0</v>
      </c>
      <c r="AA213" s="115">
        <v>0</v>
      </c>
      <c r="AB213" s="115">
        <v>0</v>
      </c>
      <c r="AC213" s="115">
        <v>0</v>
      </c>
      <c r="AD213" s="115">
        <v>0</v>
      </c>
      <c r="AE213" s="115">
        <v>0</v>
      </c>
      <c r="AF213" s="115">
        <v>0</v>
      </c>
      <c r="AG213" s="115">
        <v>0</v>
      </c>
      <c r="AH213" s="115">
        <v>0</v>
      </c>
      <c r="AI213" s="115">
        <v>0</v>
      </c>
      <c r="AJ213" s="115">
        <v>0</v>
      </c>
      <c r="AK213" s="115">
        <v>0</v>
      </c>
      <c r="AL213" s="115">
        <v>0</v>
      </c>
      <c r="AM213" s="115">
        <v>0</v>
      </c>
      <c r="AN213" s="115">
        <v>0</v>
      </c>
      <c r="AO213" s="115">
        <v>0</v>
      </c>
      <c r="AP213" s="115">
        <v>0</v>
      </c>
      <c r="AQ213" s="115">
        <v>0</v>
      </c>
      <c r="AR213" s="115">
        <v>0</v>
      </c>
      <c r="AS213" s="115">
        <v>0</v>
      </c>
      <c r="AT213" s="115">
        <v>0</v>
      </c>
      <c r="AU213" s="115">
        <v>0</v>
      </c>
      <c r="AV213" s="115">
        <v>0</v>
      </c>
      <c r="AW213" s="115">
        <v>0</v>
      </c>
      <c r="AX213" s="115">
        <v>0</v>
      </c>
      <c r="AY213" s="115">
        <v>0</v>
      </c>
    </row>
    <row r="214" spans="1:51" x14ac:dyDescent="0.2">
      <c r="A214" s="114"/>
      <c r="B214" s="124">
        <v>6</v>
      </c>
      <c r="C214" s="111"/>
      <c r="D214" s="115">
        <v>0</v>
      </c>
      <c r="E214" s="115">
        <v>0</v>
      </c>
      <c r="F214" s="115">
        <v>0</v>
      </c>
      <c r="G214" s="115">
        <v>0</v>
      </c>
      <c r="H214" s="115">
        <v>0</v>
      </c>
      <c r="I214" s="115">
        <v>0</v>
      </c>
      <c r="J214" s="115">
        <v>0</v>
      </c>
      <c r="K214" s="115">
        <v>0</v>
      </c>
      <c r="L214" s="115">
        <v>0</v>
      </c>
      <c r="M214" s="115">
        <v>0</v>
      </c>
      <c r="N214" s="115">
        <v>0</v>
      </c>
      <c r="O214" s="115">
        <v>0</v>
      </c>
      <c r="P214" s="115">
        <v>0</v>
      </c>
      <c r="Q214" s="115">
        <v>0</v>
      </c>
      <c r="R214" s="115">
        <v>0</v>
      </c>
      <c r="S214" s="115">
        <v>0</v>
      </c>
      <c r="T214" s="115">
        <v>0</v>
      </c>
      <c r="U214" s="115">
        <v>0</v>
      </c>
      <c r="V214" s="115">
        <v>0</v>
      </c>
      <c r="W214" s="115">
        <v>0</v>
      </c>
      <c r="X214" s="115">
        <v>0</v>
      </c>
      <c r="Y214" s="115">
        <v>0</v>
      </c>
      <c r="Z214" s="115">
        <v>0</v>
      </c>
      <c r="AA214" s="115">
        <v>0</v>
      </c>
      <c r="AB214" s="115">
        <v>0</v>
      </c>
      <c r="AC214" s="115">
        <v>0</v>
      </c>
      <c r="AD214" s="115">
        <v>0</v>
      </c>
      <c r="AE214" s="115">
        <v>0</v>
      </c>
      <c r="AF214" s="115">
        <v>0</v>
      </c>
      <c r="AG214" s="115">
        <v>0</v>
      </c>
      <c r="AH214" s="115">
        <v>0</v>
      </c>
      <c r="AI214" s="115">
        <v>0</v>
      </c>
      <c r="AJ214" s="115">
        <v>0</v>
      </c>
      <c r="AK214" s="115">
        <v>0</v>
      </c>
      <c r="AL214" s="115">
        <v>0</v>
      </c>
      <c r="AM214" s="115">
        <v>0</v>
      </c>
      <c r="AN214" s="115">
        <v>0</v>
      </c>
      <c r="AO214" s="115">
        <v>0</v>
      </c>
      <c r="AP214" s="115">
        <v>0</v>
      </c>
      <c r="AQ214" s="115">
        <v>0</v>
      </c>
      <c r="AR214" s="115">
        <v>0</v>
      </c>
      <c r="AS214" s="115">
        <v>0</v>
      </c>
      <c r="AT214" s="115">
        <v>0</v>
      </c>
      <c r="AU214" s="115">
        <v>0</v>
      </c>
      <c r="AV214" s="115">
        <v>0</v>
      </c>
      <c r="AW214" s="115">
        <v>0</v>
      </c>
      <c r="AX214" s="115">
        <v>0</v>
      </c>
      <c r="AY214" s="115">
        <v>0</v>
      </c>
    </row>
    <row r="215" spans="1:51" x14ac:dyDescent="0.2">
      <c r="A215" s="114"/>
      <c r="B215" s="124">
        <v>7</v>
      </c>
      <c r="C215" s="111"/>
      <c r="D215" s="115">
        <v>0</v>
      </c>
      <c r="E215" s="115">
        <v>0</v>
      </c>
      <c r="F215" s="115">
        <v>0</v>
      </c>
      <c r="G215" s="115">
        <v>0</v>
      </c>
      <c r="H215" s="115">
        <v>0</v>
      </c>
      <c r="I215" s="115">
        <v>0</v>
      </c>
      <c r="J215" s="115">
        <v>0</v>
      </c>
      <c r="K215" s="115">
        <v>0</v>
      </c>
      <c r="L215" s="115">
        <v>0</v>
      </c>
      <c r="M215" s="115">
        <v>0</v>
      </c>
      <c r="N215" s="115">
        <v>0</v>
      </c>
      <c r="O215" s="115">
        <v>0</v>
      </c>
      <c r="P215" s="115">
        <v>0</v>
      </c>
      <c r="Q215" s="115">
        <v>0</v>
      </c>
      <c r="R215" s="115">
        <v>0</v>
      </c>
      <c r="S215" s="115">
        <v>0</v>
      </c>
      <c r="T215" s="115">
        <v>0</v>
      </c>
      <c r="U215" s="115">
        <v>0</v>
      </c>
      <c r="V215" s="115">
        <v>0</v>
      </c>
      <c r="W215" s="115">
        <v>0</v>
      </c>
      <c r="X215" s="115">
        <v>0</v>
      </c>
      <c r="Y215" s="115">
        <v>0</v>
      </c>
      <c r="Z215" s="115">
        <v>0</v>
      </c>
      <c r="AA215" s="115">
        <v>0</v>
      </c>
      <c r="AB215" s="115">
        <v>0</v>
      </c>
      <c r="AC215" s="115">
        <v>0</v>
      </c>
      <c r="AD215" s="115">
        <v>0</v>
      </c>
      <c r="AE215" s="115">
        <v>0</v>
      </c>
      <c r="AF215" s="115">
        <v>0</v>
      </c>
      <c r="AG215" s="115">
        <v>0</v>
      </c>
      <c r="AH215" s="115">
        <v>0</v>
      </c>
      <c r="AI215" s="115">
        <v>0</v>
      </c>
      <c r="AJ215" s="115">
        <v>0</v>
      </c>
      <c r="AK215" s="115">
        <v>0</v>
      </c>
      <c r="AL215" s="115">
        <v>0</v>
      </c>
      <c r="AM215" s="115">
        <v>0</v>
      </c>
      <c r="AN215" s="115">
        <v>0</v>
      </c>
      <c r="AO215" s="115">
        <v>0</v>
      </c>
      <c r="AP215" s="115">
        <v>0</v>
      </c>
      <c r="AQ215" s="115">
        <v>0</v>
      </c>
      <c r="AR215" s="115">
        <v>0</v>
      </c>
      <c r="AS215" s="115">
        <v>0</v>
      </c>
      <c r="AT215" s="115">
        <v>0</v>
      </c>
      <c r="AU215" s="115">
        <v>0</v>
      </c>
      <c r="AV215" s="115">
        <v>0</v>
      </c>
      <c r="AW215" s="115">
        <v>0</v>
      </c>
      <c r="AX215" s="115">
        <v>0</v>
      </c>
      <c r="AY215" s="115">
        <v>0</v>
      </c>
    </row>
    <row r="216" spans="1:51" x14ac:dyDescent="0.2">
      <c r="A216" s="114"/>
      <c r="B216" s="124">
        <v>8</v>
      </c>
      <c r="C216" s="111"/>
      <c r="D216" s="115">
        <v>0</v>
      </c>
      <c r="E216" s="115">
        <v>0</v>
      </c>
      <c r="F216" s="115">
        <v>0</v>
      </c>
      <c r="G216" s="115">
        <v>0</v>
      </c>
      <c r="H216" s="115">
        <v>0</v>
      </c>
      <c r="I216" s="115">
        <v>0</v>
      </c>
      <c r="J216" s="115">
        <v>0</v>
      </c>
      <c r="K216" s="115">
        <v>0</v>
      </c>
      <c r="L216" s="115">
        <v>0</v>
      </c>
      <c r="M216" s="115">
        <v>0</v>
      </c>
      <c r="N216" s="115">
        <v>0</v>
      </c>
      <c r="O216" s="115">
        <v>0</v>
      </c>
      <c r="P216" s="115">
        <v>0</v>
      </c>
      <c r="Q216" s="115">
        <v>0</v>
      </c>
      <c r="R216" s="115">
        <v>0</v>
      </c>
      <c r="S216" s="115">
        <v>0</v>
      </c>
      <c r="T216" s="115">
        <v>0</v>
      </c>
      <c r="U216" s="115">
        <v>0</v>
      </c>
      <c r="V216" s="115">
        <v>0</v>
      </c>
      <c r="W216" s="115">
        <v>0</v>
      </c>
      <c r="X216" s="115">
        <v>0</v>
      </c>
      <c r="Y216" s="115">
        <v>0</v>
      </c>
      <c r="Z216" s="115">
        <v>0</v>
      </c>
      <c r="AA216" s="115">
        <v>0</v>
      </c>
      <c r="AB216" s="115">
        <v>0</v>
      </c>
      <c r="AC216" s="115">
        <v>0</v>
      </c>
      <c r="AD216" s="115">
        <v>0</v>
      </c>
      <c r="AE216" s="115">
        <v>0</v>
      </c>
      <c r="AF216" s="115">
        <v>0</v>
      </c>
      <c r="AG216" s="115">
        <v>0</v>
      </c>
      <c r="AH216" s="115">
        <v>0</v>
      </c>
      <c r="AI216" s="115">
        <v>0</v>
      </c>
      <c r="AJ216" s="115">
        <v>0</v>
      </c>
      <c r="AK216" s="115">
        <v>0</v>
      </c>
      <c r="AL216" s="115">
        <v>0</v>
      </c>
      <c r="AM216" s="115">
        <v>0</v>
      </c>
      <c r="AN216" s="115">
        <v>0</v>
      </c>
      <c r="AO216" s="115">
        <v>0</v>
      </c>
      <c r="AP216" s="115">
        <v>0</v>
      </c>
      <c r="AQ216" s="115">
        <v>0</v>
      </c>
      <c r="AR216" s="115">
        <v>0</v>
      </c>
      <c r="AS216" s="115">
        <v>0</v>
      </c>
      <c r="AT216" s="115">
        <v>0</v>
      </c>
      <c r="AU216" s="115">
        <v>0</v>
      </c>
      <c r="AV216" s="115">
        <v>0</v>
      </c>
      <c r="AW216" s="115">
        <v>0</v>
      </c>
      <c r="AX216" s="115">
        <v>0</v>
      </c>
      <c r="AY216" s="115">
        <v>0</v>
      </c>
    </row>
    <row r="217" spans="1:51" x14ac:dyDescent="0.2">
      <c r="A217" s="114"/>
      <c r="B217" s="124">
        <v>9</v>
      </c>
      <c r="C217" s="111"/>
      <c r="D217" s="115">
        <v>0</v>
      </c>
      <c r="E217" s="115">
        <v>0</v>
      </c>
      <c r="F217" s="115">
        <v>0</v>
      </c>
      <c r="G217" s="115">
        <v>0</v>
      </c>
      <c r="H217" s="115">
        <v>0</v>
      </c>
      <c r="I217" s="115">
        <v>0</v>
      </c>
      <c r="J217" s="115">
        <v>0</v>
      </c>
      <c r="K217" s="115">
        <v>0</v>
      </c>
      <c r="L217" s="115">
        <v>0</v>
      </c>
      <c r="M217" s="115">
        <v>0</v>
      </c>
      <c r="N217" s="115">
        <v>0</v>
      </c>
      <c r="O217" s="115">
        <v>0</v>
      </c>
      <c r="P217" s="115">
        <v>0</v>
      </c>
      <c r="Q217" s="115">
        <v>0</v>
      </c>
      <c r="R217" s="115">
        <v>0</v>
      </c>
      <c r="S217" s="115">
        <v>0</v>
      </c>
      <c r="T217" s="115">
        <v>0</v>
      </c>
      <c r="U217" s="115">
        <v>0</v>
      </c>
      <c r="V217" s="115">
        <v>0</v>
      </c>
      <c r="W217" s="115">
        <v>0</v>
      </c>
      <c r="X217" s="115">
        <v>0</v>
      </c>
      <c r="Y217" s="115">
        <v>0</v>
      </c>
      <c r="Z217" s="115">
        <v>0</v>
      </c>
      <c r="AA217" s="115">
        <v>0</v>
      </c>
      <c r="AB217" s="115">
        <v>0</v>
      </c>
      <c r="AC217" s="115">
        <v>0</v>
      </c>
      <c r="AD217" s="115">
        <v>0</v>
      </c>
      <c r="AE217" s="115">
        <v>0</v>
      </c>
      <c r="AF217" s="115">
        <v>0</v>
      </c>
      <c r="AG217" s="115">
        <v>0</v>
      </c>
      <c r="AH217" s="115">
        <v>0</v>
      </c>
      <c r="AI217" s="115">
        <v>0</v>
      </c>
      <c r="AJ217" s="115">
        <v>0</v>
      </c>
      <c r="AK217" s="115">
        <v>0</v>
      </c>
      <c r="AL217" s="115">
        <v>0</v>
      </c>
      <c r="AM217" s="115">
        <v>0</v>
      </c>
      <c r="AN217" s="115">
        <v>0</v>
      </c>
      <c r="AO217" s="115">
        <v>0</v>
      </c>
      <c r="AP217" s="115">
        <v>0</v>
      </c>
      <c r="AQ217" s="115">
        <v>0</v>
      </c>
      <c r="AR217" s="115">
        <v>0</v>
      </c>
      <c r="AS217" s="115">
        <v>0</v>
      </c>
      <c r="AT217" s="115">
        <v>0</v>
      </c>
      <c r="AU217" s="115">
        <v>0</v>
      </c>
      <c r="AV217" s="115">
        <v>0</v>
      </c>
      <c r="AW217" s="115">
        <v>0</v>
      </c>
      <c r="AX217" s="115">
        <v>0</v>
      </c>
      <c r="AY217" s="115">
        <v>0</v>
      </c>
    </row>
    <row r="218" spans="1:51" x14ac:dyDescent="0.2">
      <c r="A218" s="114"/>
      <c r="B218" s="124">
        <v>10</v>
      </c>
      <c r="C218" s="111"/>
      <c r="D218" s="115">
        <v>0</v>
      </c>
      <c r="E218" s="115">
        <v>0</v>
      </c>
      <c r="F218" s="115">
        <v>0</v>
      </c>
      <c r="G218" s="115">
        <v>0</v>
      </c>
      <c r="H218" s="115">
        <v>0</v>
      </c>
      <c r="I218" s="115">
        <v>0</v>
      </c>
      <c r="J218" s="115">
        <v>0</v>
      </c>
      <c r="K218" s="115">
        <v>0</v>
      </c>
      <c r="L218" s="115">
        <v>0</v>
      </c>
      <c r="M218" s="115">
        <v>0</v>
      </c>
      <c r="N218" s="115">
        <v>0</v>
      </c>
      <c r="O218" s="115">
        <v>0</v>
      </c>
      <c r="P218" s="115">
        <v>0</v>
      </c>
      <c r="Q218" s="115">
        <v>0</v>
      </c>
      <c r="R218" s="115">
        <v>0</v>
      </c>
      <c r="S218" s="115">
        <v>0</v>
      </c>
      <c r="T218" s="115">
        <v>0</v>
      </c>
      <c r="U218" s="115">
        <v>0</v>
      </c>
      <c r="V218" s="115">
        <v>0</v>
      </c>
      <c r="W218" s="115">
        <v>0</v>
      </c>
      <c r="X218" s="115">
        <v>0</v>
      </c>
      <c r="Y218" s="115">
        <v>0</v>
      </c>
      <c r="Z218" s="115">
        <v>0</v>
      </c>
      <c r="AA218" s="115">
        <v>0</v>
      </c>
      <c r="AB218" s="115">
        <v>0</v>
      </c>
      <c r="AC218" s="115">
        <v>0</v>
      </c>
      <c r="AD218" s="115">
        <v>0</v>
      </c>
      <c r="AE218" s="115">
        <v>0</v>
      </c>
      <c r="AF218" s="115">
        <v>0</v>
      </c>
      <c r="AG218" s="115">
        <v>0</v>
      </c>
      <c r="AH218" s="115">
        <v>0</v>
      </c>
      <c r="AI218" s="115">
        <v>0</v>
      </c>
      <c r="AJ218" s="115">
        <v>0</v>
      </c>
      <c r="AK218" s="115">
        <v>0</v>
      </c>
      <c r="AL218" s="115">
        <v>0</v>
      </c>
      <c r="AM218" s="115">
        <v>0</v>
      </c>
      <c r="AN218" s="115">
        <v>0</v>
      </c>
      <c r="AO218" s="115">
        <v>0</v>
      </c>
      <c r="AP218" s="115">
        <v>0</v>
      </c>
      <c r="AQ218" s="115">
        <v>0</v>
      </c>
      <c r="AR218" s="115">
        <v>0</v>
      </c>
      <c r="AS218" s="115">
        <v>0</v>
      </c>
      <c r="AT218" s="115">
        <v>0</v>
      </c>
      <c r="AU218" s="115">
        <v>0</v>
      </c>
      <c r="AV218" s="115">
        <v>0</v>
      </c>
      <c r="AW218" s="115">
        <v>0</v>
      </c>
      <c r="AX218" s="115">
        <v>0</v>
      </c>
      <c r="AY218" s="115">
        <v>0</v>
      </c>
    </row>
    <row r="219" spans="1:51" x14ac:dyDescent="0.2">
      <c r="A219" s="114"/>
      <c r="B219" s="124">
        <v>11</v>
      </c>
      <c r="C219" s="111"/>
      <c r="D219" s="115">
        <v>0</v>
      </c>
      <c r="E219" s="115">
        <v>0</v>
      </c>
      <c r="F219" s="115">
        <v>0</v>
      </c>
      <c r="G219" s="115">
        <v>0</v>
      </c>
      <c r="H219" s="115">
        <v>0</v>
      </c>
      <c r="I219" s="115">
        <v>0</v>
      </c>
      <c r="J219" s="115">
        <v>0</v>
      </c>
      <c r="K219" s="115">
        <v>0</v>
      </c>
      <c r="L219" s="115">
        <v>0</v>
      </c>
      <c r="M219" s="115">
        <v>0</v>
      </c>
      <c r="N219" s="115">
        <v>0</v>
      </c>
      <c r="O219" s="115">
        <v>0</v>
      </c>
      <c r="P219" s="115">
        <v>0</v>
      </c>
      <c r="Q219" s="115">
        <v>0</v>
      </c>
      <c r="R219" s="115">
        <v>0</v>
      </c>
      <c r="S219" s="115">
        <v>0</v>
      </c>
      <c r="T219" s="115">
        <v>0</v>
      </c>
      <c r="U219" s="115">
        <v>0</v>
      </c>
      <c r="V219" s="115">
        <v>0</v>
      </c>
      <c r="W219" s="115">
        <v>0</v>
      </c>
      <c r="X219" s="115">
        <v>0</v>
      </c>
      <c r="Y219" s="115">
        <v>0</v>
      </c>
      <c r="Z219" s="115">
        <v>0</v>
      </c>
      <c r="AA219" s="115">
        <v>0</v>
      </c>
      <c r="AB219" s="115">
        <v>0</v>
      </c>
      <c r="AC219" s="115">
        <v>0</v>
      </c>
      <c r="AD219" s="115">
        <v>0</v>
      </c>
      <c r="AE219" s="115">
        <v>0</v>
      </c>
      <c r="AF219" s="115">
        <v>0</v>
      </c>
      <c r="AG219" s="115">
        <v>0</v>
      </c>
      <c r="AH219" s="115">
        <v>0</v>
      </c>
      <c r="AI219" s="115">
        <v>0</v>
      </c>
      <c r="AJ219" s="115">
        <v>0</v>
      </c>
      <c r="AK219" s="115">
        <v>0</v>
      </c>
      <c r="AL219" s="115">
        <v>0</v>
      </c>
      <c r="AM219" s="115">
        <v>0</v>
      </c>
      <c r="AN219" s="115">
        <v>0</v>
      </c>
      <c r="AO219" s="115">
        <v>0</v>
      </c>
      <c r="AP219" s="115">
        <v>0</v>
      </c>
      <c r="AQ219" s="115">
        <v>0</v>
      </c>
      <c r="AR219" s="115">
        <v>0</v>
      </c>
      <c r="AS219" s="115">
        <v>0</v>
      </c>
      <c r="AT219" s="115">
        <v>0</v>
      </c>
      <c r="AU219" s="115">
        <v>0</v>
      </c>
      <c r="AV219" s="115">
        <v>0</v>
      </c>
      <c r="AW219" s="115">
        <v>0</v>
      </c>
      <c r="AX219" s="115">
        <v>0</v>
      </c>
      <c r="AY219" s="115">
        <v>0</v>
      </c>
    </row>
    <row r="220" spans="1:51" x14ac:dyDescent="0.2">
      <c r="A220" s="114"/>
      <c r="B220" s="124">
        <v>12</v>
      </c>
      <c r="C220" s="111"/>
      <c r="D220" s="115">
        <v>0</v>
      </c>
      <c r="E220" s="115">
        <v>0</v>
      </c>
      <c r="F220" s="115">
        <v>0</v>
      </c>
      <c r="G220" s="115">
        <v>0</v>
      </c>
      <c r="H220" s="115">
        <v>0</v>
      </c>
      <c r="I220" s="115">
        <v>0</v>
      </c>
      <c r="J220" s="115">
        <v>0</v>
      </c>
      <c r="K220" s="115">
        <v>0</v>
      </c>
      <c r="L220" s="115">
        <v>0</v>
      </c>
      <c r="M220" s="115">
        <v>0</v>
      </c>
      <c r="N220" s="115">
        <v>0</v>
      </c>
      <c r="O220" s="115">
        <v>0</v>
      </c>
      <c r="P220" s="115">
        <v>0</v>
      </c>
      <c r="Q220" s="115">
        <v>0</v>
      </c>
      <c r="R220" s="115">
        <v>0</v>
      </c>
      <c r="S220" s="115">
        <v>0</v>
      </c>
      <c r="T220" s="115">
        <v>0</v>
      </c>
      <c r="U220" s="115">
        <v>0</v>
      </c>
      <c r="V220" s="115">
        <v>0</v>
      </c>
      <c r="W220" s="115">
        <v>0</v>
      </c>
      <c r="X220" s="115">
        <v>0</v>
      </c>
      <c r="Y220" s="115">
        <v>0</v>
      </c>
      <c r="Z220" s="115">
        <v>0</v>
      </c>
      <c r="AA220" s="115">
        <v>0</v>
      </c>
      <c r="AB220" s="115">
        <v>0</v>
      </c>
      <c r="AC220" s="115">
        <v>0</v>
      </c>
      <c r="AD220" s="115">
        <v>0</v>
      </c>
      <c r="AE220" s="115">
        <v>0</v>
      </c>
      <c r="AF220" s="115">
        <v>0</v>
      </c>
      <c r="AG220" s="115">
        <v>0</v>
      </c>
      <c r="AH220" s="115">
        <v>0</v>
      </c>
      <c r="AI220" s="115">
        <v>0</v>
      </c>
      <c r="AJ220" s="115">
        <v>0</v>
      </c>
      <c r="AK220" s="115">
        <v>0</v>
      </c>
      <c r="AL220" s="115">
        <v>0</v>
      </c>
      <c r="AM220" s="115">
        <v>0</v>
      </c>
      <c r="AN220" s="115">
        <v>0</v>
      </c>
      <c r="AO220" s="115">
        <v>0</v>
      </c>
      <c r="AP220" s="115">
        <v>0</v>
      </c>
      <c r="AQ220" s="115">
        <v>0</v>
      </c>
      <c r="AR220" s="115">
        <v>0</v>
      </c>
      <c r="AS220" s="115">
        <v>0</v>
      </c>
      <c r="AT220" s="115">
        <v>0</v>
      </c>
      <c r="AU220" s="115">
        <v>0</v>
      </c>
      <c r="AV220" s="115">
        <v>0</v>
      </c>
      <c r="AW220" s="115">
        <v>0</v>
      </c>
      <c r="AX220" s="115">
        <v>0</v>
      </c>
      <c r="AY220" s="115">
        <v>0</v>
      </c>
    </row>
    <row r="221" spans="1:51" x14ac:dyDescent="0.2">
      <c r="A221" s="114"/>
      <c r="B221" s="125">
        <v>13</v>
      </c>
      <c r="C221" s="111"/>
      <c r="D221" s="115">
        <v>0</v>
      </c>
      <c r="E221" s="115">
        <v>0</v>
      </c>
      <c r="F221" s="115">
        <v>0</v>
      </c>
      <c r="G221" s="115">
        <v>0</v>
      </c>
      <c r="H221" s="115">
        <v>0</v>
      </c>
      <c r="I221" s="115">
        <v>0</v>
      </c>
      <c r="J221" s="115">
        <v>0</v>
      </c>
      <c r="K221" s="115">
        <v>0</v>
      </c>
      <c r="L221" s="115">
        <v>0</v>
      </c>
      <c r="M221" s="115">
        <v>0</v>
      </c>
      <c r="N221" s="115">
        <v>0</v>
      </c>
      <c r="O221" s="115">
        <v>0</v>
      </c>
      <c r="P221" s="115">
        <v>0</v>
      </c>
      <c r="Q221" s="115">
        <v>0</v>
      </c>
      <c r="R221" s="115">
        <v>0</v>
      </c>
      <c r="S221" s="115">
        <v>0</v>
      </c>
      <c r="T221" s="115">
        <v>0</v>
      </c>
      <c r="U221" s="115">
        <v>0</v>
      </c>
      <c r="V221" s="115">
        <v>0</v>
      </c>
      <c r="W221" s="115">
        <v>0</v>
      </c>
      <c r="X221" s="115">
        <v>0</v>
      </c>
      <c r="Y221" s="115">
        <v>0</v>
      </c>
      <c r="Z221" s="115">
        <v>0</v>
      </c>
      <c r="AA221" s="115">
        <v>0</v>
      </c>
      <c r="AB221" s="115">
        <v>0</v>
      </c>
      <c r="AC221" s="115">
        <v>0</v>
      </c>
      <c r="AD221" s="115">
        <v>0</v>
      </c>
      <c r="AE221" s="115">
        <v>0</v>
      </c>
      <c r="AF221" s="115">
        <v>0</v>
      </c>
      <c r="AG221" s="115">
        <v>0</v>
      </c>
      <c r="AH221" s="115">
        <v>0</v>
      </c>
      <c r="AI221" s="115">
        <v>0</v>
      </c>
      <c r="AJ221" s="115">
        <v>0</v>
      </c>
      <c r="AK221" s="115">
        <v>0</v>
      </c>
      <c r="AL221" s="115">
        <v>0</v>
      </c>
      <c r="AM221" s="115">
        <v>0</v>
      </c>
      <c r="AN221" s="115">
        <v>0</v>
      </c>
      <c r="AO221" s="115">
        <v>0</v>
      </c>
      <c r="AP221" s="115">
        <v>0</v>
      </c>
      <c r="AQ221" s="115">
        <v>0</v>
      </c>
      <c r="AR221" s="115">
        <v>0</v>
      </c>
      <c r="AS221" s="115">
        <v>0</v>
      </c>
      <c r="AT221" s="115">
        <v>0</v>
      </c>
      <c r="AU221" s="115">
        <v>0</v>
      </c>
      <c r="AV221" s="115">
        <v>0</v>
      </c>
      <c r="AW221" s="115">
        <v>0</v>
      </c>
      <c r="AX221" s="115">
        <v>0</v>
      </c>
      <c r="AY221" s="115">
        <v>0</v>
      </c>
    </row>
    <row r="222" spans="1:51" x14ac:dyDescent="0.2">
      <c r="A222" s="114"/>
      <c r="B222" s="125">
        <v>14</v>
      </c>
      <c r="C222" s="111"/>
      <c r="D222" s="115">
        <v>0</v>
      </c>
      <c r="E222" s="115">
        <v>0</v>
      </c>
      <c r="F222" s="115">
        <v>0</v>
      </c>
      <c r="G222" s="115">
        <v>0</v>
      </c>
      <c r="H222" s="115">
        <v>0</v>
      </c>
      <c r="I222" s="115">
        <v>0</v>
      </c>
      <c r="J222" s="115">
        <v>0</v>
      </c>
      <c r="K222" s="115">
        <v>0</v>
      </c>
      <c r="L222" s="115">
        <v>0</v>
      </c>
      <c r="M222" s="115">
        <v>0</v>
      </c>
      <c r="N222" s="115">
        <v>0</v>
      </c>
      <c r="O222" s="115">
        <v>0</v>
      </c>
      <c r="P222" s="115">
        <v>0</v>
      </c>
      <c r="Q222" s="115">
        <v>0</v>
      </c>
      <c r="R222" s="115">
        <v>0</v>
      </c>
      <c r="S222" s="115">
        <v>0</v>
      </c>
      <c r="T222" s="115">
        <v>0</v>
      </c>
      <c r="U222" s="115">
        <v>0</v>
      </c>
      <c r="V222" s="115">
        <v>0</v>
      </c>
      <c r="W222" s="115">
        <v>0</v>
      </c>
      <c r="X222" s="115">
        <v>0</v>
      </c>
      <c r="Y222" s="115">
        <v>0</v>
      </c>
      <c r="Z222" s="115">
        <v>0</v>
      </c>
      <c r="AA222" s="115">
        <v>0</v>
      </c>
      <c r="AB222" s="115">
        <v>0</v>
      </c>
      <c r="AC222" s="115">
        <v>0</v>
      </c>
      <c r="AD222" s="115">
        <v>0</v>
      </c>
      <c r="AE222" s="115">
        <v>0</v>
      </c>
      <c r="AF222" s="115">
        <v>0</v>
      </c>
      <c r="AG222" s="115">
        <v>0</v>
      </c>
      <c r="AH222" s="115">
        <v>0</v>
      </c>
      <c r="AI222" s="115">
        <v>0</v>
      </c>
      <c r="AJ222" s="115">
        <v>0</v>
      </c>
      <c r="AK222" s="115">
        <v>0</v>
      </c>
      <c r="AL222" s="115">
        <v>0</v>
      </c>
      <c r="AM222" s="115">
        <v>0</v>
      </c>
      <c r="AN222" s="115">
        <v>0</v>
      </c>
      <c r="AO222" s="115">
        <v>0</v>
      </c>
      <c r="AP222" s="115">
        <v>0</v>
      </c>
      <c r="AQ222" s="115">
        <v>0</v>
      </c>
      <c r="AR222" s="115">
        <v>0</v>
      </c>
      <c r="AS222" s="115">
        <v>0</v>
      </c>
      <c r="AT222" s="115">
        <v>0</v>
      </c>
      <c r="AU222" s="115">
        <v>0</v>
      </c>
      <c r="AV222" s="115">
        <v>0</v>
      </c>
      <c r="AW222" s="115">
        <v>0</v>
      </c>
      <c r="AX222" s="115">
        <v>0</v>
      </c>
      <c r="AY222" s="115">
        <v>0</v>
      </c>
    </row>
    <row r="223" spans="1:51" x14ac:dyDescent="0.2">
      <c r="A223" s="114"/>
      <c r="B223" s="125">
        <v>15</v>
      </c>
      <c r="C223" s="111"/>
      <c r="D223" s="115">
        <v>0</v>
      </c>
      <c r="E223" s="115">
        <v>0</v>
      </c>
      <c r="F223" s="115">
        <v>0</v>
      </c>
      <c r="G223" s="115">
        <v>0</v>
      </c>
      <c r="H223" s="115">
        <v>0</v>
      </c>
      <c r="I223" s="115">
        <v>0</v>
      </c>
      <c r="J223" s="115">
        <v>0</v>
      </c>
      <c r="K223" s="115">
        <v>0</v>
      </c>
      <c r="L223" s="115">
        <v>0</v>
      </c>
      <c r="M223" s="115">
        <v>0</v>
      </c>
      <c r="N223" s="115">
        <v>0</v>
      </c>
      <c r="O223" s="115">
        <v>0</v>
      </c>
      <c r="P223" s="115">
        <v>0</v>
      </c>
      <c r="Q223" s="115">
        <v>0</v>
      </c>
      <c r="R223" s="115">
        <v>0</v>
      </c>
      <c r="S223" s="115">
        <v>0</v>
      </c>
      <c r="T223" s="115">
        <v>0</v>
      </c>
      <c r="U223" s="115">
        <v>0</v>
      </c>
      <c r="V223" s="115">
        <v>0</v>
      </c>
      <c r="W223" s="115">
        <v>0</v>
      </c>
      <c r="X223" s="115">
        <v>0</v>
      </c>
      <c r="Y223" s="115">
        <v>0</v>
      </c>
      <c r="Z223" s="115">
        <v>0</v>
      </c>
      <c r="AA223" s="115">
        <v>0</v>
      </c>
      <c r="AB223" s="115">
        <v>0</v>
      </c>
      <c r="AC223" s="115">
        <v>0</v>
      </c>
      <c r="AD223" s="115">
        <v>0</v>
      </c>
      <c r="AE223" s="115">
        <v>0</v>
      </c>
      <c r="AF223" s="115">
        <v>0</v>
      </c>
      <c r="AG223" s="115">
        <v>0</v>
      </c>
      <c r="AH223" s="115">
        <v>0</v>
      </c>
      <c r="AI223" s="115">
        <v>0</v>
      </c>
      <c r="AJ223" s="115">
        <v>0</v>
      </c>
      <c r="AK223" s="115">
        <v>0</v>
      </c>
      <c r="AL223" s="115">
        <v>0</v>
      </c>
      <c r="AM223" s="115">
        <v>0</v>
      </c>
      <c r="AN223" s="115">
        <v>0</v>
      </c>
      <c r="AO223" s="115">
        <v>0</v>
      </c>
      <c r="AP223" s="115">
        <v>0</v>
      </c>
      <c r="AQ223" s="115">
        <v>0</v>
      </c>
      <c r="AR223" s="115">
        <v>0</v>
      </c>
      <c r="AS223" s="115">
        <v>0</v>
      </c>
      <c r="AT223" s="115">
        <v>0</v>
      </c>
      <c r="AU223" s="115">
        <v>0</v>
      </c>
      <c r="AV223" s="115">
        <v>0</v>
      </c>
      <c r="AW223" s="115">
        <v>0</v>
      </c>
      <c r="AX223" s="115">
        <v>0</v>
      </c>
      <c r="AY223" s="115">
        <v>0</v>
      </c>
    </row>
    <row r="224" spans="1:51" x14ac:dyDescent="0.2">
      <c r="A224" s="114"/>
      <c r="B224" s="125">
        <v>16</v>
      </c>
      <c r="C224" s="111"/>
      <c r="D224" s="115">
        <v>0</v>
      </c>
      <c r="E224" s="115">
        <v>0</v>
      </c>
      <c r="F224" s="115">
        <v>0</v>
      </c>
      <c r="G224" s="115">
        <v>0</v>
      </c>
      <c r="H224" s="115">
        <v>0</v>
      </c>
      <c r="I224" s="115">
        <v>0</v>
      </c>
      <c r="J224" s="115">
        <v>0</v>
      </c>
      <c r="K224" s="115">
        <v>0</v>
      </c>
      <c r="L224" s="115">
        <v>0</v>
      </c>
      <c r="M224" s="115">
        <v>0</v>
      </c>
      <c r="N224" s="115">
        <v>0</v>
      </c>
      <c r="O224" s="115">
        <v>0</v>
      </c>
      <c r="P224" s="115">
        <v>0</v>
      </c>
      <c r="Q224" s="115">
        <v>0</v>
      </c>
      <c r="R224" s="115">
        <v>0</v>
      </c>
      <c r="S224" s="115">
        <v>0</v>
      </c>
      <c r="T224" s="115">
        <v>0</v>
      </c>
      <c r="U224" s="115">
        <v>0</v>
      </c>
      <c r="V224" s="115">
        <v>0</v>
      </c>
      <c r="W224" s="115">
        <v>0</v>
      </c>
      <c r="X224" s="115">
        <v>0</v>
      </c>
      <c r="Y224" s="115">
        <v>0</v>
      </c>
      <c r="Z224" s="115">
        <v>0</v>
      </c>
      <c r="AA224" s="115">
        <v>0</v>
      </c>
      <c r="AB224" s="115">
        <v>0</v>
      </c>
      <c r="AC224" s="115">
        <v>0</v>
      </c>
      <c r="AD224" s="115">
        <v>0</v>
      </c>
      <c r="AE224" s="115">
        <v>0</v>
      </c>
      <c r="AF224" s="115">
        <v>0</v>
      </c>
      <c r="AG224" s="115">
        <v>0</v>
      </c>
      <c r="AH224" s="115">
        <v>0</v>
      </c>
      <c r="AI224" s="115">
        <v>0</v>
      </c>
      <c r="AJ224" s="115">
        <v>0</v>
      </c>
      <c r="AK224" s="115">
        <v>0</v>
      </c>
      <c r="AL224" s="115">
        <v>0</v>
      </c>
      <c r="AM224" s="115">
        <v>0</v>
      </c>
      <c r="AN224" s="115">
        <v>0</v>
      </c>
      <c r="AO224" s="115">
        <v>0</v>
      </c>
      <c r="AP224" s="115">
        <v>0</v>
      </c>
      <c r="AQ224" s="115">
        <v>0</v>
      </c>
      <c r="AR224" s="115">
        <v>0</v>
      </c>
      <c r="AS224" s="115">
        <v>0</v>
      </c>
      <c r="AT224" s="115">
        <v>0</v>
      </c>
      <c r="AU224" s="115">
        <v>0</v>
      </c>
      <c r="AV224" s="115">
        <v>0</v>
      </c>
      <c r="AW224" s="115">
        <v>0</v>
      </c>
      <c r="AX224" s="115">
        <v>0</v>
      </c>
      <c r="AY224" s="115">
        <v>0</v>
      </c>
    </row>
    <row r="225" spans="1:51" x14ac:dyDescent="0.2">
      <c r="A225" s="114"/>
      <c r="B225" s="125">
        <v>17</v>
      </c>
      <c r="C225" s="111"/>
      <c r="D225" s="115">
        <v>0</v>
      </c>
      <c r="E225" s="115">
        <v>0</v>
      </c>
      <c r="F225" s="115">
        <v>0</v>
      </c>
      <c r="G225" s="115">
        <v>0</v>
      </c>
      <c r="H225" s="115">
        <v>0</v>
      </c>
      <c r="I225" s="115">
        <v>0</v>
      </c>
      <c r="J225" s="115">
        <v>0</v>
      </c>
      <c r="K225" s="115">
        <v>0</v>
      </c>
      <c r="L225" s="115">
        <v>0</v>
      </c>
      <c r="M225" s="115">
        <v>0</v>
      </c>
      <c r="N225" s="115">
        <v>0</v>
      </c>
      <c r="O225" s="115">
        <v>0</v>
      </c>
      <c r="P225" s="115">
        <v>0</v>
      </c>
      <c r="Q225" s="115">
        <v>0</v>
      </c>
      <c r="R225" s="115">
        <v>0</v>
      </c>
      <c r="S225" s="115">
        <v>0</v>
      </c>
      <c r="T225" s="115">
        <v>0</v>
      </c>
      <c r="U225" s="115">
        <v>0</v>
      </c>
      <c r="V225" s="115">
        <v>0</v>
      </c>
      <c r="W225" s="115">
        <v>0</v>
      </c>
      <c r="X225" s="115">
        <v>0</v>
      </c>
      <c r="Y225" s="115">
        <v>0</v>
      </c>
      <c r="Z225" s="115">
        <v>0</v>
      </c>
      <c r="AA225" s="115">
        <v>0</v>
      </c>
      <c r="AB225" s="115">
        <v>0</v>
      </c>
      <c r="AC225" s="115">
        <v>0</v>
      </c>
      <c r="AD225" s="115">
        <v>0</v>
      </c>
      <c r="AE225" s="115">
        <v>0</v>
      </c>
      <c r="AF225" s="115">
        <v>0</v>
      </c>
      <c r="AG225" s="115">
        <v>0</v>
      </c>
      <c r="AH225" s="115">
        <v>0</v>
      </c>
      <c r="AI225" s="115">
        <v>0</v>
      </c>
      <c r="AJ225" s="115">
        <v>0</v>
      </c>
      <c r="AK225" s="115">
        <v>0</v>
      </c>
      <c r="AL225" s="115">
        <v>0</v>
      </c>
      <c r="AM225" s="115">
        <v>0</v>
      </c>
      <c r="AN225" s="115">
        <v>0</v>
      </c>
      <c r="AO225" s="115">
        <v>0</v>
      </c>
      <c r="AP225" s="115">
        <v>0</v>
      </c>
      <c r="AQ225" s="115">
        <v>0</v>
      </c>
      <c r="AR225" s="115">
        <v>0</v>
      </c>
      <c r="AS225" s="115">
        <v>0</v>
      </c>
      <c r="AT225" s="115">
        <v>0</v>
      </c>
      <c r="AU225" s="115">
        <v>0</v>
      </c>
      <c r="AV225" s="115">
        <v>0</v>
      </c>
      <c r="AW225" s="115">
        <v>0</v>
      </c>
      <c r="AX225" s="115">
        <v>0</v>
      </c>
      <c r="AY225" s="115">
        <v>0</v>
      </c>
    </row>
    <row r="226" spans="1:51" x14ac:dyDescent="0.2">
      <c r="A226" s="114"/>
      <c r="B226" s="125">
        <v>18</v>
      </c>
      <c r="C226" s="111"/>
      <c r="D226" s="115">
        <v>0</v>
      </c>
      <c r="E226" s="115">
        <v>0</v>
      </c>
      <c r="F226" s="115">
        <v>0</v>
      </c>
      <c r="G226" s="115">
        <v>0</v>
      </c>
      <c r="H226" s="115">
        <v>0</v>
      </c>
      <c r="I226" s="115">
        <v>0</v>
      </c>
      <c r="J226" s="115">
        <v>0</v>
      </c>
      <c r="K226" s="115">
        <v>0</v>
      </c>
      <c r="L226" s="115">
        <v>0</v>
      </c>
      <c r="M226" s="115">
        <v>0</v>
      </c>
      <c r="N226" s="115">
        <v>0</v>
      </c>
      <c r="O226" s="115">
        <v>0</v>
      </c>
      <c r="P226" s="115">
        <v>0</v>
      </c>
      <c r="Q226" s="115">
        <v>0</v>
      </c>
      <c r="R226" s="115">
        <v>0</v>
      </c>
      <c r="S226" s="115">
        <v>0</v>
      </c>
      <c r="T226" s="115">
        <v>0</v>
      </c>
      <c r="U226" s="115">
        <v>0</v>
      </c>
      <c r="V226" s="115">
        <v>0</v>
      </c>
      <c r="W226" s="115">
        <v>0</v>
      </c>
      <c r="X226" s="115">
        <v>0</v>
      </c>
      <c r="Y226" s="115">
        <v>0</v>
      </c>
      <c r="Z226" s="115">
        <v>0</v>
      </c>
      <c r="AA226" s="115">
        <v>0</v>
      </c>
      <c r="AB226" s="115">
        <v>0</v>
      </c>
      <c r="AC226" s="115">
        <v>0</v>
      </c>
      <c r="AD226" s="115">
        <v>0</v>
      </c>
      <c r="AE226" s="115">
        <v>0</v>
      </c>
      <c r="AF226" s="115">
        <v>0</v>
      </c>
      <c r="AG226" s="115">
        <v>0</v>
      </c>
      <c r="AH226" s="115">
        <v>0</v>
      </c>
      <c r="AI226" s="115">
        <v>0</v>
      </c>
      <c r="AJ226" s="115">
        <v>0</v>
      </c>
      <c r="AK226" s="115">
        <v>0</v>
      </c>
      <c r="AL226" s="115">
        <v>0</v>
      </c>
      <c r="AM226" s="115">
        <v>0</v>
      </c>
      <c r="AN226" s="115">
        <v>0</v>
      </c>
      <c r="AO226" s="115">
        <v>0</v>
      </c>
      <c r="AP226" s="115">
        <v>0</v>
      </c>
      <c r="AQ226" s="115">
        <v>0</v>
      </c>
      <c r="AR226" s="115">
        <v>0</v>
      </c>
      <c r="AS226" s="115">
        <v>0</v>
      </c>
      <c r="AT226" s="115">
        <v>0</v>
      </c>
      <c r="AU226" s="115">
        <v>0</v>
      </c>
      <c r="AV226" s="115">
        <v>0</v>
      </c>
      <c r="AW226" s="115">
        <v>0</v>
      </c>
      <c r="AX226" s="115">
        <v>0</v>
      </c>
      <c r="AY226" s="115">
        <v>0</v>
      </c>
    </row>
    <row r="227" spans="1:51" x14ac:dyDescent="0.2">
      <c r="A227" s="114"/>
      <c r="B227" s="125">
        <v>19</v>
      </c>
      <c r="C227" s="111"/>
      <c r="D227" s="115">
        <v>0</v>
      </c>
      <c r="E227" s="115">
        <v>0</v>
      </c>
      <c r="F227" s="115">
        <v>0</v>
      </c>
      <c r="G227" s="115">
        <v>0</v>
      </c>
      <c r="H227" s="115">
        <v>0</v>
      </c>
      <c r="I227" s="115">
        <v>0</v>
      </c>
      <c r="J227" s="115">
        <v>0</v>
      </c>
      <c r="K227" s="115">
        <v>0</v>
      </c>
      <c r="L227" s="115">
        <v>0</v>
      </c>
      <c r="M227" s="115">
        <v>0</v>
      </c>
      <c r="N227" s="115">
        <v>0</v>
      </c>
      <c r="O227" s="115">
        <v>0</v>
      </c>
      <c r="P227" s="115">
        <v>0</v>
      </c>
      <c r="Q227" s="115">
        <v>0</v>
      </c>
      <c r="R227" s="115">
        <v>0</v>
      </c>
      <c r="S227" s="115">
        <v>0</v>
      </c>
      <c r="T227" s="115">
        <v>0</v>
      </c>
      <c r="U227" s="115">
        <v>0</v>
      </c>
      <c r="V227" s="115">
        <v>0</v>
      </c>
      <c r="W227" s="115">
        <v>0</v>
      </c>
      <c r="X227" s="115">
        <v>0</v>
      </c>
      <c r="Y227" s="115">
        <v>0</v>
      </c>
      <c r="Z227" s="115">
        <v>0</v>
      </c>
      <c r="AA227" s="115">
        <v>0</v>
      </c>
      <c r="AB227" s="115">
        <v>0</v>
      </c>
      <c r="AC227" s="115">
        <v>0</v>
      </c>
      <c r="AD227" s="115">
        <v>0</v>
      </c>
      <c r="AE227" s="115">
        <v>0</v>
      </c>
      <c r="AF227" s="115">
        <v>0</v>
      </c>
      <c r="AG227" s="115">
        <v>0</v>
      </c>
      <c r="AH227" s="115">
        <v>0</v>
      </c>
      <c r="AI227" s="115">
        <v>0</v>
      </c>
      <c r="AJ227" s="115">
        <v>0</v>
      </c>
      <c r="AK227" s="115">
        <v>0</v>
      </c>
      <c r="AL227" s="115">
        <v>0</v>
      </c>
      <c r="AM227" s="115">
        <v>0</v>
      </c>
      <c r="AN227" s="115">
        <v>0</v>
      </c>
      <c r="AO227" s="115">
        <v>0</v>
      </c>
      <c r="AP227" s="115">
        <v>0</v>
      </c>
      <c r="AQ227" s="115">
        <v>0</v>
      </c>
      <c r="AR227" s="115">
        <v>0</v>
      </c>
      <c r="AS227" s="115">
        <v>0</v>
      </c>
      <c r="AT227" s="115">
        <v>0</v>
      </c>
      <c r="AU227" s="115">
        <v>0</v>
      </c>
      <c r="AV227" s="115">
        <v>0</v>
      </c>
      <c r="AW227" s="115">
        <v>0</v>
      </c>
      <c r="AX227" s="115">
        <v>0</v>
      </c>
      <c r="AY227" s="115">
        <v>0</v>
      </c>
    </row>
    <row r="228" spans="1:51" x14ac:dyDescent="0.2">
      <c r="A228" s="114"/>
      <c r="B228" s="125">
        <v>20</v>
      </c>
      <c r="C228" s="111"/>
      <c r="D228" s="115">
        <v>0</v>
      </c>
      <c r="E228" s="115">
        <v>0</v>
      </c>
      <c r="F228" s="115">
        <v>0</v>
      </c>
      <c r="G228" s="115">
        <v>0</v>
      </c>
      <c r="H228" s="115">
        <v>0</v>
      </c>
      <c r="I228" s="115">
        <v>0</v>
      </c>
      <c r="J228" s="115">
        <v>0</v>
      </c>
      <c r="K228" s="115">
        <v>0</v>
      </c>
      <c r="L228" s="115">
        <v>0</v>
      </c>
      <c r="M228" s="115">
        <v>0</v>
      </c>
      <c r="N228" s="115">
        <v>0</v>
      </c>
      <c r="O228" s="115">
        <v>0</v>
      </c>
      <c r="P228" s="115">
        <v>0</v>
      </c>
      <c r="Q228" s="115">
        <v>0</v>
      </c>
      <c r="R228" s="115">
        <v>0</v>
      </c>
      <c r="S228" s="115">
        <v>0</v>
      </c>
      <c r="T228" s="115">
        <v>0</v>
      </c>
      <c r="U228" s="115">
        <v>0</v>
      </c>
      <c r="V228" s="115">
        <v>0</v>
      </c>
      <c r="W228" s="115">
        <v>0</v>
      </c>
      <c r="X228" s="115">
        <v>0</v>
      </c>
      <c r="Y228" s="115">
        <v>0</v>
      </c>
      <c r="Z228" s="115">
        <v>0</v>
      </c>
      <c r="AA228" s="115">
        <v>0</v>
      </c>
      <c r="AB228" s="115">
        <v>0</v>
      </c>
      <c r="AC228" s="115">
        <v>0</v>
      </c>
      <c r="AD228" s="115">
        <v>0</v>
      </c>
      <c r="AE228" s="115">
        <v>0</v>
      </c>
      <c r="AF228" s="115">
        <v>0</v>
      </c>
      <c r="AG228" s="115">
        <v>0</v>
      </c>
      <c r="AH228" s="115">
        <v>0</v>
      </c>
      <c r="AI228" s="115">
        <v>0</v>
      </c>
      <c r="AJ228" s="115">
        <v>0</v>
      </c>
      <c r="AK228" s="115">
        <v>0</v>
      </c>
      <c r="AL228" s="115">
        <v>0</v>
      </c>
      <c r="AM228" s="115">
        <v>0</v>
      </c>
      <c r="AN228" s="115">
        <v>0</v>
      </c>
      <c r="AO228" s="115">
        <v>0</v>
      </c>
      <c r="AP228" s="115">
        <v>0</v>
      </c>
      <c r="AQ228" s="115">
        <v>0</v>
      </c>
      <c r="AR228" s="115">
        <v>0</v>
      </c>
      <c r="AS228" s="115">
        <v>0</v>
      </c>
      <c r="AT228" s="115">
        <v>0</v>
      </c>
      <c r="AU228" s="115">
        <v>0</v>
      </c>
      <c r="AV228" s="115">
        <v>0</v>
      </c>
      <c r="AW228" s="115">
        <v>0</v>
      </c>
      <c r="AX228" s="115">
        <v>0</v>
      </c>
      <c r="AY228" s="115">
        <v>0</v>
      </c>
    </row>
    <row r="229" spans="1:51" x14ac:dyDescent="0.2">
      <c r="A229" s="114"/>
      <c r="B229" s="125">
        <v>21</v>
      </c>
      <c r="C229" s="111"/>
      <c r="D229" s="115">
        <v>0</v>
      </c>
      <c r="E229" s="115">
        <v>0</v>
      </c>
      <c r="F229" s="115">
        <v>0</v>
      </c>
      <c r="G229" s="115">
        <v>0</v>
      </c>
      <c r="H229" s="115">
        <v>0</v>
      </c>
      <c r="I229" s="115">
        <v>0</v>
      </c>
      <c r="J229" s="115">
        <v>0</v>
      </c>
      <c r="K229" s="115">
        <v>0</v>
      </c>
      <c r="L229" s="115">
        <v>0</v>
      </c>
      <c r="M229" s="115">
        <v>0</v>
      </c>
      <c r="N229" s="115">
        <v>0</v>
      </c>
      <c r="O229" s="115">
        <v>0</v>
      </c>
      <c r="P229" s="115">
        <v>0</v>
      </c>
      <c r="Q229" s="115">
        <v>0</v>
      </c>
      <c r="R229" s="115">
        <v>0</v>
      </c>
      <c r="S229" s="115">
        <v>0</v>
      </c>
      <c r="T229" s="115">
        <v>0</v>
      </c>
      <c r="U229" s="115">
        <v>0</v>
      </c>
      <c r="V229" s="115">
        <v>0</v>
      </c>
      <c r="W229" s="115">
        <v>0</v>
      </c>
      <c r="X229" s="115">
        <v>0</v>
      </c>
      <c r="Y229" s="115">
        <v>0</v>
      </c>
      <c r="Z229" s="115">
        <v>0</v>
      </c>
      <c r="AA229" s="115">
        <v>0</v>
      </c>
      <c r="AB229" s="115">
        <v>0</v>
      </c>
      <c r="AC229" s="115">
        <v>0</v>
      </c>
      <c r="AD229" s="115">
        <v>0</v>
      </c>
      <c r="AE229" s="115">
        <v>0</v>
      </c>
      <c r="AF229" s="115">
        <v>0</v>
      </c>
      <c r="AG229" s="115">
        <v>0</v>
      </c>
      <c r="AH229" s="115">
        <v>0</v>
      </c>
      <c r="AI229" s="115">
        <v>0</v>
      </c>
      <c r="AJ229" s="115">
        <v>0</v>
      </c>
      <c r="AK229" s="115">
        <v>0</v>
      </c>
      <c r="AL229" s="115">
        <v>0</v>
      </c>
      <c r="AM229" s="115">
        <v>0</v>
      </c>
      <c r="AN229" s="115">
        <v>0</v>
      </c>
      <c r="AO229" s="115">
        <v>0</v>
      </c>
      <c r="AP229" s="115">
        <v>0</v>
      </c>
      <c r="AQ229" s="115">
        <v>0</v>
      </c>
      <c r="AR229" s="115">
        <v>0</v>
      </c>
      <c r="AS229" s="115">
        <v>0</v>
      </c>
      <c r="AT229" s="115">
        <v>0</v>
      </c>
      <c r="AU229" s="115">
        <v>0</v>
      </c>
      <c r="AV229" s="115">
        <v>0</v>
      </c>
      <c r="AW229" s="115">
        <v>0</v>
      </c>
      <c r="AX229" s="115">
        <v>0</v>
      </c>
      <c r="AY229" s="115">
        <v>0</v>
      </c>
    </row>
    <row r="230" spans="1:51" x14ac:dyDescent="0.2">
      <c r="A230" s="114"/>
      <c r="B230" s="125">
        <v>22</v>
      </c>
      <c r="C230" s="111"/>
      <c r="D230" s="115">
        <v>0</v>
      </c>
      <c r="E230" s="115">
        <v>0</v>
      </c>
      <c r="F230" s="115">
        <v>0</v>
      </c>
      <c r="G230" s="115">
        <v>0</v>
      </c>
      <c r="H230" s="115">
        <v>0</v>
      </c>
      <c r="I230" s="115">
        <v>0</v>
      </c>
      <c r="J230" s="115">
        <v>0</v>
      </c>
      <c r="K230" s="115">
        <v>0</v>
      </c>
      <c r="L230" s="115">
        <v>0</v>
      </c>
      <c r="M230" s="115">
        <v>0</v>
      </c>
      <c r="N230" s="115">
        <v>0</v>
      </c>
      <c r="O230" s="115">
        <v>0</v>
      </c>
      <c r="P230" s="115">
        <v>0</v>
      </c>
      <c r="Q230" s="115">
        <v>0</v>
      </c>
      <c r="R230" s="115">
        <v>0</v>
      </c>
      <c r="S230" s="115">
        <v>0</v>
      </c>
      <c r="T230" s="115">
        <v>0</v>
      </c>
      <c r="U230" s="115">
        <v>0</v>
      </c>
      <c r="V230" s="115">
        <v>0</v>
      </c>
      <c r="W230" s="115">
        <v>0</v>
      </c>
      <c r="X230" s="115">
        <v>0</v>
      </c>
      <c r="Y230" s="115">
        <v>0</v>
      </c>
      <c r="Z230" s="115">
        <v>0</v>
      </c>
      <c r="AA230" s="115">
        <v>0</v>
      </c>
      <c r="AB230" s="115">
        <v>0</v>
      </c>
      <c r="AC230" s="115">
        <v>0</v>
      </c>
      <c r="AD230" s="115">
        <v>0</v>
      </c>
      <c r="AE230" s="115">
        <v>0</v>
      </c>
      <c r="AF230" s="115">
        <v>0</v>
      </c>
      <c r="AG230" s="115">
        <v>0</v>
      </c>
      <c r="AH230" s="115">
        <v>0</v>
      </c>
      <c r="AI230" s="115">
        <v>0</v>
      </c>
      <c r="AJ230" s="115">
        <v>0</v>
      </c>
      <c r="AK230" s="115">
        <v>0</v>
      </c>
      <c r="AL230" s="115">
        <v>0</v>
      </c>
      <c r="AM230" s="115">
        <v>0</v>
      </c>
      <c r="AN230" s="115">
        <v>0</v>
      </c>
      <c r="AO230" s="115">
        <v>0</v>
      </c>
      <c r="AP230" s="115">
        <v>0</v>
      </c>
      <c r="AQ230" s="115">
        <v>0</v>
      </c>
      <c r="AR230" s="115">
        <v>0</v>
      </c>
      <c r="AS230" s="115">
        <v>0</v>
      </c>
      <c r="AT230" s="115">
        <v>0</v>
      </c>
      <c r="AU230" s="115">
        <v>0</v>
      </c>
      <c r="AV230" s="115">
        <v>0</v>
      </c>
      <c r="AW230" s="115">
        <v>0</v>
      </c>
      <c r="AX230" s="115">
        <v>0</v>
      </c>
      <c r="AY230" s="115">
        <v>0</v>
      </c>
    </row>
    <row r="231" spans="1:51" x14ac:dyDescent="0.2">
      <c r="A231" s="114"/>
      <c r="B231" s="125">
        <v>23</v>
      </c>
      <c r="C231" s="111"/>
      <c r="D231" s="115">
        <v>0</v>
      </c>
      <c r="E231" s="115">
        <v>0</v>
      </c>
      <c r="F231" s="115">
        <v>0</v>
      </c>
      <c r="G231" s="115">
        <v>0</v>
      </c>
      <c r="H231" s="115">
        <v>0</v>
      </c>
      <c r="I231" s="115">
        <v>0</v>
      </c>
      <c r="J231" s="115">
        <v>0</v>
      </c>
      <c r="K231" s="115">
        <v>0</v>
      </c>
      <c r="L231" s="115">
        <v>0</v>
      </c>
      <c r="M231" s="115">
        <v>0</v>
      </c>
      <c r="N231" s="115">
        <v>0</v>
      </c>
      <c r="O231" s="115">
        <v>0</v>
      </c>
      <c r="P231" s="115">
        <v>0</v>
      </c>
      <c r="Q231" s="115">
        <v>0</v>
      </c>
      <c r="R231" s="115">
        <v>0</v>
      </c>
      <c r="S231" s="115">
        <v>0</v>
      </c>
      <c r="T231" s="115">
        <v>0</v>
      </c>
      <c r="U231" s="115">
        <v>0</v>
      </c>
      <c r="V231" s="115">
        <v>0</v>
      </c>
      <c r="W231" s="115">
        <v>0</v>
      </c>
      <c r="X231" s="115">
        <v>0</v>
      </c>
      <c r="Y231" s="115">
        <v>0</v>
      </c>
      <c r="Z231" s="115">
        <v>0</v>
      </c>
      <c r="AA231" s="115">
        <v>0</v>
      </c>
      <c r="AB231" s="115">
        <v>0</v>
      </c>
      <c r="AC231" s="115">
        <v>0</v>
      </c>
      <c r="AD231" s="115">
        <v>0</v>
      </c>
      <c r="AE231" s="115">
        <v>0</v>
      </c>
      <c r="AF231" s="115">
        <v>0</v>
      </c>
      <c r="AG231" s="115">
        <v>0</v>
      </c>
      <c r="AH231" s="115">
        <v>0</v>
      </c>
      <c r="AI231" s="115">
        <v>0</v>
      </c>
      <c r="AJ231" s="115">
        <v>0</v>
      </c>
      <c r="AK231" s="115">
        <v>0</v>
      </c>
      <c r="AL231" s="115">
        <v>0</v>
      </c>
      <c r="AM231" s="115">
        <v>0</v>
      </c>
      <c r="AN231" s="115">
        <v>0</v>
      </c>
      <c r="AO231" s="115">
        <v>0</v>
      </c>
      <c r="AP231" s="115">
        <v>0</v>
      </c>
      <c r="AQ231" s="115">
        <v>0</v>
      </c>
      <c r="AR231" s="115">
        <v>0</v>
      </c>
      <c r="AS231" s="115">
        <v>0</v>
      </c>
      <c r="AT231" s="115">
        <v>0</v>
      </c>
      <c r="AU231" s="115">
        <v>0</v>
      </c>
      <c r="AV231" s="115">
        <v>0</v>
      </c>
      <c r="AW231" s="115">
        <v>0</v>
      </c>
      <c r="AX231" s="115">
        <v>0</v>
      </c>
      <c r="AY231" s="115">
        <v>0</v>
      </c>
    </row>
    <row r="232" spans="1:51" x14ac:dyDescent="0.2">
      <c r="A232" s="114"/>
      <c r="B232" s="125">
        <v>24</v>
      </c>
      <c r="C232" s="111"/>
      <c r="D232" s="115">
        <v>0</v>
      </c>
      <c r="E232" s="115">
        <v>0</v>
      </c>
      <c r="F232" s="115">
        <v>0</v>
      </c>
      <c r="G232" s="115">
        <v>0</v>
      </c>
      <c r="H232" s="115">
        <v>0</v>
      </c>
      <c r="I232" s="115">
        <v>0</v>
      </c>
      <c r="J232" s="115">
        <v>0</v>
      </c>
      <c r="K232" s="115">
        <v>0</v>
      </c>
      <c r="L232" s="115">
        <v>0</v>
      </c>
      <c r="M232" s="115">
        <v>0</v>
      </c>
      <c r="N232" s="115">
        <v>0</v>
      </c>
      <c r="O232" s="115">
        <v>0</v>
      </c>
      <c r="P232" s="115">
        <v>0</v>
      </c>
      <c r="Q232" s="115">
        <v>0</v>
      </c>
      <c r="R232" s="115">
        <v>0</v>
      </c>
      <c r="S232" s="115">
        <v>0</v>
      </c>
      <c r="T232" s="115">
        <v>0</v>
      </c>
      <c r="U232" s="115">
        <v>0</v>
      </c>
      <c r="V232" s="115">
        <v>0</v>
      </c>
      <c r="W232" s="115">
        <v>0</v>
      </c>
      <c r="X232" s="115">
        <v>0</v>
      </c>
      <c r="Y232" s="115">
        <v>0</v>
      </c>
      <c r="Z232" s="115">
        <v>0</v>
      </c>
      <c r="AA232" s="115">
        <v>0</v>
      </c>
      <c r="AB232" s="115">
        <v>0</v>
      </c>
      <c r="AC232" s="115">
        <v>0</v>
      </c>
      <c r="AD232" s="115">
        <v>0</v>
      </c>
      <c r="AE232" s="115">
        <v>0</v>
      </c>
      <c r="AF232" s="115">
        <v>0</v>
      </c>
      <c r="AG232" s="115">
        <v>0</v>
      </c>
      <c r="AH232" s="115">
        <v>0</v>
      </c>
      <c r="AI232" s="115">
        <v>0</v>
      </c>
      <c r="AJ232" s="115">
        <v>0</v>
      </c>
      <c r="AK232" s="115">
        <v>0</v>
      </c>
      <c r="AL232" s="115">
        <v>0</v>
      </c>
      <c r="AM232" s="115">
        <v>0</v>
      </c>
      <c r="AN232" s="115">
        <v>0</v>
      </c>
      <c r="AO232" s="115">
        <v>0</v>
      </c>
      <c r="AP232" s="115">
        <v>0</v>
      </c>
      <c r="AQ232" s="115">
        <v>0</v>
      </c>
      <c r="AR232" s="115">
        <v>0</v>
      </c>
      <c r="AS232" s="115">
        <v>0</v>
      </c>
      <c r="AT232" s="115">
        <v>0</v>
      </c>
      <c r="AU232" s="115">
        <v>0</v>
      </c>
      <c r="AV232" s="115">
        <v>0</v>
      </c>
      <c r="AW232" s="115">
        <v>0</v>
      </c>
      <c r="AX232" s="115">
        <v>0</v>
      </c>
      <c r="AY232" s="115">
        <v>0</v>
      </c>
    </row>
    <row r="233" spans="1:51" x14ac:dyDescent="0.2">
      <c r="A233" s="114"/>
      <c r="B233" s="132">
        <v>25</v>
      </c>
      <c r="C233" s="111"/>
      <c r="D233" s="115">
        <v>0</v>
      </c>
      <c r="E233" s="115">
        <v>0</v>
      </c>
      <c r="F233" s="115">
        <v>0</v>
      </c>
      <c r="G233" s="115">
        <v>0</v>
      </c>
      <c r="H233" s="115">
        <v>0</v>
      </c>
      <c r="I233" s="115">
        <v>0</v>
      </c>
      <c r="J233" s="115">
        <v>0</v>
      </c>
      <c r="K233" s="115">
        <v>0</v>
      </c>
      <c r="L233" s="115">
        <v>0</v>
      </c>
      <c r="M233" s="115">
        <v>0</v>
      </c>
      <c r="N233" s="115">
        <v>0</v>
      </c>
      <c r="O233" s="115">
        <v>0</v>
      </c>
      <c r="P233" s="115">
        <v>0</v>
      </c>
      <c r="Q233" s="115">
        <v>0</v>
      </c>
      <c r="R233" s="115">
        <v>0</v>
      </c>
      <c r="S233" s="115">
        <v>0</v>
      </c>
      <c r="T233" s="115">
        <v>0</v>
      </c>
      <c r="U233" s="115">
        <v>0</v>
      </c>
      <c r="V233" s="115">
        <v>0</v>
      </c>
      <c r="W233" s="115">
        <v>0</v>
      </c>
      <c r="X233" s="115">
        <v>0</v>
      </c>
      <c r="Y233" s="115">
        <v>0</v>
      </c>
      <c r="Z233" s="115">
        <v>0</v>
      </c>
      <c r="AA233" s="115">
        <v>0</v>
      </c>
      <c r="AB233" s="115">
        <v>0</v>
      </c>
      <c r="AC233" s="115">
        <v>0</v>
      </c>
      <c r="AD233" s="115">
        <v>0</v>
      </c>
      <c r="AE233" s="115">
        <v>0</v>
      </c>
      <c r="AF233" s="115">
        <v>0</v>
      </c>
      <c r="AG233" s="115">
        <v>0</v>
      </c>
      <c r="AH233" s="115">
        <v>0</v>
      </c>
      <c r="AI233" s="115">
        <v>0</v>
      </c>
      <c r="AJ233" s="115">
        <v>0</v>
      </c>
      <c r="AK233" s="115">
        <v>0</v>
      </c>
      <c r="AL233" s="115">
        <v>0</v>
      </c>
      <c r="AM233" s="115">
        <v>0</v>
      </c>
      <c r="AN233" s="115">
        <v>0</v>
      </c>
      <c r="AO233" s="115">
        <v>0</v>
      </c>
      <c r="AP233" s="115">
        <v>0</v>
      </c>
      <c r="AQ233" s="115">
        <v>0</v>
      </c>
      <c r="AR233" s="115">
        <v>0</v>
      </c>
      <c r="AS233" s="115">
        <v>0</v>
      </c>
      <c r="AT233" s="115">
        <v>0</v>
      </c>
      <c r="AU233" s="115">
        <v>0</v>
      </c>
      <c r="AV233" s="115">
        <v>0</v>
      </c>
      <c r="AW233" s="115">
        <v>0</v>
      </c>
      <c r="AX233" s="115">
        <v>0</v>
      </c>
      <c r="AY233" s="115">
        <v>0</v>
      </c>
    </row>
    <row r="234" spans="1:51" x14ac:dyDescent="0.2">
      <c r="A234" s="114"/>
      <c r="B234" s="132">
        <v>26</v>
      </c>
      <c r="C234" s="111"/>
      <c r="D234" s="115">
        <v>0</v>
      </c>
      <c r="E234" s="115">
        <v>0</v>
      </c>
      <c r="F234" s="115">
        <v>0</v>
      </c>
      <c r="G234" s="115">
        <v>0</v>
      </c>
      <c r="H234" s="115">
        <v>0</v>
      </c>
      <c r="I234" s="115">
        <v>0</v>
      </c>
      <c r="J234" s="115">
        <v>0</v>
      </c>
      <c r="K234" s="115">
        <v>0</v>
      </c>
      <c r="L234" s="115">
        <v>0</v>
      </c>
      <c r="M234" s="115">
        <v>0</v>
      </c>
      <c r="N234" s="115">
        <v>0</v>
      </c>
      <c r="O234" s="115">
        <v>0</v>
      </c>
      <c r="P234" s="115">
        <v>0</v>
      </c>
      <c r="Q234" s="115">
        <v>0</v>
      </c>
      <c r="R234" s="115">
        <v>0</v>
      </c>
      <c r="S234" s="115">
        <v>0</v>
      </c>
      <c r="T234" s="115">
        <v>0</v>
      </c>
      <c r="U234" s="115">
        <v>0</v>
      </c>
      <c r="V234" s="115">
        <v>0</v>
      </c>
      <c r="W234" s="115">
        <v>0</v>
      </c>
      <c r="X234" s="115">
        <v>0</v>
      </c>
      <c r="Y234" s="115">
        <v>0</v>
      </c>
      <c r="Z234" s="115">
        <v>0</v>
      </c>
      <c r="AA234" s="115">
        <v>0</v>
      </c>
      <c r="AB234" s="115">
        <v>0</v>
      </c>
      <c r="AC234" s="115">
        <v>0</v>
      </c>
      <c r="AD234" s="115">
        <v>0</v>
      </c>
      <c r="AE234" s="115">
        <v>0</v>
      </c>
      <c r="AF234" s="115">
        <v>0</v>
      </c>
      <c r="AG234" s="115">
        <v>0</v>
      </c>
      <c r="AH234" s="115">
        <v>0</v>
      </c>
      <c r="AI234" s="115">
        <v>0</v>
      </c>
      <c r="AJ234" s="115">
        <v>0</v>
      </c>
      <c r="AK234" s="115">
        <v>0</v>
      </c>
      <c r="AL234" s="115">
        <v>0</v>
      </c>
      <c r="AM234" s="115">
        <v>0</v>
      </c>
      <c r="AN234" s="115">
        <v>0</v>
      </c>
      <c r="AO234" s="115">
        <v>0</v>
      </c>
      <c r="AP234" s="115">
        <v>0</v>
      </c>
      <c r="AQ234" s="115">
        <v>0</v>
      </c>
      <c r="AR234" s="115">
        <v>0</v>
      </c>
      <c r="AS234" s="115">
        <v>0</v>
      </c>
      <c r="AT234" s="115">
        <v>0</v>
      </c>
      <c r="AU234" s="115">
        <v>0</v>
      </c>
      <c r="AV234" s="115">
        <v>0</v>
      </c>
      <c r="AW234" s="115">
        <v>0</v>
      </c>
      <c r="AX234" s="115">
        <v>0</v>
      </c>
      <c r="AY234" s="115">
        <v>0</v>
      </c>
    </row>
    <row r="235" spans="1:51" x14ac:dyDescent="0.2">
      <c r="A235" s="114"/>
      <c r="B235" s="132">
        <v>27</v>
      </c>
      <c r="C235" s="111"/>
      <c r="D235" s="115">
        <v>0</v>
      </c>
      <c r="E235" s="115">
        <v>0</v>
      </c>
      <c r="F235" s="115">
        <v>0</v>
      </c>
      <c r="G235" s="115">
        <v>0</v>
      </c>
      <c r="H235" s="115">
        <v>0</v>
      </c>
      <c r="I235" s="115">
        <v>0</v>
      </c>
      <c r="J235" s="115">
        <v>0</v>
      </c>
      <c r="K235" s="115">
        <v>0</v>
      </c>
      <c r="L235" s="115">
        <v>0</v>
      </c>
      <c r="M235" s="115">
        <v>0</v>
      </c>
      <c r="N235" s="115">
        <v>0</v>
      </c>
      <c r="O235" s="115">
        <v>0</v>
      </c>
      <c r="P235" s="115">
        <v>0</v>
      </c>
      <c r="Q235" s="115">
        <v>0</v>
      </c>
      <c r="R235" s="115">
        <v>0</v>
      </c>
      <c r="S235" s="115">
        <v>0</v>
      </c>
      <c r="T235" s="115">
        <v>0</v>
      </c>
      <c r="U235" s="115">
        <v>0</v>
      </c>
      <c r="V235" s="115">
        <v>0</v>
      </c>
      <c r="W235" s="115">
        <v>0</v>
      </c>
      <c r="X235" s="115">
        <v>0</v>
      </c>
      <c r="Y235" s="115">
        <v>0</v>
      </c>
      <c r="Z235" s="115">
        <v>0</v>
      </c>
      <c r="AA235" s="115">
        <v>0</v>
      </c>
      <c r="AB235" s="115">
        <v>0</v>
      </c>
      <c r="AC235" s="115">
        <v>0</v>
      </c>
      <c r="AD235" s="115">
        <v>0</v>
      </c>
      <c r="AE235" s="115">
        <v>0</v>
      </c>
      <c r="AF235" s="115">
        <v>0</v>
      </c>
      <c r="AG235" s="115">
        <v>0</v>
      </c>
      <c r="AH235" s="115">
        <v>0</v>
      </c>
      <c r="AI235" s="115">
        <v>0</v>
      </c>
      <c r="AJ235" s="115">
        <v>0</v>
      </c>
      <c r="AK235" s="115">
        <v>0</v>
      </c>
      <c r="AL235" s="115">
        <v>0</v>
      </c>
      <c r="AM235" s="115">
        <v>0</v>
      </c>
      <c r="AN235" s="115">
        <v>0</v>
      </c>
      <c r="AO235" s="115">
        <v>0</v>
      </c>
      <c r="AP235" s="115">
        <v>0</v>
      </c>
      <c r="AQ235" s="115">
        <v>0</v>
      </c>
      <c r="AR235" s="115">
        <v>0</v>
      </c>
      <c r="AS235" s="115">
        <v>0</v>
      </c>
      <c r="AT235" s="115">
        <v>0</v>
      </c>
      <c r="AU235" s="115">
        <v>0</v>
      </c>
      <c r="AV235" s="115">
        <v>0</v>
      </c>
      <c r="AW235" s="115">
        <v>0</v>
      </c>
      <c r="AX235" s="115">
        <v>0</v>
      </c>
      <c r="AY235" s="115">
        <v>0</v>
      </c>
    </row>
    <row r="236" spans="1:51" x14ac:dyDescent="0.2">
      <c r="A236" s="114"/>
      <c r="B236" s="132">
        <v>28</v>
      </c>
      <c r="C236" s="111"/>
      <c r="D236" s="115">
        <v>0</v>
      </c>
      <c r="E236" s="115">
        <v>0</v>
      </c>
      <c r="F236" s="115">
        <v>0</v>
      </c>
      <c r="G236" s="115">
        <v>0</v>
      </c>
      <c r="H236" s="115">
        <v>0</v>
      </c>
      <c r="I236" s="115">
        <v>0</v>
      </c>
      <c r="J236" s="115">
        <v>0</v>
      </c>
      <c r="K236" s="115">
        <v>0</v>
      </c>
      <c r="L236" s="115">
        <v>0</v>
      </c>
      <c r="M236" s="115">
        <v>0</v>
      </c>
      <c r="N236" s="115">
        <v>0</v>
      </c>
      <c r="O236" s="115">
        <v>0</v>
      </c>
      <c r="P236" s="115">
        <v>0</v>
      </c>
      <c r="Q236" s="115">
        <v>0</v>
      </c>
      <c r="R236" s="115">
        <v>0</v>
      </c>
      <c r="S236" s="115">
        <v>0</v>
      </c>
      <c r="T236" s="115">
        <v>0</v>
      </c>
      <c r="U236" s="115">
        <v>0</v>
      </c>
      <c r="V236" s="115">
        <v>0</v>
      </c>
      <c r="W236" s="115">
        <v>0</v>
      </c>
      <c r="X236" s="115">
        <v>0</v>
      </c>
      <c r="Y236" s="115">
        <v>0</v>
      </c>
      <c r="Z236" s="115">
        <v>0</v>
      </c>
      <c r="AA236" s="115">
        <v>0</v>
      </c>
      <c r="AB236" s="115">
        <v>0</v>
      </c>
      <c r="AC236" s="115">
        <v>0</v>
      </c>
      <c r="AD236" s="115">
        <v>0</v>
      </c>
      <c r="AE236" s="115">
        <v>0</v>
      </c>
      <c r="AF236" s="115">
        <v>0</v>
      </c>
      <c r="AG236" s="115">
        <v>0</v>
      </c>
      <c r="AH236" s="115">
        <v>0</v>
      </c>
      <c r="AI236" s="115">
        <v>0</v>
      </c>
      <c r="AJ236" s="115">
        <v>0</v>
      </c>
      <c r="AK236" s="115">
        <v>0</v>
      </c>
      <c r="AL236" s="115">
        <v>0</v>
      </c>
      <c r="AM236" s="115">
        <v>0</v>
      </c>
      <c r="AN236" s="115">
        <v>0</v>
      </c>
      <c r="AO236" s="115">
        <v>0</v>
      </c>
      <c r="AP236" s="115">
        <v>0</v>
      </c>
      <c r="AQ236" s="115">
        <v>0</v>
      </c>
      <c r="AR236" s="115">
        <v>0</v>
      </c>
      <c r="AS236" s="115">
        <v>0</v>
      </c>
      <c r="AT236" s="115">
        <v>0</v>
      </c>
      <c r="AU236" s="115">
        <v>0</v>
      </c>
      <c r="AV236" s="115">
        <v>0</v>
      </c>
      <c r="AW236" s="115">
        <v>0</v>
      </c>
      <c r="AX236" s="115">
        <v>0</v>
      </c>
      <c r="AY236" s="115">
        <v>0</v>
      </c>
    </row>
    <row r="237" spans="1:51" x14ac:dyDescent="0.2">
      <c r="A237" s="114"/>
      <c r="B237" s="132">
        <v>29</v>
      </c>
      <c r="C237" s="111"/>
      <c r="D237" s="115">
        <v>0</v>
      </c>
      <c r="E237" s="115">
        <v>0</v>
      </c>
      <c r="F237" s="115">
        <v>0</v>
      </c>
      <c r="G237" s="115">
        <v>0</v>
      </c>
      <c r="H237" s="115">
        <v>0</v>
      </c>
      <c r="I237" s="115">
        <v>0</v>
      </c>
      <c r="J237" s="115">
        <v>0</v>
      </c>
      <c r="K237" s="115">
        <v>0</v>
      </c>
      <c r="L237" s="115">
        <v>0</v>
      </c>
      <c r="M237" s="115">
        <v>0</v>
      </c>
      <c r="N237" s="115">
        <v>0</v>
      </c>
      <c r="O237" s="115">
        <v>0</v>
      </c>
      <c r="P237" s="115">
        <v>0</v>
      </c>
      <c r="Q237" s="115">
        <v>0</v>
      </c>
      <c r="R237" s="115">
        <v>0</v>
      </c>
      <c r="S237" s="115">
        <v>0</v>
      </c>
      <c r="T237" s="115">
        <v>0</v>
      </c>
      <c r="U237" s="115">
        <v>0</v>
      </c>
      <c r="V237" s="115">
        <v>0</v>
      </c>
      <c r="W237" s="115">
        <v>0</v>
      </c>
      <c r="X237" s="115">
        <v>0</v>
      </c>
      <c r="Y237" s="115">
        <v>0</v>
      </c>
      <c r="Z237" s="115">
        <v>0</v>
      </c>
      <c r="AA237" s="115">
        <v>0</v>
      </c>
      <c r="AB237" s="115">
        <v>0</v>
      </c>
      <c r="AC237" s="115">
        <v>0</v>
      </c>
      <c r="AD237" s="115">
        <v>0</v>
      </c>
      <c r="AE237" s="115">
        <v>0</v>
      </c>
      <c r="AF237" s="115">
        <v>0</v>
      </c>
      <c r="AG237" s="115">
        <v>0</v>
      </c>
      <c r="AH237" s="115">
        <v>0</v>
      </c>
      <c r="AI237" s="115">
        <v>0</v>
      </c>
      <c r="AJ237" s="115">
        <v>0</v>
      </c>
      <c r="AK237" s="115">
        <v>0</v>
      </c>
      <c r="AL237" s="115">
        <v>0</v>
      </c>
      <c r="AM237" s="115">
        <v>0</v>
      </c>
      <c r="AN237" s="115">
        <v>0</v>
      </c>
      <c r="AO237" s="115">
        <v>0</v>
      </c>
      <c r="AP237" s="115">
        <v>0</v>
      </c>
      <c r="AQ237" s="115">
        <v>0</v>
      </c>
      <c r="AR237" s="115">
        <v>0</v>
      </c>
      <c r="AS237" s="115">
        <v>0</v>
      </c>
      <c r="AT237" s="115">
        <v>0</v>
      </c>
      <c r="AU237" s="115">
        <v>0</v>
      </c>
      <c r="AV237" s="115">
        <v>0</v>
      </c>
      <c r="AW237" s="115">
        <v>0</v>
      </c>
      <c r="AX237" s="115">
        <v>0</v>
      </c>
      <c r="AY237" s="115">
        <v>0</v>
      </c>
    </row>
    <row r="238" spans="1:51" x14ac:dyDescent="0.2">
      <c r="A238" s="114"/>
      <c r="B238" s="132">
        <v>30</v>
      </c>
      <c r="C238" s="111"/>
      <c r="D238" s="115">
        <v>0</v>
      </c>
      <c r="E238" s="115">
        <v>0</v>
      </c>
      <c r="F238" s="115">
        <v>0</v>
      </c>
      <c r="G238" s="115">
        <v>0</v>
      </c>
      <c r="H238" s="115">
        <v>0</v>
      </c>
      <c r="I238" s="115">
        <v>0</v>
      </c>
      <c r="J238" s="115">
        <v>0</v>
      </c>
      <c r="K238" s="115">
        <v>0</v>
      </c>
      <c r="L238" s="115">
        <v>0</v>
      </c>
      <c r="M238" s="115">
        <v>0</v>
      </c>
      <c r="N238" s="115">
        <v>0</v>
      </c>
      <c r="O238" s="115">
        <v>0</v>
      </c>
      <c r="P238" s="115">
        <v>0</v>
      </c>
      <c r="Q238" s="115">
        <v>0</v>
      </c>
      <c r="R238" s="115">
        <v>0</v>
      </c>
      <c r="S238" s="115">
        <v>0</v>
      </c>
      <c r="T238" s="115">
        <v>0</v>
      </c>
      <c r="U238" s="115">
        <v>0</v>
      </c>
      <c r="V238" s="115">
        <v>0</v>
      </c>
      <c r="W238" s="115">
        <v>0</v>
      </c>
      <c r="X238" s="115">
        <v>0</v>
      </c>
      <c r="Y238" s="115">
        <v>0</v>
      </c>
      <c r="Z238" s="115">
        <v>0</v>
      </c>
      <c r="AA238" s="115">
        <v>0</v>
      </c>
      <c r="AB238" s="115">
        <v>0</v>
      </c>
      <c r="AC238" s="115">
        <v>0</v>
      </c>
      <c r="AD238" s="115">
        <v>0</v>
      </c>
      <c r="AE238" s="115">
        <v>0</v>
      </c>
      <c r="AF238" s="115">
        <v>0</v>
      </c>
      <c r="AG238" s="115">
        <v>0</v>
      </c>
      <c r="AH238" s="115">
        <v>0</v>
      </c>
      <c r="AI238" s="115">
        <v>0</v>
      </c>
      <c r="AJ238" s="115">
        <v>0</v>
      </c>
      <c r="AK238" s="115">
        <v>0</v>
      </c>
      <c r="AL238" s="115">
        <v>0</v>
      </c>
      <c r="AM238" s="115">
        <v>0</v>
      </c>
      <c r="AN238" s="115">
        <v>0</v>
      </c>
      <c r="AO238" s="115">
        <v>0</v>
      </c>
      <c r="AP238" s="115">
        <v>0</v>
      </c>
      <c r="AQ238" s="115">
        <v>0</v>
      </c>
      <c r="AR238" s="115">
        <v>0</v>
      </c>
      <c r="AS238" s="115">
        <v>0</v>
      </c>
      <c r="AT238" s="115">
        <v>0</v>
      </c>
      <c r="AU238" s="115">
        <v>0</v>
      </c>
      <c r="AV238" s="115">
        <v>0</v>
      </c>
      <c r="AW238" s="115">
        <v>0</v>
      </c>
      <c r="AX238" s="115">
        <v>0</v>
      </c>
      <c r="AY238" s="115">
        <v>0</v>
      </c>
    </row>
    <row r="239" spans="1:51" x14ac:dyDescent="0.2">
      <c r="A239" s="114"/>
      <c r="B239" s="132">
        <v>31</v>
      </c>
      <c r="C239" s="111"/>
      <c r="D239" s="115">
        <v>0</v>
      </c>
      <c r="E239" s="115">
        <v>0</v>
      </c>
      <c r="F239" s="115">
        <v>0</v>
      </c>
      <c r="G239" s="115">
        <v>0</v>
      </c>
      <c r="H239" s="115">
        <v>0</v>
      </c>
      <c r="I239" s="115">
        <v>0</v>
      </c>
      <c r="J239" s="115">
        <v>0</v>
      </c>
      <c r="K239" s="115">
        <v>0</v>
      </c>
      <c r="L239" s="115">
        <v>0</v>
      </c>
      <c r="M239" s="115">
        <v>0</v>
      </c>
      <c r="N239" s="115">
        <v>0</v>
      </c>
      <c r="O239" s="115">
        <v>0</v>
      </c>
      <c r="P239" s="115">
        <v>0</v>
      </c>
      <c r="Q239" s="115">
        <v>0</v>
      </c>
      <c r="R239" s="115">
        <v>0</v>
      </c>
      <c r="S239" s="115">
        <v>0</v>
      </c>
      <c r="T239" s="115">
        <v>0</v>
      </c>
      <c r="U239" s="115">
        <v>0</v>
      </c>
      <c r="V239" s="115">
        <v>0</v>
      </c>
      <c r="W239" s="115">
        <v>0</v>
      </c>
      <c r="X239" s="115">
        <v>0</v>
      </c>
      <c r="Y239" s="115">
        <v>0</v>
      </c>
      <c r="Z239" s="115">
        <v>0</v>
      </c>
      <c r="AA239" s="115">
        <v>0</v>
      </c>
      <c r="AB239" s="115">
        <v>0</v>
      </c>
      <c r="AC239" s="115">
        <v>0</v>
      </c>
      <c r="AD239" s="115">
        <v>0</v>
      </c>
      <c r="AE239" s="115">
        <v>0</v>
      </c>
      <c r="AF239" s="115">
        <v>0</v>
      </c>
      <c r="AG239" s="115">
        <v>0</v>
      </c>
      <c r="AH239" s="115">
        <v>0</v>
      </c>
      <c r="AI239" s="115">
        <v>0</v>
      </c>
      <c r="AJ239" s="115">
        <v>0</v>
      </c>
      <c r="AK239" s="115">
        <v>0</v>
      </c>
      <c r="AL239" s="115">
        <v>0</v>
      </c>
      <c r="AM239" s="115">
        <v>0</v>
      </c>
      <c r="AN239" s="115">
        <v>0</v>
      </c>
      <c r="AO239" s="115">
        <v>0</v>
      </c>
      <c r="AP239" s="115">
        <v>0</v>
      </c>
      <c r="AQ239" s="115">
        <v>0</v>
      </c>
      <c r="AR239" s="115">
        <v>0</v>
      </c>
      <c r="AS239" s="115">
        <v>0</v>
      </c>
      <c r="AT239" s="115">
        <v>0</v>
      </c>
      <c r="AU239" s="115">
        <v>0</v>
      </c>
      <c r="AV239" s="115">
        <v>0</v>
      </c>
      <c r="AW239" s="115">
        <v>0</v>
      </c>
      <c r="AX239" s="115">
        <v>0</v>
      </c>
      <c r="AY239" s="115">
        <v>0</v>
      </c>
    </row>
    <row r="240" spans="1:51" x14ac:dyDescent="0.2">
      <c r="A240" s="114"/>
      <c r="B240" s="132">
        <v>32</v>
      </c>
      <c r="C240" s="111"/>
      <c r="D240" s="115">
        <v>0</v>
      </c>
      <c r="E240" s="115">
        <v>0</v>
      </c>
      <c r="F240" s="115">
        <v>0</v>
      </c>
      <c r="G240" s="115">
        <v>0</v>
      </c>
      <c r="H240" s="115">
        <v>0</v>
      </c>
      <c r="I240" s="115">
        <v>0</v>
      </c>
      <c r="J240" s="115">
        <v>0</v>
      </c>
      <c r="K240" s="115">
        <v>0</v>
      </c>
      <c r="L240" s="115">
        <v>0</v>
      </c>
      <c r="M240" s="115">
        <v>0</v>
      </c>
      <c r="N240" s="115">
        <v>0</v>
      </c>
      <c r="O240" s="115">
        <v>0</v>
      </c>
      <c r="P240" s="115">
        <v>0</v>
      </c>
      <c r="Q240" s="115">
        <v>0</v>
      </c>
      <c r="R240" s="115">
        <v>0</v>
      </c>
      <c r="S240" s="115">
        <v>0</v>
      </c>
      <c r="T240" s="115">
        <v>0</v>
      </c>
      <c r="U240" s="115">
        <v>0</v>
      </c>
      <c r="V240" s="115">
        <v>0</v>
      </c>
      <c r="W240" s="115">
        <v>0</v>
      </c>
      <c r="X240" s="115">
        <v>0</v>
      </c>
      <c r="Y240" s="115">
        <v>0</v>
      </c>
      <c r="Z240" s="115">
        <v>0</v>
      </c>
      <c r="AA240" s="115">
        <v>0</v>
      </c>
      <c r="AB240" s="115">
        <v>0</v>
      </c>
      <c r="AC240" s="115">
        <v>0</v>
      </c>
      <c r="AD240" s="115">
        <v>0</v>
      </c>
      <c r="AE240" s="115">
        <v>0</v>
      </c>
      <c r="AF240" s="115">
        <v>0</v>
      </c>
      <c r="AG240" s="115">
        <v>0</v>
      </c>
      <c r="AH240" s="115">
        <v>0</v>
      </c>
      <c r="AI240" s="115">
        <v>0</v>
      </c>
      <c r="AJ240" s="115">
        <v>0</v>
      </c>
      <c r="AK240" s="115">
        <v>0</v>
      </c>
      <c r="AL240" s="115">
        <v>0</v>
      </c>
      <c r="AM240" s="115">
        <v>0</v>
      </c>
      <c r="AN240" s="115">
        <v>0</v>
      </c>
      <c r="AO240" s="115">
        <v>0</v>
      </c>
      <c r="AP240" s="115">
        <v>0</v>
      </c>
      <c r="AQ240" s="115">
        <v>0</v>
      </c>
      <c r="AR240" s="115">
        <v>0</v>
      </c>
      <c r="AS240" s="115">
        <v>0</v>
      </c>
      <c r="AT240" s="115">
        <v>0</v>
      </c>
      <c r="AU240" s="115">
        <v>0</v>
      </c>
      <c r="AV240" s="115">
        <v>0</v>
      </c>
      <c r="AW240" s="115">
        <v>0</v>
      </c>
      <c r="AX240" s="115">
        <v>0</v>
      </c>
      <c r="AY240" s="115">
        <v>0</v>
      </c>
    </row>
    <row r="241" spans="1:51" x14ac:dyDescent="0.2">
      <c r="A241" s="114"/>
      <c r="B241" s="132">
        <v>33</v>
      </c>
      <c r="C241" s="111"/>
      <c r="D241" s="115">
        <v>0</v>
      </c>
      <c r="E241" s="115">
        <v>0</v>
      </c>
      <c r="F241" s="115">
        <v>0</v>
      </c>
      <c r="G241" s="115">
        <v>0</v>
      </c>
      <c r="H241" s="115">
        <v>0</v>
      </c>
      <c r="I241" s="115">
        <v>0</v>
      </c>
      <c r="J241" s="115">
        <v>0</v>
      </c>
      <c r="K241" s="115">
        <v>0</v>
      </c>
      <c r="L241" s="115">
        <v>0</v>
      </c>
      <c r="M241" s="115">
        <v>0</v>
      </c>
      <c r="N241" s="115">
        <v>0</v>
      </c>
      <c r="O241" s="115">
        <v>0</v>
      </c>
      <c r="P241" s="115">
        <v>0</v>
      </c>
      <c r="Q241" s="115">
        <v>0</v>
      </c>
      <c r="R241" s="115">
        <v>0</v>
      </c>
      <c r="S241" s="115">
        <v>0</v>
      </c>
      <c r="T241" s="115">
        <v>0</v>
      </c>
      <c r="U241" s="115">
        <v>0</v>
      </c>
      <c r="V241" s="115">
        <v>0</v>
      </c>
      <c r="W241" s="115">
        <v>0</v>
      </c>
      <c r="X241" s="115">
        <v>0</v>
      </c>
      <c r="Y241" s="115">
        <v>0</v>
      </c>
      <c r="Z241" s="115">
        <v>0</v>
      </c>
      <c r="AA241" s="115">
        <v>0</v>
      </c>
      <c r="AB241" s="115">
        <v>0</v>
      </c>
      <c r="AC241" s="115">
        <v>0</v>
      </c>
      <c r="AD241" s="115">
        <v>0</v>
      </c>
      <c r="AE241" s="115">
        <v>0</v>
      </c>
      <c r="AF241" s="115">
        <v>0</v>
      </c>
      <c r="AG241" s="115">
        <v>0</v>
      </c>
      <c r="AH241" s="115">
        <v>0</v>
      </c>
      <c r="AI241" s="115">
        <v>0</v>
      </c>
      <c r="AJ241" s="115">
        <v>0</v>
      </c>
      <c r="AK241" s="115">
        <v>0</v>
      </c>
      <c r="AL241" s="115">
        <v>0</v>
      </c>
      <c r="AM241" s="115">
        <v>0</v>
      </c>
      <c r="AN241" s="115">
        <v>0</v>
      </c>
      <c r="AO241" s="115">
        <v>0</v>
      </c>
      <c r="AP241" s="115">
        <v>0</v>
      </c>
      <c r="AQ241" s="115">
        <v>0</v>
      </c>
      <c r="AR241" s="115">
        <v>0</v>
      </c>
      <c r="AS241" s="115">
        <v>0</v>
      </c>
      <c r="AT241" s="115">
        <v>0</v>
      </c>
      <c r="AU241" s="115">
        <v>0</v>
      </c>
      <c r="AV241" s="115">
        <v>0</v>
      </c>
      <c r="AW241" s="115">
        <v>0</v>
      </c>
      <c r="AX241" s="115">
        <v>0</v>
      </c>
      <c r="AY241" s="115">
        <v>0</v>
      </c>
    </row>
    <row r="242" spans="1:51" x14ac:dyDescent="0.2">
      <c r="A242" s="114"/>
      <c r="B242" s="132">
        <v>34</v>
      </c>
      <c r="C242" s="111"/>
      <c r="D242" s="115">
        <v>0</v>
      </c>
      <c r="E242" s="115">
        <v>0</v>
      </c>
      <c r="F242" s="115">
        <v>0</v>
      </c>
      <c r="G242" s="115">
        <v>0</v>
      </c>
      <c r="H242" s="115">
        <v>0</v>
      </c>
      <c r="I242" s="115">
        <v>0</v>
      </c>
      <c r="J242" s="115">
        <v>0</v>
      </c>
      <c r="K242" s="115">
        <v>0</v>
      </c>
      <c r="L242" s="115">
        <v>0</v>
      </c>
      <c r="M242" s="115">
        <v>0</v>
      </c>
      <c r="N242" s="115">
        <v>0</v>
      </c>
      <c r="O242" s="115">
        <v>0</v>
      </c>
      <c r="P242" s="115">
        <v>0</v>
      </c>
      <c r="Q242" s="115">
        <v>0</v>
      </c>
      <c r="R242" s="115">
        <v>0</v>
      </c>
      <c r="S242" s="115">
        <v>0</v>
      </c>
      <c r="T242" s="115">
        <v>0</v>
      </c>
      <c r="U242" s="115">
        <v>0</v>
      </c>
      <c r="V242" s="115">
        <v>0</v>
      </c>
      <c r="W242" s="115">
        <v>0</v>
      </c>
      <c r="X242" s="115">
        <v>0</v>
      </c>
      <c r="Y242" s="115">
        <v>0</v>
      </c>
      <c r="Z242" s="115">
        <v>0</v>
      </c>
      <c r="AA242" s="115">
        <v>0</v>
      </c>
      <c r="AB242" s="115">
        <v>0</v>
      </c>
      <c r="AC242" s="115">
        <v>0</v>
      </c>
      <c r="AD242" s="115">
        <v>0</v>
      </c>
      <c r="AE242" s="115">
        <v>0</v>
      </c>
      <c r="AF242" s="115">
        <v>0</v>
      </c>
      <c r="AG242" s="115">
        <v>0</v>
      </c>
      <c r="AH242" s="115">
        <v>0</v>
      </c>
      <c r="AI242" s="115">
        <v>0</v>
      </c>
      <c r="AJ242" s="115">
        <v>0</v>
      </c>
      <c r="AK242" s="115">
        <v>0</v>
      </c>
      <c r="AL242" s="115">
        <v>0</v>
      </c>
      <c r="AM242" s="115">
        <v>0</v>
      </c>
      <c r="AN242" s="115">
        <v>0</v>
      </c>
      <c r="AO242" s="115">
        <v>0</v>
      </c>
      <c r="AP242" s="115">
        <v>0</v>
      </c>
      <c r="AQ242" s="115">
        <v>0</v>
      </c>
      <c r="AR242" s="115">
        <v>0</v>
      </c>
      <c r="AS242" s="115">
        <v>0</v>
      </c>
      <c r="AT242" s="115">
        <v>0</v>
      </c>
      <c r="AU242" s="115">
        <v>0</v>
      </c>
      <c r="AV242" s="115">
        <v>0</v>
      </c>
      <c r="AW242" s="115">
        <v>0</v>
      </c>
      <c r="AX242" s="115">
        <v>0</v>
      </c>
      <c r="AY242" s="115">
        <v>0</v>
      </c>
    </row>
    <row r="243" spans="1:51" x14ac:dyDescent="0.2">
      <c r="A243" s="114"/>
      <c r="B243" s="132">
        <v>35</v>
      </c>
      <c r="C243" s="111"/>
      <c r="D243" s="115">
        <v>0</v>
      </c>
      <c r="E243" s="115">
        <v>0</v>
      </c>
      <c r="F243" s="115">
        <v>0</v>
      </c>
      <c r="G243" s="115">
        <v>0</v>
      </c>
      <c r="H243" s="115">
        <v>0</v>
      </c>
      <c r="I243" s="115">
        <v>0</v>
      </c>
      <c r="J243" s="115">
        <v>0</v>
      </c>
      <c r="K243" s="115">
        <v>0</v>
      </c>
      <c r="L243" s="115">
        <v>0</v>
      </c>
      <c r="M243" s="115">
        <v>0</v>
      </c>
      <c r="N243" s="115">
        <v>0</v>
      </c>
      <c r="O243" s="115">
        <v>0</v>
      </c>
      <c r="P243" s="115">
        <v>0</v>
      </c>
      <c r="Q243" s="115">
        <v>0</v>
      </c>
      <c r="R243" s="115">
        <v>0</v>
      </c>
      <c r="S243" s="115">
        <v>0</v>
      </c>
      <c r="T243" s="115">
        <v>0</v>
      </c>
      <c r="U243" s="115">
        <v>0</v>
      </c>
      <c r="V243" s="115">
        <v>0</v>
      </c>
      <c r="W243" s="115">
        <v>0</v>
      </c>
      <c r="X243" s="115">
        <v>0</v>
      </c>
      <c r="Y243" s="115">
        <v>0</v>
      </c>
      <c r="Z243" s="115">
        <v>0</v>
      </c>
      <c r="AA243" s="115">
        <v>0</v>
      </c>
      <c r="AB243" s="115">
        <v>0</v>
      </c>
      <c r="AC243" s="115">
        <v>0</v>
      </c>
      <c r="AD243" s="115">
        <v>0</v>
      </c>
      <c r="AE243" s="115">
        <v>0</v>
      </c>
      <c r="AF243" s="115">
        <v>0</v>
      </c>
      <c r="AG243" s="115">
        <v>0</v>
      </c>
      <c r="AH243" s="115">
        <v>0</v>
      </c>
      <c r="AI243" s="115">
        <v>0</v>
      </c>
      <c r="AJ243" s="115">
        <v>0</v>
      </c>
      <c r="AK243" s="115">
        <v>0</v>
      </c>
      <c r="AL243" s="115">
        <v>0</v>
      </c>
      <c r="AM243" s="115">
        <v>0</v>
      </c>
      <c r="AN243" s="115">
        <v>0</v>
      </c>
      <c r="AO243" s="115">
        <v>0</v>
      </c>
      <c r="AP243" s="115">
        <v>0</v>
      </c>
      <c r="AQ243" s="115">
        <v>0</v>
      </c>
      <c r="AR243" s="115">
        <v>0</v>
      </c>
      <c r="AS243" s="115">
        <v>0</v>
      </c>
      <c r="AT243" s="115">
        <v>0</v>
      </c>
      <c r="AU243" s="115">
        <v>0</v>
      </c>
      <c r="AV243" s="115">
        <v>0</v>
      </c>
      <c r="AW243" s="115">
        <v>0</v>
      </c>
      <c r="AX243" s="115">
        <v>0</v>
      </c>
      <c r="AY243" s="115">
        <v>0</v>
      </c>
    </row>
    <row r="244" spans="1:51" x14ac:dyDescent="0.2">
      <c r="A244" s="114"/>
      <c r="B244" s="132">
        <v>36</v>
      </c>
      <c r="C244" s="111"/>
      <c r="D244" s="115">
        <v>0</v>
      </c>
      <c r="E244" s="115">
        <v>0</v>
      </c>
      <c r="F244" s="115">
        <v>0</v>
      </c>
      <c r="G244" s="115">
        <v>0</v>
      </c>
      <c r="H244" s="115">
        <v>0</v>
      </c>
      <c r="I244" s="115">
        <v>0</v>
      </c>
      <c r="J244" s="115">
        <v>0</v>
      </c>
      <c r="K244" s="115">
        <v>0</v>
      </c>
      <c r="L244" s="115">
        <v>0</v>
      </c>
      <c r="M244" s="115">
        <v>0</v>
      </c>
      <c r="N244" s="115">
        <v>0</v>
      </c>
      <c r="O244" s="115">
        <v>0</v>
      </c>
      <c r="P244" s="115">
        <v>0</v>
      </c>
      <c r="Q244" s="115">
        <v>0</v>
      </c>
      <c r="R244" s="115">
        <v>0</v>
      </c>
      <c r="S244" s="115">
        <v>0</v>
      </c>
      <c r="T244" s="115">
        <v>0</v>
      </c>
      <c r="U244" s="115">
        <v>0</v>
      </c>
      <c r="V244" s="115">
        <v>0</v>
      </c>
      <c r="W244" s="115">
        <v>0</v>
      </c>
      <c r="X244" s="115">
        <v>0</v>
      </c>
      <c r="Y244" s="115">
        <v>0</v>
      </c>
      <c r="Z244" s="115">
        <v>0</v>
      </c>
      <c r="AA244" s="115">
        <v>0</v>
      </c>
      <c r="AB244" s="115">
        <v>0</v>
      </c>
      <c r="AC244" s="115">
        <v>0</v>
      </c>
      <c r="AD244" s="115">
        <v>0</v>
      </c>
      <c r="AE244" s="115">
        <v>0</v>
      </c>
      <c r="AF244" s="115">
        <v>0</v>
      </c>
      <c r="AG244" s="115">
        <v>0</v>
      </c>
      <c r="AH244" s="115">
        <v>0</v>
      </c>
      <c r="AI244" s="115">
        <v>0</v>
      </c>
      <c r="AJ244" s="115">
        <v>0</v>
      </c>
      <c r="AK244" s="115">
        <v>0</v>
      </c>
      <c r="AL244" s="115">
        <v>0</v>
      </c>
      <c r="AM244" s="115">
        <v>0</v>
      </c>
      <c r="AN244" s="115">
        <v>0</v>
      </c>
      <c r="AO244" s="115">
        <v>0</v>
      </c>
      <c r="AP244" s="115">
        <v>0</v>
      </c>
      <c r="AQ244" s="115">
        <v>0</v>
      </c>
      <c r="AR244" s="115">
        <v>0</v>
      </c>
      <c r="AS244" s="115">
        <v>0</v>
      </c>
      <c r="AT244" s="115">
        <v>0</v>
      </c>
      <c r="AU244" s="115">
        <v>0</v>
      </c>
      <c r="AV244" s="115">
        <v>0</v>
      </c>
      <c r="AW244" s="115">
        <v>0</v>
      </c>
      <c r="AX244" s="115">
        <v>0</v>
      </c>
      <c r="AY244" s="115">
        <v>0</v>
      </c>
    </row>
    <row r="245" spans="1:51" x14ac:dyDescent="0.2">
      <c r="A245" s="114"/>
      <c r="B245" s="135">
        <v>37</v>
      </c>
      <c r="C245" s="111"/>
      <c r="D245" s="115">
        <v>0</v>
      </c>
      <c r="E245" s="115">
        <v>0</v>
      </c>
      <c r="F245" s="115">
        <v>0</v>
      </c>
      <c r="G245" s="115">
        <v>0</v>
      </c>
      <c r="H245" s="115">
        <v>0</v>
      </c>
      <c r="I245" s="115">
        <v>0</v>
      </c>
      <c r="J245" s="115">
        <v>0</v>
      </c>
      <c r="K245" s="115">
        <v>0</v>
      </c>
      <c r="L245" s="115">
        <v>0</v>
      </c>
      <c r="M245" s="115">
        <v>0</v>
      </c>
      <c r="N245" s="115">
        <v>0</v>
      </c>
      <c r="O245" s="115">
        <v>0</v>
      </c>
      <c r="P245" s="115">
        <v>0</v>
      </c>
      <c r="Q245" s="115">
        <v>0</v>
      </c>
      <c r="R245" s="115">
        <v>0</v>
      </c>
      <c r="S245" s="115">
        <v>0</v>
      </c>
      <c r="T245" s="115">
        <v>0</v>
      </c>
      <c r="U245" s="115">
        <v>0</v>
      </c>
      <c r="V245" s="115">
        <v>0</v>
      </c>
      <c r="W245" s="115">
        <v>0</v>
      </c>
      <c r="X245" s="115">
        <v>0</v>
      </c>
      <c r="Y245" s="115">
        <v>0</v>
      </c>
      <c r="Z245" s="115">
        <v>0</v>
      </c>
      <c r="AA245" s="115">
        <v>0</v>
      </c>
      <c r="AB245" s="115">
        <v>0</v>
      </c>
      <c r="AC245" s="115">
        <v>0</v>
      </c>
      <c r="AD245" s="115">
        <v>0</v>
      </c>
      <c r="AE245" s="115">
        <v>0</v>
      </c>
      <c r="AF245" s="115">
        <v>0</v>
      </c>
      <c r="AG245" s="115">
        <v>0</v>
      </c>
      <c r="AH245" s="115">
        <v>0</v>
      </c>
      <c r="AI245" s="115">
        <v>0</v>
      </c>
      <c r="AJ245" s="115">
        <v>0</v>
      </c>
      <c r="AK245" s="115">
        <v>0</v>
      </c>
      <c r="AL245" s="115">
        <v>0</v>
      </c>
      <c r="AM245" s="115">
        <v>0</v>
      </c>
      <c r="AN245" s="115">
        <v>0</v>
      </c>
      <c r="AO245" s="115">
        <v>0</v>
      </c>
      <c r="AP245" s="115">
        <v>0</v>
      </c>
      <c r="AQ245" s="115">
        <v>0</v>
      </c>
      <c r="AR245" s="115">
        <v>0</v>
      </c>
      <c r="AS245" s="115">
        <v>0</v>
      </c>
      <c r="AT245" s="115">
        <v>0</v>
      </c>
      <c r="AU245" s="115">
        <v>0</v>
      </c>
      <c r="AV245" s="115">
        <v>0</v>
      </c>
      <c r="AW245" s="115">
        <v>0</v>
      </c>
      <c r="AX245" s="115">
        <v>0</v>
      </c>
      <c r="AY245" s="115">
        <v>0</v>
      </c>
    </row>
    <row r="246" spans="1:51" x14ac:dyDescent="0.2">
      <c r="A246" s="114"/>
      <c r="B246" s="135">
        <v>38</v>
      </c>
      <c r="C246" s="111"/>
      <c r="D246" s="115">
        <v>0</v>
      </c>
      <c r="E246" s="115">
        <v>0</v>
      </c>
      <c r="F246" s="115">
        <v>0</v>
      </c>
      <c r="G246" s="115">
        <v>0</v>
      </c>
      <c r="H246" s="115">
        <v>0</v>
      </c>
      <c r="I246" s="115">
        <v>0</v>
      </c>
      <c r="J246" s="115">
        <v>0</v>
      </c>
      <c r="K246" s="115">
        <v>0</v>
      </c>
      <c r="L246" s="115">
        <v>0</v>
      </c>
      <c r="M246" s="115">
        <v>0</v>
      </c>
      <c r="N246" s="115">
        <v>0</v>
      </c>
      <c r="O246" s="115">
        <v>0</v>
      </c>
      <c r="P246" s="115">
        <v>0</v>
      </c>
      <c r="Q246" s="115">
        <v>0</v>
      </c>
      <c r="R246" s="115">
        <v>0</v>
      </c>
      <c r="S246" s="115">
        <v>0</v>
      </c>
      <c r="T246" s="115">
        <v>0</v>
      </c>
      <c r="U246" s="115">
        <v>0</v>
      </c>
      <c r="V246" s="115">
        <v>0</v>
      </c>
      <c r="W246" s="115">
        <v>0</v>
      </c>
      <c r="X246" s="115">
        <v>0</v>
      </c>
      <c r="Y246" s="115">
        <v>0</v>
      </c>
      <c r="Z246" s="115">
        <v>0</v>
      </c>
      <c r="AA246" s="115">
        <v>0</v>
      </c>
      <c r="AB246" s="115">
        <v>0</v>
      </c>
      <c r="AC246" s="115">
        <v>0</v>
      </c>
      <c r="AD246" s="115">
        <v>0</v>
      </c>
      <c r="AE246" s="115">
        <v>0</v>
      </c>
      <c r="AF246" s="115">
        <v>0</v>
      </c>
      <c r="AG246" s="115">
        <v>0</v>
      </c>
      <c r="AH246" s="115">
        <v>0</v>
      </c>
      <c r="AI246" s="115">
        <v>0</v>
      </c>
      <c r="AJ246" s="115">
        <v>0</v>
      </c>
      <c r="AK246" s="115">
        <v>0</v>
      </c>
      <c r="AL246" s="115">
        <v>0</v>
      </c>
      <c r="AM246" s="115">
        <v>0</v>
      </c>
      <c r="AN246" s="115">
        <v>0</v>
      </c>
      <c r="AO246" s="115">
        <v>0</v>
      </c>
      <c r="AP246" s="115">
        <v>0</v>
      </c>
      <c r="AQ246" s="115">
        <v>0</v>
      </c>
      <c r="AR246" s="115">
        <v>0</v>
      </c>
      <c r="AS246" s="115">
        <v>0</v>
      </c>
      <c r="AT246" s="115">
        <v>0</v>
      </c>
      <c r="AU246" s="115">
        <v>0</v>
      </c>
      <c r="AV246" s="115">
        <v>0</v>
      </c>
      <c r="AW246" s="115">
        <v>0</v>
      </c>
      <c r="AX246" s="115">
        <v>0</v>
      </c>
      <c r="AY246" s="115">
        <v>0</v>
      </c>
    </row>
    <row r="247" spans="1:51" x14ac:dyDescent="0.2">
      <c r="A247" s="114"/>
      <c r="B247" s="135">
        <v>39</v>
      </c>
      <c r="C247" s="111"/>
      <c r="D247" s="115">
        <v>0</v>
      </c>
      <c r="E247" s="115">
        <v>0</v>
      </c>
      <c r="F247" s="115">
        <v>0</v>
      </c>
      <c r="G247" s="115">
        <v>0</v>
      </c>
      <c r="H247" s="115">
        <v>0</v>
      </c>
      <c r="I247" s="115">
        <v>0</v>
      </c>
      <c r="J247" s="115">
        <v>0</v>
      </c>
      <c r="K247" s="115">
        <v>0</v>
      </c>
      <c r="L247" s="115">
        <v>0</v>
      </c>
      <c r="M247" s="115">
        <v>0</v>
      </c>
      <c r="N247" s="115">
        <v>0</v>
      </c>
      <c r="O247" s="115">
        <v>0</v>
      </c>
      <c r="P247" s="115">
        <v>0</v>
      </c>
      <c r="Q247" s="115">
        <v>0</v>
      </c>
      <c r="R247" s="115">
        <v>0</v>
      </c>
      <c r="S247" s="115">
        <v>0</v>
      </c>
      <c r="T247" s="115">
        <v>0</v>
      </c>
      <c r="U247" s="115">
        <v>0</v>
      </c>
      <c r="V247" s="115">
        <v>0</v>
      </c>
      <c r="W247" s="115">
        <v>0</v>
      </c>
      <c r="X247" s="115">
        <v>0</v>
      </c>
      <c r="Y247" s="115">
        <v>0</v>
      </c>
      <c r="Z247" s="115">
        <v>0</v>
      </c>
      <c r="AA247" s="115">
        <v>0</v>
      </c>
      <c r="AB247" s="115">
        <v>0</v>
      </c>
      <c r="AC247" s="115">
        <v>0</v>
      </c>
      <c r="AD247" s="115">
        <v>0</v>
      </c>
      <c r="AE247" s="115">
        <v>0</v>
      </c>
      <c r="AF247" s="115">
        <v>0</v>
      </c>
      <c r="AG247" s="115">
        <v>0</v>
      </c>
      <c r="AH247" s="115">
        <v>0</v>
      </c>
      <c r="AI247" s="115">
        <v>0</v>
      </c>
      <c r="AJ247" s="115">
        <v>0</v>
      </c>
      <c r="AK247" s="115">
        <v>0</v>
      </c>
      <c r="AL247" s="115">
        <v>0</v>
      </c>
      <c r="AM247" s="115">
        <v>0</v>
      </c>
      <c r="AN247" s="115">
        <v>0</v>
      </c>
      <c r="AO247" s="115">
        <v>0</v>
      </c>
      <c r="AP247" s="115">
        <v>0</v>
      </c>
      <c r="AQ247" s="115">
        <v>0</v>
      </c>
      <c r="AR247" s="115">
        <v>0</v>
      </c>
      <c r="AS247" s="115">
        <v>0</v>
      </c>
      <c r="AT247" s="115">
        <v>0</v>
      </c>
      <c r="AU247" s="115">
        <v>0</v>
      </c>
      <c r="AV247" s="115">
        <v>0</v>
      </c>
      <c r="AW247" s="115">
        <v>0</v>
      </c>
      <c r="AX247" s="115">
        <v>0</v>
      </c>
      <c r="AY247" s="115">
        <v>0</v>
      </c>
    </row>
    <row r="248" spans="1:51" x14ac:dyDescent="0.2">
      <c r="A248" s="114"/>
      <c r="B248" s="135">
        <v>40</v>
      </c>
      <c r="C248" s="111"/>
      <c r="D248" s="115">
        <v>0</v>
      </c>
      <c r="E248" s="115">
        <v>0</v>
      </c>
      <c r="F248" s="115">
        <v>0</v>
      </c>
      <c r="G248" s="115">
        <v>0</v>
      </c>
      <c r="H248" s="115">
        <v>0</v>
      </c>
      <c r="I248" s="115">
        <v>0</v>
      </c>
      <c r="J248" s="115">
        <v>0</v>
      </c>
      <c r="K248" s="115">
        <v>0</v>
      </c>
      <c r="L248" s="115">
        <v>0</v>
      </c>
      <c r="M248" s="115">
        <v>0</v>
      </c>
      <c r="N248" s="115">
        <v>0</v>
      </c>
      <c r="O248" s="115">
        <v>0</v>
      </c>
      <c r="P248" s="115">
        <v>0</v>
      </c>
      <c r="Q248" s="115">
        <v>0</v>
      </c>
      <c r="R248" s="115">
        <v>0</v>
      </c>
      <c r="S248" s="115">
        <v>0</v>
      </c>
      <c r="T248" s="115">
        <v>0</v>
      </c>
      <c r="U248" s="115">
        <v>0</v>
      </c>
      <c r="V248" s="115">
        <v>0</v>
      </c>
      <c r="W248" s="115">
        <v>0</v>
      </c>
      <c r="X248" s="115">
        <v>0</v>
      </c>
      <c r="Y248" s="115">
        <v>0</v>
      </c>
      <c r="Z248" s="115">
        <v>0</v>
      </c>
      <c r="AA248" s="115">
        <v>0</v>
      </c>
      <c r="AB248" s="115">
        <v>0</v>
      </c>
      <c r="AC248" s="115">
        <v>0</v>
      </c>
      <c r="AD248" s="115">
        <v>0</v>
      </c>
      <c r="AE248" s="115">
        <v>0</v>
      </c>
      <c r="AF248" s="115">
        <v>0</v>
      </c>
      <c r="AG248" s="115">
        <v>0</v>
      </c>
      <c r="AH248" s="115">
        <v>0</v>
      </c>
      <c r="AI248" s="115">
        <v>0</v>
      </c>
      <c r="AJ248" s="115">
        <v>0</v>
      </c>
      <c r="AK248" s="115">
        <v>0</v>
      </c>
      <c r="AL248" s="115">
        <v>0</v>
      </c>
      <c r="AM248" s="115">
        <v>0</v>
      </c>
      <c r="AN248" s="115">
        <v>0</v>
      </c>
      <c r="AO248" s="115">
        <v>0</v>
      </c>
      <c r="AP248" s="115">
        <v>0</v>
      </c>
      <c r="AQ248" s="115">
        <v>0</v>
      </c>
      <c r="AR248" s="115">
        <v>0</v>
      </c>
      <c r="AS248" s="115">
        <v>0</v>
      </c>
      <c r="AT248" s="115">
        <v>0</v>
      </c>
      <c r="AU248" s="115">
        <v>0</v>
      </c>
      <c r="AV248" s="115">
        <v>0</v>
      </c>
      <c r="AW248" s="115">
        <v>0</v>
      </c>
      <c r="AX248" s="115">
        <v>0</v>
      </c>
      <c r="AY248" s="115">
        <v>0</v>
      </c>
    </row>
    <row r="249" spans="1:51" x14ac:dyDescent="0.2">
      <c r="A249" s="114"/>
      <c r="B249" s="135">
        <v>41</v>
      </c>
      <c r="C249" s="111"/>
      <c r="D249" s="115">
        <v>0</v>
      </c>
      <c r="E249" s="115">
        <v>0</v>
      </c>
      <c r="F249" s="115">
        <v>0</v>
      </c>
      <c r="G249" s="115">
        <v>0</v>
      </c>
      <c r="H249" s="115">
        <v>0</v>
      </c>
      <c r="I249" s="115">
        <v>0</v>
      </c>
      <c r="J249" s="115">
        <v>0</v>
      </c>
      <c r="K249" s="115">
        <v>0</v>
      </c>
      <c r="L249" s="115">
        <v>0</v>
      </c>
      <c r="M249" s="115">
        <v>0</v>
      </c>
      <c r="N249" s="115">
        <v>0</v>
      </c>
      <c r="O249" s="115">
        <v>0</v>
      </c>
      <c r="P249" s="115">
        <v>0</v>
      </c>
      <c r="Q249" s="115">
        <v>0</v>
      </c>
      <c r="R249" s="115">
        <v>0</v>
      </c>
      <c r="S249" s="115">
        <v>0</v>
      </c>
      <c r="T249" s="115">
        <v>0</v>
      </c>
      <c r="U249" s="115">
        <v>0</v>
      </c>
      <c r="V249" s="115">
        <v>0</v>
      </c>
      <c r="W249" s="115">
        <v>0</v>
      </c>
      <c r="X249" s="115">
        <v>0</v>
      </c>
      <c r="Y249" s="115">
        <v>0</v>
      </c>
      <c r="Z249" s="115">
        <v>0</v>
      </c>
      <c r="AA249" s="115">
        <v>0</v>
      </c>
      <c r="AB249" s="115">
        <v>0</v>
      </c>
      <c r="AC249" s="115">
        <v>0</v>
      </c>
      <c r="AD249" s="115">
        <v>0</v>
      </c>
      <c r="AE249" s="115">
        <v>0</v>
      </c>
      <c r="AF249" s="115">
        <v>0</v>
      </c>
      <c r="AG249" s="115">
        <v>0</v>
      </c>
      <c r="AH249" s="115">
        <v>0</v>
      </c>
      <c r="AI249" s="115">
        <v>0</v>
      </c>
      <c r="AJ249" s="115">
        <v>0</v>
      </c>
      <c r="AK249" s="115">
        <v>0</v>
      </c>
      <c r="AL249" s="115">
        <v>0</v>
      </c>
      <c r="AM249" s="115">
        <v>0</v>
      </c>
      <c r="AN249" s="115">
        <v>0</v>
      </c>
      <c r="AO249" s="115">
        <v>0</v>
      </c>
      <c r="AP249" s="115">
        <v>0</v>
      </c>
      <c r="AQ249" s="115">
        <v>0</v>
      </c>
      <c r="AR249" s="115">
        <v>0</v>
      </c>
      <c r="AS249" s="115">
        <v>0</v>
      </c>
      <c r="AT249" s="115">
        <v>0</v>
      </c>
      <c r="AU249" s="115">
        <v>0</v>
      </c>
      <c r="AV249" s="115">
        <v>0</v>
      </c>
      <c r="AW249" s="115">
        <v>0</v>
      </c>
      <c r="AX249" s="115">
        <v>0</v>
      </c>
      <c r="AY249" s="115">
        <v>0</v>
      </c>
    </row>
    <row r="250" spans="1:51" x14ac:dyDescent="0.2">
      <c r="A250" s="114"/>
      <c r="B250" s="135">
        <v>42</v>
      </c>
      <c r="C250" s="111"/>
      <c r="D250" s="115">
        <v>0</v>
      </c>
      <c r="E250" s="115">
        <v>0</v>
      </c>
      <c r="F250" s="115">
        <v>0</v>
      </c>
      <c r="G250" s="115">
        <v>0</v>
      </c>
      <c r="H250" s="115">
        <v>0</v>
      </c>
      <c r="I250" s="115">
        <v>0</v>
      </c>
      <c r="J250" s="115">
        <v>0</v>
      </c>
      <c r="K250" s="115">
        <v>0</v>
      </c>
      <c r="L250" s="115">
        <v>0</v>
      </c>
      <c r="M250" s="115">
        <v>0</v>
      </c>
      <c r="N250" s="115">
        <v>0</v>
      </c>
      <c r="O250" s="115">
        <v>0</v>
      </c>
      <c r="P250" s="115">
        <v>0</v>
      </c>
      <c r="Q250" s="115">
        <v>0</v>
      </c>
      <c r="R250" s="115">
        <v>0</v>
      </c>
      <c r="S250" s="115">
        <v>0</v>
      </c>
      <c r="T250" s="115">
        <v>0</v>
      </c>
      <c r="U250" s="115">
        <v>0</v>
      </c>
      <c r="V250" s="115">
        <v>0</v>
      </c>
      <c r="W250" s="115">
        <v>0</v>
      </c>
      <c r="X250" s="115">
        <v>0</v>
      </c>
      <c r="Y250" s="115">
        <v>0</v>
      </c>
      <c r="Z250" s="115">
        <v>0</v>
      </c>
      <c r="AA250" s="115">
        <v>0</v>
      </c>
      <c r="AB250" s="115">
        <v>0</v>
      </c>
      <c r="AC250" s="115">
        <v>0</v>
      </c>
      <c r="AD250" s="115">
        <v>0</v>
      </c>
      <c r="AE250" s="115">
        <v>0</v>
      </c>
      <c r="AF250" s="115">
        <v>0</v>
      </c>
      <c r="AG250" s="115">
        <v>0</v>
      </c>
      <c r="AH250" s="115">
        <v>0</v>
      </c>
      <c r="AI250" s="115">
        <v>0</v>
      </c>
      <c r="AJ250" s="115">
        <v>0</v>
      </c>
      <c r="AK250" s="115">
        <v>0</v>
      </c>
      <c r="AL250" s="115">
        <v>0</v>
      </c>
      <c r="AM250" s="115">
        <v>0</v>
      </c>
      <c r="AN250" s="115">
        <v>0</v>
      </c>
      <c r="AO250" s="115">
        <v>0</v>
      </c>
      <c r="AP250" s="115">
        <v>0</v>
      </c>
      <c r="AQ250" s="115">
        <v>0</v>
      </c>
      <c r="AR250" s="115">
        <v>0</v>
      </c>
      <c r="AS250" s="115">
        <v>0</v>
      </c>
      <c r="AT250" s="115">
        <v>0</v>
      </c>
      <c r="AU250" s="115">
        <v>0</v>
      </c>
      <c r="AV250" s="115">
        <v>0</v>
      </c>
      <c r="AW250" s="115">
        <v>0</v>
      </c>
      <c r="AX250" s="115">
        <v>0</v>
      </c>
      <c r="AY250" s="115">
        <v>0</v>
      </c>
    </row>
    <row r="251" spans="1:51" x14ac:dyDescent="0.2">
      <c r="A251" s="114"/>
      <c r="B251" s="135">
        <v>43</v>
      </c>
      <c r="C251" s="111"/>
      <c r="D251" s="115">
        <v>0</v>
      </c>
      <c r="E251" s="115">
        <v>0</v>
      </c>
      <c r="F251" s="115">
        <v>0</v>
      </c>
      <c r="G251" s="115">
        <v>0</v>
      </c>
      <c r="H251" s="115">
        <v>0</v>
      </c>
      <c r="I251" s="115">
        <v>0</v>
      </c>
      <c r="J251" s="115">
        <v>0</v>
      </c>
      <c r="K251" s="115">
        <v>0</v>
      </c>
      <c r="L251" s="115">
        <v>0</v>
      </c>
      <c r="M251" s="115">
        <v>0</v>
      </c>
      <c r="N251" s="115">
        <v>0</v>
      </c>
      <c r="O251" s="115">
        <v>0</v>
      </c>
      <c r="P251" s="115">
        <v>0</v>
      </c>
      <c r="Q251" s="115">
        <v>0</v>
      </c>
      <c r="R251" s="115">
        <v>0</v>
      </c>
      <c r="S251" s="115">
        <v>0</v>
      </c>
      <c r="T251" s="115">
        <v>0</v>
      </c>
      <c r="U251" s="115">
        <v>0</v>
      </c>
      <c r="V251" s="115">
        <v>0</v>
      </c>
      <c r="W251" s="115">
        <v>0</v>
      </c>
      <c r="X251" s="115">
        <v>0</v>
      </c>
      <c r="Y251" s="115">
        <v>0</v>
      </c>
      <c r="Z251" s="115">
        <v>0</v>
      </c>
      <c r="AA251" s="115">
        <v>0</v>
      </c>
      <c r="AB251" s="115">
        <v>0</v>
      </c>
      <c r="AC251" s="115">
        <v>0</v>
      </c>
      <c r="AD251" s="115">
        <v>0</v>
      </c>
      <c r="AE251" s="115">
        <v>0</v>
      </c>
      <c r="AF251" s="115">
        <v>0</v>
      </c>
      <c r="AG251" s="115">
        <v>0</v>
      </c>
      <c r="AH251" s="115">
        <v>0</v>
      </c>
      <c r="AI251" s="115">
        <v>0</v>
      </c>
      <c r="AJ251" s="115">
        <v>0</v>
      </c>
      <c r="AK251" s="115">
        <v>0</v>
      </c>
      <c r="AL251" s="115">
        <v>0</v>
      </c>
      <c r="AM251" s="115">
        <v>0</v>
      </c>
      <c r="AN251" s="115">
        <v>0</v>
      </c>
      <c r="AO251" s="115">
        <v>0</v>
      </c>
      <c r="AP251" s="115">
        <v>0</v>
      </c>
      <c r="AQ251" s="115">
        <v>0</v>
      </c>
      <c r="AR251" s="115">
        <v>0</v>
      </c>
      <c r="AS251" s="115">
        <v>0</v>
      </c>
      <c r="AT251" s="115">
        <v>0</v>
      </c>
      <c r="AU251" s="115">
        <v>0</v>
      </c>
      <c r="AV251" s="115">
        <v>0</v>
      </c>
      <c r="AW251" s="115">
        <v>0</v>
      </c>
      <c r="AX251" s="115">
        <v>0</v>
      </c>
      <c r="AY251" s="115">
        <v>0</v>
      </c>
    </row>
    <row r="252" spans="1:51" x14ac:dyDescent="0.2">
      <c r="A252" s="114"/>
      <c r="B252" s="135">
        <v>44</v>
      </c>
      <c r="C252" s="111"/>
      <c r="D252" s="115">
        <v>0</v>
      </c>
      <c r="E252" s="115">
        <v>0</v>
      </c>
      <c r="F252" s="115">
        <v>0</v>
      </c>
      <c r="G252" s="115">
        <v>0</v>
      </c>
      <c r="H252" s="115">
        <v>0</v>
      </c>
      <c r="I252" s="115">
        <v>0</v>
      </c>
      <c r="J252" s="115">
        <v>0</v>
      </c>
      <c r="K252" s="115">
        <v>0</v>
      </c>
      <c r="L252" s="115">
        <v>0</v>
      </c>
      <c r="M252" s="115">
        <v>0</v>
      </c>
      <c r="N252" s="115">
        <v>0</v>
      </c>
      <c r="O252" s="115">
        <v>0</v>
      </c>
      <c r="P252" s="115">
        <v>0</v>
      </c>
      <c r="Q252" s="115">
        <v>0</v>
      </c>
      <c r="R252" s="115">
        <v>0</v>
      </c>
      <c r="S252" s="115">
        <v>0</v>
      </c>
      <c r="T252" s="115">
        <v>0</v>
      </c>
      <c r="U252" s="115">
        <v>0</v>
      </c>
      <c r="V252" s="115">
        <v>0</v>
      </c>
      <c r="W252" s="115">
        <v>0</v>
      </c>
      <c r="X252" s="115">
        <v>0</v>
      </c>
      <c r="Y252" s="115">
        <v>0</v>
      </c>
      <c r="Z252" s="115">
        <v>0</v>
      </c>
      <c r="AA252" s="115">
        <v>0</v>
      </c>
      <c r="AB252" s="115">
        <v>0</v>
      </c>
      <c r="AC252" s="115">
        <v>0</v>
      </c>
      <c r="AD252" s="115">
        <v>0</v>
      </c>
      <c r="AE252" s="115">
        <v>0</v>
      </c>
      <c r="AF252" s="115">
        <v>0</v>
      </c>
      <c r="AG252" s="115">
        <v>0</v>
      </c>
      <c r="AH252" s="115">
        <v>0</v>
      </c>
      <c r="AI252" s="115">
        <v>0</v>
      </c>
      <c r="AJ252" s="115">
        <v>0</v>
      </c>
      <c r="AK252" s="115">
        <v>0</v>
      </c>
      <c r="AL252" s="115">
        <v>0</v>
      </c>
      <c r="AM252" s="115">
        <v>0</v>
      </c>
      <c r="AN252" s="115">
        <v>0</v>
      </c>
      <c r="AO252" s="115">
        <v>0</v>
      </c>
      <c r="AP252" s="115">
        <v>0</v>
      </c>
      <c r="AQ252" s="115">
        <v>0</v>
      </c>
      <c r="AR252" s="115">
        <v>0</v>
      </c>
      <c r="AS252" s="115">
        <v>0</v>
      </c>
      <c r="AT252" s="115">
        <v>0</v>
      </c>
      <c r="AU252" s="115">
        <v>0</v>
      </c>
      <c r="AV252" s="115">
        <v>0</v>
      </c>
      <c r="AW252" s="115">
        <v>0</v>
      </c>
      <c r="AX252" s="115">
        <v>0</v>
      </c>
      <c r="AY252" s="115">
        <v>0</v>
      </c>
    </row>
    <row r="253" spans="1:51" x14ac:dyDescent="0.2">
      <c r="A253" s="114"/>
      <c r="B253" s="135">
        <v>45</v>
      </c>
      <c r="C253" s="111"/>
      <c r="D253" s="115">
        <v>0</v>
      </c>
      <c r="E253" s="115">
        <v>0</v>
      </c>
      <c r="F253" s="115">
        <v>0</v>
      </c>
      <c r="G253" s="115">
        <v>0</v>
      </c>
      <c r="H253" s="115">
        <v>0</v>
      </c>
      <c r="I253" s="115">
        <v>0</v>
      </c>
      <c r="J253" s="115">
        <v>0</v>
      </c>
      <c r="K253" s="115">
        <v>0</v>
      </c>
      <c r="L253" s="115">
        <v>0</v>
      </c>
      <c r="M253" s="115">
        <v>0</v>
      </c>
      <c r="N253" s="115">
        <v>0</v>
      </c>
      <c r="O253" s="115">
        <v>0</v>
      </c>
      <c r="P253" s="115">
        <v>0</v>
      </c>
      <c r="Q253" s="115">
        <v>0</v>
      </c>
      <c r="R253" s="115">
        <v>0</v>
      </c>
      <c r="S253" s="115">
        <v>0</v>
      </c>
      <c r="T253" s="115">
        <v>0</v>
      </c>
      <c r="U253" s="115">
        <v>0</v>
      </c>
      <c r="V253" s="115">
        <v>0</v>
      </c>
      <c r="W253" s="115">
        <v>0</v>
      </c>
      <c r="X253" s="115">
        <v>0</v>
      </c>
      <c r="Y253" s="115">
        <v>0</v>
      </c>
      <c r="Z253" s="115">
        <v>0</v>
      </c>
      <c r="AA253" s="115">
        <v>0</v>
      </c>
      <c r="AB253" s="115">
        <v>0</v>
      </c>
      <c r="AC253" s="115">
        <v>0</v>
      </c>
      <c r="AD253" s="115">
        <v>0</v>
      </c>
      <c r="AE253" s="115">
        <v>0</v>
      </c>
      <c r="AF253" s="115">
        <v>0</v>
      </c>
      <c r="AG253" s="115">
        <v>0</v>
      </c>
      <c r="AH253" s="115">
        <v>0</v>
      </c>
      <c r="AI253" s="115">
        <v>0</v>
      </c>
      <c r="AJ253" s="115">
        <v>0</v>
      </c>
      <c r="AK253" s="115">
        <v>0</v>
      </c>
      <c r="AL253" s="115">
        <v>0</v>
      </c>
      <c r="AM253" s="115">
        <v>0</v>
      </c>
      <c r="AN253" s="115">
        <v>0</v>
      </c>
      <c r="AO253" s="115">
        <v>0</v>
      </c>
      <c r="AP253" s="115">
        <v>0</v>
      </c>
      <c r="AQ253" s="115">
        <v>0</v>
      </c>
      <c r="AR253" s="115">
        <v>0</v>
      </c>
      <c r="AS253" s="115">
        <v>0</v>
      </c>
      <c r="AT253" s="115">
        <v>0</v>
      </c>
      <c r="AU253" s="115">
        <v>0</v>
      </c>
      <c r="AV253" s="115">
        <v>0</v>
      </c>
      <c r="AW253" s="115">
        <v>0</v>
      </c>
      <c r="AX253" s="115">
        <v>0</v>
      </c>
      <c r="AY253" s="115">
        <v>0</v>
      </c>
    </row>
    <row r="254" spans="1:51" x14ac:dyDescent="0.2">
      <c r="A254" s="114"/>
      <c r="B254" s="135">
        <v>46</v>
      </c>
      <c r="C254" s="111"/>
      <c r="D254" s="115">
        <v>0</v>
      </c>
      <c r="E254" s="115">
        <v>0</v>
      </c>
      <c r="F254" s="115">
        <v>0</v>
      </c>
      <c r="G254" s="115">
        <v>0</v>
      </c>
      <c r="H254" s="115">
        <v>0</v>
      </c>
      <c r="I254" s="115">
        <v>0</v>
      </c>
      <c r="J254" s="115">
        <v>0</v>
      </c>
      <c r="K254" s="115">
        <v>0</v>
      </c>
      <c r="L254" s="115">
        <v>0</v>
      </c>
      <c r="M254" s="115">
        <v>0</v>
      </c>
      <c r="N254" s="115">
        <v>0</v>
      </c>
      <c r="O254" s="115">
        <v>0</v>
      </c>
      <c r="P254" s="115">
        <v>0</v>
      </c>
      <c r="Q254" s="115">
        <v>0</v>
      </c>
      <c r="R254" s="115">
        <v>0</v>
      </c>
      <c r="S254" s="115">
        <v>0</v>
      </c>
      <c r="T254" s="115">
        <v>0</v>
      </c>
      <c r="U254" s="115">
        <v>0</v>
      </c>
      <c r="V254" s="115">
        <v>0</v>
      </c>
      <c r="W254" s="115">
        <v>0</v>
      </c>
      <c r="X254" s="115">
        <v>0</v>
      </c>
      <c r="Y254" s="115">
        <v>0</v>
      </c>
      <c r="Z254" s="115">
        <v>0</v>
      </c>
      <c r="AA254" s="115">
        <v>0</v>
      </c>
      <c r="AB254" s="115">
        <v>0</v>
      </c>
      <c r="AC254" s="115">
        <v>0</v>
      </c>
      <c r="AD254" s="115">
        <v>0</v>
      </c>
      <c r="AE254" s="115">
        <v>0</v>
      </c>
      <c r="AF254" s="115">
        <v>0</v>
      </c>
      <c r="AG254" s="115">
        <v>0</v>
      </c>
      <c r="AH254" s="115">
        <v>0</v>
      </c>
      <c r="AI254" s="115">
        <v>0</v>
      </c>
      <c r="AJ254" s="115">
        <v>0</v>
      </c>
      <c r="AK254" s="115">
        <v>0</v>
      </c>
      <c r="AL254" s="115">
        <v>0</v>
      </c>
      <c r="AM254" s="115">
        <v>0</v>
      </c>
      <c r="AN254" s="115">
        <v>0</v>
      </c>
      <c r="AO254" s="115">
        <v>0</v>
      </c>
      <c r="AP254" s="115">
        <v>0</v>
      </c>
      <c r="AQ254" s="115">
        <v>0</v>
      </c>
      <c r="AR254" s="115">
        <v>0</v>
      </c>
      <c r="AS254" s="115">
        <v>0</v>
      </c>
      <c r="AT254" s="115">
        <v>0</v>
      </c>
      <c r="AU254" s="115">
        <v>0</v>
      </c>
      <c r="AV254" s="115">
        <v>0</v>
      </c>
      <c r="AW254" s="115">
        <v>0</v>
      </c>
      <c r="AX254" s="115">
        <v>0</v>
      </c>
      <c r="AY254" s="115">
        <v>0</v>
      </c>
    </row>
    <row r="255" spans="1:51" x14ac:dyDescent="0.2">
      <c r="A255" s="114"/>
      <c r="B255" s="135">
        <v>47</v>
      </c>
      <c r="C255" s="111"/>
      <c r="D255" s="115">
        <v>0</v>
      </c>
      <c r="E255" s="115">
        <v>0</v>
      </c>
      <c r="F255" s="115">
        <v>0</v>
      </c>
      <c r="G255" s="115">
        <v>0</v>
      </c>
      <c r="H255" s="115">
        <v>0</v>
      </c>
      <c r="I255" s="115">
        <v>0</v>
      </c>
      <c r="J255" s="115">
        <v>0</v>
      </c>
      <c r="K255" s="115">
        <v>0</v>
      </c>
      <c r="L255" s="115">
        <v>0</v>
      </c>
      <c r="M255" s="115">
        <v>0</v>
      </c>
      <c r="N255" s="115">
        <v>0</v>
      </c>
      <c r="O255" s="115">
        <v>0</v>
      </c>
      <c r="P255" s="115">
        <v>0</v>
      </c>
      <c r="Q255" s="115">
        <v>0</v>
      </c>
      <c r="R255" s="115">
        <v>0</v>
      </c>
      <c r="S255" s="115">
        <v>0</v>
      </c>
      <c r="T255" s="115">
        <v>0</v>
      </c>
      <c r="U255" s="115">
        <v>0</v>
      </c>
      <c r="V255" s="115">
        <v>0</v>
      </c>
      <c r="W255" s="115">
        <v>0</v>
      </c>
      <c r="X255" s="115">
        <v>0</v>
      </c>
      <c r="Y255" s="115">
        <v>0</v>
      </c>
      <c r="Z255" s="115">
        <v>0</v>
      </c>
      <c r="AA255" s="115">
        <v>0</v>
      </c>
      <c r="AB255" s="115">
        <v>0</v>
      </c>
      <c r="AC255" s="115">
        <v>0</v>
      </c>
      <c r="AD255" s="115">
        <v>0</v>
      </c>
      <c r="AE255" s="115">
        <v>0</v>
      </c>
      <c r="AF255" s="115">
        <v>0</v>
      </c>
      <c r="AG255" s="115">
        <v>0</v>
      </c>
      <c r="AH255" s="115">
        <v>0</v>
      </c>
      <c r="AI255" s="115">
        <v>0</v>
      </c>
      <c r="AJ255" s="115">
        <v>0</v>
      </c>
      <c r="AK255" s="115">
        <v>0</v>
      </c>
      <c r="AL255" s="115">
        <v>0</v>
      </c>
      <c r="AM255" s="115">
        <v>0</v>
      </c>
      <c r="AN255" s="115">
        <v>0</v>
      </c>
      <c r="AO255" s="115">
        <v>0</v>
      </c>
      <c r="AP255" s="115">
        <v>0</v>
      </c>
      <c r="AQ255" s="115">
        <v>0</v>
      </c>
      <c r="AR255" s="115">
        <v>0</v>
      </c>
      <c r="AS255" s="115">
        <v>0</v>
      </c>
      <c r="AT255" s="115">
        <v>0</v>
      </c>
      <c r="AU255" s="115">
        <v>0</v>
      </c>
      <c r="AV255" s="115">
        <v>0</v>
      </c>
      <c r="AW255" s="115">
        <v>0</v>
      </c>
      <c r="AX255" s="115">
        <v>0</v>
      </c>
      <c r="AY255" s="115">
        <v>0</v>
      </c>
    </row>
    <row r="256" spans="1:51" x14ac:dyDescent="0.2">
      <c r="A256" s="133"/>
      <c r="B256" s="134">
        <v>48</v>
      </c>
      <c r="C256" s="119"/>
      <c r="D256" s="130">
        <v>0</v>
      </c>
      <c r="E256" s="130">
        <v>0</v>
      </c>
      <c r="F256" s="130">
        <v>0</v>
      </c>
      <c r="G256" s="130">
        <v>0</v>
      </c>
      <c r="H256" s="130">
        <v>0</v>
      </c>
      <c r="I256" s="130">
        <v>0</v>
      </c>
      <c r="J256" s="130">
        <v>0</v>
      </c>
      <c r="K256" s="130">
        <v>0</v>
      </c>
      <c r="L256" s="130">
        <v>0</v>
      </c>
      <c r="M256" s="130">
        <v>0</v>
      </c>
      <c r="N256" s="130">
        <v>0</v>
      </c>
      <c r="O256" s="130">
        <v>0</v>
      </c>
      <c r="P256" s="130">
        <v>0</v>
      </c>
      <c r="Q256" s="130">
        <v>0</v>
      </c>
      <c r="R256" s="130">
        <v>0</v>
      </c>
      <c r="S256" s="130">
        <v>0</v>
      </c>
      <c r="T256" s="130">
        <v>0</v>
      </c>
      <c r="U256" s="130">
        <v>0</v>
      </c>
      <c r="V256" s="130">
        <v>0</v>
      </c>
      <c r="W256" s="130">
        <v>0</v>
      </c>
      <c r="X256" s="130">
        <v>0</v>
      </c>
      <c r="Y256" s="130">
        <v>0</v>
      </c>
      <c r="Z256" s="130">
        <v>0</v>
      </c>
      <c r="AA256" s="130">
        <v>0</v>
      </c>
      <c r="AB256" s="130">
        <v>0</v>
      </c>
      <c r="AC256" s="130">
        <v>0</v>
      </c>
      <c r="AD256" s="130">
        <v>0</v>
      </c>
      <c r="AE256" s="130">
        <v>0</v>
      </c>
      <c r="AF256" s="130">
        <v>0</v>
      </c>
      <c r="AG256" s="130">
        <v>0</v>
      </c>
      <c r="AH256" s="130">
        <v>0</v>
      </c>
      <c r="AI256" s="130">
        <v>0</v>
      </c>
      <c r="AJ256" s="130">
        <v>0</v>
      </c>
      <c r="AK256" s="130">
        <v>0</v>
      </c>
      <c r="AL256" s="130">
        <v>0</v>
      </c>
      <c r="AM256" s="130">
        <v>0</v>
      </c>
      <c r="AN256" s="130">
        <v>0</v>
      </c>
      <c r="AO256" s="130">
        <v>0</v>
      </c>
      <c r="AP256" s="130">
        <v>0</v>
      </c>
      <c r="AQ256" s="130">
        <v>0</v>
      </c>
      <c r="AR256" s="130">
        <v>0</v>
      </c>
      <c r="AS256" s="130">
        <v>0</v>
      </c>
      <c r="AT256" s="130">
        <v>0</v>
      </c>
      <c r="AU256" s="130">
        <v>0</v>
      </c>
      <c r="AV256" s="130">
        <v>0</v>
      </c>
      <c r="AW256" s="130">
        <v>0</v>
      </c>
      <c r="AX256" s="130">
        <v>0</v>
      </c>
      <c r="AY256" s="130">
        <v>0</v>
      </c>
    </row>
    <row r="258" spans="1:52" x14ac:dyDescent="0.2">
      <c r="A258" s="107" t="s">
        <v>303</v>
      </c>
    </row>
    <row r="259" spans="1:52" x14ac:dyDescent="0.2">
      <c r="A259" s="142" t="s">
        <v>124</v>
      </c>
      <c r="B259" s="143">
        <v>650</v>
      </c>
      <c r="C259" s="129" t="s">
        <v>295</v>
      </c>
      <c r="D259" s="129">
        <f>E$14*$B$259</f>
        <v>151099.5902851109</v>
      </c>
      <c r="E259" s="129">
        <f t="shared" ref="E259:AX259" si="5">F$14*$B$259</f>
        <v>151099.5902851109</v>
      </c>
      <c r="F259" s="129">
        <f t="shared" si="5"/>
        <v>180772.54025984558</v>
      </c>
      <c r="G259" s="129">
        <f t="shared" si="5"/>
        <v>180772.54025984558</v>
      </c>
      <c r="H259" s="129">
        <f t="shared" si="5"/>
        <v>180827.51421490306</v>
      </c>
      <c r="I259" s="129">
        <f t="shared" si="5"/>
        <v>180772.54025984558</v>
      </c>
      <c r="J259" s="129">
        <f t="shared" si="5"/>
        <v>212165.31827039248</v>
      </c>
      <c r="K259" s="129">
        <f t="shared" si="5"/>
        <v>206083.39623904094</v>
      </c>
      <c r="L259" s="129">
        <f t="shared" si="5"/>
        <v>229995.22017333267</v>
      </c>
      <c r="M259" s="129">
        <f t="shared" si="5"/>
        <v>232871.9157994519</v>
      </c>
      <c r="N259" s="129">
        <f t="shared" si="5"/>
        <v>213000.80621286968</v>
      </c>
      <c r="O259" s="129">
        <f t="shared" si="5"/>
        <v>198461.49635187225</v>
      </c>
      <c r="P259" s="129">
        <f t="shared" si="5"/>
        <v>183739.83525731909</v>
      </c>
      <c r="Q259" s="129">
        <f t="shared" si="5"/>
        <v>183739.83525731909</v>
      </c>
      <c r="R259" s="129">
        <f t="shared" si="5"/>
        <v>183902.20517084724</v>
      </c>
      <c r="S259" s="129">
        <f t="shared" si="5"/>
        <v>186375.34849994033</v>
      </c>
      <c r="T259" s="129">
        <f t="shared" si="5"/>
        <v>203028.32602979665</v>
      </c>
      <c r="U259" s="129">
        <f t="shared" si="5"/>
        <v>215396.76760427884</v>
      </c>
      <c r="V259" s="129">
        <f t="shared" si="5"/>
        <v>194257.59469788076</v>
      </c>
      <c r="W259" s="129">
        <f t="shared" si="5"/>
        <v>177805.2452623721</v>
      </c>
      <c r="X259" s="129">
        <f t="shared" si="5"/>
        <v>177805.2452623721</v>
      </c>
      <c r="Y259" s="129">
        <f t="shared" si="5"/>
        <v>177805.2452623721</v>
      </c>
      <c r="Z259" s="129">
        <f t="shared" si="5"/>
        <v>177805.2452623721</v>
      </c>
      <c r="AA259" s="129">
        <f t="shared" si="5"/>
        <v>177805.2452623721</v>
      </c>
      <c r="AB259" s="129">
        <f t="shared" si="5"/>
        <v>177805.2452623721</v>
      </c>
      <c r="AC259" s="129">
        <f t="shared" si="5"/>
        <v>177805.2452623721</v>
      </c>
      <c r="AD259" s="129">
        <f t="shared" si="5"/>
        <v>177805.2452623721</v>
      </c>
      <c r="AE259" s="129">
        <f t="shared" si="5"/>
        <v>177805.2452623721</v>
      </c>
      <c r="AF259" s="129">
        <f t="shared" si="5"/>
        <v>177805.2452623721</v>
      </c>
      <c r="AG259" s="129">
        <f t="shared" si="5"/>
        <v>177805.2452623721</v>
      </c>
      <c r="AH259" s="129">
        <f t="shared" si="5"/>
        <v>183739.83525731909</v>
      </c>
      <c r="AI259" s="129">
        <f t="shared" si="5"/>
        <v>183739.83525731909</v>
      </c>
      <c r="AJ259" s="129">
        <f t="shared" si="5"/>
        <v>190262.50016832075</v>
      </c>
      <c r="AK259" s="129">
        <f t="shared" si="5"/>
        <v>203801.08539534212</v>
      </c>
      <c r="AL259" s="129">
        <f t="shared" si="5"/>
        <v>183739.83525731909</v>
      </c>
      <c r="AM259" s="129">
        <f t="shared" si="5"/>
        <v>183739.83525731909</v>
      </c>
      <c r="AN259" s="129">
        <f t="shared" si="5"/>
        <v>198481.25869976892</v>
      </c>
      <c r="AO259" s="129">
        <f t="shared" si="5"/>
        <v>212528.89083357947</v>
      </c>
      <c r="AP259" s="129">
        <f t="shared" si="5"/>
        <v>211294.94918330412</v>
      </c>
      <c r="AQ259" s="129">
        <f t="shared" si="5"/>
        <v>228184.11703007834</v>
      </c>
      <c r="AR259" s="129">
        <f t="shared" si="5"/>
        <v>222026.23466443317</v>
      </c>
      <c r="AS259" s="129">
        <f t="shared" si="5"/>
        <v>213700.77112460413</v>
      </c>
      <c r="AT259" s="129">
        <f t="shared" si="5"/>
        <v>206714.5960244709</v>
      </c>
      <c r="AU259" s="129">
        <f t="shared" si="5"/>
        <v>218301.93244236155</v>
      </c>
      <c r="AV259" s="129">
        <f t="shared" si="5"/>
        <v>180772.54025984555</v>
      </c>
      <c r="AW259" s="129">
        <f t="shared" si="5"/>
        <v>180772.54025984558</v>
      </c>
      <c r="AX259" s="129">
        <f t="shared" si="5"/>
        <v>177805.2452623721</v>
      </c>
      <c r="AY259" s="129">
        <f>AZ$14*$B$259</f>
        <v>177805.2452623721</v>
      </c>
      <c r="AZ259" s="144">
        <f>SUM($D259:$AY259)</f>
        <v>9181631.3266550712</v>
      </c>
    </row>
    <row r="260" spans="1:52" x14ac:dyDescent="0.2">
      <c r="A260" s="145" t="s">
        <v>304</v>
      </c>
      <c r="B260" s="119">
        <v>60</v>
      </c>
      <c r="C260" s="130" t="s">
        <v>295</v>
      </c>
      <c r="D260" s="130">
        <f>(D$175-D$176+D$177-D$178+D$179-D$180+D$181-D$182)*$B$260</f>
        <v>18341.96058615463</v>
      </c>
      <c r="E260" s="130">
        <f t="shared" ref="E260:AY260" si="6">(E$175-E$176+E$177-E$178+E$179-E$180+E$181-E$182)*$B$260</f>
        <v>28463.921172309256</v>
      </c>
      <c r="F260" s="130">
        <f t="shared" si="6"/>
        <v>47790.86407276403</v>
      </c>
      <c r="G260" s="130">
        <f t="shared" si="6"/>
        <v>59285.998745043187</v>
      </c>
      <c r="H260" s="130">
        <f t="shared" si="6"/>
        <v>75384.945932289091</v>
      </c>
      <c r="I260" s="130">
        <f t="shared" si="6"/>
        <v>113361.02621020851</v>
      </c>
      <c r="J260" s="130">
        <f t="shared" si="6"/>
        <v>134202.42504964251</v>
      </c>
      <c r="K260" s="130">
        <f t="shared" si="6"/>
        <v>162343.02696986706</v>
      </c>
      <c r="L260" s="130">
        <f t="shared" si="6"/>
        <v>186994.9754163399</v>
      </c>
      <c r="M260" s="130">
        <f t="shared" si="6"/>
        <v>210348.62801433646</v>
      </c>
      <c r="N260" s="130">
        <f t="shared" si="6"/>
        <v>237902.07801658232</v>
      </c>
      <c r="O260" s="130">
        <f t="shared" si="6"/>
        <v>249351.28937249311</v>
      </c>
      <c r="P260" s="130">
        <f t="shared" si="6"/>
        <v>250522.09659978061</v>
      </c>
      <c r="Q260" s="130">
        <f t="shared" si="6"/>
        <v>256438.93762911021</v>
      </c>
      <c r="R260" s="130">
        <f t="shared" si="6"/>
        <v>251732.60269269772</v>
      </c>
      <c r="S260" s="130">
        <f t="shared" si="6"/>
        <v>269852.9655948485</v>
      </c>
      <c r="T260" s="130">
        <f t="shared" si="6"/>
        <v>266744.42072462116</v>
      </c>
      <c r="U260" s="130">
        <f t="shared" si="6"/>
        <v>258571.37148104366</v>
      </c>
      <c r="V260" s="130">
        <f t="shared" si="6"/>
        <v>239915.33577876576</v>
      </c>
      <c r="W260" s="130">
        <f t="shared" si="6"/>
        <v>248265.09408282483</v>
      </c>
      <c r="X260" s="130">
        <f t="shared" si="6"/>
        <v>242716.37003606776</v>
      </c>
      <c r="Y260" s="130">
        <f t="shared" si="6"/>
        <v>237047.64598931069</v>
      </c>
      <c r="Z260" s="130">
        <f t="shared" si="6"/>
        <v>242538.92194255366</v>
      </c>
      <c r="AA260" s="130">
        <f t="shared" si="6"/>
        <v>226490.19789579671</v>
      </c>
      <c r="AB260" s="130">
        <f t="shared" si="6"/>
        <v>230903.23837657881</v>
      </c>
      <c r="AC260" s="130">
        <f t="shared" si="6"/>
        <v>220672.7498022826</v>
      </c>
      <c r="AD260" s="130">
        <f t="shared" si="6"/>
        <v>220945.79028306471</v>
      </c>
      <c r="AE260" s="130">
        <f t="shared" si="6"/>
        <v>230875.3017087685</v>
      </c>
      <c r="AF260" s="130">
        <f t="shared" si="6"/>
        <v>230026.96977924232</v>
      </c>
      <c r="AG260" s="130">
        <f t="shared" si="6"/>
        <v>230618.63784971627</v>
      </c>
      <c r="AH260" s="130">
        <f t="shared" si="6"/>
        <v>254065.06691058938</v>
      </c>
      <c r="AI260" s="130">
        <f t="shared" si="6"/>
        <v>254100.73158822619</v>
      </c>
      <c r="AJ260" s="130">
        <f t="shared" si="6"/>
        <v>266475.6765305404</v>
      </c>
      <c r="AK260" s="130">
        <f t="shared" si="6"/>
        <v>263902.02881589858</v>
      </c>
      <c r="AL260" s="130">
        <f t="shared" si="6"/>
        <v>269625.9172442758</v>
      </c>
      <c r="AM260" s="130">
        <f t="shared" si="6"/>
        <v>269417.99796760461</v>
      </c>
      <c r="AN260" s="130">
        <f t="shared" si="6"/>
        <v>268493.99260570802</v>
      </c>
      <c r="AO260" s="130">
        <f t="shared" si="6"/>
        <v>270454.02951845515</v>
      </c>
      <c r="AP260" s="130">
        <f t="shared" si="6"/>
        <v>299144.67324204108</v>
      </c>
      <c r="AQ260" s="130">
        <f t="shared" si="6"/>
        <v>290282.41455051454</v>
      </c>
      <c r="AR260" s="130">
        <f t="shared" si="6"/>
        <v>298267.37981998059</v>
      </c>
      <c r="AS260" s="130">
        <f t="shared" si="6"/>
        <v>282692.42950552516</v>
      </c>
      <c r="AT260" s="130">
        <f t="shared" si="6"/>
        <v>289985.66459214286</v>
      </c>
      <c r="AU260" s="130">
        <f t="shared" si="6"/>
        <v>278045.66035774484</v>
      </c>
      <c r="AV260" s="130">
        <f t="shared" si="6"/>
        <v>280361.39422349364</v>
      </c>
      <c r="AW260" s="130">
        <f t="shared" si="6"/>
        <v>267212.87650316407</v>
      </c>
      <c r="AX260" s="130">
        <f t="shared" si="6"/>
        <v>259557.86055140448</v>
      </c>
      <c r="AY260" s="130">
        <f t="shared" si="6"/>
        <v>253668.94044603198</v>
      </c>
      <c r="AZ260" s="146">
        <f>SUM($D260:$AY260)</f>
        <v>10794404.522778446</v>
      </c>
    </row>
  </sheetData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14.7109375" style="105" customWidth="1"/>
    <col min="2" max="2" width="12.7109375" style="105" customWidth="1"/>
    <col min="3" max="16384" width="9.140625" style="105"/>
  </cols>
  <sheetData>
    <row r="1" spans="1:55" x14ac:dyDescent="0.2">
      <c r="A1" s="107" t="s">
        <v>286</v>
      </c>
    </row>
    <row r="2" spans="1:55" x14ac:dyDescent="0.2">
      <c r="A2" s="105" t="s">
        <v>287</v>
      </c>
      <c r="B2" s="112" t="s">
        <v>57</v>
      </c>
    </row>
    <row r="3" spans="1:55" x14ac:dyDescent="0.2">
      <c r="A3" s="105" t="s">
        <v>288</v>
      </c>
      <c r="B3" s="113">
        <v>4000</v>
      </c>
      <c r="C3" s="114"/>
    </row>
    <row r="4" spans="1:55" x14ac:dyDescent="0.2">
      <c r="B4" s="115"/>
      <c r="C4" s="115"/>
    </row>
    <row r="5" spans="1:55" x14ac:dyDescent="0.2">
      <c r="C5" s="116" t="s">
        <v>289</v>
      </c>
    </row>
    <row r="6" spans="1:55" x14ac:dyDescent="0.2">
      <c r="C6" s="117">
        <v>0</v>
      </c>
      <c r="D6" s="117">
        <v>1</v>
      </c>
      <c r="E6" s="117">
        <v>2</v>
      </c>
      <c r="F6" s="117">
        <v>3</v>
      </c>
      <c r="G6" s="117">
        <v>4</v>
      </c>
      <c r="H6" s="117">
        <v>5</v>
      </c>
      <c r="I6" s="117">
        <v>6</v>
      </c>
      <c r="J6" s="117">
        <v>7</v>
      </c>
      <c r="K6" s="117">
        <v>8</v>
      </c>
      <c r="L6" s="117">
        <v>9</v>
      </c>
      <c r="M6" s="117">
        <v>10</v>
      </c>
      <c r="N6" s="117">
        <v>11</v>
      </c>
      <c r="O6" s="117">
        <v>12</v>
      </c>
      <c r="P6" s="117">
        <v>13</v>
      </c>
      <c r="Q6" s="117">
        <v>14</v>
      </c>
      <c r="R6" s="117">
        <v>15</v>
      </c>
      <c r="S6" s="117">
        <v>16</v>
      </c>
      <c r="T6" s="117">
        <v>17</v>
      </c>
      <c r="U6" s="117">
        <v>18</v>
      </c>
      <c r="V6" s="117">
        <v>19</v>
      </c>
      <c r="W6" s="117">
        <v>20</v>
      </c>
      <c r="X6" s="117">
        <v>21</v>
      </c>
      <c r="Y6" s="117">
        <v>22</v>
      </c>
      <c r="Z6" s="117">
        <v>23</v>
      </c>
      <c r="AA6" s="117">
        <v>24</v>
      </c>
      <c r="AB6" s="117">
        <v>25</v>
      </c>
      <c r="AC6" s="117">
        <v>26</v>
      </c>
      <c r="AD6" s="117">
        <v>27</v>
      </c>
      <c r="AE6" s="117">
        <v>28</v>
      </c>
      <c r="AF6" s="117">
        <v>29</v>
      </c>
      <c r="AG6" s="117">
        <v>30</v>
      </c>
      <c r="AH6" s="117">
        <v>31</v>
      </c>
      <c r="AI6" s="117">
        <v>32</v>
      </c>
      <c r="AJ6" s="117">
        <v>33</v>
      </c>
      <c r="AK6" s="117">
        <v>34</v>
      </c>
      <c r="AL6" s="117">
        <v>35</v>
      </c>
      <c r="AM6" s="117">
        <v>36</v>
      </c>
      <c r="AN6" s="117">
        <v>37</v>
      </c>
      <c r="AO6" s="117">
        <v>38</v>
      </c>
      <c r="AP6" s="117">
        <v>39</v>
      </c>
      <c r="AQ6" s="117">
        <v>40</v>
      </c>
      <c r="AR6" s="117">
        <v>41</v>
      </c>
      <c r="AS6" s="117">
        <v>42</v>
      </c>
      <c r="AT6" s="117">
        <v>43</v>
      </c>
      <c r="AU6" s="117">
        <v>44</v>
      </c>
      <c r="AV6" s="117">
        <v>45</v>
      </c>
      <c r="AW6" s="117">
        <v>46</v>
      </c>
      <c r="AX6" s="117">
        <v>47</v>
      </c>
      <c r="AY6" s="117">
        <v>48</v>
      </c>
    </row>
    <row r="7" spans="1:55" x14ac:dyDescent="0.2">
      <c r="B7" s="115"/>
      <c r="C7" s="118" t="s">
        <v>290</v>
      </c>
      <c r="D7" s="117" t="s">
        <v>291</v>
      </c>
      <c r="E7" s="117" t="s">
        <v>291</v>
      </c>
      <c r="F7" s="117" t="s">
        <v>291</v>
      </c>
      <c r="G7" s="117" t="s">
        <v>291</v>
      </c>
      <c r="H7" s="117" t="s">
        <v>291</v>
      </c>
      <c r="I7" s="117" t="s">
        <v>291</v>
      </c>
      <c r="J7" s="117" t="s">
        <v>291</v>
      </c>
      <c r="K7" s="117" t="s">
        <v>291</v>
      </c>
      <c r="L7" s="117" t="s">
        <v>291</v>
      </c>
      <c r="M7" s="117" t="s">
        <v>291</v>
      </c>
      <c r="N7" s="117" t="s">
        <v>291</v>
      </c>
      <c r="O7" s="117" t="s">
        <v>291</v>
      </c>
      <c r="P7" s="117" t="s">
        <v>291</v>
      </c>
      <c r="Q7" s="117" t="s">
        <v>291</v>
      </c>
      <c r="R7" s="117" t="s">
        <v>291</v>
      </c>
      <c r="S7" s="117" t="s">
        <v>291</v>
      </c>
      <c r="T7" s="117" t="s">
        <v>291</v>
      </c>
      <c r="U7" s="117" t="s">
        <v>291</v>
      </c>
      <c r="V7" s="117" t="s">
        <v>291</v>
      </c>
      <c r="W7" s="117" t="s">
        <v>291</v>
      </c>
      <c r="X7" s="117" t="s">
        <v>291</v>
      </c>
      <c r="Y7" s="117" t="s">
        <v>291</v>
      </c>
      <c r="Z7" s="117" t="s">
        <v>291</v>
      </c>
      <c r="AA7" s="117" t="s">
        <v>291</v>
      </c>
      <c r="AB7" s="117" t="s">
        <v>291</v>
      </c>
      <c r="AC7" s="117" t="s">
        <v>291</v>
      </c>
      <c r="AD7" s="117" t="s">
        <v>291</v>
      </c>
      <c r="AE7" s="117" t="s">
        <v>291</v>
      </c>
      <c r="AF7" s="117" t="s">
        <v>291</v>
      </c>
      <c r="AG7" s="117" t="s">
        <v>291</v>
      </c>
      <c r="AH7" s="117" t="s">
        <v>291</v>
      </c>
      <c r="AI7" s="117" t="s">
        <v>291</v>
      </c>
      <c r="AJ7" s="117" t="s">
        <v>291</v>
      </c>
      <c r="AK7" s="117" t="s">
        <v>291</v>
      </c>
      <c r="AL7" s="117" t="s">
        <v>291</v>
      </c>
      <c r="AM7" s="117" t="s">
        <v>291</v>
      </c>
      <c r="AN7" s="117" t="s">
        <v>291</v>
      </c>
      <c r="AO7" s="117" t="s">
        <v>291</v>
      </c>
      <c r="AP7" s="117" t="s">
        <v>291</v>
      </c>
      <c r="AQ7" s="117" t="s">
        <v>291</v>
      </c>
      <c r="AR7" s="117" t="s">
        <v>291</v>
      </c>
      <c r="AS7" s="117" t="s">
        <v>291</v>
      </c>
      <c r="AT7" s="117" t="s">
        <v>291</v>
      </c>
      <c r="AU7" s="117" t="s">
        <v>291</v>
      </c>
      <c r="AV7" s="117" t="s">
        <v>291</v>
      </c>
      <c r="AW7" s="117" t="s">
        <v>291</v>
      </c>
      <c r="AX7" s="117" t="s">
        <v>291</v>
      </c>
      <c r="AY7" s="116" t="s">
        <v>292</v>
      </c>
      <c r="AZ7" s="116" t="s">
        <v>293</v>
      </c>
    </row>
    <row r="8" spans="1:55" x14ac:dyDescent="0.2">
      <c r="A8" s="107" t="s">
        <v>294</v>
      </c>
      <c r="B8" s="119"/>
      <c r="AY8" s="115"/>
    </row>
    <row r="9" spans="1:55" x14ac:dyDescent="0.2">
      <c r="A9" s="120" t="s">
        <v>125</v>
      </c>
      <c r="B9" s="121">
        <v>1</v>
      </c>
      <c r="C9" s="122" t="s">
        <v>295</v>
      </c>
      <c r="D9" s="122">
        <v>132.15822784810126</v>
      </c>
      <c r="E9" s="122">
        <v>132.15822784810126</v>
      </c>
      <c r="F9" s="122">
        <v>132.15822784810126</v>
      </c>
      <c r="G9" s="122">
        <v>132.15822784810126</v>
      </c>
      <c r="H9" s="122">
        <v>132.15822784810126</v>
      </c>
      <c r="I9" s="122">
        <v>132.15822784810126</v>
      </c>
      <c r="J9" s="122">
        <v>132.15822784810126</v>
      </c>
      <c r="K9" s="122">
        <v>132.15822784810126</v>
      </c>
      <c r="L9" s="122">
        <v>118.94240506329116</v>
      </c>
      <c r="M9" s="122">
        <v>118.94240506329116</v>
      </c>
      <c r="N9" s="122">
        <v>118.94240506329116</v>
      </c>
      <c r="O9" s="122">
        <v>118.94240506329116</v>
      </c>
      <c r="P9" s="122">
        <v>132.15822784810126</v>
      </c>
      <c r="Q9" s="122">
        <v>132.15822784810126</v>
      </c>
      <c r="R9" s="122">
        <v>132.15822784810126</v>
      </c>
      <c r="S9" s="122">
        <v>132.15822784810126</v>
      </c>
      <c r="T9" s="122">
        <v>132.15822784810126</v>
      </c>
      <c r="U9" s="122">
        <v>132.15822784810126</v>
      </c>
      <c r="V9" s="122">
        <v>132.15822784810126</v>
      </c>
      <c r="W9" s="122">
        <v>132.15822784810126</v>
      </c>
      <c r="X9" s="122">
        <v>132.15822784810126</v>
      </c>
      <c r="Y9" s="122">
        <v>132.15822784810126</v>
      </c>
      <c r="Z9" s="122">
        <v>132.15822784810126</v>
      </c>
      <c r="AA9" s="122">
        <v>132.15822784810126</v>
      </c>
      <c r="AB9" s="122">
        <v>132.15822784810126</v>
      </c>
      <c r="AC9" s="122">
        <v>132.15822784810126</v>
      </c>
      <c r="AD9" s="122">
        <v>132.15822784810126</v>
      </c>
      <c r="AE9" s="122">
        <v>132.15822784810126</v>
      </c>
      <c r="AF9" s="122">
        <v>132.15822784810126</v>
      </c>
      <c r="AG9" s="122">
        <v>132.15822784810126</v>
      </c>
      <c r="AH9" s="122">
        <v>132.15822784810126</v>
      </c>
      <c r="AI9" s="122">
        <v>132.15822784810126</v>
      </c>
      <c r="AJ9" s="122">
        <v>145.37405063291141</v>
      </c>
      <c r="AK9" s="122">
        <v>145.37405063291141</v>
      </c>
      <c r="AL9" s="122">
        <v>145.37405063291141</v>
      </c>
      <c r="AM9" s="122">
        <v>145.37405063291141</v>
      </c>
      <c r="AN9" s="122">
        <v>132.15822784810126</v>
      </c>
      <c r="AO9" s="122">
        <v>132.15822784810126</v>
      </c>
      <c r="AP9" s="122">
        <v>132.15822784810126</v>
      </c>
      <c r="AQ9" s="122">
        <v>132.15822784810126</v>
      </c>
      <c r="AR9" s="122">
        <v>145.37405063291141</v>
      </c>
      <c r="AS9" s="122">
        <v>145.37405063291141</v>
      </c>
      <c r="AT9" s="122">
        <v>145.37405063291141</v>
      </c>
      <c r="AU9" s="122">
        <v>145.37405063291141</v>
      </c>
      <c r="AV9" s="122">
        <v>132.15822784810126</v>
      </c>
      <c r="AW9" s="122">
        <v>132.15822784810126</v>
      </c>
      <c r="AX9" s="122">
        <v>132.15822784810126</v>
      </c>
      <c r="AY9" s="122">
        <v>132.15822784810126</v>
      </c>
    </row>
    <row r="10" spans="1:55" x14ac:dyDescent="0.2">
      <c r="A10" s="123" t="s">
        <v>133</v>
      </c>
      <c r="B10" s="124">
        <v>1</v>
      </c>
      <c r="C10" s="111" t="s">
        <v>295</v>
      </c>
      <c r="E10" s="105">
        <v>284.15300546448077</v>
      </c>
      <c r="F10" s="105">
        <v>103.34177215189874</v>
      </c>
      <c r="G10" s="105">
        <v>103.34177215189874</v>
      </c>
      <c r="H10" s="105">
        <v>103.34177215189874</v>
      </c>
      <c r="I10" s="105">
        <v>103.34177215189874</v>
      </c>
      <c r="J10" s="105">
        <v>103.34177215189874</v>
      </c>
      <c r="K10" s="105">
        <v>103.34177215189874</v>
      </c>
      <c r="L10" s="105">
        <v>103.34177215189874</v>
      </c>
      <c r="M10" s="105">
        <v>103.34177215189874</v>
      </c>
      <c r="N10" s="105">
        <v>93.00759493670887</v>
      </c>
      <c r="O10" s="105">
        <v>93.00759493670887</v>
      </c>
      <c r="P10" s="105">
        <v>93.00759493670887</v>
      </c>
      <c r="Q10" s="105">
        <v>93.00759493670887</v>
      </c>
      <c r="R10" s="105">
        <v>103.34177215189874</v>
      </c>
      <c r="S10" s="105">
        <v>103.34177215189874</v>
      </c>
      <c r="T10" s="105">
        <v>0</v>
      </c>
      <c r="U10" s="105">
        <v>206.68354430379742</v>
      </c>
      <c r="V10" s="105">
        <v>103.34177215189874</v>
      </c>
      <c r="W10" s="105">
        <v>103.34177215189874</v>
      </c>
      <c r="X10" s="105">
        <v>103.34177215189874</v>
      </c>
      <c r="Y10" s="105">
        <v>103.34177215189874</v>
      </c>
      <c r="Z10" s="105">
        <v>103.34177215189874</v>
      </c>
      <c r="AA10" s="105">
        <v>103.34177215189874</v>
      </c>
      <c r="AB10" s="105">
        <v>103.34177215189874</v>
      </c>
      <c r="AC10" s="105">
        <v>103.34177215189874</v>
      </c>
      <c r="AD10" s="105">
        <v>103.34177215189874</v>
      </c>
      <c r="AE10" s="105">
        <v>103.34177215189874</v>
      </c>
      <c r="AF10" s="105">
        <v>103.34177215189874</v>
      </c>
      <c r="AG10" s="105">
        <v>103.34177215189874</v>
      </c>
      <c r="AH10" s="105">
        <v>103.34177215189874</v>
      </c>
      <c r="AI10" s="105">
        <v>103.34177215189874</v>
      </c>
      <c r="AJ10" s="105">
        <v>103.34177215189874</v>
      </c>
      <c r="AK10" s="105">
        <v>103.34177215189874</v>
      </c>
      <c r="AL10" s="105">
        <v>113.67594936708862</v>
      </c>
      <c r="AM10" s="105">
        <v>113.67594936708862</v>
      </c>
      <c r="AN10" s="105">
        <v>113.67594936708862</v>
      </c>
      <c r="AO10" s="105">
        <v>113.67594936708862</v>
      </c>
      <c r="AP10" s="105">
        <v>103.34177215189874</v>
      </c>
      <c r="AQ10" s="105">
        <v>103.34177215189874</v>
      </c>
      <c r="AR10" s="105">
        <v>103.34177215189874</v>
      </c>
      <c r="AS10" s="105">
        <v>103.34177215189874</v>
      </c>
      <c r="AT10" s="105">
        <v>113.67594936708862</v>
      </c>
      <c r="AU10" s="105">
        <v>113.67594936708862</v>
      </c>
      <c r="AV10" s="105">
        <v>113.67594936708862</v>
      </c>
      <c r="AW10" s="105">
        <v>113.67594936708862</v>
      </c>
      <c r="AX10" s="105">
        <v>103.34177215189874</v>
      </c>
      <c r="AY10" s="105">
        <v>103.34177215189874</v>
      </c>
      <c r="AZ10" s="105">
        <v>103.34177215189874</v>
      </c>
    </row>
    <row r="11" spans="1:55" x14ac:dyDescent="0.2">
      <c r="B11" s="124">
        <v>2</v>
      </c>
      <c r="C11" s="111" t="s">
        <v>295</v>
      </c>
      <c r="F11" s="105">
        <v>0</v>
      </c>
      <c r="G11" s="105">
        <v>0</v>
      </c>
      <c r="H11" s="105">
        <v>0</v>
      </c>
      <c r="J11" s="105">
        <v>0</v>
      </c>
      <c r="K11" s="105">
        <v>0</v>
      </c>
      <c r="L11" s="105">
        <v>0</v>
      </c>
      <c r="M11" s="105">
        <v>0</v>
      </c>
      <c r="N11" s="105">
        <v>0</v>
      </c>
      <c r="O11" s="105">
        <v>0</v>
      </c>
      <c r="P11" s="105">
        <v>0</v>
      </c>
      <c r="Q11" s="105">
        <v>0</v>
      </c>
      <c r="R11" s="105">
        <v>0</v>
      </c>
      <c r="S11" s="105">
        <v>0</v>
      </c>
      <c r="T11" s="105">
        <v>0</v>
      </c>
      <c r="U11" s="105">
        <v>0</v>
      </c>
      <c r="V11" s="105">
        <v>0</v>
      </c>
      <c r="W11" s="105">
        <v>0</v>
      </c>
      <c r="X11" s="105">
        <v>0</v>
      </c>
      <c r="Y11" s="105">
        <v>0</v>
      </c>
      <c r="Z11" s="105">
        <v>0</v>
      </c>
      <c r="AA11" s="105">
        <v>0</v>
      </c>
      <c r="AC11" s="105">
        <v>0</v>
      </c>
      <c r="AD11" s="105">
        <v>0</v>
      </c>
      <c r="AE11" s="105">
        <v>0</v>
      </c>
      <c r="AF11" s="105">
        <v>0</v>
      </c>
      <c r="AG11" s="105">
        <v>0</v>
      </c>
      <c r="AH11" s="105">
        <v>0</v>
      </c>
      <c r="AJ11" s="105">
        <v>0</v>
      </c>
      <c r="AK11" s="105">
        <v>0</v>
      </c>
      <c r="AL11" s="105">
        <v>0</v>
      </c>
      <c r="AM11" s="105">
        <v>0</v>
      </c>
      <c r="AN11" s="105">
        <v>0</v>
      </c>
      <c r="AO11" s="105">
        <v>0</v>
      </c>
      <c r="AP11" s="105">
        <v>0</v>
      </c>
      <c r="AQ11" s="105">
        <v>0</v>
      </c>
      <c r="AR11" s="105">
        <v>0</v>
      </c>
      <c r="AS11" s="105">
        <v>0</v>
      </c>
      <c r="AT11" s="105">
        <v>0</v>
      </c>
      <c r="AU11" s="105">
        <v>0</v>
      </c>
      <c r="AV11" s="105">
        <v>0</v>
      </c>
      <c r="AW11" s="105">
        <v>0</v>
      </c>
      <c r="AX11" s="105">
        <v>0</v>
      </c>
      <c r="AY11" s="105">
        <v>0</v>
      </c>
      <c r="AZ11" s="105">
        <v>0</v>
      </c>
    </row>
    <row r="12" spans="1:55" x14ac:dyDescent="0.2">
      <c r="B12" s="125">
        <v>3</v>
      </c>
      <c r="C12" s="111" t="s">
        <v>295</v>
      </c>
      <c r="G12" s="105">
        <v>0</v>
      </c>
      <c r="H12" s="105">
        <v>0</v>
      </c>
      <c r="J12" s="105">
        <v>0</v>
      </c>
      <c r="K12" s="105">
        <v>0</v>
      </c>
      <c r="M12" s="105">
        <v>0</v>
      </c>
      <c r="N12" s="105">
        <v>0</v>
      </c>
      <c r="R12" s="105">
        <v>0</v>
      </c>
      <c r="S12" s="105">
        <v>0</v>
      </c>
      <c r="U12" s="105">
        <v>0</v>
      </c>
      <c r="X12" s="105">
        <v>0</v>
      </c>
      <c r="Z12" s="105">
        <v>0</v>
      </c>
      <c r="AC12" s="105">
        <v>0</v>
      </c>
      <c r="AE12" s="105">
        <v>0</v>
      </c>
      <c r="AH12" s="105">
        <v>0</v>
      </c>
      <c r="AJ12" s="105">
        <v>0</v>
      </c>
      <c r="AK12" s="105">
        <v>0</v>
      </c>
      <c r="AL12" s="105">
        <v>0</v>
      </c>
      <c r="AM12" s="105">
        <v>0</v>
      </c>
      <c r="AN12" s="105">
        <v>0</v>
      </c>
      <c r="AO12" s="105">
        <v>0</v>
      </c>
      <c r="AP12" s="105">
        <v>0</v>
      </c>
      <c r="AT12" s="105">
        <v>0</v>
      </c>
      <c r="AU12" s="105">
        <v>0</v>
      </c>
      <c r="AW12" s="105">
        <v>0</v>
      </c>
      <c r="AX12" s="105">
        <v>0</v>
      </c>
      <c r="BB12" s="105">
        <v>0</v>
      </c>
    </row>
    <row r="13" spans="1:55" x14ac:dyDescent="0.2">
      <c r="B13" s="125">
        <v>4</v>
      </c>
      <c r="C13" s="111" t="s">
        <v>295</v>
      </c>
      <c r="K13" s="105">
        <v>0</v>
      </c>
      <c r="R13" s="105">
        <v>0</v>
      </c>
      <c r="T13" s="105">
        <v>0</v>
      </c>
      <c r="W13" s="105">
        <v>0</v>
      </c>
      <c r="X13" s="105">
        <v>0</v>
      </c>
      <c r="Y13" s="105">
        <v>0</v>
      </c>
      <c r="AA13" s="105">
        <v>0</v>
      </c>
      <c r="AE13" s="105">
        <v>0</v>
      </c>
      <c r="AF13" s="105">
        <v>0</v>
      </c>
      <c r="AO13" s="105">
        <v>0</v>
      </c>
      <c r="AP13" s="105">
        <v>0</v>
      </c>
      <c r="AS13" s="105">
        <v>0</v>
      </c>
      <c r="BA13" s="105">
        <v>0</v>
      </c>
      <c r="BC13" s="105">
        <v>0</v>
      </c>
    </row>
    <row r="14" spans="1:55" x14ac:dyDescent="0.2">
      <c r="A14" s="120" t="s">
        <v>134</v>
      </c>
      <c r="B14" s="126">
        <v>1</v>
      </c>
      <c r="C14" s="122" t="s">
        <v>295</v>
      </c>
      <c r="D14" s="122"/>
      <c r="E14" s="122">
        <f t="shared" ref="E14:AZ14" si="0">D$172*SUM(D$122:D$169)</f>
        <v>66.358521647307285</v>
      </c>
      <c r="F14" s="122">
        <f t="shared" si="0"/>
        <v>116.00333039047671</v>
      </c>
      <c r="G14" s="122">
        <f t="shared" si="0"/>
        <v>111.09511068448853</v>
      </c>
      <c r="H14" s="122">
        <f t="shared" si="0"/>
        <v>114.75675687436346</v>
      </c>
      <c r="I14" s="122">
        <f t="shared" si="0"/>
        <v>117.80622444056715</v>
      </c>
      <c r="J14" s="122">
        <f t="shared" si="0"/>
        <v>108.19431446654399</v>
      </c>
      <c r="K14" s="122">
        <f t="shared" si="0"/>
        <v>111.37314378654615</v>
      </c>
      <c r="L14" s="122">
        <f t="shared" si="0"/>
        <v>117.50084236294782</v>
      </c>
      <c r="M14" s="122">
        <f t="shared" si="0"/>
        <v>126.35917026677711</v>
      </c>
      <c r="N14" s="122">
        <f t="shared" si="0"/>
        <v>135.71008275272567</v>
      </c>
      <c r="O14" s="122">
        <f t="shared" si="0"/>
        <v>140.87478536690605</v>
      </c>
      <c r="P14" s="122">
        <f t="shared" si="0"/>
        <v>125.07160637982496</v>
      </c>
      <c r="Q14" s="122">
        <f t="shared" si="0"/>
        <v>101.86315855977251</v>
      </c>
      <c r="R14" s="122">
        <f t="shared" si="0"/>
        <v>108.37265373833212</v>
      </c>
      <c r="S14" s="122">
        <f t="shared" si="0"/>
        <v>91.500465025823033</v>
      </c>
      <c r="T14" s="122">
        <f t="shared" si="0"/>
        <v>89.31887971719101</v>
      </c>
      <c r="U14" s="122">
        <f t="shared" si="0"/>
        <v>68.894059029544366</v>
      </c>
      <c r="V14" s="122">
        <f t="shared" si="0"/>
        <v>102.46852164730731</v>
      </c>
      <c r="W14" s="122">
        <f t="shared" si="0"/>
        <v>114.09428331573392</v>
      </c>
      <c r="X14" s="122">
        <f t="shared" si="0"/>
        <v>120.5161198004224</v>
      </c>
      <c r="Y14" s="122">
        <f t="shared" si="0"/>
        <v>135.12093389363253</v>
      </c>
      <c r="Z14" s="122">
        <f t="shared" si="0"/>
        <v>118.99664074540433</v>
      </c>
      <c r="AA14" s="122">
        <f t="shared" si="0"/>
        <v>119.0009350212686</v>
      </c>
      <c r="AB14" s="122">
        <f t="shared" si="0"/>
        <v>108.65424161368412</v>
      </c>
      <c r="AC14" s="122">
        <f t="shared" si="0"/>
        <v>108.50728768984405</v>
      </c>
      <c r="AD14" s="122">
        <f t="shared" si="0"/>
        <v>100.57413316848721</v>
      </c>
      <c r="AE14" s="122">
        <f t="shared" si="0"/>
        <v>87.105604187042445</v>
      </c>
      <c r="AF14" s="122">
        <f t="shared" si="0"/>
        <v>98.354836871329979</v>
      </c>
      <c r="AG14" s="122">
        <f t="shared" si="0"/>
        <v>92.756746038231356</v>
      </c>
      <c r="AH14" s="122">
        <f t="shared" si="0"/>
        <v>95.80621609674543</v>
      </c>
      <c r="AI14" s="122">
        <f t="shared" si="0"/>
        <v>108.27430804180128</v>
      </c>
      <c r="AJ14" s="122">
        <f t="shared" si="0"/>
        <v>111.43473883949426</v>
      </c>
      <c r="AK14" s="122">
        <f t="shared" si="0"/>
        <v>117.54827055371787</v>
      </c>
      <c r="AL14" s="122">
        <f t="shared" si="0"/>
        <v>102.01568997367004</v>
      </c>
      <c r="AM14" s="122">
        <f t="shared" si="0"/>
        <v>111.87110292703322</v>
      </c>
      <c r="AN14" s="122">
        <f t="shared" si="0"/>
        <v>111.40977090112288</v>
      </c>
      <c r="AO14" s="122">
        <f t="shared" si="0"/>
        <v>123.96854735310434</v>
      </c>
      <c r="AP14" s="122">
        <f t="shared" si="0"/>
        <v>117.07880522113005</v>
      </c>
      <c r="AQ14" s="122">
        <f t="shared" si="0"/>
        <v>105.59820377950987</v>
      </c>
      <c r="AR14" s="122">
        <f t="shared" si="0"/>
        <v>113.54814066946231</v>
      </c>
      <c r="AS14" s="122">
        <f t="shared" si="0"/>
        <v>112.9995920747257</v>
      </c>
      <c r="AT14" s="122">
        <f t="shared" si="0"/>
        <v>109.5872096567785</v>
      </c>
      <c r="AU14" s="122">
        <f t="shared" si="0"/>
        <v>109.91517519495916</v>
      </c>
      <c r="AV14" s="122">
        <f t="shared" si="0"/>
        <v>102.57770865935828</v>
      </c>
      <c r="AW14" s="122">
        <f t="shared" si="0"/>
        <v>86.219021647307301</v>
      </c>
      <c r="AX14" s="122">
        <f t="shared" si="0"/>
        <v>86.219021647307287</v>
      </c>
      <c r="AY14" s="122">
        <f t="shared" si="0"/>
        <v>92.612168315733896</v>
      </c>
      <c r="AZ14" s="115">
        <f t="shared" si="0"/>
        <v>93.854891250422384</v>
      </c>
      <c r="BA14" s="112">
        <f>SUM($E14:$AZ14)</f>
        <v>5169.7419722859104</v>
      </c>
    </row>
    <row r="15" spans="1:55" x14ac:dyDescent="0.2">
      <c r="A15" s="127" t="s">
        <v>123</v>
      </c>
      <c r="B15" s="128">
        <v>1</v>
      </c>
      <c r="C15" s="129" t="s">
        <v>295</v>
      </c>
      <c r="D15" s="129">
        <v>288.51531151003167</v>
      </c>
      <c r="E15" s="129">
        <v>504.36230604555089</v>
      </c>
      <c r="F15" s="129">
        <v>367.01531151003167</v>
      </c>
      <c r="G15" s="129">
        <v>367.01531151003167</v>
      </c>
      <c r="H15" s="129">
        <v>367.01531151003167</v>
      </c>
      <c r="I15" s="129">
        <v>367.01531151003167</v>
      </c>
      <c r="J15" s="129">
        <v>367.01531151003167</v>
      </c>
      <c r="K15" s="129">
        <v>367.01531151003167</v>
      </c>
      <c r="L15" s="129">
        <v>367.01531151003167</v>
      </c>
      <c r="M15" s="129">
        <v>367.01531151003167</v>
      </c>
      <c r="N15" s="129">
        <v>359.1653115100317</v>
      </c>
      <c r="O15" s="129">
        <v>359.1653115100317</v>
      </c>
      <c r="P15" s="129">
        <v>359.1653115100317</v>
      </c>
      <c r="Q15" s="129">
        <v>359.1653115100317</v>
      </c>
      <c r="R15" s="129">
        <v>367.01531151003167</v>
      </c>
      <c r="S15" s="129">
        <v>367.01531151003167</v>
      </c>
      <c r="T15" s="129">
        <v>288.51531151003167</v>
      </c>
      <c r="U15" s="129">
        <v>445.51531151003172</v>
      </c>
      <c r="V15" s="129">
        <v>367.01531151003167</v>
      </c>
      <c r="W15" s="129">
        <v>367.01531151003167</v>
      </c>
      <c r="X15" s="129">
        <v>367.01531151003167</v>
      </c>
      <c r="Y15" s="129">
        <v>367.01531151003167</v>
      </c>
      <c r="Z15" s="129">
        <v>367.01531151003167</v>
      </c>
      <c r="AA15" s="129">
        <v>367.01531151003167</v>
      </c>
      <c r="AB15" s="129">
        <v>367.01531151003167</v>
      </c>
      <c r="AC15" s="129">
        <v>367.01531151003167</v>
      </c>
      <c r="AD15" s="129">
        <v>367.01531151003167</v>
      </c>
      <c r="AE15" s="129">
        <v>367.01531151003167</v>
      </c>
      <c r="AF15" s="129">
        <v>367.01531151003167</v>
      </c>
      <c r="AG15" s="129">
        <v>367.01531151003167</v>
      </c>
      <c r="AH15" s="129">
        <v>367.01531151003167</v>
      </c>
      <c r="AI15" s="129">
        <v>367.01531151003167</v>
      </c>
      <c r="AJ15" s="129">
        <v>367.01531151003167</v>
      </c>
      <c r="AK15" s="129">
        <v>367.01531151003167</v>
      </c>
      <c r="AL15" s="129">
        <v>374.86531151003169</v>
      </c>
      <c r="AM15" s="129">
        <v>374.86531151003169</v>
      </c>
      <c r="AN15" s="129">
        <v>403.0131467793031</v>
      </c>
      <c r="AO15" s="129">
        <v>403.0131467793031</v>
      </c>
      <c r="AP15" s="129">
        <v>395.16314677930308</v>
      </c>
      <c r="AQ15" s="129">
        <v>395.16314677930308</v>
      </c>
      <c r="AR15" s="129">
        <v>395.16314677930308</v>
      </c>
      <c r="AS15" s="129">
        <v>395.16314677930308</v>
      </c>
      <c r="AT15" s="129">
        <v>403.0131467793031</v>
      </c>
      <c r="AU15" s="129">
        <v>403.0131467793031</v>
      </c>
      <c r="AV15" s="129">
        <v>374.86531151003169</v>
      </c>
      <c r="AW15" s="129">
        <v>374.86531151003169</v>
      </c>
      <c r="AX15" s="129">
        <v>367.01531151003167</v>
      </c>
      <c r="AY15" s="129">
        <v>367.01531151003167</v>
      </c>
      <c r="AZ15" s="105">
        <v>78.500000000000014</v>
      </c>
    </row>
    <row r="16" spans="1:55" x14ac:dyDescent="0.2">
      <c r="A16" s="115"/>
      <c r="B16" s="124">
        <v>2</v>
      </c>
      <c r="C16" s="114" t="s">
        <v>295</v>
      </c>
      <c r="D16" s="111"/>
      <c r="E16" s="115"/>
      <c r="F16" s="115">
        <v>0</v>
      </c>
      <c r="G16" s="115">
        <v>0</v>
      </c>
      <c r="H16" s="115">
        <v>0</v>
      </c>
      <c r="I16" s="115"/>
      <c r="J16" s="115">
        <v>0</v>
      </c>
      <c r="K16" s="115">
        <v>0</v>
      </c>
      <c r="L16" s="115">
        <v>0</v>
      </c>
      <c r="M16" s="115">
        <v>0</v>
      </c>
      <c r="N16" s="115">
        <v>0</v>
      </c>
      <c r="O16" s="115">
        <v>0</v>
      </c>
      <c r="P16" s="115">
        <v>0</v>
      </c>
      <c r="Q16" s="115">
        <v>0</v>
      </c>
      <c r="R16" s="115">
        <v>0</v>
      </c>
      <c r="S16" s="115">
        <v>0</v>
      </c>
      <c r="T16" s="115">
        <v>0</v>
      </c>
      <c r="U16" s="115">
        <v>0</v>
      </c>
      <c r="V16" s="115">
        <v>0</v>
      </c>
      <c r="W16" s="115">
        <v>0</v>
      </c>
      <c r="X16" s="115">
        <v>0</v>
      </c>
      <c r="Y16" s="115">
        <v>0</v>
      </c>
      <c r="Z16" s="115">
        <v>0</v>
      </c>
      <c r="AA16" s="115">
        <v>0</v>
      </c>
      <c r="AB16" s="115"/>
      <c r="AC16" s="115">
        <v>0</v>
      </c>
      <c r="AD16" s="115">
        <v>0</v>
      </c>
      <c r="AE16" s="115">
        <v>0</v>
      </c>
      <c r="AF16" s="115">
        <v>0</v>
      </c>
      <c r="AG16" s="115">
        <v>0</v>
      </c>
      <c r="AH16" s="115">
        <v>0</v>
      </c>
      <c r="AI16" s="115"/>
      <c r="AJ16" s="115">
        <v>0</v>
      </c>
      <c r="AK16" s="115">
        <v>0</v>
      </c>
      <c r="AL16" s="115">
        <v>0</v>
      </c>
      <c r="AM16" s="115">
        <v>0</v>
      </c>
      <c r="AN16" s="115">
        <v>0</v>
      </c>
      <c r="AO16" s="115">
        <v>0</v>
      </c>
      <c r="AP16" s="115">
        <v>0</v>
      </c>
      <c r="AQ16" s="115">
        <v>0</v>
      </c>
      <c r="AR16" s="115">
        <v>0</v>
      </c>
      <c r="AS16" s="115">
        <v>0</v>
      </c>
      <c r="AT16" s="115">
        <v>0</v>
      </c>
      <c r="AU16" s="115">
        <v>0</v>
      </c>
      <c r="AV16" s="115">
        <v>0</v>
      </c>
      <c r="AW16" s="115">
        <v>0</v>
      </c>
      <c r="AX16" s="115">
        <v>0</v>
      </c>
      <c r="AY16" s="115">
        <v>0</v>
      </c>
      <c r="AZ16" s="105">
        <v>0</v>
      </c>
    </row>
    <row r="17" spans="1:55" x14ac:dyDescent="0.2">
      <c r="A17" s="115"/>
      <c r="B17" s="124">
        <v>3</v>
      </c>
      <c r="C17" s="114" t="s">
        <v>295</v>
      </c>
      <c r="D17" s="111"/>
      <c r="E17" s="115"/>
      <c r="F17" s="115"/>
      <c r="G17" s="115">
        <v>0</v>
      </c>
      <c r="H17" s="115">
        <v>0</v>
      </c>
      <c r="I17" s="115"/>
      <c r="J17" s="115">
        <v>0</v>
      </c>
      <c r="K17" s="115">
        <v>0</v>
      </c>
      <c r="L17" s="115"/>
      <c r="M17" s="115">
        <v>0</v>
      </c>
      <c r="N17" s="115">
        <v>0</v>
      </c>
      <c r="O17" s="115"/>
      <c r="P17" s="115"/>
      <c r="Q17" s="115"/>
      <c r="R17" s="115">
        <v>0</v>
      </c>
      <c r="S17" s="115">
        <v>0</v>
      </c>
      <c r="T17" s="115"/>
      <c r="U17" s="115">
        <v>0</v>
      </c>
      <c r="V17" s="115"/>
      <c r="W17" s="115"/>
      <c r="X17" s="115">
        <v>0</v>
      </c>
      <c r="Y17" s="115"/>
      <c r="Z17" s="115">
        <v>0</v>
      </c>
      <c r="AA17" s="115"/>
      <c r="AB17" s="115"/>
      <c r="AC17" s="115">
        <v>0</v>
      </c>
      <c r="AD17" s="115"/>
      <c r="AE17" s="115">
        <v>0</v>
      </c>
      <c r="AF17" s="115"/>
      <c r="AG17" s="115"/>
      <c r="AH17" s="115">
        <v>0</v>
      </c>
      <c r="AI17" s="115"/>
      <c r="AJ17" s="115">
        <v>0</v>
      </c>
      <c r="AK17" s="115">
        <v>0</v>
      </c>
      <c r="AL17" s="115">
        <v>0</v>
      </c>
      <c r="AM17" s="115">
        <v>0</v>
      </c>
      <c r="AN17" s="115">
        <v>0</v>
      </c>
      <c r="AO17" s="115">
        <v>0</v>
      </c>
      <c r="AP17" s="115">
        <v>0</v>
      </c>
      <c r="AQ17" s="115"/>
      <c r="AR17" s="115"/>
      <c r="AS17" s="115"/>
      <c r="AT17" s="115">
        <v>0</v>
      </c>
      <c r="AU17" s="115">
        <v>0</v>
      </c>
      <c r="AV17" s="115"/>
      <c r="AW17" s="115">
        <v>0</v>
      </c>
      <c r="AX17" s="115">
        <v>0</v>
      </c>
      <c r="AY17" s="115"/>
      <c r="BB17" s="105">
        <v>0</v>
      </c>
    </row>
    <row r="18" spans="1:55" x14ac:dyDescent="0.2">
      <c r="A18" s="130"/>
      <c r="B18" s="121">
        <v>4</v>
      </c>
      <c r="C18" s="130" t="s">
        <v>295</v>
      </c>
      <c r="D18" s="130"/>
      <c r="E18" s="130"/>
      <c r="F18" s="130"/>
      <c r="G18" s="130"/>
      <c r="H18" s="130"/>
      <c r="I18" s="130"/>
      <c r="J18" s="130"/>
      <c r="K18" s="130">
        <v>0</v>
      </c>
      <c r="L18" s="130"/>
      <c r="M18" s="130"/>
      <c r="N18" s="130"/>
      <c r="O18" s="130"/>
      <c r="P18" s="130"/>
      <c r="Q18" s="130"/>
      <c r="R18" s="130">
        <v>0</v>
      </c>
      <c r="S18" s="130"/>
      <c r="T18" s="130">
        <v>0</v>
      </c>
      <c r="U18" s="130"/>
      <c r="V18" s="130"/>
      <c r="W18" s="130">
        <v>0</v>
      </c>
      <c r="X18" s="130">
        <v>0</v>
      </c>
      <c r="Y18" s="130">
        <v>0</v>
      </c>
      <c r="Z18" s="130"/>
      <c r="AA18" s="130">
        <v>0</v>
      </c>
      <c r="AB18" s="130"/>
      <c r="AC18" s="130"/>
      <c r="AD18" s="130"/>
      <c r="AE18" s="130">
        <v>0</v>
      </c>
      <c r="AF18" s="130">
        <v>0</v>
      </c>
      <c r="AG18" s="130"/>
      <c r="AH18" s="130"/>
      <c r="AI18" s="130"/>
      <c r="AJ18" s="130"/>
      <c r="AK18" s="130"/>
      <c r="AL18" s="130"/>
      <c r="AM18" s="130"/>
      <c r="AN18" s="130"/>
      <c r="AO18" s="130">
        <v>0</v>
      </c>
      <c r="AP18" s="130">
        <v>0</v>
      </c>
      <c r="AQ18" s="130"/>
      <c r="AR18" s="130"/>
      <c r="AS18" s="130">
        <v>0</v>
      </c>
      <c r="AT18" s="130"/>
      <c r="AU18" s="130"/>
      <c r="AV18" s="130"/>
      <c r="AW18" s="130"/>
      <c r="AX18" s="130"/>
      <c r="AY18" s="130"/>
      <c r="BA18" s="105">
        <v>0</v>
      </c>
      <c r="BC18" s="105">
        <v>0</v>
      </c>
    </row>
    <row r="20" spans="1:55" x14ac:dyDescent="0.2">
      <c r="A20" s="107" t="s">
        <v>296</v>
      </c>
    </row>
    <row r="21" spans="1:55" x14ac:dyDescent="0.2">
      <c r="A21" s="131" t="s">
        <v>125</v>
      </c>
      <c r="B21" s="128">
        <v>1</v>
      </c>
      <c r="C21" s="129" t="s">
        <v>295</v>
      </c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29"/>
      <c r="AE21" s="129"/>
      <c r="AF21" s="129"/>
      <c r="AG21" s="129"/>
      <c r="AH21" s="129"/>
      <c r="AI21" s="129"/>
      <c r="AJ21" s="129"/>
      <c r="AK21" s="129"/>
      <c r="AL21" s="129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</row>
    <row r="22" spans="1:55" x14ac:dyDescent="0.2">
      <c r="A22" s="114"/>
      <c r="B22" s="125">
        <v>2</v>
      </c>
      <c r="C22" s="115" t="s">
        <v>295</v>
      </c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15"/>
      <c r="AS22" s="115"/>
      <c r="AT22" s="115"/>
      <c r="AU22" s="115"/>
      <c r="AV22" s="115"/>
      <c r="AW22" s="115"/>
      <c r="AX22" s="115"/>
      <c r="AY22" s="115"/>
    </row>
    <row r="23" spans="1:55" x14ac:dyDescent="0.2">
      <c r="A23" s="114"/>
      <c r="B23" s="132">
        <v>3</v>
      </c>
      <c r="C23" s="115" t="s">
        <v>295</v>
      </c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115"/>
      <c r="AK23" s="115"/>
      <c r="AL23" s="115"/>
      <c r="AM23" s="115"/>
      <c r="AN23" s="115"/>
      <c r="AO23" s="115"/>
      <c r="AP23" s="115"/>
      <c r="AQ23" s="115"/>
      <c r="AR23" s="115"/>
      <c r="AS23" s="115"/>
      <c r="AT23" s="115"/>
      <c r="AU23" s="115"/>
      <c r="AV23" s="115"/>
      <c r="AW23" s="115"/>
      <c r="AX23" s="115"/>
      <c r="AY23" s="115"/>
    </row>
    <row r="24" spans="1:55" x14ac:dyDescent="0.2">
      <c r="A24" s="133"/>
      <c r="B24" s="134">
        <v>4</v>
      </c>
      <c r="C24" s="133" t="s">
        <v>295</v>
      </c>
      <c r="D24" s="130">
        <v>0</v>
      </c>
      <c r="E24" s="130">
        <v>0</v>
      </c>
      <c r="F24" s="130">
        <v>0</v>
      </c>
      <c r="G24" s="130">
        <v>0</v>
      </c>
      <c r="H24" s="130">
        <v>0</v>
      </c>
      <c r="I24" s="130">
        <v>0</v>
      </c>
      <c r="J24" s="130">
        <v>0</v>
      </c>
      <c r="K24" s="130">
        <v>0</v>
      </c>
      <c r="L24" s="130">
        <v>0</v>
      </c>
      <c r="M24" s="130">
        <v>0</v>
      </c>
      <c r="N24" s="130">
        <v>0</v>
      </c>
      <c r="O24" s="130">
        <v>0</v>
      </c>
      <c r="P24" s="130">
        <v>0</v>
      </c>
      <c r="Q24" s="130">
        <v>0</v>
      </c>
      <c r="R24" s="130">
        <v>0</v>
      </c>
      <c r="S24" s="130">
        <v>0</v>
      </c>
      <c r="T24" s="130">
        <v>0</v>
      </c>
      <c r="U24" s="130">
        <v>0</v>
      </c>
      <c r="V24" s="130">
        <v>0</v>
      </c>
      <c r="W24" s="130">
        <v>0</v>
      </c>
      <c r="X24" s="130">
        <v>0</v>
      </c>
      <c r="Y24" s="130">
        <v>0</v>
      </c>
      <c r="Z24" s="130">
        <v>0</v>
      </c>
      <c r="AA24" s="130">
        <v>0</v>
      </c>
      <c r="AB24" s="130">
        <v>0</v>
      </c>
      <c r="AC24" s="130">
        <v>0</v>
      </c>
      <c r="AD24" s="130">
        <v>0</v>
      </c>
      <c r="AE24" s="130">
        <v>0</v>
      </c>
      <c r="AF24" s="130">
        <v>0</v>
      </c>
      <c r="AG24" s="130">
        <v>0</v>
      </c>
      <c r="AH24" s="130">
        <v>0</v>
      </c>
      <c r="AI24" s="130">
        <v>0</v>
      </c>
      <c r="AJ24" s="130">
        <v>0</v>
      </c>
      <c r="AK24" s="130">
        <v>0</v>
      </c>
      <c r="AL24" s="130">
        <v>0</v>
      </c>
      <c r="AM24" s="130">
        <v>0</v>
      </c>
      <c r="AN24" s="130">
        <v>0</v>
      </c>
      <c r="AO24" s="130">
        <v>0</v>
      </c>
      <c r="AP24" s="130">
        <v>0</v>
      </c>
      <c r="AQ24" s="130">
        <v>0</v>
      </c>
      <c r="AR24" s="130">
        <v>0</v>
      </c>
      <c r="AS24" s="130">
        <v>0</v>
      </c>
      <c r="AT24" s="130">
        <v>0</v>
      </c>
      <c r="AU24" s="130">
        <v>0</v>
      </c>
      <c r="AV24" s="130">
        <v>0</v>
      </c>
      <c r="AW24" s="130">
        <v>0</v>
      </c>
      <c r="AX24" s="130">
        <v>0</v>
      </c>
      <c r="AY24" s="130">
        <v>0</v>
      </c>
    </row>
    <row r="25" spans="1:55" x14ac:dyDescent="0.2">
      <c r="A25" s="131" t="s">
        <v>133</v>
      </c>
      <c r="B25" s="128">
        <v>1</v>
      </c>
      <c r="C25" s="114" t="s">
        <v>295</v>
      </c>
      <c r="D25" s="115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  <c r="AU25" s="115"/>
      <c r="AV25" s="115"/>
      <c r="AW25" s="115"/>
      <c r="AX25" s="115"/>
      <c r="AY25" s="115"/>
    </row>
    <row r="26" spans="1:55" x14ac:dyDescent="0.2">
      <c r="A26" s="114"/>
      <c r="B26" s="124">
        <v>2</v>
      </c>
      <c r="C26" s="114" t="s">
        <v>295</v>
      </c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5"/>
      <c r="AF26" s="115"/>
      <c r="AG26" s="115"/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115"/>
      <c r="AU26" s="115"/>
      <c r="AV26" s="115"/>
      <c r="AW26" s="115"/>
      <c r="AX26" s="115"/>
      <c r="AY26" s="115"/>
    </row>
    <row r="27" spans="1:55" x14ac:dyDescent="0.2">
      <c r="A27" s="114"/>
      <c r="B27" s="125">
        <v>3</v>
      </c>
      <c r="C27" s="114" t="s">
        <v>295</v>
      </c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</row>
    <row r="28" spans="1:55" x14ac:dyDescent="0.2">
      <c r="A28" s="114"/>
      <c r="B28" s="125">
        <v>4</v>
      </c>
      <c r="C28" s="114" t="s">
        <v>295</v>
      </c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115"/>
      <c r="AU28" s="115"/>
      <c r="AV28" s="115"/>
      <c r="AW28" s="115"/>
      <c r="AX28" s="115"/>
      <c r="AY28" s="115"/>
    </row>
    <row r="29" spans="1:55" x14ac:dyDescent="0.2">
      <c r="A29" s="114"/>
      <c r="B29" s="132">
        <v>5</v>
      </c>
      <c r="C29" s="114" t="s">
        <v>295</v>
      </c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5"/>
      <c r="AN29" s="115"/>
      <c r="AO29" s="115"/>
      <c r="AP29" s="115"/>
      <c r="AQ29" s="115"/>
      <c r="AR29" s="115"/>
      <c r="AS29" s="115"/>
      <c r="AT29" s="115"/>
      <c r="AU29" s="115"/>
      <c r="AV29" s="115"/>
      <c r="AW29" s="115"/>
      <c r="AX29" s="115"/>
      <c r="AY29" s="115"/>
    </row>
    <row r="30" spans="1:55" x14ac:dyDescent="0.2">
      <c r="A30" s="114"/>
      <c r="B30" s="132">
        <v>6</v>
      </c>
      <c r="C30" s="114" t="s">
        <v>295</v>
      </c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5"/>
      <c r="AF30" s="115"/>
      <c r="AG30" s="115"/>
      <c r="AH30" s="115"/>
      <c r="AI30" s="115"/>
      <c r="AJ30" s="115"/>
      <c r="AK30" s="115"/>
      <c r="AL30" s="115"/>
      <c r="AM30" s="115"/>
      <c r="AN30" s="115"/>
      <c r="AO30" s="115"/>
      <c r="AP30" s="115"/>
      <c r="AQ30" s="115"/>
      <c r="AR30" s="115"/>
      <c r="AS30" s="115"/>
      <c r="AT30" s="115"/>
      <c r="AU30" s="115"/>
      <c r="AV30" s="115"/>
      <c r="AW30" s="115"/>
      <c r="AX30" s="115"/>
      <c r="AY30" s="115"/>
    </row>
    <row r="31" spans="1:55" x14ac:dyDescent="0.2">
      <c r="A31" s="114"/>
      <c r="B31" s="135">
        <v>7</v>
      </c>
      <c r="C31" s="114" t="s">
        <v>295</v>
      </c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5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  <c r="AU31" s="115"/>
      <c r="AV31" s="115"/>
      <c r="AW31" s="115"/>
      <c r="AX31" s="115"/>
      <c r="AY31" s="115"/>
    </row>
    <row r="32" spans="1:55" x14ac:dyDescent="0.2">
      <c r="A32" s="133"/>
      <c r="B32" s="134">
        <v>8</v>
      </c>
      <c r="C32" s="133" t="s">
        <v>295</v>
      </c>
      <c r="D32" s="130">
        <v>0</v>
      </c>
      <c r="E32" s="130">
        <v>0</v>
      </c>
      <c r="F32" s="130">
        <v>0</v>
      </c>
      <c r="G32" s="130">
        <v>0</v>
      </c>
      <c r="H32" s="130">
        <v>0</v>
      </c>
      <c r="I32" s="130">
        <v>0</v>
      </c>
      <c r="J32" s="130">
        <v>0</v>
      </c>
      <c r="K32" s="130">
        <v>0</v>
      </c>
      <c r="L32" s="130">
        <v>0</v>
      </c>
      <c r="M32" s="130">
        <v>0</v>
      </c>
      <c r="N32" s="130">
        <v>0</v>
      </c>
      <c r="O32" s="130">
        <v>0</v>
      </c>
      <c r="P32" s="130">
        <v>0</v>
      </c>
      <c r="Q32" s="130">
        <v>0</v>
      </c>
      <c r="R32" s="130">
        <v>0</v>
      </c>
      <c r="S32" s="130">
        <v>0</v>
      </c>
      <c r="T32" s="130">
        <v>0</v>
      </c>
      <c r="U32" s="130">
        <v>0</v>
      </c>
      <c r="V32" s="130">
        <v>0</v>
      </c>
      <c r="W32" s="130">
        <v>0</v>
      </c>
      <c r="X32" s="130">
        <v>0</v>
      </c>
      <c r="Y32" s="130">
        <v>0</v>
      </c>
      <c r="Z32" s="130">
        <v>0</v>
      </c>
      <c r="AA32" s="130">
        <v>0</v>
      </c>
      <c r="AB32" s="130">
        <v>0</v>
      </c>
      <c r="AC32" s="130">
        <v>0</v>
      </c>
      <c r="AD32" s="130">
        <v>0</v>
      </c>
      <c r="AE32" s="130">
        <v>0</v>
      </c>
      <c r="AF32" s="130">
        <v>0</v>
      </c>
      <c r="AG32" s="130">
        <v>0</v>
      </c>
      <c r="AH32" s="130">
        <v>0</v>
      </c>
      <c r="AI32" s="130">
        <v>0</v>
      </c>
      <c r="AJ32" s="130">
        <v>0</v>
      </c>
      <c r="AK32" s="130">
        <v>0</v>
      </c>
      <c r="AL32" s="130">
        <v>0</v>
      </c>
      <c r="AM32" s="130">
        <v>0</v>
      </c>
      <c r="AN32" s="130">
        <v>0</v>
      </c>
      <c r="AO32" s="130">
        <v>0</v>
      </c>
      <c r="AP32" s="130">
        <v>0</v>
      </c>
      <c r="AQ32" s="130">
        <v>0</v>
      </c>
      <c r="AR32" s="130">
        <v>0</v>
      </c>
      <c r="AS32" s="130">
        <v>0</v>
      </c>
      <c r="AT32" s="130">
        <v>0</v>
      </c>
      <c r="AU32" s="130">
        <v>0</v>
      </c>
      <c r="AV32" s="130">
        <v>0</v>
      </c>
      <c r="AW32" s="130">
        <v>0</v>
      </c>
      <c r="AX32" s="130">
        <v>0</v>
      </c>
      <c r="AY32" s="130">
        <v>0</v>
      </c>
    </row>
    <row r="33" spans="1:51" x14ac:dyDescent="0.2">
      <c r="A33" s="136" t="s">
        <v>134</v>
      </c>
      <c r="B33" s="124">
        <v>1</v>
      </c>
      <c r="C33" s="114" t="s">
        <v>295</v>
      </c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  <c r="AW33" s="111"/>
      <c r="AX33" s="111"/>
      <c r="AY33" s="111"/>
    </row>
    <row r="34" spans="1:51" x14ac:dyDescent="0.2">
      <c r="A34" s="114"/>
      <c r="B34" s="124">
        <v>2</v>
      </c>
      <c r="C34" s="114" t="s">
        <v>295</v>
      </c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  <c r="AU34" s="111"/>
      <c r="AV34" s="111"/>
      <c r="AW34" s="111"/>
      <c r="AX34" s="111"/>
      <c r="AY34" s="111"/>
    </row>
    <row r="35" spans="1:51" x14ac:dyDescent="0.2">
      <c r="A35" s="114"/>
      <c r="B35" s="124">
        <v>3</v>
      </c>
      <c r="C35" s="114" t="s">
        <v>295</v>
      </c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1"/>
      <c r="AL35" s="111"/>
      <c r="AM35" s="111"/>
      <c r="AN35" s="111"/>
      <c r="AO35" s="111"/>
      <c r="AP35" s="111"/>
      <c r="AQ35" s="111"/>
      <c r="AR35" s="111"/>
      <c r="AS35" s="111"/>
      <c r="AT35" s="111"/>
      <c r="AU35" s="111"/>
      <c r="AV35" s="111"/>
      <c r="AW35" s="111"/>
      <c r="AX35" s="111"/>
      <c r="AY35" s="111"/>
    </row>
    <row r="36" spans="1:51" x14ac:dyDescent="0.2">
      <c r="A36" s="114"/>
      <c r="B36" s="125">
        <v>4</v>
      </c>
      <c r="C36" s="114" t="s">
        <v>295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  <c r="AL36" s="111"/>
      <c r="AM36" s="111"/>
      <c r="AN36" s="111"/>
      <c r="AO36" s="111"/>
      <c r="AP36" s="111"/>
      <c r="AQ36" s="111"/>
      <c r="AR36" s="111"/>
      <c r="AS36" s="111"/>
      <c r="AT36" s="111"/>
      <c r="AU36" s="111"/>
      <c r="AV36" s="111"/>
      <c r="AW36" s="111"/>
      <c r="AX36" s="111"/>
      <c r="AY36" s="111"/>
    </row>
    <row r="37" spans="1:51" x14ac:dyDescent="0.2">
      <c r="A37" s="114"/>
      <c r="B37" s="125">
        <v>5</v>
      </c>
      <c r="C37" s="114" t="s">
        <v>295</v>
      </c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  <c r="AH37" s="111"/>
      <c r="AI37" s="111"/>
      <c r="AJ37" s="111"/>
      <c r="AK37" s="111"/>
      <c r="AL37" s="111"/>
      <c r="AM37" s="111"/>
      <c r="AN37" s="111"/>
      <c r="AO37" s="111"/>
      <c r="AP37" s="111"/>
      <c r="AQ37" s="111"/>
      <c r="AR37" s="111"/>
      <c r="AS37" s="111"/>
      <c r="AT37" s="111"/>
      <c r="AU37" s="111"/>
      <c r="AV37" s="111"/>
      <c r="AW37" s="111"/>
      <c r="AX37" s="111"/>
      <c r="AY37" s="111"/>
    </row>
    <row r="38" spans="1:51" x14ac:dyDescent="0.2">
      <c r="A38" s="114"/>
      <c r="B38" s="125">
        <v>6</v>
      </c>
      <c r="C38" s="114" t="s">
        <v>295</v>
      </c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  <c r="AL38" s="111"/>
      <c r="AM38" s="111"/>
      <c r="AN38" s="111"/>
      <c r="AO38" s="111"/>
      <c r="AP38" s="111"/>
      <c r="AQ38" s="111"/>
      <c r="AR38" s="111"/>
      <c r="AS38" s="111"/>
      <c r="AT38" s="111"/>
      <c r="AU38" s="111"/>
      <c r="AV38" s="111"/>
      <c r="AW38" s="111"/>
      <c r="AX38" s="111"/>
      <c r="AY38" s="111"/>
    </row>
    <row r="39" spans="1:51" x14ac:dyDescent="0.2">
      <c r="A39" s="114"/>
      <c r="B39" s="132">
        <v>7</v>
      </c>
      <c r="C39" s="114" t="s">
        <v>295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  <c r="AU39" s="111"/>
      <c r="AV39" s="111"/>
      <c r="AW39" s="111"/>
      <c r="AX39" s="111"/>
      <c r="AY39" s="111"/>
    </row>
    <row r="40" spans="1:51" x14ac:dyDescent="0.2">
      <c r="A40" s="114"/>
      <c r="B40" s="132">
        <v>8</v>
      </c>
      <c r="C40" s="114" t="s">
        <v>295</v>
      </c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  <c r="AU40" s="111"/>
      <c r="AV40" s="111"/>
      <c r="AW40" s="111"/>
      <c r="AX40" s="111"/>
      <c r="AY40" s="111"/>
    </row>
    <row r="41" spans="1:51" x14ac:dyDescent="0.2">
      <c r="A41" s="114"/>
      <c r="B41" s="132">
        <v>9</v>
      </c>
      <c r="C41" s="114" t="s">
        <v>295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  <c r="AU41" s="111"/>
      <c r="AV41" s="111"/>
      <c r="AW41" s="111"/>
      <c r="AX41" s="111"/>
      <c r="AY41" s="111"/>
    </row>
    <row r="42" spans="1:51" x14ac:dyDescent="0.2">
      <c r="A42" s="114"/>
      <c r="B42" s="135">
        <v>10</v>
      </c>
      <c r="C42" s="114" t="s">
        <v>295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  <c r="AU42" s="111"/>
      <c r="AV42" s="111"/>
      <c r="AW42" s="111"/>
      <c r="AX42" s="111"/>
      <c r="AY42" s="111"/>
    </row>
    <row r="43" spans="1:51" x14ac:dyDescent="0.2">
      <c r="A43" s="114"/>
      <c r="B43" s="135">
        <v>11</v>
      </c>
      <c r="C43" s="114" t="s">
        <v>295</v>
      </c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  <c r="AB43" s="111"/>
      <c r="AC43" s="111"/>
      <c r="AD43" s="111"/>
      <c r="AE43" s="111"/>
      <c r="AF43" s="111"/>
      <c r="AG43" s="111"/>
      <c r="AH43" s="111"/>
      <c r="AI43" s="111"/>
      <c r="AJ43" s="111"/>
      <c r="AK43" s="111"/>
      <c r="AL43" s="111"/>
      <c r="AM43" s="111"/>
      <c r="AN43" s="111"/>
      <c r="AO43" s="111"/>
      <c r="AP43" s="111"/>
      <c r="AQ43" s="111"/>
      <c r="AR43" s="111"/>
      <c r="AS43" s="111"/>
      <c r="AT43" s="111"/>
      <c r="AU43" s="111"/>
      <c r="AV43" s="111"/>
      <c r="AW43" s="111"/>
      <c r="AX43" s="111"/>
      <c r="AY43" s="111"/>
    </row>
    <row r="44" spans="1:51" x14ac:dyDescent="0.2">
      <c r="A44" s="114"/>
      <c r="B44" s="135">
        <v>12</v>
      </c>
      <c r="C44" s="133" t="s">
        <v>295</v>
      </c>
      <c r="D44" s="111">
        <v>0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0</v>
      </c>
      <c r="K44" s="111">
        <v>0</v>
      </c>
      <c r="L44" s="111">
        <v>0</v>
      </c>
      <c r="M44" s="111">
        <v>0</v>
      </c>
      <c r="N44" s="111">
        <v>0</v>
      </c>
      <c r="O44" s="111">
        <v>0</v>
      </c>
      <c r="P44" s="111">
        <v>0</v>
      </c>
      <c r="Q44" s="111">
        <v>0</v>
      </c>
      <c r="R44" s="111">
        <v>0</v>
      </c>
      <c r="S44" s="111">
        <v>0</v>
      </c>
      <c r="T44" s="111">
        <v>0</v>
      </c>
      <c r="U44" s="111">
        <v>0</v>
      </c>
      <c r="V44" s="111">
        <v>0</v>
      </c>
      <c r="W44" s="111">
        <v>0</v>
      </c>
      <c r="X44" s="111">
        <v>0</v>
      </c>
      <c r="Y44" s="111">
        <v>0</v>
      </c>
      <c r="Z44" s="111">
        <v>0</v>
      </c>
      <c r="AA44" s="111">
        <v>0</v>
      </c>
      <c r="AB44" s="111">
        <v>0</v>
      </c>
      <c r="AC44" s="111">
        <v>0</v>
      </c>
      <c r="AD44" s="111">
        <v>0</v>
      </c>
      <c r="AE44" s="111">
        <v>0</v>
      </c>
      <c r="AF44" s="111">
        <v>0</v>
      </c>
      <c r="AG44" s="111">
        <v>0</v>
      </c>
      <c r="AH44" s="111">
        <v>0</v>
      </c>
      <c r="AI44" s="111">
        <v>0</v>
      </c>
      <c r="AJ44" s="111">
        <v>0</v>
      </c>
      <c r="AK44" s="111">
        <v>0</v>
      </c>
      <c r="AL44" s="111">
        <v>0</v>
      </c>
      <c r="AM44" s="111">
        <v>0</v>
      </c>
      <c r="AN44" s="111">
        <v>0</v>
      </c>
      <c r="AO44" s="111">
        <v>0</v>
      </c>
      <c r="AP44" s="111">
        <v>0</v>
      </c>
      <c r="AQ44" s="111">
        <v>0</v>
      </c>
      <c r="AR44" s="111">
        <v>0</v>
      </c>
      <c r="AS44" s="111">
        <v>0</v>
      </c>
      <c r="AT44" s="111">
        <v>0</v>
      </c>
      <c r="AU44" s="111">
        <v>0</v>
      </c>
      <c r="AV44" s="111">
        <v>0</v>
      </c>
      <c r="AW44" s="111">
        <v>0</v>
      </c>
      <c r="AX44" s="111">
        <v>0</v>
      </c>
      <c r="AY44" s="111">
        <v>0</v>
      </c>
    </row>
    <row r="45" spans="1:51" x14ac:dyDescent="0.2">
      <c r="A45" s="131" t="s">
        <v>123</v>
      </c>
      <c r="B45" s="128">
        <v>1</v>
      </c>
      <c r="C45" s="114" t="s">
        <v>295</v>
      </c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</row>
    <row r="46" spans="1:51" x14ac:dyDescent="0.2">
      <c r="A46" s="114"/>
      <c r="B46" s="124">
        <v>2</v>
      </c>
      <c r="C46" s="114" t="s">
        <v>295</v>
      </c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</row>
    <row r="47" spans="1:51" x14ac:dyDescent="0.2">
      <c r="A47" s="114"/>
      <c r="B47" s="124">
        <v>3</v>
      </c>
      <c r="C47" s="114" t="s">
        <v>295</v>
      </c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</row>
    <row r="48" spans="1:51" x14ac:dyDescent="0.2">
      <c r="A48" s="114"/>
      <c r="B48" s="124">
        <v>4</v>
      </c>
      <c r="C48" s="114" t="s">
        <v>295</v>
      </c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</row>
    <row r="49" spans="1:51" x14ac:dyDescent="0.2">
      <c r="A49" s="114"/>
      <c r="B49" s="124">
        <v>5</v>
      </c>
      <c r="C49" s="114" t="s">
        <v>295</v>
      </c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</row>
    <row r="50" spans="1:51" x14ac:dyDescent="0.2">
      <c r="A50" s="114"/>
      <c r="B50" s="124">
        <v>6</v>
      </c>
      <c r="C50" s="114" t="s">
        <v>295</v>
      </c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</row>
    <row r="51" spans="1:51" x14ac:dyDescent="0.2">
      <c r="A51" s="114"/>
      <c r="B51" s="124">
        <v>7</v>
      </c>
      <c r="C51" s="114" t="s">
        <v>295</v>
      </c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  <c r="AH51" s="115"/>
      <c r="AI51" s="115"/>
      <c r="AJ51" s="115"/>
      <c r="AK51" s="115"/>
      <c r="AL51" s="115"/>
      <c r="AM51" s="115"/>
      <c r="AN51" s="115"/>
      <c r="AO51" s="115"/>
      <c r="AP51" s="115"/>
      <c r="AQ51" s="115"/>
      <c r="AR51" s="115"/>
      <c r="AS51" s="115"/>
      <c r="AT51" s="115"/>
      <c r="AU51" s="115"/>
      <c r="AV51" s="115"/>
      <c r="AW51" s="115"/>
      <c r="AX51" s="115"/>
      <c r="AY51" s="115"/>
    </row>
    <row r="52" spans="1:51" x14ac:dyDescent="0.2">
      <c r="A52" s="114"/>
      <c r="B52" s="124">
        <v>8</v>
      </c>
      <c r="C52" s="114" t="s">
        <v>295</v>
      </c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5"/>
    </row>
    <row r="53" spans="1:51" x14ac:dyDescent="0.2">
      <c r="A53" s="114"/>
      <c r="B53" s="124">
        <v>9</v>
      </c>
      <c r="C53" s="114" t="s">
        <v>295</v>
      </c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</row>
    <row r="54" spans="1:51" x14ac:dyDescent="0.2">
      <c r="A54" s="114"/>
      <c r="B54" s="124">
        <v>10</v>
      </c>
      <c r="C54" s="114" t="s">
        <v>295</v>
      </c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</row>
    <row r="55" spans="1:51" x14ac:dyDescent="0.2">
      <c r="A55" s="114"/>
      <c r="B55" s="124">
        <v>11</v>
      </c>
      <c r="C55" s="114" t="s">
        <v>295</v>
      </c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115"/>
      <c r="AQ55" s="115"/>
      <c r="AR55" s="115"/>
      <c r="AS55" s="115"/>
      <c r="AT55" s="115"/>
      <c r="AU55" s="115"/>
      <c r="AV55" s="115"/>
      <c r="AW55" s="115"/>
      <c r="AX55" s="115"/>
      <c r="AY55" s="115"/>
    </row>
    <row r="56" spans="1:51" x14ac:dyDescent="0.2">
      <c r="A56" s="114"/>
      <c r="B56" s="124">
        <v>12</v>
      </c>
      <c r="C56" s="114" t="s">
        <v>295</v>
      </c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5"/>
      <c r="AP56" s="115"/>
      <c r="AQ56" s="115"/>
      <c r="AR56" s="115"/>
      <c r="AS56" s="115"/>
      <c r="AT56" s="115"/>
      <c r="AU56" s="115"/>
      <c r="AV56" s="115"/>
      <c r="AW56" s="115"/>
      <c r="AX56" s="115"/>
      <c r="AY56" s="115"/>
    </row>
    <row r="57" spans="1:51" x14ac:dyDescent="0.2">
      <c r="A57" s="114"/>
      <c r="B57" s="125">
        <v>13</v>
      </c>
      <c r="C57" s="114" t="s">
        <v>295</v>
      </c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  <c r="AY57" s="115"/>
    </row>
    <row r="58" spans="1:51" x14ac:dyDescent="0.2">
      <c r="A58" s="114"/>
      <c r="B58" s="125">
        <v>14</v>
      </c>
      <c r="C58" s="114" t="s">
        <v>295</v>
      </c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</row>
    <row r="59" spans="1:51" x14ac:dyDescent="0.2">
      <c r="A59" s="114"/>
      <c r="B59" s="125">
        <v>15</v>
      </c>
      <c r="C59" s="114" t="s">
        <v>295</v>
      </c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</row>
    <row r="60" spans="1:51" x14ac:dyDescent="0.2">
      <c r="A60" s="114"/>
      <c r="B60" s="125">
        <v>16</v>
      </c>
      <c r="C60" s="114" t="s">
        <v>295</v>
      </c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</row>
    <row r="61" spans="1:51" x14ac:dyDescent="0.2">
      <c r="A61" s="114"/>
      <c r="B61" s="125">
        <v>17</v>
      </c>
      <c r="C61" s="114" t="s">
        <v>295</v>
      </c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  <c r="AH61" s="115"/>
      <c r="AI61" s="115"/>
      <c r="AJ61" s="115"/>
      <c r="AK61" s="115"/>
      <c r="AL61" s="115"/>
      <c r="AM61" s="115"/>
      <c r="AN61" s="115"/>
      <c r="AO61" s="115"/>
      <c r="AP61" s="115"/>
      <c r="AQ61" s="115"/>
      <c r="AR61" s="115"/>
      <c r="AS61" s="115"/>
      <c r="AT61" s="115"/>
      <c r="AU61" s="115"/>
      <c r="AV61" s="115"/>
      <c r="AW61" s="115"/>
      <c r="AX61" s="115"/>
      <c r="AY61" s="115"/>
    </row>
    <row r="62" spans="1:51" x14ac:dyDescent="0.2">
      <c r="A62" s="114"/>
      <c r="B62" s="125">
        <v>18</v>
      </c>
      <c r="C62" s="114" t="s">
        <v>295</v>
      </c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5"/>
      <c r="AM62" s="115"/>
      <c r="AN62" s="115"/>
      <c r="AO62" s="115"/>
      <c r="AP62" s="115"/>
      <c r="AQ62" s="115"/>
      <c r="AR62" s="115"/>
      <c r="AS62" s="115"/>
      <c r="AT62" s="115"/>
      <c r="AU62" s="115"/>
      <c r="AV62" s="115"/>
      <c r="AW62" s="115"/>
      <c r="AX62" s="115"/>
      <c r="AY62" s="115"/>
    </row>
    <row r="63" spans="1:51" x14ac:dyDescent="0.2">
      <c r="A63" s="114"/>
      <c r="B63" s="125">
        <v>19</v>
      </c>
      <c r="C63" s="114" t="s">
        <v>295</v>
      </c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</row>
    <row r="64" spans="1:51" x14ac:dyDescent="0.2">
      <c r="A64" s="114"/>
      <c r="B64" s="125">
        <v>20</v>
      </c>
      <c r="C64" s="114" t="s">
        <v>295</v>
      </c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</row>
    <row r="65" spans="1:51" x14ac:dyDescent="0.2">
      <c r="A65" s="114"/>
      <c r="B65" s="125">
        <v>21</v>
      </c>
      <c r="C65" s="114" t="s">
        <v>295</v>
      </c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  <c r="AH65" s="115"/>
      <c r="AI65" s="115"/>
      <c r="AJ65" s="115"/>
      <c r="AK65" s="115"/>
      <c r="AL65" s="115"/>
      <c r="AM65" s="115"/>
      <c r="AN65" s="115"/>
      <c r="AO65" s="115"/>
      <c r="AP65" s="115"/>
      <c r="AQ65" s="115"/>
      <c r="AR65" s="115"/>
      <c r="AS65" s="115"/>
      <c r="AT65" s="115"/>
      <c r="AU65" s="115"/>
      <c r="AV65" s="115"/>
      <c r="AW65" s="115"/>
      <c r="AX65" s="115"/>
      <c r="AY65" s="115"/>
    </row>
    <row r="66" spans="1:51" x14ac:dyDescent="0.2">
      <c r="A66" s="114"/>
      <c r="B66" s="125">
        <v>22</v>
      </c>
      <c r="C66" s="114" t="s">
        <v>295</v>
      </c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  <c r="AH66" s="115"/>
      <c r="AI66" s="115"/>
      <c r="AJ66" s="115"/>
      <c r="AK66" s="115"/>
      <c r="AL66" s="115"/>
      <c r="AM66" s="115"/>
      <c r="AN66" s="115"/>
      <c r="AO66" s="115"/>
      <c r="AP66" s="115"/>
      <c r="AQ66" s="115"/>
      <c r="AR66" s="115"/>
      <c r="AS66" s="115"/>
      <c r="AT66" s="115"/>
      <c r="AU66" s="115"/>
      <c r="AV66" s="115"/>
      <c r="AW66" s="115"/>
      <c r="AX66" s="115"/>
      <c r="AY66" s="115"/>
    </row>
    <row r="67" spans="1:51" x14ac:dyDescent="0.2">
      <c r="A67" s="114"/>
      <c r="B67" s="125">
        <v>23</v>
      </c>
      <c r="C67" s="114" t="s">
        <v>295</v>
      </c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</row>
    <row r="68" spans="1:51" x14ac:dyDescent="0.2">
      <c r="A68" s="114"/>
      <c r="B68" s="125">
        <v>24</v>
      </c>
      <c r="C68" s="114" t="s">
        <v>295</v>
      </c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5"/>
      <c r="AI68" s="115"/>
      <c r="AJ68" s="115"/>
      <c r="AK68" s="115"/>
      <c r="AL68" s="115"/>
      <c r="AM68" s="115"/>
      <c r="AN68" s="115"/>
      <c r="AO68" s="115"/>
      <c r="AP68" s="115"/>
      <c r="AQ68" s="115"/>
      <c r="AR68" s="115"/>
      <c r="AS68" s="115"/>
      <c r="AT68" s="115"/>
      <c r="AU68" s="115"/>
      <c r="AV68" s="115"/>
      <c r="AW68" s="115"/>
      <c r="AX68" s="115"/>
      <c r="AY68" s="115"/>
    </row>
    <row r="69" spans="1:51" x14ac:dyDescent="0.2">
      <c r="A69" s="114"/>
      <c r="B69" s="132">
        <v>25</v>
      </c>
      <c r="C69" s="114" t="s">
        <v>295</v>
      </c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</row>
    <row r="70" spans="1:51" x14ac:dyDescent="0.2">
      <c r="A70" s="114"/>
      <c r="B70" s="132">
        <v>26</v>
      </c>
      <c r="C70" s="114" t="s">
        <v>295</v>
      </c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</row>
    <row r="71" spans="1:51" x14ac:dyDescent="0.2">
      <c r="A71" s="114"/>
      <c r="B71" s="132">
        <v>27</v>
      </c>
      <c r="C71" s="114" t="s">
        <v>295</v>
      </c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</row>
    <row r="72" spans="1:51" x14ac:dyDescent="0.2">
      <c r="A72" s="114"/>
      <c r="B72" s="132">
        <v>28</v>
      </c>
      <c r="C72" s="114" t="s">
        <v>295</v>
      </c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  <c r="AY72" s="115"/>
    </row>
    <row r="73" spans="1:51" x14ac:dyDescent="0.2">
      <c r="A73" s="114"/>
      <c r="B73" s="132">
        <v>29</v>
      </c>
      <c r="C73" s="114" t="s">
        <v>295</v>
      </c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  <c r="AY73" s="115"/>
    </row>
    <row r="74" spans="1:51" x14ac:dyDescent="0.2">
      <c r="A74" s="114"/>
      <c r="B74" s="132">
        <v>30</v>
      </c>
      <c r="C74" s="114" t="s">
        <v>295</v>
      </c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  <c r="AY74" s="115"/>
    </row>
    <row r="75" spans="1:51" x14ac:dyDescent="0.2">
      <c r="A75" s="114"/>
      <c r="B75" s="132">
        <v>31</v>
      </c>
      <c r="C75" s="114" t="s">
        <v>295</v>
      </c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  <c r="AY75" s="115"/>
    </row>
    <row r="76" spans="1:51" x14ac:dyDescent="0.2">
      <c r="A76" s="114"/>
      <c r="B76" s="132">
        <v>32</v>
      </c>
      <c r="C76" s="114" t="s">
        <v>295</v>
      </c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</row>
    <row r="77" spans="1:51" x14ac:dyDescent="0.2">
      <c r="A77" s="114"/>
      <c r="B77" s="132">
        <v>33</v>
      </c>
      <c r="C77" s="114" t="s">
        <v>295</v>
      </c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</row>
    <row r="78" spans="1:51" x14ac:dyDescent="0.2">
      <c r="A78" s="114"/>
      <c r="B78" s="132">
        <v>34</v>
      </c>
      <c r="C78" s="114" t="s">
        <v>295</v>
      </c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</row>
    <row r="79" spans="1:51" x14ac:dyDescent="0.2">
      <c r="A79" s="114"/>
      <c r="B79" s="132">
        <v>35</v>
      </c>
      <c r="C79" s="114" t="s">
        <v>295</v>
      </c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  <c r="AY79" s="115"/>
    </row>
    <row r="80" spans="1:51" x14ac:dyDescent="0.2">
      <c r="A80" s="114"/>
      <c r="B80" s="132">
        <v>36</v>
      </c>
      <c r="C80" s="114" t="s">
        <v>295</v>
      </c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</row>
    <row r="81" spans="1:52" x14ac:dyDescent="0.2">
      <c r="A81" s="114"/>
      <c r="B81" s="135">
        <v>37</v>
      </c>
      <c r="C81" s="114" t="s">
        <v>295</v>
      </c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</row>
    <row r="82" spans="1:52" x14ac:dyDescent="0.2">
      <c r="A82" s="114"/>
      <c r="B82" s="135">
        <v>38</v>
      </c>
      <c r="C82" s="114" t="s">
        <v>295</v>
      </c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</row>
    <row r="83" spans="1:52" x14ac:dyDescent="0.2">
      <c r="A83" s="114"/>
      <c r="B83" s="135">
        <v>39</v>
      </c>
      <c r="C83" s="114" t="s">
        <v>295</v>
      </c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</row>
    <row r="84" spans="1:52" x14ac:dyDescent="0.2">
      <c r="A84" s="114"/>
      <c r="B84" s="135">
        <v>40</v>
      </c>
      <c r="C84" s="114" t="s">
        <v>295</v>
      </c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  <c r="AY84" s="115"/>
    </row>
    <row r="85" spans="1:52" x14ac:dyDescent="0.2">
      <c r="A85" s="114"/>
      <c r="B85" s="135">
        <v>41</v>
      </c>
      <c r="C85" s="114" t="s">
        <v>295</v>
      </c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  <c r="AR85" s="115"/>
      <c r="AS85" s="115"/>
      <c r="AT85" s="115"/>
      <c r="AU85" s="115"/>
      <c r="AV85" s="115"/>
      <c r="AW85" s="115"/>
      <c r="AX85" s="115"/>
      <c r="AY85" s="115"/>
    </row>
    <row r="86" spans="1:52" x14ac:dyDescent="0.2">
      <c r="A86" s="114"/>
      <c r="B86" s="135">
        <v>42</v>
      </c>
      <c r="C86" s="114" t="s">
        <v>295</v>
      </c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  <c r="AR86" s="115"/>
      <c r="AS86" s="115"/>
      <c r="AT86" s="115"/>
      <c r="AU86" s="115"/>
      <c r="AV86" s="115"/>
      <c r="AW86" s="115"/>
      <c r="AX86" s="115"/>
      <c r="AY86" s="115"/>
    </row>
    <row r="87" spans="1:52" x14ac:dyDescent="0.2">
      <c r="A87" s="114"/>
      <c r="B87" s="135">
        <v>43</v>
      </c>
      <c r="C87" s="114" t="s">
        <v>295</v>
      </c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</row>
    <row r="88" spans="1:52" x14ac:dyDescent="0.2">
      <c r="A88" s="114"/>
      <c r="B88" s="135">
        <v>44</v>
      </c>
      <c r="C88" s="114" t="s">
        <v>295</v>
      </c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  <c r="AY88" s="115"/>
    </row>
    <row r="89" spans="1:52" x14ac:dyDescent="0.2">
      <c r="A89" s="114"/>
      <c r="B89" s="135">
        <v>45</v>
      </c>
      <c r="C89" s="114" t="s">
        <v>295</v>
      </c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  <c r="AH89" s="115"/>
      <c r="AI89" s="115"/>
      <c r="AJ89" s="115"/>
      <c r="AK89" s="115"/>
      <c r="AL89" s="115"/>
      <c r="AM89" s="115"/>
      <c r="AN89" s="115"/>
      <c r="AO89" s="115"/>
      <c r="AP89" s="115"/>
      <c r="AQ89" s="115"/>
      <c r="AR89" s="115"/>
      <c r="AS89" s="115"/>
      <c r="AT89" s="115"/>
      <c r="AU89" s="115"/>
      <c r="AV89" s="115"/>
      <c r="AW89" s="115"/>
      <c r="AX89" s="115"/>
      <c r="AY89" s="115"/>
    </row>
    <row r="90" spans="1:52" x14ac:dyDescent="0.2">
      <c r="A90" s="114"/>
      <c r="B90" s="135">
        <v>46</v>
      </c>
      <c r="C90" s="114" t="s">
        <v>295</v>
      </c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  <c r="AR90" s="115"/>
      <c r="AS90" s="115"/>
      <c r="AT90" s="115"/>
      <c r="AU90" s="115"/>
      <c r="AV90" s="115"/>
      <c r="AW90" s="115"/>
      <c r="AX90" s="115"/>
      <c r="AY90" s="115"/>
    </row>
    <row r="91" spans="1:52" x14ac:dyDescent="0.2">
      <c r="A91" s="114"/>
      <c r="B91" s="135">
        <v>47</v>
      </c>
      <c r="C91" s="114" t="s">
        <v>295</v>
      </c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/>
      <c r="AN91" s="115"/>
      <c r="AO91" s="115"/>
      <c r="AP91" s="115"/>
      <c r="AQ91" s="115"/>
      <c r="AR91" s="115"/>
      <c r="AS91" s="115"/>
      <c r="AT91" s="115"/>
      <c r="AU91" s="115"/>
      <c r="AV91" s="115"/>
      <c r="AW91" s="115"/>
      <c r="AX91" s="115"/>
      <c r="AY91" s="115"/>
    </row>
    <row r="92" spans="1:52" x14ac:dyDescent="0.2">
      <c r="A92" s="133"/>
      <c r="B92" s="134">
        <v>48</v>
      </c>
      <c r="C92" s="133" t="s">
        <v>295</v>
      </c>
      <c r="D92" s="130">
        <v>0</v>
      </c>
      <c r="E92" s="130">
        <v>0</v>
      </c>
      <c r="F92" s="130">
        <v>0</v>
      </c>
      <c r="G92" s="130">
        <v>0</v>
      </c>
      <c r="H92" s="130">
        <v>0</v>
      </c>
      <c r="I92" s="130">
        <v>0</v>
      </c>
      <c r="J92" s="130">
        <v>0</v>
      </c>
      <c r="K92" s="130">
        <v>0</v>
      </c>
      <c r="L92" s="130">
        <v>0</v>
      </c>
      <c r="M92" s="130">
        <v>0</v>
      </c>
      <c r="N92" s="130">
        <v>0</v>
      </c>
      <c r="O92" s="130">
        <v>0</v>
      </c>
      <c r="P92" s="130">
        <v>0</v>
      </c>
      <c r="Q92" s="130">
        <v>0</v>
      </c>
      <c r="R92" s="130">
        <v>0</v>
      </c>
      <c r="S92" s="130">
        <v>0</v>
      </c>
      <c r="T92" s="130">
        <v>0</v>
      </c>
      <c r="U92" s="130">
        <v>0</v>
      </c>
      <c r="V92" s="130">
        <v>0</v>
      </c>
      <c r="W92" s="130">
        <v>0</v>
      </c>
      <c r="X92" s="130">
        <v>0</v>
      </c>
      <c r="Y92" s="130">
        <v>0</v>
      </c>
      <c r="Z92" s="130">
        <v>0</v>
      </c>
      <c r="AA92" s="130">
        <v>0</v>
      </c>
      <c r="AB92" s="130">
        <v>0</v>
      </c>
      <c r="AC92" s="130">
        <v>0</v>
      </c>
      <c r="AD92" s="130">
        <v>0</v>
      </c>
      <c r="AE92" s="130">
        <v>0</v>
      </c>
      <c r="AF92" s="130">
        <v>0</v>
      </c>
      <c r="AG92" s="130">
        <v>0</v>
      </c>
      <c r="AH92" s="130">
        <v>0</v>
      </c>
      <c r="AI92" s="130">
        <v>0</v>
      </c>
      <c r="AJ92" s="130">
        <v>0</v>
      </c>
      <c r="AK92" s="130">
        <v>0</v>
      </c>
      <c r="AL92" s="130">
        <v>0</v>
      </c>
      <c r="AM92" s="130">
        <v>0</v>
      </c>
      <c r="AN92" s="130">
        <v>0</v>
      </c>
      <c r="AO92" s="130">
        <v>0</v>
      </c>
      <c r="AP92" s="130">
        <v>0</v>
      </c>
      <c r="AQ92" s="130">
        <v>0</v>
      </c>
      <c r="AR92" s="130">
        <v>0</v>
      </c>
      <c r="AS92" s="130">
        <v>0</v>
      </c>
      <c r="AT92" s="130">
        <v>0</v>
      </c>
      <c r="AU92" s="130">
        <v>0</v>
      </c>
      <c r="AV92" s="130">
        <v>0</v>
      </c>
      <c r="AW92" s="130">
        <v>0</v>
      </c>
      <c r="AX92" s="130">
        <v>0</v>
      </c>
      <c r="AY92" s="130">
        <v>0</v>
      </c>
      <c r="AZ92" s="112">
        <f>SUM(D21:AY92)</f>
        <v>0</v>
      </c>
    </row>
    <row r="94" spans="1:52" x14ac:dyDescent="0.2">
      <c r="A94" s="107" t="s">
        <v>297</v>
      </c>
      <c r="B94" s="111"/>
      <c r="C94" s="111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19"/>
      <c r="AQ94" s="119"/>
      <c r="AR94" s="119"/>
      <c r="AS94" s="119"/>
      <c r="AT94" s="119"/>
      <c r="AU94" s="119"/>
      <c r="AV94" s="119"/>
      <c r="AW94" s="119"/>
      <c r="AX94" s="119"/>
      <c r="AY94" s="119"/>
    </row>
    <row r="95" spans="1:52" x14ac:dyDescent="0.2">
      <c r="A95" s="131" t="s">
        <v>125</v>
      </c>
      <c r="B95" s="128">
        <v>1</v>
      </c>
      <c r="C95" s="129"/>
      <c r="D95" s="115">
        <v>132.15822784810126</v>
      </c>
      <c r="E95" s="115">
        <v>132.15822784810126</v>
      </c>
      <c r="F95" s="115">
        <v>132.15822784810126</v>
      </c>
      <c r="G95" s="115">
        <v>132.15822784810126</v>
      </c>
      <c r="H95" s="115">
        <v>132.15822784810126</v>
      </c>
      <c r="I95" s="115">
        <v>132.15822784810126</v>
      </c>
      <c r="J95" s="115">
        <v>132.15822784810126</v>
      </c>
      <c r="K95" s="115">
        <v>132.15822784810126</v>
      </c>
      <c r="L95" s="115">
        <v>118.94240506329116</v>
      </c>
      <c r="M95" s="115">
        <v>118.94240506329116</v>
      </c>
      <c r="N95" s="115">
        <v>118.94240506329116</v>
      </c>
      <c r="O95" s="115">
        <v>118.94240506329116</v>
      </c>
      <c r="P95" s="115">
        <v>132.15822784810126</v>
      </c>
      <c r="Q95" s="115">
        <v>132.15822784810126</v>
      </c>
      <c r="R95" s="115">
        <v>132.15822784810126</v>
      </c>
      <c r="S95" s="115">
        <v>132.15822784810126</v>
      </c>
      <c r="T95" s="115">
        <v>132.15822784810126</v>
      </c>
      <c r="U95" s="115">
        <v>132.15822784810126</v>
      </c>
      <c r="V95" s="115">
        <v>132.15822784810126</v>
      </c>
      <c r="W95" s="115">
        <v>132.15822784810126</v>
      </c>
      <c r="X95" s="115">
        <v>132.15822784810126</v>
      </c>
      <c r="Y95" s="115">
        <v>132.15822784810126</v>
      </c>
      <c r="Z95" s="115">
        <v>132.15822784810126</v>
      </c>
      <c r="AA95" s="115">
        <v>132.15822784810126</v>
      </c>
      <c r="AB95" s="115">
        <v>132.15822784810126</v>
      </c>
      <c r="AC95" s="115">
        <v>132.15822784810126</v>
      </c>
      <c r="AD95" s="115">
        <v>132.15822784810126</v>
      </c>
      <c r="AE95" s="115">
        <v>132.15822784810126</v>
      </c>
      <c r="AF95" s="115">
        <v>132.15822784810126</v>
      </c>
      <c r="AG95" s="115">
        <v>132.15822784810126</v>
      </c>
      <c r="AH95" s="115">
        <v>132.15822784810126</v>
      </c>
      <c r="AI95" s="115">
        <v>132.15822784810126</v>
      </c>
      <c r="AJ95" s="115">
        <v>145.37405063291141</v>
      </c>
      <c r="AK95" s="115">
        <v>145.37405063291141</v>
      </c>
      <c r="AL95" s="115">
        <v>145.37405063291141</v>
      </c>
      <c r="AM95" s="115">
        <v>145.37405063291141</v>
      </c>
      <c r="AN95" s="115">
        <v>132.15822784810126</v>
      </c>
      <c r="AO95" s="115">
        <v>132.15822784810126</v>
      </c>
      <c r="AP95" s="115">
        <v>132.15822784810126</v>
      </c>
      <c r="AQ95" s="115">
        <v>132.15822784810126</v>
      </c>
      <c r="AR95" s="115">
        <v>145.37405063291141</v>
      </c>
      <c r="AS95" s="115">
        <v>145.37405063291141</v>
      </c>
      <c r="AT95" s="115">
        <v>145.37405063291141</v>
      </c>
      <c r="AU95" s="115">
        <v>145.37405063291141</v>
      </c>
      <c r="AV95" s="115">
        <v>132.15822784810126</v>
      </c>
      <c r="AW95" s="115">
        <v>132.15822784810126</v>
      </c>
      <c r="AX95" s="115">
        <v>132.15822784810126</v>
      </c>
      <c r="AY95" s="115">
        <v>132.15822784810126</v>
      </c>
    </row>
    <row r="96" spans="1:52" x14ac:dyDescent="0.2">
      <c r="A96" s="114"/>
      <c r="B96" s="125">
        <v>2</v>
      </c>
      <c r="C96" s="115"/>
      <c r="D96" s="115">
        <v>0</v>
      </c>
      <c r="E96" s="115">
        <v>40.158227848101262</v>
      </c>
      <c r="F96" s="115">
        <v>96.316455696202524</v>
      </c>
      <c r="G96" s="115">
        <v>105.47468354430379</v>
      </c>
      <c r="H96" s="115">
        <v>127.63291139240505</v>
      </c>
      <c r="I96" s="115">
        <v>132.15822784810126</v>
      </c>
      <c r="J96" s="115">
        <v>132.15822784810126</v>
      </c>
      <c r="K96" s="115">
        <v>132.15822784810126</v>
      </c>
      <c r="L96" s="115">
        <v>132.15822784810126</v>
      </c>
      <c r="M96" s="115">
        <v>118.94240506329116</v>
      </c>
      <c r="N96" s="115">
        <v>118.94240506329116</v>
      </c>
      <c r="O96" s="115">
        <v>118.94240506329116</v>
      </c>
      <c r="P96" s="115">
        <v>118.94240506329116</v>
      </c>
      <c r="Q96" s="115">
        <v>132.15822784810126</v>
      </c>
      <c r="R96" s="115">
        <v>132.15822784810126</v>
      </c>
      <c r="S96" s="115">
        <v>132.15822784810126</v>
      </c>
      <c r="T96" s="115">
        <v>132.15822784810126</v>
      </c>
      <c r="U96" s="115">
        <v>132.15822784810126</v>
      </c>
      <c r="V96" s="115">
        <v>132.15822784810126</v>
      </c>
      <c r="W96" s="115">
        <v>132.15822784810126</v>
      </c>
      <c r="X96" s="115">
        <v>132.15822784810126</v>
      </c>
      <c r="Y96" s="115">
        <v>132.15822784810126</v>
      </c>
      <c r="Z96" s="115">
        <v>132.15822784810126</v>
      </c>
      <c r="AA96" s="115">
        <v>132.15822784810126</v>
      </c>
      <c r="AB96" s="115">
        <v>132.15822784810126</v>
      </c>
      <c r="AC96" s="115">
        <v>132.15822784810126</v>
      </c>
      <c r="AD96" s="115">
        <v>132.15822784810126</v>
      </c>
      <c r="AE96" s="115">
        <v>132.15822784810126</v>
      </c>
      <c r="AF96" s="115">
        <v>132.15822784810126</v>
      </c>
      <c r="AG96" s="115">
        <v>132.15822784810126</v>
      </c>
      <c r="AH96" s="115">
        <v>132.15822784810126</v>
      </c>
      <c r="AI96" s="115">
        <v>132.15822784810126</v>
      </c>
      <c r="AJ96" s="115">
        <v>132.15822784810126</v>
      </c>
      <c r="AK96" s="115">
        <v>145.37405063291141</v>
      </c>
      <c r="AL96" s="115">
        <v>145.37405063291141</v>
      </c>
      <c r="AM96" s="115">
        <v>145.37405063291141</v>
      </c>
      <c r="AN96" s="115">
        <v>145.37405063291141</v>
      </c>
      <c r="AO96" s="115">
        <v>132.15822784810126</v>
      </c>
      <c r="AP96" s="115">
        <v>132.15822784810126</v>
      </c>
      <c r="AQ96" s="115">
        <v>132.15822784810126</v>
      </c>
      <c r="AR96" s="115">
        <v>132.15822784810126</v>
      </c>
      <c r="AS96" s="115">
        <v>145.37405063291141</v>
      </c>
      <c r="AT96" s="115">
        <v>145.37405063291141</v>
      </c>
      <c r="AU96" s="115">
        <v>145.37405063291141</v>
      </c>
      <c r="AV96" s="115">
        <v>145.37405063291141</v>
      </c>
      <c r="AW96" s="115">
        <v>132.15822784810126</v>
      </c>
      <c r="AX96" s="115">
        <v>132.15822784810126</v>
      </c>
      <c r="AY96" s="115">
        <v>132.15822784810126</v>
      </c>
    </row>
    <row r="97" spans="1:52" x14ac:dyDescent="0.2">
      <c r="A97" s="114"/>
      <c r="B97" s="132">
        <v>3</v>
      </c>
      <c r="C97" s="115"/>
      <c r="D97" s="115">
        <v>0</v>
      </c>
      <c r="E97" s="115">
        <v>0</v>
      </c>
      <c r="F97" s="115">
        <v>0</v>
      </c>
      <c r="G97" s="115">
        <v>0</v>
      </c>
      <c r="H97" s="115">
        <v>0</v>
      </c>
      <c r="I97" s="115">
        <v>52.632911392405049</v>
      </c>
      <c r="J97" s="115">
        <v>97.791139240506311</v>
      </c>
      <c r="K97" s="115">
        <v>106.94936708860757</v>
      </c>
      <c r="L97" s="115">
        <v>132.15822784810126</v>
      </c>
      <c r="M97" s="115">
        <v>132.15822784810126</v>
      </c>
      <c r="N97" s="115">
        <v>118.94240506329116</v>
      </c>
      <c r="O97" s="115">
        <v>118.94240506329116</v>
      </c>
      <c r="P97" s="115">
        <v>118.94240506329116</v>
      </c>
      <c r="Q97" s="115">
        <v>118.94240506329116</v>
      </c>
      <c r="R97" s="115">
        <v>132.15822784810126</v>
      </c>
      <c r="S97" s="115">
        <v>132.15822784810126</v>
      </c>
      <c r="T97" s="115">
        <v>132.15822784810126</v>
      </c>
      <c r="U97" s="115">
        <v>132.15822784810126</v>
      </c>
      <c r="V97" s="115">
        <v>132.15822784810126</v>
      </c>
      <c r="W97" s="115">
        <v>132.15822784810126</v>
      </c>
      <c r="X97" s="115">
        <v>132.15822784810126</v>
      </c>
      <c r="Y97" s="115">
        <v>132.15822784810126</v>
      </c>
      <c r="Z97" s="115">
        <v>132.15822784810126</v>
      </c>
      <c r="AA97" s="115">
        <v>132.15822784810126</v>
      </c>
      <c r="AB97" s="115">
        <v>132.15822784810126</v>
      </c>
      <c r="AC97" s="115">
        <v>132.15822784810126</v>
      </c>
      <c r="AD97" s="115">
        <v>132.15822784810126</v>
      </c>
      <c r="AE97" s="115">
        <v>132.15822784810126</v>
      </c>
      <c r="AF97" s="115">
        <v>132.15822784810126</v>
      </c>
      <c r="AG97" s="115">
        <v>132.15822784810126</v>
      </c>
      <c r="AH97" s="115">
        <v>132.15822784810126</v>
      </c>
      <c r="AI97" s="115">
        <v>132.15822784810126</v>
      </c>
      <c r="AJ97" s="115">
        <v>132.15822784810126</v>
      </c>
      <c r="AK97" s="115">
        <v>132.15822784810126</v>
      </c>
      <c r="AL97" s="115">
        <v>145.37405063291141</v>
      </c>
      <c r="AM97" s="115">
        <v>145.37405063291141</v>
      </c>
      <c r="AN97" s="115">
        <v>145.37405063291141</v>
      </c>
      <c r="AO97" s="115">
        <v>145.37405063291141</v>
      </c>
      <c r="AP97" s="115">
        <v>132.15822784810126</v>
      </c>
      <c r="AQ97" s="115">
        <v>132.15822784810126</v>
      </c>
      <c r="AR97" s="115">
        <v>132.15822784810126</v>
      </c>
      <c r="AS97" s="115">
        <v>132.15822784810126</v>
      </c>
      <c r="AT97" s="115">
        <v>145.37405063291141</v>
      </c>
      <c r="AU97" s="115">
        <v>145.37405063291141</v>
      </c>
      <c r="AV97" s="115">
        <v>145.37405063291141</v>
      </c>
      <c r="AW97" s="115">
        <v>145.37405063291141</v>
      </c>
      <c r="AX97" s="115">
        <v>132.15822784810126</v>
      </c>
      <c r="AY97" s="115">
        <v>132.15822784810126</v>
      </c>
    </row>
    <row r="98" spans="1:52" x14ac:dyDescent="0.2">
      <c r="A98" s="114"/>
      <c r="B98" s="135">
        <v>4</v>
      </c>
      <c r="C98" s="111"/>
      <c r="D98" s="115">
        <v>0</v>
      </c>
      <c r="E98" s="115">
        <v>0</v>
      </c>
      <c r="F98" s="115">
        <v>0</v>
      </c>
      <c r="G98" s="115">
        <v>0</v>
      </c>
      <c r="H98" s="115">
        <v>0</v>
      </c>
      <c r="I98" s="115">
        <v>0</v>
      </c>
      <c r="J98" s="115">
        <v>0</v>
      </c>
      <c r="K98" s="115">
        <v>0</v>
      </c>
      <c r="L98" s="115">
        <v>21.949367088607573</v>
      </c>
      <c r="M98" s="115">
        <v>51.107594936708836</v>
      </c>
      <c r="N98" s="115">
        <v>73.265822784810098</v>
      </c>
      <c r="O98" s="115">
        <v>84.208227848101259</v>
      </c>
      <c r="P98" s="115">
        <v>116.15063291139242</v>
      </c>
      <c r="Q98" s="115">
        <v>118.94240506329116</v>
      </c>
      <c r="R98" s="115">
        <v>118.94240506329116</v>
      </c>
      <c r="S98" s="115">
        <v>132.15822784810126</v>
      </c>
      <c r="T98" s="115">
        <v>132.15822784810126</v>
      </c>
      <c r="U98" s="115">
        <v>132.15822784810126</v>
      </c>
      <c r="V98" s="115">
        <v>132.15822784810126</v>
      </c>
      <c r="W98" s="115">
        <v>132.15822784810126</v>
      </c>
      <c r="X98" s="115">
        <v>132.15822784810126</v>
      </c>
      <c r="Y98" s="115">
        <v>132.15822784810126</v>
      </c>
      <c r="Z98" s="115">
        <v>132.15822784810126</v>
      </c>
      <c r="AA98" s="115">
        <v>132.15822784810126</v>
      </c>
      <c r="AB98" s="115">
        <v>132.15822784810126</v>
      </c>
      <c r="AC98" s="115">
        <v>132.15822784810126</v>
      </c>
      <c r="AD98" s="115">
        <v>132.15822784810126</v>
      </c>
      <c r="AE98" s="115">
        <v>132.15822784810126</v>
      </c>
      <c r="AF98" s="115">
        <v>132.15822784810126</v>
      </c>
      <c r="AG98" s="115">
        <v>132.15822784810126</v>
      </c>
      <c r="AH98" s="115">
        <v>132.15822784810126</v>
      </c>
      <c r="AI98" s="115">
        <v>132.15822784810126</v>
      </c>
      <c r="AJ98" s="115">
        <v>132.15822784810126</v>
      </c>
      <c r="AK98" s="115">
        <v>132.15822784810126</v>
      </c>
      <c r="AL98" s="115">
        <v>132.15822784810126</v>
      </c>
      <c r="AM98" s="115">
        <v>145.37405063291141</v>
      </c>
      <c r="AN98" s="115">
        <v>145.37405063291141</v>
      </c>
      <c r="AO98" s="115">
        <v>145.37405063291141</v>
      </c>
      <c r="AP98" s="115">
        <v>145.37405063291141</v>
      </c>
      <c r="AQ98" s="115">
        <v>132.15822784810126</v>
      </c>
      <c r="AR98" s="115">
        <v>132.15822784810126</v>
      </c>
      <c r="AS98" s="115">
        <v>132.15822784810126</v>
      </c>
      <c r="AT98" s="115">
        <v>132.15822784810126</v>
      </c>
      <c r="AU98" s="115">
        <v>142.53227848101267</v>
      </c>
      <c r="AV98" s="115">
        <v>145.37405063291141</v>
      </c>
      <c r="AW98" s="115">
        <v>145.37405063291141</v>
      </c>
      <c r="AX98" s="115">
        <v>145.37405063291141</v>
      </c>
      <c r="AY98" s="115">
        <v>132.15822784810126</v>
      </c>
    </row>
    <row r="99" spans="1:52" x14ac:dyDescent="0.2">
      <c r="A99" s="133"/>
      <c r="B99" s="137" t="s">
        <v>298</v>
      </c>
      <c r="C99" s="130"/>
      <c r="D99" s="130">
        <v>0</v>
      </c>
      <c r="E99" s="130">
        <v>0</v>
      </c>
      <c r="F99" s="130">
        <v>0</v>
      </c>
      <c r="G99" s="130">
        <v>0</v>
      </c>
      <c r="H99" s="130">
        <v>0</v>
      </c>
      <c r="I99" s="130">
        <v>0</v>
      </c>
      <c r="J99" s="130">
        <v>0</v>
      </c>
      <c r="K99" s="130">
        <v>0</v>
      </c>
      <c r="L99" s="130">
        <v>0</v>
      </c>
      <c r="M99" s="130">
        <v>0</v>
      </c>
      <c r="N99" s="130">
        <v>0</v>
      </c>
      <c r="O99" s="130">
        <v>0</v>
      </c>
      <c r="P99" s="130">
        <v>0</v>
      </c>
      <c r="Q99" s="130">
        <v>2.150632911392421</v>
      </c>
      <c r="R99" s="130">
        <v>40.942405063291162</v>
      </c>
      <c r="S99" s="130">
        <v>7.9424050632911616</v>
      </c>
      <c r="T99" s="130">
        <v>35.158227848101262</v>
      </c>
      <c r="U99" s="130">
        <v>15.158227848101262</v>
      </c>
      <c r="V99" s="130">
        <v>11.158227848101262</v>
      </c>
      <c r="W99" s="130">
        <v>24.158227848101262</v>
      </c>
      <c r="X99" s="130">
        <v>29.158227848101262</v>
      </c>
      <c r="Y99" s="130">
        <v>12.158227848101262</v>
      </c>
      <c r="Z99" s="130">
        <v>3.1582278481012622</v>
      </c>
      <c r="AA99" s="130">
        <v>4.1582278481012622</v>
      </c>
      <c r="AB99" s="130">
        <v>8.1582278481012622</v>
      </c>
      <c r="AC99" s="130">
        <v>29.158227848101262</v>
      </c>
      <c r="AD99" s="130">
        <v>3.1582278481012622</v>
      </c>
      <c r="AE99" s="130">
        <v>22.158227848101262</v>
      </c>
      <c r="AF99" s="130">
        <v>40.158227848101262</v>
      </c>
      <c r="AG99" s="130">
        <v>39.158227848101262</v>
      </c>
      <c r="AH99" s="130">
        <v>27.158227848101262</v>
      </c>
      <c r="AI99" s="130">
        <v>4.1582278481012622</v>
      </c>
      <c r="AJ99" s="130">
        <v>35.158227848101262</v>
      </c>
      <c r="AK99" s="130">
        <v>24.158227848101262</v>
      </c>
      <c r="AL99" s="130">
        <v>3.1582278481012622</v>
      </c>
      <c r="AM99" s="130">
        <v>4.1582278481012622</v>
      </c>
      <c r="AN99" s="130">
        <v>23.374050632911406</v>
      </c>
      <c r="AO99" s="130">
        <v>63.374050632911406</v>
      </c>
      <c r="AP99" s="130">
        <v>64.374050632911406</v>
      </c>
      <c r="AQ99" s="130">
        <v>32.374050632911406</v>
      </c>
      <c r="AR99" s="130">
        <v>30.158227848101262</v>
      </c>
      <c r="AS99" s="130">
        <v>23.158227848101262</v>
      </c>
      <c r="AT99" s="130">
        <v>48.158227848101262</v>
      </c>
      <c r="AU99" s="130">
        <v>0</v>
      </c>
      <c r="AV99" s="130">
        <v>35.532278481012668</v>
      </c>
      <c r="AW99" s="130">
        <v>12.374050632911406</v>
      </c>
      <c r="AX99" s="130">
        <v>58.374050632911406</v>
      </c>
      <c r="AY99" s="130">
        <v>37.374050632911406</v>
      </c>
      <c r="AZ99" s="112">
        <f>SUM($D99:$AY99)</f>
        <v>853.82531645569611</v>
      </c>
    </row>
    <row r="100" spans="1:52" x14ac:dyDescent="0.2">
      <c r="A100" s="136" t="s">
        <v>133</v>
      </c>
      <c r="B100" s="124">
        <v>1</v>
      </c>
      <c r="C100" s="111"/>
      <c r="D100" s="111">
        <v>0</v>
      </c>
      <c r="E100" s="111">
        <v>284.15300546448077</v>
      </c>
      <c r="F100" s="111">
        <v>103.34177215189874</v>
      </c>
      <c r="G100" s="111">
        <v>103.34177215189874</v>
      </c>
      <c r="H100" s="111">
        <v>103.34177215189874</v>
      </c>
      <c r="I100" s="111">
        <v>103.34177215189874</v>
      </c>
      <c r="J100" s="111">
        <v>103.34177215189874</v>
      </c>
      <c r="K100" s="111">
        <v>103.34177215189874</v>
      </c>
      <c r="L100" s="111">
        <v>103.34177215189874</v>
      </c>
      <c r="M100" s="111">
        <v>103.34177215189874</v>
      </c>
      <c r="N100" s="111">
        <v>93.00759493670887</v>
      </c>
      <c r="O100" s="111">
        <v>93.00759493670887</v>
      </c>
      <c r="P100" s="111">
        <v>93.00759493670887</v>
      </c>
      <c r="Q100" s="111">
        <v>93.00759493670887</v>
      </c>
      <c r="R100" s="111">
        <v>103.34177215189874</v>
      </c>
      <c r="S100" s="111">
        <v>103.34177215189874</v>
      </c>
      <c r="T100" s="111">
        <v>0</v>
      </c>
      <c r="U100" s="111">
        <v>206.68354430379742</v>
      </c>
      <c r="V100" s="111">
        <v>103.34177215189874</v>
      </c>
      <c r="W100" s="111">
        <v>103.34177215189874</v>
      </c>
      <c r="X100" s="111">
        <v>103.34177215189874</v>
      </c>
      <c r="Y100" s="111">
        <v>103.34177215189874</v>
      </c>
      <c r="Z100" s="111">
        <v>103.34177215189874</v>
      </c>
      <c r="AA100" s="111">
        <v>103.34177215189874</v>
      </c>
      <c r="AB100" s="111">
        <v>103.34177215189874</v>
      </c>
      <c r="AC100" s="111">
        <v>103.34177215189874</v>
      </c>
      <c r="AD100" s="111">
        <v>103.34177215189874</v>
      </c>
      <c r="AE100" s="111">
        <v>103.34177215189874</v>
      </c>
      <c r="AF100" s="111">
        <v>103.34177215189874</v>
      </c>
      <c r="AG100" s="111">
        <v>103.34177215189874</v>
      </c>
      <c r="AH100" s="111">
        <v>103.34177215189874</v>
      </c>
      <c r="AI100" s="111">
        <v>103.34177215189874</v>
      </c>
      <c r="AJ100" s="111">
        <v>103.34177215189874</v>
      </c>
      <c r="AK100" s="111">
        <v>103.34177215189874</v>
      </c>
      <c r="AL100" s="111">
        <v>113.67594936708862</v>
      </c>
      <c r="AM100" s="111">
        <v>113.67594936708862</v>
      </c>
      <c r="AN100" s="111">
        <v>113.67594936708862</v>
      </c>
      <c r="AO100" s="111">
        <v>113.67594936708862</v>
      </c>
      <c r="AP100" s="111">
        <v>103.34177215189874</v>
      </c>
      <c r="AQ100" s="111">
        <v>103.34177215189874</v>
      </c>
      <c r="AR100" s="111">
        <v>103.34177215189874</v>
      </c>
      <c r="AS100" s="111">
        <v>103.34177215189874</v>
      </c>
      <c r="AT100" s="111">
        <v>113.67594936708862</v>
      </c>
      <c r="AU100" s="111">
        <v>113.67594936708862</v>
      </c>
      <c r="AV100" s="111">
        <v>113.67594936708862</v>
      </c>
      <c r="AW100" s="111">
        <v>113.67594936708862</v>
      </c>
      <c r="AX100" s="111">
        <v>103.34177215189874</v>
      </c>
      <c r="AY100" s="111">
        <v>103.34177215189874</v>
      </c>
    </row>
    <row r="101" spans="1:52" x14ac:dyDescent="0.2">
      <c r="A101" s="114"/>
      <c r="B101" s="124">
        <v>2</v>
      </c>
      <c r="C101" s="111"/>
      <c r="D101" s="111">
        <v>0</v>
      </c>
      <c r="E101" s="111">
        <v>0</v>
      </c>
      <c r="F101" s="111">
        <v>188.15300546448077</v>
      </c>
      <c r="G101" s="111">
        <v>103.34177215189874</v>
      </c>
      <c r="H101" s="111">
        <v>103.34177215189874</v>
      </c>
      <c r="I101" s="111">
        <v>103.34177215189874</v>
      </c>
      <c r="J101" s="111">
        <v>103.34177215189874</v>
      </c>
      <c r="K101" s="111">
        <v>103.34177215189874</v>
      </c>
      <c r="L101" s="111">
        <v>103.34177215189874</v>
      </c>
      <c r="M101" s="111">
        <v>103.34177215189874</v>
      </c>
      <c r="N101" s="111">
        <v>103.34177215189874</v>
      </c>
      <c r="O101" s="111">
        <v>93.00759493670887</v>
      </c>
      <c r="P101" s="111">
        <v>93.00759493670887</v>
      </c>
      <c r="Q101" s="111">
        <v>93.00759493670887</v>
      </c>
      <c r="R101" s="111">
        <v>93.00759493670887</v>
      </c>
      <c r="S101" s="111">
        <v>103.34177215189874</v>
      </c>
      <c r="T101" s="111">
        <v>103.34177215189874</v>
      </c>
      <c r="U101" s="111">
        <v>0</v>
      </c>
      <c r="V101" s="111">
        <v>206.68354430379742</v>
      </c>
      <c r="W101" s="111">
        <v>103.34177215189874</v>
      </c>
      <c r="X101" s="111">
        <v>103.34177215189874</v>
      </c>
      <c r="Y101" s="111">
        <v>103.34177215189874</v>
      </c>
      <c r="Z101" s="111">
        <v>103.34177215189874</v>
      </c>
      <c r="AA101" s="111">
        <v>103.34177215189874</v>
      </c>
      <c r="AB101" s="111">
        <v>103.34177215189874</v>
      </c>
      <c r="AC101" s="111">
        <v>103.34177215189874</v>
      </c>
      <c r="AD101" s="111">
        <v>103.34177215189874</v>
      </c>
      <c r="AE101" s="111">
        <v>103.34177215189874</v>
      </c>
      <c r="AF101" s="111">
        <v>103.34177215189874</v>
      </c>
      <c r="AG101" s="111">
        <v>103.34177215189874</v>
      </c>
      <c r="AH101" s="111">
        <v>103.34177215189874</v>
      </c>
      <c r="AI101" s="111">
        <v>103.34177215189874</v>
      </c>
      <c r="AJ101" s="111">
        <v>103.34177215189874</v>
      </c>
      <c r="AK101" s="111">
        <v>103.34177215189874</v>
      </c>
      <c r="AL101" s="111">
        <v>103.34177215189874</v>
      </c>
      <c r="AM101" s="111">
        <v>113.67594936708862</v>
      </c>
      <c r="AN101" s="111">
        <v>113.67594936708862</v>
      </c>
      <c r="AO101" s="111">
        <v>113.67594936708862</v>
      </c>
      <c r="AP101" s="111">
        <v>113.67594936708862</v>
      </c>
      <c r="AQ101" s="111">
        <v>103.34177215189874</v>
      </c>
      <c r="AR101" s="111">
        <v>103.34177215189874</v>
      </c>
      <c r="AS101" s="111">
        <v>103.34177215189874</v>
      </c>
      <c r="AT101" s="111">
        <v>103.34177215189874</v>
      </c>
      <c r="AU101" s="111">
        <v>113.67594936708862</v>
      </c>
      <c r="AV101" s="111">
        <v>113.67594936708862</v>
      </c>
      <c r="AW101" s="111">
        <v>113.67594936708862</v>
      </c>
      <c r="AX101" s="111">
        <v>113.67594936708862</v>
      </c>
      <c r="AY101" s="111">
        <v>103.34177215189874</v>
      </c>
    </row>
    <row r="102" spans="1:52" x14ac:dyDescent="0.2">
      <c r="A102" s="114"/>
      <c r="B102" s="125">
        <v>3</v>
      </c>
      <c r="C102" s="111"/>
      <c r="D102" s="111">
        <v>0</v>
      </c>
      <c r="E102" s="111">
        <v>0</v>
      </c>
      <c r="F102" s="111">
        <v>0</v>
      </c>
      <c r="G102" s="111">
        <v>107.15300546448077</v>
      </c>
      <c r="H102" s="111">
        <v>103.34177215189874</v>
      </c>
      <c r="I102" s="111">
        <v>103.34177215189874</v>
      </c>
      <c r="J102" s="111">
        <v>103.34177215189874</v>
      </c>
      <c r="K102" s="111">
        <v>103.34177215189874</v>
      </c>
      <c r="L102" s="111">
        <v>103.34177215189874</v>
      </c>
      <c r="M102" s="111">
        <v>103.34177215189874</v>
      </c>
      <c r="N102" s="111">
        <v>103.34177215189874</v>
      </c>
      <c r="O102" s="111">
        <v>103.34177215189874</v>
      </c>
      <c r="P102" s="111">
        <v>93.00759493670887</v>
      </c>
      <c r="Q102" s="111">
        <v>93.00759493670887</v>
      </c>
      <c r="R102" s="111">
        <v>93.00759493670887</v>
      </c>
      <c r="S102" s="111">
        <v>93.00759493670887</v>
      </c>
      <c r="T102" s="111">
        <v>103.34177215189874</v>
      </c>
      <c r="U102" s="111">
        <v>103.34177215189874</v>
      </c>
      <c r="V102" s="111">
        <v>0</v>
      </c>
      <c r="W102" s="111">
        <v>206.68354430379742</v>
      </c>
      <c r="X102" s="111">
        <v>103.34177215189874</v>
      </c>
      <c r="Y102" s="111">
        <v>103.34177215189874</v>
      </c>
      <c r="Z102" s="111">
        <v>103.34177215189874</v>
      </c>
      <c r="AA102" s="111">
        <v>103.34177215189874</v>
      </c>
      <c r="AB102" s="111">
        <v>103.34177215189874</v>
      </c>
      <c r="AC102" s="111">
        <v>103.34177215189874</v>
      </c>
      <c r="AD102" s="111">
        <v>103.34177215189874</v>
      </c>
      <c r="AE102" s="111">
        <v>103.34177215189874</v>
      </c>
      <c r="AF102" s="111">
        <v>103.34177215189874</v>
      </c>
      <c r="AG102" s="111">
        <v>103.34177215189874</v>
      </c>
      <c r="AH102" s="111">
        <v>103.34177215189874</v>
      </c>
      <c r="AI102" s="111">
        <v>103.34177215189874</v>
      </c>
      <c r="AJ102" s="111">
        <v>103.34177215189874</v>
      </c>
      <c r="AK102" s="111">
        <v>103.34177215189874</v>
      </c>
      <c r="AL102" s="111">
        <v>103.34177215189874</v>
      </c>
      <c r="AM102" s="111">
        <v>103.34177215189874</v>
      </c>
      <c r="AN102" s="111">
        <v>113.67594936708862</v>
      </c>
      <c r="AO102" s="111">
        <v>113.67594936708862</v>
      </c>
      <c r="AP102" s="111">
        <v>113.67594936708862</v>
      </c>
      <c r="AQ102" s="111">
        <v>113.67594936708862</v>
      </c>
      <c r="AR102" s="111">
        <v>103.34177215189874</v>
      </c>
      <c r="AS102" s="111">
        <v>103.34177215189874</v>
      </c>
      <c r="AT102" s="111">
        <v>103.34177215189874</v>
      </c>
      <c r="AU102" s="111">
        <v>103.34177215189874</v>
      </c>
      <c r="AV102" s="111">
        <v>113.67594936708862</v>
      </c>
      <c r="AW102" s="111">
        <v>113.67594936708862</v>
      </c>
      <c r="AX102" s="111">
        <v>113.67594936708862</v>
      </c>
      <c r="AY102" s="111">
        <v>113.67594936708862</v>
      </c>
    </row>
    <row r="103" spans="1:52" x14ac:dyDescent="0.2">
      <c r="A103" s="114"/>
      <c r="B103" s="125">
        <v>4</v>
      </c>
      <c r="C103" s="111"/>
      <c r="D103" s="111">
        <v>0</v>
      </c>
      <c r="E103" s="111">
        <v>0</v>
      </c>
      <c r="F103" s="111">
        <v>0</v>
      </c>
      <c r="G103" s="111">
        <v>0</v>
      </c>
      <c r="H103" s="111">
        <v>31.153005464480771</v>
      </c>
      <c r="I103" s="111">
        <v>48.494777616379508</v>
      </c>
      <c r="J103" s="111">
        <v>78.836549768278246</v>
      </c>
      <c r="K103" s="111">
        <v>78.178321920176984</v>
      </c>
      <c r="L103" s="111">
        <v>73.520094072075722</v>
      </c>
      <c r="M103" s="111">
        <v>75.861866223974459</v>
      </c>
      <c r="N103" s="111">
        <v>80.203638375873197</v>
      </c>
      <c r="O103" s="111">
        <v>100.54541052777193</v>
      </c>
      <c r="P103" s="111">
        <v>103.34177215189874</v>
      </c>
      <c r="Q103" s="111">
        <v>93.00759493670887</v>
      </c>
      <c r="R103" s="111">
        <v>93.00759493670887</v>
      </c>
      <c r="S103" s="111">
        <v>93.00759493670887</v>
      </c>
      <c r="T103" s="111">
        <v>93.00759493670887</v>
      </c>
      <c r="U103" s="111">
        <v>103.34177215189874</v>
      </c>
      <c r="V103" s="111">
        <v>103.34177215189874</v>
      </c>
      <c r="W103" s="111">
        <v>0</v>
      </c>
      <c r="X103" s="111">
        <v>173.28465103410105</v>
      </c>
      <c r="Y103" s="111">
        <v>103.34177215189874</v>
      </c>
      <c r="Z103" s="111">
        <v>103.34177215189874</v>
      </c>
      <c r="AA103" s="111">
        <v>103.34177215189874</v>
      </c>
      <c r="AB103" s="111">
        <v>103.34177215189874</v>
      </c>
      <c r="AC103" s="111">
        <v>103.34177215189874</v>
      </c>
      <c r="AD103" s="111">
        <v>103.34177215189874</v>
      </c>
      <c r="AE103" s="111">
        <v>103.34177215189874</v>
      </c>
      <c r="AF103" s="111">
        <v>103.34177215189874</v>
      </c>
      <c r="AG103" s="111">
        <v>103.34177215189874</v>
      </c>
      <c r="AH103" s="111">
        <v>103.34177215189874</v>
      </c>
      <c r="AI103" s="111">
        <v>103.34177215189874</v>
      </c>
      <c r="AJ103" s="111">
        <v>103.34177215189874</v>
      </c>
      <c r="AK103" s="111">
        <v>103.34177215189874</v>
      </c>
      <c r="AL103" s="111">
        <v>103.34177215189874</v>
      </c>
      <c r="AM103" s="111">
        <v>103.34177215189874</v>
      </c>
      <c r="AN103" s="111">
        <v>103.34177215189874</v>
      </c>
      <c r="AO103" s="111">
        <v>113.67594936708862</v>
      </c>
      <c r="AP103" s="111">
        <v>113.67594936708862</v>
      </c>
      <c r="AQ103" s="111">
        <v>113.67594936708862</v>
      </c>
      <c r="AR103" s="111">
        <v>113.67594936708862</v>
      </c>
      <c r="AS103" s="111">
        <v>103.34177215189874</v>
      </c>
      <c r="AT103" s="111">
        <v>103.34177215189874</v>
      </c>
      <c r="AU103" s="111">
        <v>103.34177215189874</v>
      </c>
      <c r="AV103" s="111">
        <v>103.34177215189874</v>
      </c>
      <c r="AW103" s="111">
        <v>113.67594936708862</v>
      </c>
      <c r="AX103" s="111">
        <v>113.67594936708862</v>
      </c>
      <c r="AY103" s="111">
        <v>113.67594936708862</v>
      </c>
    </row>
    <row r="104" spans="1:52" x14ac:dyDescent="0.2">
      <c r="A104" s="114"/>
      <c r="B104" s="132">
        <v>5</v>
      </c>
      <c r="C104" s="111"/>
      <c r="D104" s="111">
        <v>0</v>
      </c>
      <c r="E104" s="111">
        <v>0</v>
      </c>
      <c r="F104" s="111">
        <v>0</v>
      </c>
      <c r="G104" s="111">
        <v>0</v>
      </c>
      <c r="H104" s="111">
        <v>0</v>
      </c>
      <c r="I104" s="111">
        <v>0</v>
      </c>
      <c r="J104" s="111">
        <v>0</v>
      </c>
      <c r="K104" s="111">
        <v>0</v>
      </c>
      <c r="L104" s="111">
        <v>0</v>
      </c>
      <c r="M104" s="111">
        <v>0</v>
      </c>
      <c r="N104" s="111">
        <v>0</v>
      </c>
      <c r="O104" s="111">
        <v>0</v>
      </c>
      <c r="P104" s="111">
        <v>20.545410527771935</v>
      </c>
      <c r="Q104" s="111">
        <v>28.887182679670673</v>
      </c>
      <c r="R104" s="111">
        <v>25.894777616379542</v>
      </c>
      <c r="S104" s="111">
        <v>5.9023725530884121</v>
      </c>
      <c r="T104" s="111">
        <v>11.909967489797282</v>
      </c>
      <c r="U104" s="111">
        <v>38.917562426506151</v>
      </c>
      <c r="V104" s="111">
        <v>50.259334578404889</v>
      </c>
      <c r="W104" s="111">
        <v>77.601106730303627</v>
      </c>
      <c r="X104" s="111">
        <v>0</v>
      </c>
      <c r="Y104" s="111">
        <v>84.284651034101046</v>
      </c>
      <c r="Z104" s="111">
        <v>103.34177215189874</v>
      </c>
      <c r="AA104" s="111">
        <v>103.34177215189874</v>
      </c>
      <c r="AB104" s="111">
        <v>103.34177215189874</v>
      </c>
      <c r="AC104" s="111">
        <v>103.34177215189874</v>
      </c>
      <c r="AD104" s="111">
        <v>103.34177215189874</v>
      </c>
      <c r="AE104" s="111">
        <v>103.34177215189874</v>
      </c>
      <c r="AF104" s="111">
        <v>103.34177215189874</v>
      </c>
      <c r="AG104" s="111">
        <v>103.34177215189874</v>
      </c>
      <c r="AH104" s="111">
        <v>103.34177215189874</v>
      </c>
      <c r="AI104" s="111">
        <v>103.34177215189874</v>
      </c>
      <c r="AJ104" s="111">
        <v>103.34177215189874</v>
      </c>
      <c r="AK104" s="111">
        <v>103.34177215189874</v>
      </c>
      <c r="AL104" s="111">
        <v>103.34177215189874</v>
      </c>
      <c r="AM104" s="111">
        <v>103.34177215189874</v>
      </c>
      <c r="AN104" s="111">
        <v>103.34177215189874</v>
      </c>
      <c r="AO104" s="111">
        <v>103.34177215189874</v>
      </c>
      <c r="AP104" s="111">
        <v>113.67594936708862</v>
      </c>
      <c r="AQ104" s="111">
        <v>113.67594936708862</v>
      </c>
      <c r="AR104" s="111">
        <v>113.67594936708862</v>
      </c>
      <c r="AS104" s="111">
        <v>113.67594936708862</v>
      </c>
      <c r="AT104" s="111">
        <v>103.34177215189874</v>
      </c>
      <c r="AU104" s="111">
        <v>103.34177215189874</v>
      </c>
      <c r="AV104" s="111">
        <v>103.34177215189874</v>
      </c>
      <c r="AW104" s="111">
        <v>103.34177215189874</v>
      </c>
      <c r="AX104" s="111">
        <v>113.67594936708862</v>
      </c>
      <c r="AY104" s="111">
        <v>113.67594936708862</v>
      </c>
    </row>
    <row r="105" spans="1:52" x14ac:dyDescent="0.2">
      <c r="A105" s="114"/>
      <c r="B105" s="132">
        <v>6</v>
      </c>
      <c r="C105" s="111"/>
      <c r="D105" s="111">
        <v>0</v>
      </c>
      <c r="E105" s="111">
        <v>0</v>
      </c>
      <c r="F105" s="111">
        <v>0</v>
      </c>
      <c r="G105" s="111">
        <v>0</v>
      </c>
      <c r="H105" s="111">
        <v>0</v>
      </c>
      <c r="I105" s="111">
        <v>0</v>
      </c>
      <c r="J105" s="111">
        <v>0</v>
      </c>
      <c r="K105" s="111">
        <v>0</v>
      </c>
      <c r="L105" s="111">
        <v>0</v>
      </c>
      <c r="M105" s="111">
        <v>0</v>
      </c>
      <c r="N105" s="111">
        <v>0</v>
      </c>
      <c r="O105" s="111">
        <v>0</v>
      </c>
      <c r="P105" s="111">
        <v>0</v>
      </c>
      <c r="Q105" s="111">
        <v>0</v>
      </c>
      <c r="R105" s="111">
        <v>0</v>
      </c>
      <c r="S105" s="111">
        <v>0</v>
      </c>
      <c r="T105" s="111">
        <v>0</v>
      </c>
      <c r="U105" s="111">
        <v>0</v>
      </c>
      <c r="V105" s="111">
        <v>0</v>
      </c>
      <c r="W105" s="111">
        <v>0</v>
      </c>
      <c r="X105" s="111">
        <v>0</v>
      </c>
      <c r="Y105" s="111">
        <v>0</v>
      </c>
      <c r="Z105" s="111">
        <v>18.284651034101046</v>
      </c>
      <c r="AA105" s="111">
        <v>34.626423185999784</v>
      </c>
      <c r="AB105" s="111">
        <v>45.968195337898521</v>
      </c>
      <c r="AC105" s="111">
        <v>61.309967489797259</v>
      </c>
      <c r="AD105" s="111">
        <v>62.651739641695997</v>
      </c>
      <c r="AE105" s="111">
        <v>67.993511793594735</v>
      </c>
      <c r="AF105" s="111">
        <v>85.335283945493472</v>
      </c>
      <c r="AG105" s="111">
        <v>100.67705609739221</v>
      </c>
      <c r="AH105" s="111">
        <v>103.34177215189874</v>
      </c>
      <c r="AI105" s="111">
        <v>103.34177215189874</v>
      </c>
      <c r="AJ105" s="111">
        <v>103.34177215189874</v>
      </c>
      <c r="AK105" s="111">
        <v>103.34177215189874</v>
      </c>
      <c r="AL105" s="111">
        <v>103.34177215189874</v>
      </c>
      <c r="AM105" s="111">
        <v>103.34177215189874</v>
      </c>
      <c r="AN105" s="111">
        <v>103.34177215189874</v>
      </c>
      <c r="AO105" s="111">
        <v>103.34177215189874</v>
      </c>
      <c r="AP105" s="111">
        <v>103.34177215189874</v>
      </c>
      <c r="AQ105" s="111">
        <v>113.67594936708862</v>
      </c>
      <c r="AR105" s="111">
        <v>113.67594936708862</v>
      </c>
      <c r="AS105" s="111">
        <v>113.67594936708862</v>
      </c>
      <c r="AT105" s="111">
        <v>113.67594936708862</v>
      </c>
      <c r="AU105" s="111">
        <v>103.34177215189874</v>
      </c>
      <c r="AV105" s="111">
        <v>103.34177215189874</v>
      </c>
      <c r="AW105" s="111">
        <v>103.34177215189874</v>
      </c>
      <c r="AX105" s="111">
        <v>103.34177215189874</v>
      </c>
      <c r="AY105" s="111">
        <v>113.67594936708862</v>
      </c>
    </row>
    <row r="106" spans="1:52" x14ac:dyDescent="0.2">
      <c r="A106" s="114"/>
      <c r="B106" s="135">
        <v>7</v>
      </c>
      <c r="C106" s="111"/>
      <c r="D106" s="111">
        <v>0</v>
      </c>
      <c r="E106" s="111">
        <v>0</v>
      </c>
      <c r="F106" s="111">
        <v>0</v>
      </c>
      <c r="G106" s="111">
        <v>0</v>
      </c>
      <c r="H106" s="111">
        <v>0</v>
      </c>
      <c r="I106" s="111">
        <v>0</v>
      </c>
      <c r="J106" s="111">
        <v>0</v>
      </c>
      <c r="K106" s="111">
        <v>0</v>
      </c>
      <c r="L106" s="111">
        <v>0</v>
      </c>
      <c r="M106" s="111">
        <v>0</v>
      </c>
      <c r="N106" s="111">
        <v>0</v>
      </c>
      <c r="O106" s="111">
        <v>0</v>
      </c>
      <c r="P106" s="111">
        <v>0</v>
      </c>
      <c r="Q106" s="111">
        <v>0</v>
      </c>
      <c r="R106" s="111">
        <v>0</v>
      </c>
      <c r="S106" s="111">
        <v>0</v>
      </c>
      <c r="T106" s="111">
        <v>0</v>
      </c>
      <c r="U106" s="111">
        <v>0</v>
      </c>
      <c r="V106" s="111">
        <v>0</v>
      </c>
      <c r="W106" s="111">
        <v>0</v>
      </c>
      <c r="X106" s="111">
        <v>0</v>
      </c>
      <c r="Y106" s="111">
        <v>0</v>
      </c>
      <c r="Z106" s="111">
        <v>0</v>
      </c>
      <c r="AA106" s="111">
        <v>0</v>
      </c>
      <c r="AB106" s="111">
        <v>0</v>
      </c>
      <c r="AC106" s="111">
        <v>0</v>
      </c>
      <c r="AD106" s="111">
        <v>0</v>
      </c>
      <c r="AE106" s="111">
        <v>0</v>
      </c>
      <c r="AF106" s="111">
        <v>0</v>
      </c>
      <c r="AG106" s="111">
        <v>0</v>
      </c>
      <c r="AH106" s="111">
        <v>18.67705609739221</v>
      </c>
      <c r="AI106" s="111">
        <v>21.018828249290948</v>
      </c>
      <c r="AJ106" s="111">
        <v>27.360600401189686</v>
      </c>
      <c r="AK106" s="111">
        <v>36.702372553088424</v>
      </c>
      <c r="AL106" s="111">
        <v>57.044144704987161</v>
      </c>
      <c r="AM106" s="111">
        <v>68.385916856885899</v>
      </c>
      <c r="AN106" s="111">
        <v>77.727689008784637</v>
      </c>
      <c r="AO106" s="111">
        <v>95.069461160683375</v>
      </c>
      <c r="AP106" s="111">
        <v>91.411233312582112</v>
      </c>
      <c r="AQ106" s="111">
        <v>103.34177215189874</v>
      </c>
      <c r="AR106" s="111">
        <v>113.67594936708862</v>
      </c>
      <c r="AS106" s="111">
        <v>113.67594936708862</v>
      </c>
      <c r="AT106" s="111">
        <v>113.67594936708862</v>
      </c>
      <c r="AU106" s="111">
        <v>113.67594936708862</v>
      </c>
      <c r="AV106" s="111">
        <v>103.34177215189874</v>
      </c>
      <c r="AW106" s="111">
        <v>103.34177215189874</v>
      </c>
      <c r="AX106" s="111">
        <v>103.34177215189874</v>
      </c>
      <c r="AY106" s="111">
        <v>103.34177215189874</v>
      </c>
    </row>
    <row r="107" spans="1:52" x14ac:dyDescent="0.2">
      <c r="A107" s="114"/>
      <c r="B107" s="135">
        <v>8</v>
      </c>
      <c r="C107" s="111"/>
      <c r="D107" s="111">
        <v>0</v>
      </c>
      <c r="E107" s="111">
        <v>0</v>
      </c>
      <c r="F107" s="111">
        <v>0</v>
      </c>
      <c r="G107" s="111">
        <v>0</v>
      </c>
      <c r="H107" s="111">
        <v>0</v>
      </c>
      <c r="I107" s="111">
        <v>0</v>
      </c>
      <c r="J107" s="111">
        <v>0</v>
      </c>
      <c r="K107" s="111">
        <v>0</v>
      </c>
      <c r="L107" s="111">
        <v>0</v>
      </c>
      <c r="M107" s="111">
        <v>0</v>
      </c>
      <c r="N107" s="111">
        <v>0</v>
      </c>
      <c r="O107" s="111">
        <v>0</v>
      </c>
      <c r="P107" s="111">
        <v>0</v>
      </c>
      <c r="Q107" s="111">
        <v>0</v>
      </c>
      <c r="R107" s="111">
        <v>0</v>
      </c>
      <c r="S107" s="111">
        <v>0</v>
      </c>
      <c r="T107" s="111">
        <v>0</v>
      </c>
      <c r="U107" s="111">
        <v>0</v>
      </c>
      <c r="V107" s="111">
        <v>0</v>
      </c>
      <c r="W107" s="111">
        <v>0</v>
      </c>
      <c r="X107" s="111">
        <v>0</v>
      </c>
      <c r="Y107" s="111">
        <v>0</v>
      </c>
      <c r="Z107" s="111">
        <v>0</v>
      </c>
      <c r="AA107" s="111">
        <v>0</v>
      </c>
      <c r="AB107" s="111">
        <v>0</v>
      </c>
      <c r="AC107" s="111">
        <v>0</v>
      </c>
      <c r="AD107" s="111">
        <v>0</v>
      </c>
      <c r="AE107" s="111">
        <v>0</v>
      </c>
      <c r="AF107" s="111">
        <v>0</v>
      </c>
      <c r="AG107" s="111">
        <v>0</v>
      </c>
      <c r="AH107" s="111">
        <v>0</v>
      </c>
      <c r="AI107" s="111">
        <v>0</v>
      </c>
      <c r="AJ107" s="111">
        <v>0</v>
      </c>
      <c r="AK107" s="111">
        <v>0</v>
      </c>
      <c r="AL107" s="111">
        <v>0</v>
      </c>
      <c r="AM107" s="111">
        <v>0</v>
      </c>
      <c r="AN107" s="111">
        <v>0</v>
      </c>
      <c r="AO107" s="111">
        <v>0</v>
      </c>
      <c r="AP107" s="111">
        <v>0</v>
      </c>
      <c r="AQ107" s="111">
        <v>16.411233312582112</v>
      </c>
      <c r="AR107" s="111">
        <v>10.75300546448085</v>
      </c>
      <c r="AS107" s="111">
        <v>48.42895483156947</v>
      </c>
      <c r="AT107" s="111">
        <v>90.10490419865809</v>
      </c>
      <c r="AU107" s="111">
        <v>105.78085356574671</v>
      </c>
      <c r="AV107" s="111">
        <v>113.67594936708862</v>
      </c>
      <c r="AW107" s="111">
        <v>103.34177215189874</v>
      </c>
      <c r="AX107" s="111">
        <v>103.34177215189874</v>
      </c>
      <c r="AY107" s="111">
        <v>103.34177215189874</v>
      </c>
    </row>
    <row r="108" spans="1:52" x14ac:dyDescent="0.2">
      <c r="A108" s="133"/>
      <c r="B108" s="137" t="s">
        <v>298</v>
      </c>
      <c r="C108" s="119"/>
      <c r="D108" s="130">
        <v>0</v>
      </c>
      <c r="E108" s="130">
        <v>0</v>
      </c>
      <c r="F108" s="130">
        <v>0</v>
      </c>
      <c r="G108" s="130">
        <v>0</v>
      </c>
      <c r="H108" s="130">
        <v>0</v>
      </c>
      <c r="I108" s="130">
        <v>0</v>
      </c>
      <c r="J108" s="130">
        <v>0</v>
      </c>
      <c r="K108" s="130">
        <v>0</v>
      </c>
      <c r="L108" s="130">
        <v>0</v>
      </c>
      <c r="M108" s="130">
        <v>0</v>
      </c>
      <c r="N108" s="130">
        <v>0</v>
      </c>
      <c r="O108" s="130">
        <v>0</v>
      </c>
      <c r="P108" s="130">
        <v>0</v>
      </c>
      <c r="Q108" s="130">
        <v>0</v>
      </c>
      <c r="R108" s="130">
        <v>0</v>
      </c>
      <c r="S108" s="130">
        <v>0</v>
      </c>
      <c r="T108" s="130">
        <v>0</v>
      </c>
      <c r="U108" s="130">
        <v>0</v>
      </c>
      <c r="V108" s="130">
        <v>0</v>
      </c>
      <c r="W108" s="130">
        <v>0</v>
      </c>
      <c r="X108" s="130">
        <v>0</v>
      </c>
      <c r="Y108" s="130">
        <v>0</v>
      </c>
      <c r="Z108" s="130">
        <v>0</v>
      </c>
      <c r="AA108" s="130">
        <v>0</v>
      </c>
      <c r="AB108" s="130">
        <v>0</v>
      </c>
      <c r="AC108" s="130">
        <v>0</v>
      </c>
      <c r="AD108" s="130">
        <v>0</v>
      </c>
      <c r="AE108" s="130">
        <v>0</v>
      </c>
      <c r="AF108" s="130">
        <v>0</v>
      </c>
      <c r="AG108" s="130">
        <v>0</v>
      </c>
      <c r="AH108" s="130">
        <v>0</v>
      </c>
      <c r="AI108" s="130">
        <v>0</v>
      </c>
      <c r="AJ108" s="130">
        <v>0</v>
      </c>
      <c r="AK108" s="130">
        <v>0</v>
      </c>
      <c r="AL108" s="130">
        <v>0</v>
      </c>
      <c r="AM108" s="130">
        <v>0</v>
      </c>
      <c r="AN108" s="130">
        <v>0</v>
      </c>
      <c r="AO108" s="130">
        <v>0</v>
      </c>
      <c r="AP108" s="130">
        <v>0</v>
      </c>
      <c r="AQ108" s="130">
        <v>0</v>
      </c>
      <c r="AR108" s="130">
        <v>0</v>
      </c>
      <c r="AS108" s="130">
        <v>0</v>
      </c>
      <c r="AT108" s="130">
        <v>0</v>
      </c>
      <c r="AU108" s="130">
        <v>0</v>
      </c>
      <c r="AV108" s="130">
        <v>13.78085356574671</v>
      </c>
      <c r="AW108" s="130">
        <v>27.67594936708862</v>
      </c>
      <c r="AX108" s="130">
        <v>11.341772151898738</v>
      </c>
      <c r="AY108" s="130">
        <v>12.341772151898738</v>
      </c>
      <c r="AZ108" s="112">
        <f>SUM($D108:$AY108)</f>
        <v>65.140347236632806</v>
      </c>
    </row>
    <row r="109" spans="1:52" x14ac:dyDescent="0.2">
      <c r="A109" s="136" t="s">
        <v>134</v>
      </c>
      <c r="B109" s="124">
        <v>1</v>
      </c>
      <c r="C109" s="111"/>
      <c r="D109" s="111">
        <v>0</v>
      </c>
      <c r="E109" s="111">
        <v>66.358521647307285</v>
      </c>
      <c r="F109" s="111">
        <v>116.00333039047671</v>
      </c>
      <c r="G109" s="111">
        <v>111.09511068448853</v>
      </c>
      <c r="H109" s="111">
        <v>114.75675687436346</v>
      </c>
      <c r="I109" s="111">
        <v>117.80622444056715</v>
      </c>
      <c r="J109" s="111">
        <v>108.19431446654399</v>
      </c>
      <c r="K109" s="111">
        <v>111.37314378654615</v>
      </c>
      <c r="L109" s="111">
        <v>117.50084236294782</v>
      </c>
      <c r="M109" s="111">
        <v>126.35917026677711</v>
      </c>
      <c r="N109" s="111">
        <v>135.71008275272567</v>
      </c>
      <c r="O109" s="111">
        <v>140.87478536690605</v>
      </c>
      <c r="P109" s="111">
        <v>125.07160637982496</v>
      </c>
      <c r="Q109" s="111">
        <v>101.86315855977251</v>
      </c>
      <c r="R109" s="111">
        <v>108.37265373833212</v>
      </c>
      <c r="S109" s="111">
        <v>91.500465025823033</v>
      </c>
      <c r="T109" s="111">
        <v>89.31887971719101</v>
      </c>
      <c r="U109" s="111">
        <v>68.894059029544366</v>
      </c>
      <c r="V109" s="111">
        <v>102.46852164730731</v>
      </c>
      <c r="W109" s="111">
        <v>114.09428331573392</v>
      </c>
      <c r="X109" s="111">
        <v>120.5161198004224</v>
      </c>
      <c r="Y109" s="111">
        <v>135.12093389363253</v>
      </c>
      <c r="Z109" s="111">
        <v>118.99664074540433</v>
      </c>
      <c r="AA109" s="111">
        <v>119.0009350212686</v>
      </c>
      <c r="AB109" s="111">
        <v>108.65424161368412</v>
      </c>
      <c r="AC109" s="111">
        <v>108.50728768984405</v>
      </c>
      <c r="AD109" s="111">
        <v>100.57413316848721</v>
      </c>
      <c r="AE109" s="111">
        <v>87.105604187042445</v>
      </c>
      <c r="AF109" s="111">
        <v>98.354836871329979</v>
      </c>
      <c r="AG109" s="111">
        <v>92.756746038231356</v>
      </c>
      <c r="AH109" s="111">
        <v>95.80621609674543</v>
      </c>
      <c r="AI109" s="111">
        <v>108.27430804180128</v>
      </c>
      <c r="AJ109" s="111">
        <v>111.43473883949426</v>
      </c>
      <c r="AK109" s="111">
        <v>117.54827055371787</v>
      </c>
      <c r="AL109" s="111">
        <v>102.01568997367004</v>
      </c>
      <c r="AM109" s="111">
        <v>111.87110292703322</v>
      </c>
      <c r="AN109" s="111">
        <v>111.40977090112288</v>
      </c>
      <c r="AO109" s="111">
        <v>123.96854735310434</v>
      </c>
      <c r="AP109" s="111">
        <v>117.07880522113005</v>
      </c>
      <c r="AQ109" s="111">
        <v>105.59820377950987</v>
      </c>
      <c r="AR109" s="111">
        <v>113.54814066946231</v>
      </c>
      <c r="AS109" s="111">
        <v>112.9995920747257</v>
      </c>
      <c r="AT109" s="111">
        <v>109.5872096567785</v>
      </c>
      <c r="AU109" s="111">
        <v>109.91517519495916</v>
      </c>
      <c r="AV109" s="111">
        <v>102.57770865935828</v>
      </c>
      <c r="AW109" s="111">
        <v>86.219021647307301</v>
      </c>
      <c r="AX109" s="111">
        <v>86.219021647307287</v>
      </c>
      <c r="AY109" s="111">
        <v>92.612168315733896</v>
      </c>
    </row>
    <row r="110" spans="1:52" x14ac:dyDescent="0.2">
      <c r="A110" s="114"/>
      <c r="B110" s="124">
        <v>2</v>
      </c>
      <c r="C110" s="111"/>
      <c r="D110" s="111">
        <v>0</v>
      </c>
      <c r="E110" s="111">
        <v>0</v>
      </c>
      <c r="F110" s="111">
        <v>0</v>
      </c>
      <c r="G110" s="111">
        <v>44.003330390476705</v>
      </c>
      <c r="H110" s="111">
        <v>77.098441074965237</v>
      </c>
      <c r="I110" s="111">
        <v>114.75675687436346</v>
      </c>
      <c r="J110" s="111">
        <v>117.80622444056715</v>
      </c>
      <c r="K110" s="111">
        <v>108.19431446654399</v>
      </c>
      <c r="L110" s="111">
        <v>111.37314378654615</v>
      </c>
      <c r="M110" s="111">
        <v>117.50084236294782</v>
      </c>
      <c r="N110" s="111">
        <v>126.35917026677711</v>
      </c>
      <c r="O110" s="111">
        <v>135.71008275272567</v>
      </c>
      <c r="P110" s="111">
        <v>140.87478536690605</v>
      </c>
      <c r="Q110" s="111">
        <v>125.07160637982496</v>
      </c>
      <c r="R110" s="111">
        <v>101.86315855977251</v>
      </c>
      <c r="S110" s="111">
        <v>108.37265373833212</v>
      </c>
      <c r="T110" s="111">
        <v>91.500465025823033</v>
      </c>
      <c r="U110" s="111">
        <v>89.31887971719101</v>
      </c>
      <c r="V110" s="111">
        <v>68.894059029544366</v>
      </c>
      <c r="W110" s="111">
        <v>102.46852164730731</v>
      </c>
      <c r="X110" s="111">
        <v>114.09428331573392</v>
      </c>
      <c r="Y110" s="111">
        <v>120.5161198004224</v>
      </c>
      <c r="Z110" s="111">
        <v>135.12093389363253</v>
      </c>
      <c r="AA110" s="111">
        <v>118.99664074540433</v>
      </c>
      <c r="AB110" s="111">
        <v>119.0009350212686</v>
      </c>
      <c r="AC110" s="111">
        <v>108.65424161368412</v>
      </c>
      <c r="AD110" s="111">
        <v>108.50728768984405</v>
      </c>
      <c r="AE110" s="111">
        <v>100.57413316848721</v>
      </c>
      <c r="AF110" s="111">
        <v>87.105604187042445</v>
      </c>
      <c r="AG110" s="111">
        <v>98.354836871329979</v>
      </c>
      <c r="AH110" s="111">
        <v>92.756746038231356</v>
      </c>
      <c r="AI110" s="111">
        <v>95.80621609674543</v>
      </c>
      <c r="AJ110" s="111">
        <v>108.27430804180128</v>
      </c>
      <c r="AK110" s="111">
        <v>111.43473883949426</v>
      </c>
      <c r="AL110" s="111">
        <v>117.54827055371787</v>
      </c>
      <c r="AM110" s="111">
        <v>102.01568997367004</v>
      </c>
      <c r="AN110" s="111">
        <v>111.87110292703322</v>
      </c>
      <c r="AO110" s="111">
        <v>111.40977090112288</v>
      </c>
      <c r="AP110" s="111">
        <v>123.96854735310434</v>
      </c>
      <c r="AQ110" s="111">
        <v>117.07880522113005</v>
      </c>
      <c r="AR110" s="111">
        <v>105.59820377950987</v>
      </c>
      <c r="AS110" s="111">
        <v>113.54814066946231</v>
      </c>
      <c r="AT110" s="111">
        <v>112.9995920747257</v>
      </c>
      <c r="AU110" s="111">
        <v>109.5872096567785</v>
      </c>
      <c r="AV110" s="111">
        <v>109.91517519495916</v>
      </c>
      <c r="AW110" s="111">
        <v>102.57770865935828</v>
      </c>
      <c r="AX110" s="111">
        <v>86.219021647307301</v>
      </c>
      <c r="AY110" s="111">
        <v>86.219021647307287</v>
      </c>
    </row>
    <row r="111" spans="1:52" x14ac:dyDescent="0.2">
      <c r="A111" s="114"/>
      <c r="B111" s="124">
        <v>3</v>
      </c>
      <c r="C111" s="111"/>
      <c r="D111" s="111">
        <v>0</v>
      </c>
      <c r="E111" s="111">
        <v>0</v>
      </c>
      <c r="F111" s="111">
        <v>0</v>
      </c>
      <c r="G111" s="111">
        <v>0</v>
      </c>
      <c r="H111" s="111">
        <v>0</v>
      </c>
      <c r="I111" s="111">
        <v>21.098441074965237</v>
      </c>
      <c r="J111" s="111">
        <v>76.855197949328698</v>
      </c>
      <c r="K111" s="111">
        <v>108.66142238989585</v>
      </c>
      <c r="L111" s="111">
        <v>108.19431446654399</v>
      </c>
      <c r="M111" s="111">
        <v>111.37314378654615</v>
      </c>
      <c r="N111" s="111">
        <v>117.50084236294782</v>
      </c>
      <c r="O111" s="111">
        <v>126.35917026677711</v>
      </c>
      <c r="P111" s="111">
        <v>135.71008275272567</v>
      </c>
      <c r="Q111" s="111">
        <v>140.87478536690605</v>
      </c>
      <c r="R111" s="111">
        <v>125.07160637982496</v>
      </c>
      <c r="S111" s="111">
        <v>101.86315855977251</v>
      </c>
      <c r="T111" s="111">
        <v>108.37265373833212</v>
      </c>
      <c r="U111" s="111">
        <v>91.500465025823033</v>
      </c>
      <c r="V111" s="111">
        <v>89.31887971719101</v>
      </c>
      <c r="W111" s="111">
        <v>68.894059029544366</v>
      </c>
      <c r="X111" s="111">
        <v>102.46852164730731</v>
      </c>
      <c r="Y111" s="111">
        <v>114.09428331573392</v>
      </c>
      <c r="Z111" s="111">
        <v>120.5161198004224</v>
      </c>
      <c r="AA111" s="111">
        <v>135.12093389363253</v>
      </c>
      <c r="AB111" s="111">
        <v>118.99664074540433</v>
      </c>
      <c r="AC111" s="111">
        <v>119.0009350212686</v>
      </c>
      <c r="AD111" s="111">
        <v>108.65424161368412</v>
      </c>
      <c r="AE111" s="111">
        <v>108.50728768984405</v>
      </c>
      <c r="AF111" s="111">
        <v>100.57413316848721</v>
      </c>
      <c r="AG111" s="111">
        <v>87.105604187042445</v>
      </c>
      <c r="AH111" s="111">
        <v>98.354836871329979</v>
      </c>
      <c r="AI111" s="111">
        <v>92.756746038231356</v>
      </c>
      <c r="AJ111" s="111">
        <v>95.80621609674543</v>
      </c>
      <c r="AK111" s="111">
        <v>108.27430804180128</v>
      </c>
      <c r="AL111" s="111">
        <v>111.43473883949426</v>
      </c>
      <c r="AM111" s="111">
        <v>117.54827055371787</v>
      </c>
      <c r="AN111" s="111">
        <v>102.01568997367004</v>
      </c>
      <c r="AO111" s="111">
        <v>111.87110292703322</v>
      </c>
      <c r="AP111" s="111">
        <v>111.40977090112288</v>
      </c>
      <c r="AQ111" s="111">
        <v>123.96854735310434</v>
      </c>
      <c r="AR111" s="111">
        <v>117.07880522113005</v>
      </c>
      <c r="AS111" s="111">
        <v>105.59820377950987</v>
      </c>
      <c r="AT111" s="111">
        <v>113.54814066946231</v>
      </c>
      <c r="AU111" s="111">
        <v>112.9995920747257</v>
      </c>
      <c r="AV111" s="111">
        <v>109.5872096567785</v>
      </c>
      <c r="AW111" s="111">
        <v>109.91517519495916</v>
      </c>
      <c r="AX111" s="111">
        <v>102.57770865935828</v>
      </c>
      <c r="AY111" s="111">
        <v>86.219021647307301</v>
      </c>
    </row>
    <row r="112" spans="1:52" x14ac:dyDescent="0.2">
      <c r="A112" s="114"/>
      <c r="B112" s="125">
        <v>4</v>
      </c>
      <c r="C112" s="111"/>
      <c r="D112" s="111">
        <v>0</v>
      </c>
      <c r="E112" s="111">
        <v>0</v>
      </c>
      <c r="F112" s="111">
        <v>0</v>
      </c>
      <c r="G112" s="111">
        <v>0</v>
      </c>
      <c r="H112" s="111">
        <v>0</v>
      </c>
      <c r="I112" s="111">
        <v>0</v>
      </c>
      <c r="J112" s="111">
        <v>0</v>
      </c>
      <c r="K112" s="111">
        <v>0</v>
      </c>
      <c r="L112" s="111">
        <v>32.661422389895847</v>
      </c>
      <c r="M112" s="111">
        <v>67.855736856439833</v>
      </c>
      <c r="N112" s="111">
        <v>106.22888064298598</v>
      </c>
      <c r="O112" s="111">
        <v>117.50084236294782</v>
      </c>
      <c r="P112" s="111">
        <v>126.35917026677711</v>
      </c>
      <c r="Q112" s="111">
        <v>135.71008275272567</v>
      </c>
      <c r="R112" s="111">
        <v>140.87478536690605</v>
      </c>
      <c r="S112" s="111">
        <v>125.07160637982496</v>
      </c>
      <c r="T112" s="111">
        <v>101.86315855977251</v>
      </c>
      <c r="U112" s="111">
        <v>108.37265373833212</v>
      </c>
      <c r="V112" s="111">
        <v>91.500465025823033</v>
      </c>
      <c r="W112" s="111">
        <v>89.31887971719101</v>
      </c>
      <c r="X112" s="111">
        <v>68.894059029544366</v>
      </c>
      <c r="Y112" s="111">
        <v>102.46852164730731</v>
      </c>
      <c r="Z112" s="111">
        <v>114.09428331573392</v>
      </c>
      <c r="AA112" s="111">
        <v>120.5161198004224</v>
      </c>
      <c r="AB112" s="111">
        <v>135.12093389363253</v>
      </c>
      <c r="AC112" s="111">
        <v>118.99664074540433</v>
      </c>
      <c r="AD112" s="111">
        <v>119.0009350212686</v>
      </c>
      <c r="AE112" s="111">
        <v>108.65424161368412</v>
      </c>
      <c r="AF112" s="111">
        <v>108.50728768984405</v>
      </c>
      <c r="AG112" s="111">
        <v>100.57413316848721</v>
      </c>
      <c r="AH112" s="111">
        <v>87.105604187042445</v>
      </c>
      <c r="AI112" s="111">
        <v>98.354836871329979</v>
      </c>
      <c r="AJ112" s="111">
        <v>92.756746038231356</v>
      </c>
      <c r="AK112" s="111">
        <v>95.80621609674543</v>
      </c>
      <c r="AL112" s="111">
        <v>108.27430804180128</v>
      </c>
      <c r="AM112" s="111">
        <v>111.43473883949426</v>
      </c>
      <c r="AN112" s="111">
        <v>117.54827055371787</v>
      </c>
      <c r="AO112" s="111">
        <v>102.01568997367004</v>
      </c>
      <c r="AP112" s="111">
        <v>111.87110292703322</v>
      </c>
      <c r="AQ112" s="111">
        <v>111.40977090112288</v>
      </c>
      <c r="AR112" s="111">
        <v>123.96854735310434</v>
      </c>
      <c r="AS112" s="111">
        <v>117.07880522113005</v>
      </c>
      <c r="AT112" s="111">
        <v>105.59820377950987</v>
      </c>
      <c r="AU112" s="111">
        <v>113.54814066946231</v>
      </c>
      <c r="AV112" s="111">
        <v>112.9995920747257</v>
      </c>
      <c r="AW112" s="111">
        <v>109.5872096567785</v>
      </c>
      <c r="AX112" s="111">
        <v>109.91517519495916</v>
      </c>
      <c r="AY112" s="111">
        <v>102.57770865935828</v>
      </c>
    </row>
    <row r="113" spans="1:52" x14ac:dyDescent="0.2">
      <c r="A113" s="114"/>
      <c r="B113" s="125">
        <v>5</v>
      </c>
      <c r="C113" s="111"/>
      <c r="D113" s="111">
        <v>0</v>
      </c>
      <c r="E113" s="111">
        <v>0</v>
      </c>
      <c r="F113" s="111">
        <v>0</v>
      </c>
      <c r="G113" s="111">
        <v>0</v>
      </c>
      <c r="H113" s="111">
        <v>0</v>
      </c>
      <c r="I113" s="111">
        <v>0</v>
      </c>
      <c r="J113" s="111">
        <v>0</v>
      </c>
      <c r="K113" s="111">
        <v>0</v>
      </c>
      <c r="L113" s="111">
        <v>0</v>
      </c>
      <c r="M113" s="111">
        <v>0</v>
      </c>
      <c r="N113" s="111">
        <v>0</v>
      </c>
      <c r="O113" s="111">
        <v>26.228880642985985</v>
      </c>
      <c r="P113" s="111">
        <v>63.729723005933806</v>
      </c>
      <c r="Q113" s="111">
        <v>110.08889327271092</v>
      </c>
      <c r="R113" s="111">
        <v>135.71008275272567</v>
      </c>
      <c r="S113" s="111">
        <v>140.87478536690605</v>
      </c>
      <c r="T113" s="111">
        <v>125.07160637982496</v>
      </c>
      <c r="U113" s="111">
        <v>101.86315855977251</v>
      </c>
      <c r="V113" s="111">
        <v>108.37265373833212</v>
      </c>
      <c r="W113" s="111">
        <v>91.500465025823033</v>
      </c>
      <c r="X113" s="111">
        <v>89.31887971719101</v>
      </c>
      <c r="Y113" s="111">
        <v>68.894059029544366</v>
      </c>
      <c r="Z113" s="111">
        <v>102.46852164730731</v>
      </c>
      <c r="AA113" s="111">
        <v>114.09428331573392</v>
      </c>
      <c r="AB113" s="111">
        <v>120.5161198004224</v>
      </c>
      <c r="AC113" s="111">
        <v>135.12093389363253</v>
      </c>
      <c r="AD113" s="111">
        <v>118.99664074540433</v>
      </c>
      <c r="AE113" s="111">
        <v>119.0009350212686</v>
      </c>
      <c r="AF113" s="111">
        <v>108.65424161368412</v>
      </c>
      <c r="AG113" s="111">
        <v>108.50728768984405</v>
      </c>
      <c r="AH113" s="111">
        <v>100.57413316848721</v>
      </c>
      <c r="AI113" s="111">
        <v>87.105604187042445</v>
      </c>
      <c r="AJ113" s="111">
        <v>98.354836871329979</v>
      </c>
      <c r="AK113" s="111">
        <v>92.756746038231356</v>
      </c>
      <c r="AL113" s="111">
        <v>95.80621609674543</v>
      </c>
      <c r="AM113" s="111">
        <v>108.27430804180128</v>
      </c>
      <c r="AN113" s="111">
        <v>111.43473883949426</v>
      </c>
      <c r="AO113" s="111">
        <v>117.54827055371787</v>
      </c>
      <c r="AP113" s="111">
        <v>102.01568997367004</v>
      </c>
      <c r="AQ113" s="111">
        <v>111.87110292703322</v>
      </c>
      <c r="AR113" s="111">
        <v>111.40977090112288</v>
      </c>
      <c r="AS113" s="111">
        <v>123.96854735310434</v>
      </c>
      <c r="AT113" s="111">
        <v>117.07880522113005</v>
      </c>
      <c r="AU113" s="111">
        <v>105.59820377950987</v>
      </c>
      <c r="AV113" s="111">
        <v>113.54814066946231</v>
      </c>
      <c r="AW113" s="111">
        <v>112.9995920747257</v>
      </c>
      <c r="AX113" s="111">
        <v>109.5872096567785</v>
      </c>
      <c r="AY113" s="111">
        <v>109.91517519495916</v>
      </c>
    </row>
    <row r="114" spans="1:52" x14ac:dyDescent="0.2">
      <c r="A114" s="114"/>
      <c r="B114" s="125">
        <v>6</v>
      </c>
      <c r="C114" s="111"/>
      <c r="D114" s="111">
        <v>0</v>
      </c>
      <c r="E114" s="111">
        <v>0</v>
      </c>
      <c r="F114" s="111">
        <v>0</v>
      </c>
      <c r="G114" s="111">
        <v>0</v>
      </c>
      <c r="H114" s="111">
        <v>0</v>
      </c>
      <c r="I114" s="111">
        <v>0</v>
      </c>
      <c r="J114" s="111">
        <v>0</v>
      </c>
      <c r="K114" s="111">
        <v>0</v>
      </c>
      <c r="L114" s="111">
        <v>0</v>
      </c>
      <c r="M114" s="111">
        <v>0</v>
      </c>
      <c r="N114" s="111">
        <v>0</v>
      </c>
      <c r="O114" s="111">
        <v>0</v>
      </c>
      <c r="P114" s="111">
        <v>0</v>
      </c>
      <c r="Q114" s="111">
        <v>0</v>
      </c>
      <c r="R114" s="111">
        <v>32.088893272710919</v>
      </c>
      <c r="S114" s="111">
        <v>102.79897602543659</v>
      </c>
      <c r="T114" s="111">
        <v>140.87478536690605</v>
      </c>
      <c r="U114" s="111">
        <v>125.07160637982496</v>
      </c>
      <c r="V114" s="111">
        <v>101.86315855977251</v>
      </c>
      <c r="W114" s="111">
        <v>108.37265373833212</v>
      </c>
      <c r="X114" s="111">
        <v>91.500465025823033</v>
      </c>
      <c r="Y114" s="111">
        <v>89.31887971719101</v>
      </c>
      <c r="Z114" s="111">
        <v>68.894059029544366</v>
      </c>
      <c r="AA114" s="111">
        <v>102.46852164730731</v>
      </c>
      <c r="AB114" s="111">
        <v>114.09428331573392</v>
      </c>
      <c r="AC114" s="111">
        <v>120.5161198004224</v>
      </c>
      <c r="AD114" s="111">
        <v>135.12093389363253</v>
      </c>
      <c r="AE114" s="111">
        <v>118.99664074540433</v>
      </c>
      <c r="AF114" s="111">
        <v>119.0009350212686</v>
      </c>
      <c r="AG114" s="111">
        <v>108.65424161368412</v>
      </c>
      <c r="AH114" s="111">
        <v>108.50728768984405</v>
      </c>
      <c r="AI114" s="111">
        <v>100.57413316848721</v>
      </c>
      <c r="AJ114" s="111">
        <v>87.105604187042445</v>
      </c>
      <c r="AK114" s="111">
        <v>98.354836871329979</v>
      </c>
      <c r="AL114" s="111">
        <v>92.756746038231356</v>
      </c>
      <c r="AM114" s="111">
        <v>95.80621609674543</v>
      </c>
      <c r="AN114" s="111">
        <v>108.27430804180128</v>
      </c>
      <c r="AO114" s="111">
        <v>111.43473883949426</v>
      </c>
      <c r="AP114" s="111">
        <v>117.54827055371787</v>
      </c>
      <c r="AQ114" s="111">
        <v>102.01568997367004</v>
      </c>
      <c r="AR114" s="111">
        <v>111.87110292703322</v>
      </c>
      <c r="AS114" s="111">
        <v>111.40977090112288</v>
      </c>
      <c r="AT114" s="111">
        <v>123.96854735310434</v>
      </c>
      <c r="AU114" s="111">
        <v>117.07880522113005</v>
      </c>
      <c r="AV114" s="111">
        <v>105.59820377950987</v>
      </c>
      <c r="AW114" s="111">
        <v>113.54814066946231</v>
      </c>
      <c r="AX114" s="111">
        <v>112.9995920747257</v>
      </c>
      <c r="AY114" s="111">
        <v>109.5872096567785</v>
      </c>
    </row>
    <row r="115" spans="1:52" x14ac:dyDescent="0.2">
      <c r="A115" s="114"/>
      <c r="B115" s="132">
        <v>7</v>
      </c>
      <c r="C115" s="111"/>
      <c r="D115" s="111">
        <v>0</v>
      </c>
      <c r="E115" s="111">
        <v>0</v>
      </c>
      <c r="F115" s="111">
        <v>0</v>
      </c>
      <c r="G115" s="111">
        <v>0</v>
      </c>
      <c r="H115" s="111">
        <v>0</v>
      </c>
      <c r="I115" s="111">
        <v>0</v>
      </c>
      <c r="J115" s="111">
        <v>0</v>
      </c>
      <c r="K115" s="111">
        <v>0</v>
      </c>
      <c r="L115" s="111">
        <v>0</v>
      </c>
      <c r="M115" s="111">
        <v>0</v>
      </c>
      <c r="N115" s="111">
        <v>0</v>
      </c>
      <c r="O115" s="111">
        <v>0</v>
      </c>
      <c r="P115" s="111">
        <v>0</v>
      </c>
      <c r="Q115" s="111">
        <v>0</v>
      </c>
      <c r="R115" s="111">
        <v>0</v>
      </c>
      <c r="S115" s="111">
        <v>0</v>
      </c>
      <c r="T115" s="111">
        <v>35.798976025436588</v>
      </c>
      <c r="U115" s="111">
        <v>90.673761392342641</v>
      </c>
      <c r="V115" s="111">
        <v>125.07160637982496</v>
      </c>
      <c r="W115" s="111">
        <v>101.86315855977251</v>
      </c>
      <c r="X115" s="111">
        <v>108.37265373833212</v>
      </c>
      <c r="Y115" s="111">
        <v>91.500465025823033</v>
      </c>
      <c r="Z115" s="111">
        <v>89.31887971719101</v>
      </c>
      <c r="AA115" s="111">
        <v>68.894059029544366</v>
      </c>
      <c r="AB115" s="111">
        <v>102.46852164730731</v>
      </c>
      <c r="AC115" s="111">
        <v>114.09428331573392</v>
      </c>
      <c r="AD115" s="111">
        <v>120.5161198004224</v>
      </c>
      <c r="AE115" s="111">
        <v>135.12093389363253</v>
      </c>
      <c r="AF115" s="111">
        <v>118.99664074540433</v>
      </c>
      <c r="AG115" s="111">
        <v>119.0009350212686</v>
      </c>
      <c r="AH115" s="111">
        <v>108.65424161368412</v>
      </c>
      <c r="AI115" s="111">
        <v>108.50728768984405</v>
      </c>
      <c r="AJ115" s="111">
        <v>100.57413316848721</v>
      </c>
      <c r="AK115" s="111">
        <v>87.105604187042445</v>
      </c>
      <c r="AL115" s="111">
        <v>98.354836871329979</v>
      </c>
      <c r="AM115" s="111">
        <v>92.756746038231356</v>
      </c>
      <c r="AN115" s="111">
        <v>95.80621609674543</v>
      </c>
      <c r="AO115" s="111">
        <v>108.27430804180128</v>
      </c>
      <c r="AP115" s="111">
        <v>111.43473883949426</v>
      </c>
      <c r="AQ115" s="111">
        <v>117.54827055371787</v>
      </c>
      <c r="AR115" s="111">
        <v>102.01568997367004</v>
      </c>
      <c r="AS115" s="111">
        <v>111.87110292703322</v>
      </c>
      <c r="AT115" s="111">
        <v>111.40977090112288</v>
      </c>
      <c r="AU115" s="111">
        <v>123.96854735310434</v>
      </c>
      <c r="AV115" s="111">
        <v>117.07880522113005</v>
      </c>
      <c r="AW115" s="111">
        <v>105.59820377950987</v>
      </c>
      <c r="AX115" s="111">
        <v>113.54814066946231</v>
      </c>
      <c r="AY115" s="111">
        <v>112.9995920747257</v>
      </c>
    </row>
    <row r="116" spans="1:52" x14ac:dyDescent="0.2">
      <c r="A116" s="114"/>
      <c r="B116" s="132">
        <v>8</v>
      </c>
      <c r="C116" s="111"/>
      <c r="D116" s="111">
        <v>0</v>
      </c>
      <c r="E116" s="111">
        <v>0</v>
      </c>
      <c r="F116" s="111">
        <v>0</v>
      </c>
      <c r="G116" s="111">
        <v>0</v>
      </c>
      <c r="H116" s="111">
        <v>0</v>
      </c>
      <c r="I116" s="111">
        <v>0</v>
      </c>
      <c r="J116" s="111">
        <v>0</v>
      </c>
      <c r="K116" s="111">
        <v>0</v>
      </c>
      <c r="L116" s="111">
        <v>0</v>
      </c>
      <c r="M116" s="111">
        <v>0</v>
      </c>
      <c r="N116" s="111">
        <v>0</v>
      </c>
      <c r="O116" s="111">
        <v>0</v>
      </c>
      <c r="P116" s="111">
        <v>0</v>
      </c>
      <c r="Q116" s="111">
        <v>0</v>
      </c>
      <c r="R116" s="111">
        <v>0</v>
      </c>
      <c r="S116" s="111">
        <v>0</v>
      </c>
      <c r="T116" s="111">
        <v>0</v>
      </c>
      <c r="U116" s="111">
        <v>0</v>
      </c>
      <c r="V116" s="111">
        <v>0.67376139234264087</v>
      </c>
      <c r="W116" s="111">
        <v>30.745367772167597</v>
      </c>
      <c r="X116" s="111">
        <v>60.608526331940112</v>
      </c>
      <c r="Y116" s="111">
        <v>88.981180070272231</v>
      </c>
      <c r="Z116" s="111">
        <v>91.500465025823033</v>
      </c>
      <c r="AA116" s="111">
        <v>89.31887971719101</v>
      </c>
      <c r="AB116" s="111">
        <v>68.894059029544366</v>
      </c>
      <c r="AC116" s="111">
        <v>102.46852164730731</v>
      </c>
      <c r="AD116" s="111">
        <v>114.09428331573392</v>
      </c>
      <c r="AE116" s="111">
        <v>120.5161198004224</v>
      </c>
      <c r="AF116" s="111">
        <v>135.12093389363253</v>
      </c>
      <c r="AG116" s="111">
        <v>118.99664074540433</v>
      </c>
      <c r="AH116" s="111">
        <v>119.0009350212686</v>
      </c>
      <c r="AI116" s="111">
        <v>108.65424161368412</v>
      </c>
      <c r="AJ116" s="111">
        <v>108.50728768984405</v>
      </c>
      <c r="AK116" s="111">
        <v>100.57413316848721</v>
      </c>
      <c r="AL116" s="111">
        <v>87.105604187042445</v>
      </c>
      <c r="AM116" s="111">
        <v>98.354836871329979</v>
      </c>
      <c r="AN116" s="111">
        <v>92.756746038231356</v>
      </c>
      <c r="AO116" s="111">
        <v>95.80621609674543</v>
      </c>
      <c r="AP116" s="111">
        <v>108.27430804180128</v>
      </c>
      <c r="AQ116" s="111">
        <v>111.43473883949426</v>
      </c>
      <c r="AR116" s="111">
        <v>117.54827055371787</v>
      </c>
      <c r="AS116" s="111">
        <v>102.01568997367004</v>
      </c>
      <c r="AT116" s="111">
        <v>111.87110292703322</v>
      </c>
      <c r="AU116" s="111">
        <v>111.40977090112288</v>
      </c>
      <c r="AV116" s="111">
        <v>123.96854735310434</v>
      </c>
      <c r="AW116" s="111">
        <v>117.07880522113005</v>
      </c>
      <c r="AX116" s="111">
        <v>105.59820377950987</v>
      </c>
      <c r="AY116" s="111">
        <v>113.54814066946231</v>
      </c>
    </row>
    <row r="117" spans="1:52" x14ac:dyDescent="0.2">
      <c r="A117" s="114"/>
      <c r="B117" s="132">
        <v>9</v>
      </c>
      <c r="C117" s="111"/>
      <c r="D117" s="111">
        <v>0</v>
      </c>
      <c r="E117" s="111">
        <v>0</v>
      </c>
      <c r="F117" s="111">
        <v>0</v>
      </c>
      <c r="G117" s="111">
        <v>0</v>
      </c>
      <c r="H117" s="111">
        <v>0</v>
      </c>
      <c r="I117" s="111">
        <v>0</v>
      </c>
      <c r="J117" s="111">
        <v>0</v>
      </c>
      <c r="K117" s="111">
        <v>0</v>
      </c>
      <c r="L117" s="111">
        <v>0</v>
      </c>
      <c r="M117" s="111">
        <v>0</v>
      </c>
      <c r="N117" s="111">
        <v>0</v>
      </c>
      <c r="O117" s="111">
        <v>0</v>
      </c>
      <c r="P117" s="111">
        <v>0</v>
      </c>
      <c r="Q117" s="111">
        <v>0</v>
      </c>
      <c r="R117" s="111">
        <v>0</v>
      </c>
      <c r="S117" s="111">
        <v>0</v>
      </c>
      <c r="T117" s="111">
        <v>0</v>
      </c>
      <c r="U117" s="111">
        <v>0</v>
      </c>
      <c r="V117" s="111">
        <v>0</v>
      </c>
      <c r="W117" s="111">
        <v>0</v>
      </c>
      <c r="X117" s="111">
        <v>0</v>
      </c>
      <c r="Y117" s="111">
        <v>0</v>
      </c>
      <c r="Z117" s="111">
        <v>30.981180070272231</v>
      </c>
      <c r="AA117" s="111">
        <v>39.481645096095264</v>
      </c>
      <c r="AB117" s="111">
        <v>35.800524813286273</v>
      </c>
      <c r="AC117" s="111">
        <v>21.694583842830639</v>
      </c>
      <c r="AD117" s="111">
        <v>57.163105490137951</v>
      </c>
      <c r="AE117" s="111">
        <v>89.257388805871869</v>
      </c>
      <c r="AF117" s="111">
        <v>120.5161198004224</v>
      </c>
      <c r="AG117" s="111">
        <v>135.12093389363253</v>
      </c>
      <c r="AH117" s="111">
        <v>118.99664074540433</v>
      </c>
      <c r="AI117" s="111">
        <v>119.0009350212686</v>
      </c>
      <c r="AJ117" s="111">
        <v>108.65424161368412</v>
      </c>
      <c r="AK117" s="111">
        <v>108.50728768984405</v>
      </c>
      <c r="AL117" s="111">
        <v>100.57413316848721</v>
      </c>
      <c r="AM117" s="111">
        <v>87.105604187042445</v>
      </c>
      <c r="AN117" s="111">
        <v>98.354836871329979</v>
      </c>
      <c r="AO117" s="111">
        <v>92.756746038231356</v>
      </c>
      <c r="AP117" s="111">
        <v>95.80621609674543</v>
      </c>
      <c r="AQ117" s="111">
        <v>108.27430804180128</v>
      </c>
      <c r="AR117" s="111">
        <v>111.43473883949426</v>
      </c>
      <c r="AS117" s="111">
        <v>117.54827055371787</v>
      </c>
      <c r="AT117" s="111">
        <v>102.01568997367004</v>
      </c>
      <c r="AU117" s="111">
        <v>111.87110292703322</v>
      </c>
      <c r="AV117" s="111">
        <v>111.40977090112288</v>
      </c>
      <c r="AW117" s="111">
        <v>123.96854735310434</v>
      </c>
      <c r="AX117" s="111">
        <v>117.07880522113005</v>
      </c>
      <c r="AY117" s="111">
        <v>105.59820377950987</v>
      </c>
    </row>
    <row r="118" spans="1:52" x14ac:dyDescent="0.2">
      <c r="A118" s="114"/>
      <c r="B118" s="135">
        <v>10</v>
      </c>
      <c r="C118" s="111"/>
      <c r="D118" s="111">
        <v>0</v>
      </c>
      <c r="E118" s="111">
        <v>0</v>
      </c>
      <c r="F118" s="111">
        <v>0</v>
      </c>
      <c r="G118" s="111">
        <v>0</v>
      </c>
      <c r="H118" s="111">
        <v>0</v>
      </c>
      <c r="I118" s="111">
        <v>0</v>
      </c>
      <c r="J118" s="111">
        <v>0</v>
      </c>
      <c r="K118" s="111">
        <v>0</v>
      </c>
      <c r="L118" s="111">
        <v>0</v>
      </c>
      <c r="M118" s="111">
        <v>0</v>
      </c>
      <c r="N118" s="111">
        <v>0</v>
      </c>
      <c r="O118" s="111">
        <v>0</v>
      </c>
      <c r="P118" s="111">
        <v>0</v>
      </c>
      <c r="Q118" s="111">
        <v>0</v>
      </c>
      <c r="R118" s="111">
        <v>0</v>
      </c>
      <c r="S118" s="111">
        <v>0</v>
      </c>
      <c r="T118" s="111">
        <v>0</v>
      </c>
      <c r="U118" s="111">
        <v>0</v>
      </c>
      <c r="V118" s="111">
        <v>0</v>
      </c>
      <c r="W118" s="111">
        <v>0</v>
      </c>
      <c r="X118" s="111">
        <v>0</v>
      </c>
      <c r="Y118" s="111">
        <v>0</v>
      </c>
      <c r="Z118" s="111">
        <v>0</v>
      </c>
      <c r="AA118" s="111">
        <v>0</v>
      </c>
      <c r="AB118" s="111">
        <v>0</v>
      </c>
      <c r="AC118" s="111">
        <v>0</v>
      </c>
      <c r="AD118" s="111">
        <v>0</v>
      </c>
      <c r="AE118" s="111">
        <v>0</v>
      </c>
      <c r="AF118" s="111">
        <v>16.257388805871869</v>
      </c>
      <c r="AG118" s="111">
        <v>67.773508606294271</v>
      </c>
      <c r="AH118" s="111">
        <v>126.8944424999268</v>
      </c>
      <c r="AI118" s="111">
        <v>118.99664074540433</v>
      </c>
      <c r="AJ118" s="111">
        <v>119.0009350212686</v>
      </c>
      <c r="AK118" s="111">
        <v>108.65424161368412</v>
      </c>
      <c r="AL118" s="111">
        <v>108.50728768984405</v>
      </c>
      <c r="AM118" s="111">
        <v>100.57413316848721</v>
      </c>
      <c r="AN118" s="111">
        <v>87.105604187042445</v>
      </c>
      <c r="AO118" s="111">
        <v>98.354836871329979</v>
      </c>
      <c r="AP118" s="111">
        <v>92.756746038231356</v>
      </c>
      <c r="AQ118" s="111">
        <v>95.80621609674543</v>
      </c>
      <c r="AR118" s="111">
        <v>108.27430804180128</v>
      </c>
      <c r="AS118" s="111">
        <v>111.43473883949426</v>
      </c>
      <c r="AT118" s="111">
        <v>117.54827055371787</v>
      </c>
      <c r="AU118" s="111">
        <v>102.01568997367004</v>
      </c>
      <c r="AV118" s="111">
        <v>111.87110292703322</v>
      </c>
      <c r="AW118" s="111">
        <v>111.40977090112288</v>
      </c>
      <c r="AX118" s="111">
        <v>123.96854735310434</v>
      </c>
      <c r="AY118" s="111">
        <v>117.07880522113005</v>
      </c>
    </row>
    <row r="119" spans="1:52" x14ac:dyDescent="0.2">
      <c r="A119" s="114"/>
      <c r="B119" s="135">
        <v>11</v>
      </c>
      <c r="C119" s="111"/>
      <c r="D119" s="111">
        <v>0</v>
      </c>
      <c r="E119" s="111">
        <v>0</v>
      </c>
      <c r="F119" s="111">
        <v>0</v>
      </c>
      <c r="G119" s="111">
        <v>0</v>
      </c>
      <c r="H119" s="111">
        <v>0</v>
      </c>
      <c r="I119" s="111">
        <v>0</v>
      </c>
      <c r="J119" s="111">
        <v>0</v>
      </c>
      <c r="K119" s="111">
        <v>0</v>
      </c>
      <c r="L119" s="111">
        <v>0</v>
      </c>
      <c r="M119" s="111">
        <v>0</v>
      </c>
      <c r="N119" s="111">
        <v>0</v>
      </c>
      <c r="O119" s="111">
        <v>0</v>
      </c>
      <c r="P119" s="111">
        <v>0</v>
      </c>
      <c r="Q119" s="111">
        <v>0</v>
      </c>
      <c r="R119" s="111">
        <v>0</v>
      </c>
      <c r="S119" s="111">
        <v>0</v>
      </c>
      <c r="T119" s="111">
        <v>0</v>
      </c>
      <c r="U119" s="111">
        <v>0</v>
      </c>
      <c r="V119" s="111">
        <v>0</v>
      </c>
      <c r="W119" s="111">
        <v>0</v>
      </c>
      <c r="X119" s="111">
        <v>0</v>
      </c>
      <c r="Y119" s="111">
        <v>0</v>
      </c>
      <c r="Z119" s="111">
        <v>0</v>
      </c>
      <c r="AA119" s="111">
        <v>0</v>
      </c>
      <c r="AB119" s="111">
        <v>0</v>
      </c>
      <c r="AC119" s="111">
        <v>0</v>
      </c>
      <c r="AD119" s="111">
        <v>0</v>
      </c>
      <c r="AE119" s="111">
        <v>0</v>
      </c>
      <c r="AF119" s="111">
        <v>0</v>
      </c>
      <c r="AG119" s="111">
        <v>0</v>
      </c>
      <c r="AH119" s="111">
        <v>0</v>
      </c>
      <c r="AI119" s="111">
        <v>42.894442499926797</v>
      </c>
      <c r="AJ119" s="111">
        <v>93.891083245331131</v>
      </c>
      <c r="AK119" s="111">
        <v>119.0009350212686</v>
      </c>
      <c r="AL119" s="111">
        <v>108.65424161368412</v>
      </c>
      <c r="AM119" s="111">
        <v>108.50728768984405</v>
      </c>
      <c r="AN119" s="111">
        <v>100.57413316848721</v>
      </c>
      <c r="AO119" s="111">
        <v>87.105604187042445</v>
      </c>
      <c r="AP119" s="111">
        <v>98.354836871329979</v>
      </c>
      <c r="AQ119" s="111">
        <v>92.756746038231356</v>
      </c>
      <c r="AR119" s="111">
        <v>95.80621609674543</v>
      </c>
      <c r="AS119" s="111">
        <v>108.27430804180128</v>
      </c>
      <c r="AT119" s="111">
        <v>111.43473883949426</v>
      </c>
      <c r="AU119" s="111">
        <v>117.54827055371787</v>
      </c>
      <c r="AV119" s="111">
        <v>102.01568997367004</v>
      </c>
      <c r="AW119" s="111">
        <v>111.87110292703322</v>
      </c>
      <c r="AX119" s="111">
        <v>111.40977090112288</v>
      </c>
      <c r="AY119" s="111">
        <v>123.96854735310434</v>
      </c>
    </row>
    <row r="120" spans="1:52" x14ac:dyDescent="0.2">
      <c r="A120" s="114"/>
      <c r="B120" s="135">
        <v>12</v>
      </c>
      <c r="C120" s="111"/>
      <c r="D120" s="111">
        <v>0</v>
      </c>
      <c r="E120" s="111">
        <v>0</v>
      </c>
      <c r="F120" s="111">
        <v>0</v>
      </c>
      <c r="G120" s="111">
        <v>0</v>
      </c>
      <c r="H120" s="111">
        <v>0</v>
      </c>
      <c r="I120" s="111">
        <v>0</v>
      </c>
      <c r="J120" s="111">
        <v>0</v>
      </c>
      <c r="K120" s="111">
        <v>0</v>
      </c>
      <c r="L120" s="111">
        <v>0</v>
      </c>
      <c r="M120" s="111">
        <v>0</v>
      </c>
      <c r="N120" s="111">
        <v>0</v>
      </c>
      <c r="O120" s="111">
        <v>0</v>
      </c>
      <c r="P120" s="111">
        <v>0</v>
      </c>
      <c r="Q120" s="111">
        <v>0</v>
      </c>
      <c r="R120" s="111">
        <v>0</v>
      </c>
      <c r="S120" s="111">
        <v>0</v>
      </c>
      <c r="T120" s="111">
        <v>0</v>
      </c>
      <c r="U120" s="111">
        <v>0</v>
      </c>
      <c r="V120" s="111">
        <v>0</v>
      </c>
      <c r="W120" s="111">
        <v>0</v>
      </c>
      <c r="X120" s="111">
        <v>0</v>
      </c>
      <c r="Y120" s="111">
        <v>0</v>
      </c>
      <c r="Z120" s="111">
        <v>0</v>
      </c>
      <c r="AA120" s="111">
        <v>0</v>
      </c>
      <c r="AB120" s="111">
        <v>0</v>
      </c>
      <c r="AC120" s="111">
        <v>0</v>
      </c>
      <c r="AD120" s="111">
        <v>0</v>
      </c>
      <c r="AE120" s="111">
        <v>0</v>
      </c>
      <c r="AF120" s="111">
        <v>0</v>
      </c>
      <c r="AG120" s="111">
        <v>0</v>
      </c>
      <c r="AH120" s="111">
        <v>0</v>
      </c>
      <c r="AI120" s="111">
        <v>0</v>
      </c>
      <c r="AJ120" s="111">
        <v>0</v>
      </c>
      <c r="AK120" s="111">
        <v>21.891083245331131</v>
      </c>
      <c r="AL120" s="111">
        <v>56.892018266599734</v>
      </c>
      <c r="AM120" s="111">
        <v>78.546259880283856</v>
      </c>
      <c r="AN120" s="111">
        <v>108.50728768984405</v>
      </c>
      <c r="AO120" s="111">
        <v>100.57413316848721</v>
      </c>
      <c r="AP120" s="111">
        <v>87.105604187042445</v>
      </c>
      <c r="AQ120" s="111">
        <v>98.354836871329979</v>
      </c>
      <c r="AR120" s="111">
        <v>92.756746038231356</v>
      </c>
      <c r="AS120" s="111">
        <v>95.80621609674543</v>
      </c>
      <c r="AT120" s="111">
        <v>108.27430804180128</v>
      </c>
      <c r="AU120" s="111">
        <v>111.43473883949426</v>
      </c>
      <c r="AV120" s="111">
        <v>117.54827055371787</v>
      </c>
      <c r="AW120" s="111">
        <v>102.01568997367004</v>
      </c>
      <c r="AX120" s="111">
        <v>111.87110292703322</v>
      </c>
      <c r="AY120" s="111">
        <v>111.40977090112288</v>
      </c>
    </row>
    <row r="121" spans="1:52" x14ac:dyDescent="0.2">
      <c r="A121" s="133"/>
      <c r="B121" s="137" t="s">
        <v>298</v>
      </c>
      <c r="C121" s="119"/>
      <c r="D121" s="130">
        <v>0</v>
      </c>
      <c r="E121" s="130">
        <v>0</v>
      </c>
      <c r="F121" s="130">
        <v>0</v>
      </c>
      <c r="G121" s="130">
        <v>0</v>
      </c>
      <c r="H121" s="130">
        <v>0</v>
      </c>
      <c r="I121" s="130">
        <v>0</v>
      </c>
      <c r="J121" s="130">
        <v>0</v>
      </c>
      <c r="K121" s="130">
        <v>0</v>
      </c>
      <c r="L121" s="130">
        <v>0</v>
      </c>
      <c r="M121" s="130">
        <v>0</v>
      </c>
      <c r="N121" s="130">
        <v>0</v>
      </c>
      <c r="O121" s="130">
        <v>0</v>
      </c>
      <c r="P121" s="130">
        <v>0</v>
      </c>
      <c r="Q121" s="130">
        <v>0</v>
      </c>
      <c r="R121" s="130">
        <v>0</v>
      </c>
      <c r="S121" s="130">
        <v>0</v>
      </c>
      <c r="T121" s="130">
        <v>0</v>
      </c>
      <c r="U121" s="130">
        <v>0</v>
      </c>
      <c r="V121" s="130">
        <v>0</v>
      </c>
      <c r="W121" s="130">
        <v>0</v>
      </c>
      <c r="X121" s="130">
        <v>0</v>
      </c>
      <c r="Y121" s="130">
        <v>0</v>
      </c>
      <c r="Z121" s="130">
        <v>0</v>
      </c>
      <c r="AA121" s="130">
        <v>0</v>
      </c>
      <c r="AB121" s="130">
        <v>0</v>
      </c>
      <c r="AC121" s="130">
        <v>0</v>
      </c>
      <c r="AD121" s="130">
        <v>0</v>
      </c>
      <c r="AE121" s="130">
        <v>0</v>
      </c>
      <c r="AF121" s="130">
        <v>0</v>
      </c>
      <c r="AG121" s="130">
        <v>0</v>
      </c>
      <c r="AH121" s="130">
        <v>0</v>
      </c>
      <c r="AI121" s="130">
        <v>0</v>
      </c>
      <c r="AJ121" s="130">
        <v>0</v>
      </c>
      <c r="AK121" s="130">
        <v>0</v>
      </c>
      <c r="AL121" s="130">
        <v>0</v>
      </c>
      <c r="AM121" s="130">
        <v>0</v>
      </c>
      <c r="AN121" s="130">
        <v>0.54625988028385564</v>
      </c>
      <c r="AO121" s="130">
        <v>29.507287689844048</v>
      </c>
      <c r="AP121" s="130">
        <v>29.574133168487208</v>
      </c>
      <c r="AQ121" s="130">
        <v>10.105604187042445</v>
      </c>
      <c r="AR121" s="130">
        <v>19.354836871329979</v>
      </c>
      <c r="AS121" s="130">
        <v>12.756746038231356</v>
      </c>
      <c r="AT121" s="130">
        <v>0.80621609674543038</v>
      </c>
      <c r="AU121" s="130">
        <v>36.274308041801277</v>
      </c>
      <c r="AV121" s="130">
        <v>39.434738839494258</v>
      </c>
      <c r="AW121" s="130">
        <v>59.54827055371787</v>
      </c>
      <c r="AX121" s="130">
        <v>12.015689973670035</v>
      </c>
      <c r="AY121" s="130">
        <v>32.87110292703322</v>
      </c>
      <c r="AZ121" s="112">
        <f>SUM($D121:$AY121)</f>
        <v>282.79519426768098</v>
      </c>
    </row>
    <row r="122" spans="1:52" x14ac:dyDescent="0.2">
      <c r="A122" s="136" t="s">
        <v>123</v>
      </c>
      <c r="B122" s="124">
        <v>1</v>
      </c>
      <c r="C122" s="111"/>
      <c r="D122" s="111">
        <v>288.51531151003167</v>
      </c>
      <c r="E122" s="111">
        <v>504.36230604555089</v>
      </c>
      <c r="F122" s="111">
        <v>367.01531151003167</v>
      </c>
      <c r="G122" s="111">
        <v>367.01531151003167</v>
      </c>
      <c r="H122" s="111">
        <v>367.01531151003167</v>
      </c>
      <c r="I122" s="111">
        <v>367.01531151003167</v>
      </c>
      <c r="J122" s="111">
        <v>367.01531151003167</v>
      </c>
      <c r="K122" s="111">
        <v>367.01531151003167</v>
      </c>
      <c r="L122" s="111">
        <v>367.01531151003167</v>
      </c>
      <c r="M122" s="111">
        <v>367.01531151003167</v>
      </c>
      <c r="N122" s="111">
        <v>359.1653115100317</v>
      </c>
      <c r="O122" s="111">
        <v>359.1653115100317</v>
      </c>
      <c r="P122" s="111">
        <v>359.1653115100317</v>
      </c>
      <c r="Q122" s="111">
        <v>359.1653115100317</v>
      </c>
      <c r="R122" s="111">
        <v>367.01531151003167</v>
      </c>
      <c r="S122" s="111">
        <v>367.01531151003167</v>
      </c>
      <c r="T122" s="111">
        <v>288.51531151003167</v>
      </c>
      <c r="U122" s="111">
        <v>445.51531151003172</v>
      </c>
      <c r="V122" s="111">
        <v>367.01531151003167</v>
      </c>
      <c r="W122" s="111">
        <v>367.01531151003167</v>
      </c>
      <c r="X122" s="111">
        <v>367.01531151003167</v>
      </c>
      <c r="Y122" s="111">
        <v>367.01531151003167</v>
      </c>
      <c r="Z122" s="111">
        <v>367.01531151003167</v>
      </c>
      <c r="AA122" s="111">
        <v>367.01531151003167</v>
      </c>
      <c r="AB122" s="111">
        <v>367.01531151003167</v>
      </c>
      <c r="AC122" s="111">
        <v>367.01531151003167</v>
      </c>
      <c r="AD122" s="111">
        <v>367.01531151003167</v>
      </c>
      <c r="AE122" s="111">
        <v>367.01531151003167</v>
      </c>
      <c r="AF122" s="111">
        <v>367.01531151003167</v>
      </c>
      <c r="AG122" s="111">
        <v>367.01531151003167</v>
      </c>
      <c r="AH122" s="111">
        <v>367.01531151003167</v>
      </c>
      <c r="AI122" s="111">
        <v>367.01531151003167</v>
      </c>
      <c r="AJ122" s="111">
        <v>367.01531151003167</v>
      </c>
      <c r="AK122" s="111">
        <v>367.01531151003167</v>
      </c>
      <c r="AL122" s="111">
        <v>374.86531151003169</v>
      </c>
      <c r="AM122" s="111">
        <v>374.86531151003169</v>
      </c>
      <c r="AN122" s="111">
        <v>403.0131467793031</v>
      </c>
      <c r="AO122" s="111">
        <v>403.0131467793031</v>
      </c>
      <c r="AP122" s="111">
        <v>395.16314677930308</v>
      </c>
      <c r="AQ122" s="111">
        <v>395.16314677930308</v>
      </c>
      <c r="AR122" s="111">
        <v>395.16314677930308</v>
      </c>
      <c r="AS122" s="111">
        <v>395.16314677930308</v>
      </c>
      <c r="AT122" s="111">
        <v>403.0131467793031</v>
      </c>
      <c r="AU122" s="111">
        <v>403.0131467793031</v>
      </c>
      <c r="AV122" s="111">
        <v>374.86531151003169</v>
      </c>
      <c r="AW122" s="111">
        <v>374.86531151003169</v>
      </c>
      <c r="AX122" s="111">
        <v>367.01531151003167</v>
      </c>
      <c r="AY122" s="111">
        <v>367.01531151003167</v>
      </c>
    </row>
    <row r="123" spans="1:52" x14ac:dyDescent="0.2">
      <c r="A123" s="114"/>
      <c r="B123" s="124">
        <v>2</v>
      </c>
      <c r="C123" s="111"/>
      <c r="D123" s="111">
        <v>0</v>
      </c>
      <c r="E123" s="111">
        <v>0</v>
      </c>
      <c r="F123" s="111">
        <v>116.00690885730978</v>
      </c>
      <c r="G123" s="111">
        <v>131.92710968285292</v>
      </c>
      <c r="H123" s="111">
        <v>145.18566431852113</v>
      </c>
      <c r="I123" s="111">
        <v>103.39475138798565</v>
      </c>
      <c r="J123" s="111">
        <v>117.21574843147334</v>
      </c>
      <c r="K123" s="111">
        <v>143.85791615495887</v>
      </c>
      <c r="L123" s="111">
        <v>182.37238530204272</v>
      </c>
      <c r="M123" s="111">
        <v>223.0285265452973</v>
      </c>
      <c r="N123" s="111">
        <v>253.33375530260332</v>
      </c>
      <c r="O123" s="111">
        <v>184.62428144572897</v>
      </c>
      <c r="P123" s="111">
        <v>83.717986575935726</v>
      </c>
      <c r="Q123" s="111">
        <v>112.02013952619492</v>
      </c>
      <c r="R123" s="111">
        <v>30.812797297894519</v>
      </c>
      <c r="S123" s="111">
        <v>21.327643782103166</v>
      </c>
      <c r="T123" s="111">
        <v>11.024075574943822</v>
      </c>
      <c r="U123" s="111">
        <v>2.8421709430404007E-14</v>
      </c>
      <c r="V123" s="111">
        <v>129.04678986272447</v>
      </c>
      <c r="W123" s="111">
        <v>156.96781805702221</v>
      </c>
      <c r="X123" s="111">
        <v>220.46700976663149</v>
      </c>
      <c r="Y123" s="111">
        <v>150.36138738303063</v>
      </c>
      <c r="Z123" s="111">
        <v>150.38005814765796</v>
      </c>
      <c r="AA123" s="111">
        <v>105.39443463642101</v>
      </c>
      <c r="AB123" s="111">
        <v>104.75550453276855</v>
      </c>
      <c r="AC123" s="111">
        <v>70.263528352956172</v>
      </c>
      <c r="AD123" s="111">
        <v>11.704706694500658</v>
      </c>
      <c r="AE123" s="111">
        <v>60.614414017489906</v>
      </c>
      <c r="AF123" s="111">
        <v>36.274888656191621</v>
      </c>
      <c r="AG123" s="111">
        <v>49.533454127991945</v>
      </c>
      <c r="AH123" s="111">
        <v>103.74254954127818</v>
      </c>
      <c r="AI123" s="111">
        <v>117.48355300950857</v>
      </c>
      <c r="AJ123" s="111">
        <v>144.064125680046</v>
      </c>
      <c r="AK123" s="111">
        <v>76.531166636359814</v>
      </c>
      <c r="AL123" s="111">
        <v>111.53078817272143</v>
      </c>
      <c r="AM123" s="111">
        <v>109.52499675571991</v>
      </c>
      <c r="AN123" s="111">
        <v>135.98053736462873</v>
      </c>
      <c r="AO123" s="111">
        <v>106.02513679082756</v>
      </c>
      <c r="AP123" s="111">
        <v>63.959478349000648</v>
      </c>
      <c r="AQ123" s="111">
        <v>98.524421348793908</v>
      </c>
      <c r="AR123" s="111">
        <v>96.139427458634714</v>
      </c>
      <c r="AS123" s="111">
        <v>81.302982163212107</v>
      </c>
      <c r="AT123" s="111">
        <v>74.878919285736714</v>
      </c>
      <c r="AU123" s="111">
        <v>42.976890870080695</v>
      </c>
      <c r="AV123" s="111">
        <v>5.6843418860808015E-14</v>
      </c>
      <c r="AW123" s="111">
        <v>0</v>
      </c>
      <c r="AX123" s="111">
        <v>35.646289862724416</v>
      </c>
      <c r="AY123" s="111">
        <v>41.049433057022185</v>
      </c>
    </row>
    <row r="124" spans="1:52" x14ac:dyDescent="0.2">
      <c r="A124" s="114"/>
      <c r="B124" s="124">
        <v>3</v>
      </c>
      <c r="C124" s="111"/>
      <c r="D124" s="111">
        <v>0</v>
      </c>
      <c r="E124" s="111">
        <v>0</v>
      </c>
      <c r="F124" s="111">
        <v>0</v>
      </c>
      <c r="G124" s="111">
        <v>0</v>
      </c>
      <c r="H124" s="111">
        <v>0</v>
      </c>
      <c r="I124" s="111">
        <v>0</v>
      </c>
      <c r="J124" s="111">
        <v>0</v>
      </c>
      <c r="K124" s="111">
        <v>0</v>
      </c>
      <c r="L124" s="111">
        <v>0</v>
      </c>
      <c r="M124" s="111">
        <v>0</v>
      </c>
      <c r="N124" s="111">
        <v>0</v>
      </c>
      <c r="O124" s="111">
        <v>0</v>
      </c>
      <c r="P124" s="111">
        <v>0</v>
      </c>
      <c r="Q124" s="111">
        <v>0</v>
      </c>
      <c r="R124" s="111">
        <v>0</v>
      </c>
      <c r="S124" s="111">
        <v>0</v>
      </c>
      <c r="T124" s="111">
        <v>0</v>
      </c>
      <c r="U124" s="111">
        <v>0</v>
      </c>
      <c r="V124" s="111">
        <v>0</v>
      </c>
      <c r="W124" s="111">
        <v>0</v>
      </c>
      <c r="X124" s="111">
        <v>0</v>
      </c>
      <c r="Y124" s="111">
        <v>0</v>
      </c>
      <c r="Z124" s="111">
        <v>0</v>
      </c>
      <c r="AA124" s="111">
        <v>0</v>
      </c>
      <c r="AB124" s="111">
        <v>0</v>
      </c>
      <c r="AC124" s="111">
        <v>0</v>
      </c>
      <c r="AD124" s="111">
        <v>0</v>
      </c>
      <c r="AE124" s="111">
        <v>0</v>
      </c>
      <c r="AF124" s="111">
        <v>0</v>
      </c>
      <c r="AG124" s="111">
        <v>0</v>
      </c>
      <c r="AH124" s="111">
        <v>0</v>
      </c>
      <c r="AI124" s="111">
        <v>0</v>
      </c>
      <c r="AJ124" s="111">
        <v>0</v>
      </c>
      <c r="AK124" s="111">
        <v>0</v>
      </c>
      <c r="AL124" s="111">
        <v>0</v>
      </c>
      <c r="AM124" s="111">
        <v>0</v>
      </c>
      <c r="AN124" s="111">
        <v>0</v>
      </c>
      <c r="AO124" s="111">
        <v>0</v>
      </c>
      <c r="AP124" s="111">
        <v>0</v>
      </c>
      <c r="AQ124" s="111">
        <v>0</v>
      </c>
      <c r="AR124" s="111">
        <v>0</v>
      </c>
      <c r="AS124" s="111">
        <v>0</v>
      </c>
      <c r="AT124" s="111">
        <v>0</v>
      </c>
      <c r="AU124" s="111">
        <v>0</v>
      </c>
      <c r="AV124" s="111">
        <v>0</v>
      </c>
      <c r="AW124" s="111">
        <v>0</v>
      </c>
      <c r="AX124" s="111">
        <v>0</v>
      </c>
      <c r="AY124" s="111">
        <v>0</v>
      </c>
    </row>
    <row r="125" spans="1:52" x14ac:dyDescent="0.2">
      <c r="A125" s="114"/>
      <c r="B125" s="124">
        <v>4</v>
      </c>
      <c r="C125" s="111"/>
      <c r="D125" s="111">
        <v>0</v>
      </c>
      <c r="E125" s="111">
        <v>0</v>
      </c>
      <c r="F125" s="111">
        <v>0</v>
      </c>
      <c r="G125" s="111">
        <v>0</v>
      </c>
      <c r="H125" s="111">
        <v>0</v>
      </c>
      <c r="I125" s="111">
        <v>0</v>
      </c>
      <c r="J125" s="111">
        <v>0</v>
      </c>
      <c r="K125" s="111">
        <v>0</v>
      </c>
      <c r="L125" s="111">
        <v>0</v>
      </c>
      <c r="M125" s="111">
        <v>0</v>
      </c>
      <c r="N125" s="111">
        <v>0</v>
      </c>
      <c r="O125" s="111">
        <v>0</v>
      </c>
      <c r="P125" s="111">
        <v>0</v>
      </c>
      <c r="Q125" s="111">
        <v>0</v>
      </c>
      <c r="R125" s="111">
        <v>0</v>
      </c>
      <c r="S125" s="111">
        <v>0</v>
      </c>
      <c r="T125" s="111">
        <v>0</v>
      </c>
      <c r="U125" s="111">
        <v>0</v>
      </c>
      <c r="V125" s="111">
        <v>0</v>
      </c>
      <c r="W125" s="111">
        <v>0</v>
      </c>
      <c r="X125" s="111">
        <v>0</v>
      </c>
      <c r="Y125" s="111">
        <v>0</v>
      </c>
      <c r="Z125" s="111">
        <v>0</v>
      </c>
      <c r="AA125" s="111">
        <v>0</v>
      </c>
      <c r="AB125" s="111">
        <v>0</v>
      </c>
      <c r="AC125" s="111">
        <v>0</v>
      </c>
      <c r="AD125" s="111">
        <v>0</v>
      </c>
      <c r="AE125" s="111">
        <v>0</v>
      </c>
      <c r="AF125" s="111">
        <v>0</v>
      </c>
      <c r="AG125" s="111">
        <v>0</v>
      </c>
      <c r="AH125" s="111">
        <v>0</v>
      </c>
      <c r="AI125" s="111">
        <v>0</v>
      </c>
      <c r="AJ125" s="111">
        <v>0</v>
      </c>
      <c r="AK125" s="111">
        <v>0</v>
      </c>
      <c r="AL125" s="111">
        <v>0</v>
      </c>
      <c r="AM125" s="111">
        <v>0</v>
      </c>
      <c r="AN125" s="111">
        <v>0</v>
      </c>
      <c r="AO125" s="111">
        <v>0</v>
      </c>
      <c r="AP125" s="111">
        <v>0</v>
      </c>
      <c r="AQ125" s="111">
        <v>0</v>
      </c>
      <c r="AR125" s="111">
        <v>0</v>
      </c>
      <c r="AS125" s="111">
        <v>0</v>
      </c>
      <c r="AT125" s="111">
        <v>0</v>
      </c>
      <c r="AU125" s="111">
        <v>0</v>
      </c>
      <c r="AV125" s="111">
        <v>0</v>
      </c>
      <c r="AW125" s="111">
        <v>0</v>
      </c>
      <c r="AX125" s="111">
        <v>0</v>
      </c>
      <c r="AY125" s="111">
        <v>0</v>
      </c>
    </row>
    <row r="126" spans="1:52" x14ac:dyDescent="0.2">
      <c r="A126" s="114"/>
      <c r="B126" s="124">
        <v>5</v>
      </c>
      <c r="C126" s="111"/>
      <c r="D126" s="111">
        <v>0</v>
      </c>
      <c r="E126" s="111">
        <v>0</v>
      </c>
      <c r="F126" s="111">
        <v>0</v>
      </c>
      <c r="G126" s="111">
        <v>0</v>
      </c>
      <c r="H126" s="111">
        <v>0</v>
      </c>
      <c r="I126" s="111">
        <v>0</v>
      </c>
      <c r="J126" s="111">
        <v>0</v>
      </c>
      <c r="K126" s="111">
        <v>0</v>
      </c>
      <c r="L126" s="111">
        <v>0</v>
      </c>
      <c r="M126" s="111">
        <v>0</v>
      </c>
      <c r="N126" s="111">
        <v>0</v>
      </c>
      <c r="O126" s="111">
        <v>0</v>
      </c>
      <c r="P126" s="111">
        <v>0</v>
      </c>
      <c r="Q126" s="111">
        <v>0</v>
      </c>
      <c r="R126" s="111">
        <v>0</v>
      </c>
      <c r="S126" s="111">
        <v>0</v>
      </c>
      <c r="T126" s="111">
        <v>0</v>
      </c>
      <c r="U126" s="111">
        <v>0</v>
      </c>
      <c r="V126" s="111">
        <v>0</v>
      </c>
      <c r="W126" s="111">
        <v>0</v>
      </c>
      <c r="X126" s="111">
        <v>0</v>
      </c>
      <c r="Y126" s="111">
        <v>0</v>
      </c>
      <c r="Z126" s="111">
        <v>0</v>
      </c>
      <c r="AA126" s="111">
        <v>0</v>
      </c>
      <c r="AB126" s="111">
        <v>0</v>
      </c>
      <c r="AC126" s="111">
        <v>0</v>
      </c>
      <c r="AD126" s="111">
        <v>0</v>
      </c>
      <c r="AE126" s="111">
        <v>0</v>
      </c>
      <c r="AF126" s="111">
        <v>0</v>
      </c>
      <c r="AG126" s="111">
        <v>0</v>
      </c>
      <c r="AH126" s="111">
        <v>0</v>
      </c>
      <c r="AI126" s="111">
        <v>0</v>
      </c>
      <c r="AJ126" s="111">
        <v>0</v>
      </c>
      <c r="AK126" s="111">
        <v>0</v>
      </c>
      <c r="AL126" s="111">
        <v>0</v>
      </c>
      <c r="AM126" s="111">
        <v>0</v>
      </c>
      <c r="AN126" s="111">
        <v>0</v>
      </c>
      <c r="AO126" s="111">
        <v>0</v>
      </c>
      <c r="AP126" s="111">
        <v>0</v>
      </c>
      <c r="AQ126" s="111">
        <v>0</v>
      </c>
      <c r="AR126" s="111">
        <v>0</v>
      </c>
      <c r="AS126" s="111">
        <v>0</v>
      </c>
      <c r="AT126" s="111">
        <v>0</v>
      </c>
      <c r="AU126" s="111">
        <v>0</v>
      </c>
      <c r="AV126" s="111">
        <v>0</v>
      </c>
      <c r="AW126" s="111">
        <v>0</v>
      </c>
      <c r="AX126" s="111">
        <v>0</v>
      </c>
      <c r="AY126" s="111">
        <v>0</v>
      </c>
    </row>
    <row r="127" spans="1:52" x14ac:dyDescent="0.2">
      <c r="A127" s="114"/>
      <c r="B127" s="124">
        <v>6</v>
      </c>
      <c r="C127" s="111"/>
      <c r="D127" s="111">
        <v>0</v>
      </c>
      <c r="E127" s="111">
        <v>0</v>
      </c>
      <c r="F127" s="111">
        <v>0</v>
      </c>
      <c r="G127" s="111">
        <v>0</v>
      </c>
      <c r="H127" s="111">
        <v>0</v>
      </c>
      <c r="I127" s="111">
        <v>0</v>
      </c>
      <c r="J127" s="111">
        <v>0</v>
      </c>
      <c r="K127" s="111">
        <v>0</v>
      </c>
      <c r="L127" s="111">
        <v>0</v>
      </c>
      <c r="M127" s="111">
        <v>0</v>
      </c>
      <c r="N127" s="111">
        <v>0</v>
      </c>
      <c r="O127" s="111">
        <v>0</v>
      </c>
      <c r="P127" s="111">
        <v>0</v>
      </c>
      <c r="Q127" s="111">
        <v>0</v>
      </c>
      <c r="R127" s="111">
        <v>0</v>
      </c>
      <c r="S127" s="111">
        <v>0</v>
      </c>
      <c r="T127" s="111">
        <v>0</v>
      </c>
      <c r="U127" s="111">
        <v>0</v>
      </c>
      <c r="V127" s="111">
        <v>0</v>
      </c>
      <c r="W127" s="111">
        <v>0</v>
      </c>
      <c r="X127" s="111">
        <v>0</v>
      </c>
      <c r="Y127" s="111">
        <v>0</v>
      </c>
      <c r="Z127" s="111">
        <v>0</v>
      </c>
      <c r="AA127" s="111">
        <v>0</v>
      </c>
      <c r="AB127" s="111">
        <v>0</v>
      </c>
      <c r="AC127" s="111">
        <v>0</v>
      </c>
      <c r="AD127" s="111">
        <v>0</v>
      </c>
      <c r="AE127" s="111">
        <v>0</v>
      </c>
      <c r="AF127" s="111">
        <v>0</v>
      </c>
      <c r="AG127" s="111">
        <v>0</v>
      </c>
      <c r="AH127" s="111">
        <v>0</v>
      </c>
      <c r="AI127" s="111">
        <v>0</v>
      </c>
      <c r="AJ127" s="111">
        <v>0</v>
      </c>
      <c r="AK127" s="111">
        <v>0</v>
      </c>
      <c r="AL127" s="111">
        <v>0</v>
      </c>
      <c r="AM127" s="111">
        <v>0</v>
      </c>
      <c r="AN127" s="111">
        <v>0</v>
      </c>
      <c r="AO127" s="111">
        <v>0</v>
      </c>
      <c r="AP127" s="111">
        <v>0</v>
      </c>
      <c r="AQ127" s="111">
        <v>0</v>
      </c>
      <c r="AR127" s="111">
        <v>0</v>
      </c>
      <c r="AS127" s="111">
        <v>0</v>
      </c>
      <c r="AT127" s="111">
        <v>0</v>
      </c>
      <c r="AU127" s="111">
        <v>0</v>
      </c>
      <c r="AV127" s="111">
        <v>0</v>
      </c>
      <c r="AW127" s="111">
        <v>0</v>
      </c>
      <c r="AX127" s="111">
        <v>0</v>
      </c>
      <c r="AY127" s="111">
        <v>0</v>
      </c>
    </row>
    <row r="128" spans="1:52" x14ac:dyDescent="0.2">
      <c r="A128" s="114"/>
      <c r="B128" s="124">
        <v>7</v>
      </c>
      <c r="C128" s="111"/>
      <c r="D128" s="111">
        <v>0</v>
      </c>
      <c r="E128" s="111">
        <v>0</v>
      </c>
      <c r="F128" s="111">
        <v>0</v>
      </c>
      <c r="G128" s="111">
        <v>0</v>
      </c>
      <c r="H128" s="111">
        <v>0</v>
      </c>
      <c r="I128" s="111">
        <v>0</v>
      </c>
      <c r="J128" s="111">
        <v>0</v>
      </c>
      <c r="K128" s="111">
        <v>0</v>
      </c>
      <c r="L128" s="111">
        <v>0</v>
      </c>
      <c r="M128" s="111">
        <v>0</v>
      </c>
      <c r="N128" s="111">
        <v>0</v>
      </c>
      <c r="O128" s="111">
        <v>0</v>
      </c>
      <c r="P128" s="111">
        <v>0</v>
      </c>
      <c r="Q128" s="111">
        <v>0</v>
      </c>
      <c r="R128" s="111">
        <v>0</v>
      </c>
      <c r="S128" s="111">
        <v>0</v>
      </c>
      <c r="T128" s="111">
        <v>0</v>
      </c>
      <c r="U128" s="111">
        <v>0</v>
      </c>
      <c r="V128" s="111">
        <v>0</v>
      </c>
      <c r="W128" s="111">
        <v>0</v>
      </c>
      <c r="X128" s="111">
        <v>0</v>
      </c>
      <c r="Y128" s="111">
        <v>0</v>
      </c>
      <c r="Z128" s="111">
        <v>0</v>
      </c>
      <c r="AA128" s="111">
        <v>0</v>
      </c>
      <c r="AB128" s="111">
        <v>0</v>
      </c>
      <c r="AC128" s="111">
        <v>0</v>
      </c>
      <c r="AD128" s="111">
        <v>0</v>
      </c>
      <c r="AE128" s="111">
        <v>0</v>
      </c>
      <c r="AF128" s="111">
        <v>0</v>
      </c>
      <c r="AG128" s="111">
        <v>0</v>
      </c>
      <c r="AH128" s="111">
        <v>0</v>
      </c>
      <c r="AI128" s="111">
        <v>0</v>
      </c>
      <c r="AJ128" s="111">
        <v>0</v>
      </c>
      <c r="AK128" s="111">
        <v>0</v>
      </c>
      <c r="AL128" s="111">
        <v>0</v>
      </c>
      <c r="AM128" s="111">
        <v>0</v>
      </c>
      <c r="AN128" s="111">
        <v>0</v>
      </c>
      <c r="AO128" s="111">
        <v>0</v>
      </c>
      <c r="AP128" s="111">
        <v>0</v>
      </c>
      <c r="AQ128" s="111">
        <v>0</v>
      </c>
      <c r="AR128" s="111">
        <v>0</v>
      </c>
      <c r="AS128" s="111">
        <v>0</v>
      </c>
      <c r="AT128" s="111">
        <v>0</v>
      </c>
      <c r="AU128" s="111">
        <v>0</v>
      </c>
      <c r="AV128" s="111">
        <v>0</v>
      </c>
      <c r="AW128" s="111">
        <v>0</v>
      </c>
      <c r="AX128" s="111">
        <v>0</v>
      </c>
      <c r="AY128" s="111">
        <v>0</v>
      </c>
    </row>
    <row r="129" spans="1:51" x14ac:dyDescent="0.2">
      <c r="A129" s="114"/>
      <c r="B129" s="124">
        <v>8</v>
      </c>
      <c r="C129" s="111"/>
      <c r="D129" s="111">
        <v>0</v>
      </c>
      <c r="E129" s="111">
        <v>0</v>
      </c>
      <c r="F129" s="111">
        <v>0</v>
      </c>
      <c r="G129" s="111">
        <v>0</v>
      </c>
      <c r="H129" s="111">
        <v>0</v>
      </c>
      <c r="I129" s="111">
        <v>0</v>
      </c>
      <c r="J129" s="111">
        <v>0</v>
      </c>
      <c r="K129" s="111">
        <v>0</v>
      </c>
      <c r="L129" s="111">
        <v>0</v>
      </c>
      <c r="M129" s="111">
        <v>0</v>
      </c>
      <c r="N129" s="111">
        <v>0</v>
      </c>
      <c r="O129" s="111">
        <v>0</v>
      </c>
      <c r="P129" s="111">
        <v>0</v>
      </c>
      <c r="Q129" s="111">
        <v>0</v>
      </c>
      <c r="R129" s="111">
        <v>0</v>
      </c>
      <c r="S129" s="111">
        <v>0</v>
      </c>
      <c r="T129" s="111">
        <v>0</v>
      </c>
      <c r="U129" s="111">
        <v>0</v>
      </c>
      <c r="V129" s="111">
        <v>0</v>
      </c>
      <c r="W129" s="111">
        <v>0</v>
      </c>
      <c r="X129" s="111">
        <v>0</v>
      </c>
      <c r="Y129" s="111">
        <v>0</v>
      </c>
      <c r="Z129" s="111">
        <v>0</v>
      </c>
      <c r="AA129" s="111">
        <v>0</v>
      </c>
      <c r="AB129" s="111">
        <v>0</v>
      </c>
      <c r="AC129" s="111">
        <v>0</v>
      </c>
      <c r="AD129" s="111">
        <v>0</v>
      </c>
      <c r="AE129" s="111">
        <v>0</v>
      </c>
      <c r="AF129" s="111">
        <v>0</v>
      </c>
      <c r="AG129" s="111">
        <v>0</v>
      </c>
      <c r="AH129" s="111">
        <v>0</v>
      </c>
      <c r="AI129" s="111">
        <v>0</v>
      </c>
      <c r="AJ129" s="111">
        <v>0</v>
      </c>
      <c r="AK129" s="111">
        <v>0</v>
      </c>
      <c r="AL129" s="111">
        <v>0</v>
      </c>
      <c r="AM129" s="111">
        <v>0</v>
      </c>
      <c r="AN129" s="111">
        <v>0</v>
      </c>
      <c r="AO129" s="111">
        <v>0</v>
      </c>
      <c r="AP129" s="111">
        <v>0</v>
      </c>
      <c r="AQ129" s="111">
        <v>0</v>
      </c>
      <c r="AR129" s="111">
        <v>0</v>
      </c>
      <c r="AS129" s="111">
        <v>0</v>
      </c>
      <c r="AT129" s="111">
        <v>0</v>
      </c>
      <c r="AU129" s="111">
        <v>0</v>
      </c>
      <c r="AV129" s="111">
        <v>0</v>
      </c>
      <c r="AW129" s="111">
        <v>0</v>
      </c>
      <c r="AX129" s="111">
        <v>0</v>
      </c>
      <c r="AY129" s="111">
        <v>0</v>
      </c>
    </row>
    <row r="130" spans="1:51" x14ac:dyDescent="0.2">
      <c r="A130" s="114"/>
      <c r="B130" s="124">
        <v>9</v>
      </c>
      <c r="C130" s="111"/>
      <c r="D130" s="111">
        <v>0</v>
      </c>
      <c r="E130" s="111">
        <v>0</v>
      </c>
      <c r="F130" s="111">
        <v>0</v>
      </c>
      <c r="G130" s="111">
        <v>0</v>
      </c>
      <c r="H130" s="111">
        <v>0</v>
      </c>
      <c r="I130" s="111">
        <v>0</v>
      </c>
      <c r="J130" s="111">
        <v>0</v>
      </c>
      <c r="K130" s="111">
        <v>0</v>
      </c>
      <c r="L130" s="111">
        <v>0</v>
      </c>
      <c r="M130" s="111">
        <v>0</v>
      </c>
      <c r="N130" s="111">
        <v>0</v>
      </c>
      <c r="O130" s="111">
        <v>0</v>
      </c>
      <c r="P130" s="111">
        <v>0</v>
      </c>
      <c r="Q130" s="111">
        <v>0</v>
      </c>
      <c r="R130" s="111">
        <v>0</v>
      </c>
      <c r="S130" s="111">
        <v>0</v>
      </c>
      <c r="T130" s="111">
        <v>0</v>
      </c>
      <c r="U130" s="111">
        <v>0</v>
      </c>
      <c r="V130" s="111">
        <v>0</v>
      </c>
      <c r="W130" s="111">
        <v>0</v>
      </c>
      <c r="X130" s="111">
        <v>0</v>
      </c>
      <c r="Y130" s="111">
        <v>0</v>
      </c>
      <c r="Z130" s="111">
        <v>0</v>
      </c>
      <c r="AA130" s="111">
        <v>0</v>
      </c>
      <c r="AB130" s="111">
        <v>0</v>
      </c>
      <c r="AC130" s="111">
        <v>0</v>
      </c>
      <c r="AD130" s="111">
        <v>0</v>
      </c>
      <c r="AE130" s="111">
        <v>0</v>
      </c>
      <c r="AF130" s="111">
        <v>0</v>
      </c>
      <c r="AG130" s="111">
        <v>0</v>
      </c>
      <c r="AH130" s="111">
        <v>0</v>
      </c>
      <c r="AI130" s="111">
        <v>0</v>
      </c>
      <c r="AJ130" s="111">
        <v>0</v>
      </c>
      <c r="AK130" s="111">
        <v>0</v>
      </c>
      <c r="AL130" s="111">
        <v>0</v>
      </c>
      <c r="AM130" s="111">
        <v>0</v>
      </c>
      <c r="AN130" s="111">
        <v>0</v>
      </c>
      <c r="AO130" s="111">
        <v>0</v>
      </c>
      <c r="AP130" s="111">
        <v>0</v>
      </c>
      <c r="AQ130" s="111">
        <v>0</v>
      </c>
      <c r="AR130" s="111">
        <v>0</v>
      </c>
      <c r="AS130" s="111">
        <v>0</v>
      </c>
      <c r="AT130" s="111">
        <v>0</v>
      </c>
      <c r="AU130" s="111">
        <v>0</v>
      </c>
      <c r="AV130" s="111">
        <v>0</v>
      </c>
      <c r="AW130" s="111">
        <v>0</v>
      </c>
      <c r="AX130" s="111">
        <v>0</v>
      </c>
      <c r="AY130" s="111">
        <v>0</v>
      </c>
    </row>
    <row r="131" spans="1:51" x14ac:dyDescent="0.2">
      <c r="A131" s="114"/>
      <c r="B131" s="124">
        <v>10</v>
      </c>
      <c r="C131" s="111"/>
      <c r="D131" s="111">
        <v>0</v>
      </c>
      <c r="E131" s="111">
        <v>0</v>
      </c>
      <c r="F131" s="111">
        <v>0</v>
      </c>
      <c r="G131" s="111">
        <v>0</v>
      </c>
      <c r="H131" s="111">
        <v>0</v>
      </c>
      <c r="I131" s="111">
        <v>0</v>
      </c>
      <c r="J131" s="111">
        <v>0</v>
      </c>
      <c r="K131" s="111">
        <v>0</v>
      </c>
      <c r="L131" s="111">
        <v>0</v>
      </c>
      <c r="M131" s="111">
        <v>0</v>
      </c>
      <c r="N131" s="111">
        <v>0</v>
      </c>
      <c r="O131" s="111">
        <v>0</v>
      </c>
      <c r="P131" s="111">
        <v>0</v>
      </c>
      <c r="Q131" s="111">
        <v>0</v>
      </c>
      <c r="R131" s="111">
        <v>0</v>
      </c>
      <c r="S131" s="111">
        <v>0</v>
      </c>
      <c r="T131" s="111">
        <v>0</v>
      </c>
      <c r="U131" s="111">
        <v>0</v>
      </c>
      <c r="V131" s="111">
        <v>0</v>
      </c>
      <c r="W131" s="111">
        <v>0</v>
      </c>
      <c r="X131" s="111">
        <v>0</v>
      </c>
      <c r="Y131" s="111">
        <v>0</v>
      </c>
      <c r="Z131" s="111">
        <v>0</v>
      </c>
      <c r="AA131" s="111">
        <v>0</v>
      </c>
      <c r="AB131" s="111">
        <v>0</v>
      </c>
      <c r="AC131" s="111">
        <v>0</v>
      </c>
      <c r="AD131" s="111">
        <v>0</v>
      </c>
      <c r="AE131" s="111">
        <v>0</v>
      </c>
      <c r="AF131" s="111">
        <v>0</v>
      </c>
      <c r="AG131" s="111">
        <v>0</v>
      </c>
      <c r="AH131" s="111">
        <v>0</v>
      </c>
      <c r="AI131" s="111">
        <v>0</v>
      </c>
      <c r="AJ131" s="111">
        <v>0</v>
      </c>
      <c r="AK131" s="111">
        <v>0</v>
      </c>
      <c r="AL131" s="111">
        <v>0</v>
      </c>
      <c r="AM131" s="111">
        <v>0</v>
      </c>
      <c r="AN131" s="111">
        <v>0</v>
      </c>
      <c r="AO131" s="111">
        <v>0</v>
      </c>
      <c r="AP131" s="111">
        <v>0</v>
      </c>
      <c r="AQ131" s="111">
        <v>0</v>
      </c>
      <c r="AR131" s="111">
        <v>0</v>
      </c>
      <c r="AS131" s="111">
        <v>0</v>
      </c>
      <c r="AT131" s="111">
        <v>0</v>
      </c>
      <c r="AU131" s="111">
        <v>0</v>
      </c>
      <c r="AV131" s="111">
        <v>0</v>
      </c>
      <c r="AW131" s="111">
        <v>0</v>
      </c>
      <c r="AX131" s="111">
        <v>0</v>
      </c>
      <c r="AY131" s="111">
        <v>0</v>
      </c>
    </row>
    <row r="132" spans="1:51" x14ac:dyDescent="0.2">
      <c r="A132" s="114"/>
      <c r="B132" s="124">
        <v>11</v>
      </c>
      <c r="C132" s="111"/>
      <c r="D132" s="111">
        <v>0</v>
      </c>
      <c r="E132" s="111">
        <v>0</v>
      </c>
      <c r="F132" s="111">
        <v>0</v>
      </c>
      <c r="G132" s="111">
        <v>0</v>
      </c>
      <c r="H132" s="111">
        <v>0</v>
      </c>
      <c r="I132" s="111">
        <v>0</v>
      </c>
      <c r="J132" s="111">
        <v>0</v>
      </c>
      <c r="K132" s="111">
        <v>0</v>
      </c>
      <c r="L132" s="111">
        <v>0</v>
      </c>
      <c r="M132" s="111">
        <v>0</v>
      </c>
      <c r="N132" s="111">
        <v>0</v>
      </c>
      <c r="O132" s="111">
        <v>0</v>
      </c>
      <c r="P132" s="111">
        <v>0</v>
      </c>
      <c r="Q132" s="111">
        <v>0</v>
      </c>
      <c r="R132" s="111">
        <v>0</v>
      </c>
      <c r="S132" s="111">
        <v>0</v>
      </c>
      <c r="T132" s="111">
        <v>0</v>
      </c>
      <c r="U132" s="111">
        <v>0</v>
      </c>
      <c r="V132" s="111">
        <v>0</v>
      </c>
      <c r="W132" s="111">
        <v>0</v>
      </c>
      <c r="X132" s="111">
        <v>0</v>
      </c>
      <c r="Y132" s="111">
        <v>0</v>
      </c>
      <c r="Z132" s="111">
        <v>0</v>
      </c>
      <c r="AA132" s="111">
        <v>0</v>
      </c>
      <c r="AB132" s="111">
        <v>0</v>
      </c>
      <c r="AC132" s="111">
        <v>0</v>
      </c>
      <c r="AD132" s="111">
        <v>0</v>
      </c>
      <c r="AE132" s="111">
        <v>0</v>
      </c>
      <c r="AF132" s="111">
        <v>0</v>
      </c>
      <c r="AG132" s="111">
        <v>0</v>
      </c>
      <c r="AH132" s="111">
        <v>0</v>
      </c>
      <c r="AI132" s="111">
        <v>0</v>
      </c>
      <c r="AJ132" s="111">
        <v>0</v>
      </c>
      <c r="AK132" s="111">
        <v>0</v>
      </c>
      <c r="AL132" s="111">
        <v>0</v>
      </c>
      <c r="AM132" s="111">
        <v>0</v>
      </c>
      <c r="AN132" s="111">
        <v>0</v>
      </c>
      <c r="AO132" s="111">
        <v>0</v>
      </c>
      <c r="AP132" s="111">
        <v>0</v>
      </c>
      <c r="AQ132" s="111">
        <v>0</v>
      </c>
      <c r="AR132" s="111">
        <v>0</v>
      </c>
      <c r="AS132" s="111">
        <v>0</v>
      </c>
      <c r="AT132" s="111">
        <v>0</v>
      </c>
      <c r="AU132" s="111">
        <v>0</v>
      </c>
      <c r="AV132" s="111">
        <v>0</v>
      </c>
      <c r="AW132" s="111">
        <v>0</v>
      </c>
      <c r="AX132" s="111">
        <v>0</v>
      </c>
      <c r="AY132" s="111">
        <v>0</v>
      </c>
    </row>
    <row r="133" spans="1:51" x14ac:dyDescent="0.2">
      <c r="A133" s="114"/>
      <c r="B133" s="124">
        <v>12</v>
      </c>
      <c r="C133" s="111"/>
      <c r="D133" s="111">
        <v>0</v>
      </c>
      <c r="E133" s="111">
        <v>0</v>
      </c>
      <c r="F133" s="111">
        <v>0</v>
      </c>
      <c r="G133" s="111">
        <v>0</v>
      </c>
      <c r="H133" s="111">
        <v>0</v>
      </c>
      <c r="I133" s="111">
        <v>0</v>
      </c>
      <c r="J133" s="111">
        <v>0</v>
      </c>
      <c r="K133" s="111">
        <v>0</v>
      </c>
      <c r="L133" s="111">
        <v>0</v>
      </c>
      <c r="M133" s="111">
        <v>0</v>
      </c>
      <c r="N133" s="111">
        <v>0</v>
      </c>
      <c r="O133" s="111">
        <v>0</v>
      </c>
      <c r="P133" s="111">
        <v>0</v>
      </c>
      <c r="Q133" s="111">
        <v>0</v>
      </c>
      <c r="R133" s="111">
        <v>0</v>
      </c>
      <c r="S133" s="111">
        <v>0</v>
      </c>
      <c r="T133" s="111">
        <v>0</v>
      </c>
      <c r="U133" s="111">
        <v>0</v>
      </c>
      <c r="V133" s="111">
        <v>0</v>
      </c>
      <c r="W133" s="111">
        <v>0</v>
      </c>
      <c r="X133" s="111">
        <v>0</v>
      </c>
      <c r="Y133" s="111">
        <v>0</v>
      </c>
      <c r="Z133" s="111">
        <v>0</v>
      </c>
      <c r="AA133" s="111">
        <v>0</v>
      </c>
      <c r="AB133" s="111">
        <v>0</v>
      </c>
      <c r="AC133" s="111">
        <v>0</v>
      </c>
      <c r="AD133" s="111">
        <v>0</v>
      </c>
      <c r="AE133" s="111">
        <v>0</v>
      </c>
      <c r="AF133" s="111">
        <v>0</v>
      </c>
      <c r="AG133" s="111">
        <v>0</v>
      </c>
      <c r="AH133" s="111">
        <v>0</v>
      </c>
      <c r="AI133" s="111">
        <v>0</v>
      </c>
      <c r="AJ133" s="111">
        <v>0</v>
      </c>
      <c r="AK133" s="111">
        <v>0</v>
      </c>
      <c r="AL133" s="111">
        <v>0</v>
      </c>
      <c r="AM133" s="111">
        <v>0</v>
      </c>
      <c r="AN133" s="111">
        <v>0</v>
      </c>
      <c r="AO133" s="111">
        <v>0</v>
      </c>
      <c r="AP133" s="111">
        <v>0</v>
      </c>
      <c r="AQ133" s="111">
        <v>0</v>
      </c>
      <c r="AR133" s="111">
        <v>0</v>
      </c>
      <c r="AS133" s="111">
        <v>0</v>
      </c>
      <c r="AT133" s="111">
        <v>0</v>
      </c>
      <c r="AU133" s="111">
        <v>0</v>
      </c>
      <c r="AV133" s="111">
        <v>0</v>
      </c>
      <c r="AW133" s="111">
        <v>0</v>
      </c>
      <c r="AX133" s="111">
        <v>0</v>
      </c>
      <c r="AY133" s="111">
        <v>0</v>
      </c>
    </row>
    <row r="134" spans="1:51" x14ac:dyDescent="0.2">
      <c r="A134" s="114"/>
      <c r="B134" s="125">
        <v>13</v>
      </c>
      <c r="C134" s="111"/>
      <c r="D134" s="111">
        <v>0</v>
      </c>
      <c r="E134" s="111">
        <v>0</v>
      </c>
      <c r="F134" s="111">
        <v>0</v>
      </c>
      <c r="G134" s="111">
        <v>0</v>
      </c>
      <c r="H134" s="111">
        <v>0</v>
      </c>
      <c r="I134" s="111">
        <v>0</v>
      </c>
      <c r="J134" s="111">
        <v>0</v>
      </c>
      <c r="K134" s="111">
        <v>0</v>
      </c>
      <c r="L134" s="111">
        <v>0</v>
      </c>
      <c r="M134" s="111">
        <v>0</v>
      </c>
      <c r="N134" s="111">
        <v>0</v>
      </c>
      <c r="O134" s="111">
        <v>0</v>
      </c>
      <c r="P134" s="111">
        <v>0</v>
      </c>
      <c r="Q134" s="111">
        <v>0</v>
      </c>
      <c r="R134" s="111">
        <v>0</v>
      </c>
      <c r="S134" s="111">
        <v>0</v>
      </c>
      <c r="T134" s="111">
        <v>0</v>
      </c>
      <c r="U134" s="111">
        <v>0</v>
      </c>
      <c r="V134" s="111">
        <v>0</v>
      </c>
      <c r="W134" s="111">
        <v>0</v>
      </c>
      <c r="X134" s="111">
        <v>0</v>
      </c>
      <c r="Y134" s="111">
        <v>0</v>
      </c>
      <c r="Z134" s="111">
        <v>0</v>
      </c>
      <c r="AA134" s="111">
        <v>0</v>
      </c>
      <c r="AB134" s="111">
        <v>0</v>
      </c>
      <c r="AC134" s="111">
        <v>0</v>
      </c>
      <c r="AD134" s="111">
        <v>0</v>
      </c>
      <c r="AE134" s="111">
        <v>0</v>
      </c>
      <c r="AF134" s="111">
        <v>0</v>
      </c>
      <c r="AG134" s="111">
        <v>0</v>
      </c>
      <c r="AH134" s="111">
        <v>0</v>
      </c>
      <c r="AI134" s="111">
        <v>0</v>
      </c>
      <c r="AJ134" s="111">
        <v>0</v>
      </c>
      <c r="AK134" s="111">
        <v>0</v>
      </c>
      <c r="AL134" s="111">
        <v>0</v>
      </c>
      <c r="AM134" s="111">
        <v>0</v>
      </c>
      <c r="AN134" s="111">
        <v>0</v>
      </c>
      <c r="AO134" s="111">
        <v>0</v>
      </c>
      <c r="AP134" s="111">
        <v>0</v>
      </c>
      <c r="AQ134" s="111">
        <v>0</v>
      </c>
      <c r="AR134" s="111">
        <v>0</v>
      </c>
      <c r="AS134" s="111">
        <v>0</v>
      </c>
      <c r="AT134" s="111">
        <v>0</v>
      </c>
      <c r="AU134" s="111">
        <v>0</v>
      </c>
      <c r="AV134" s="111">
        <v>0</v>
      </c>
      <c r="AW134" s="111">
        <v>0</v>
      </c>
      <c r="AX134" s="111">
        <v>0</v>
      </c>
      <c r="AY134" s="111">
        <v>0</v>
      </c>
    </row>
    <row r="135" spans="1:51" x14ac:dyDescent="0.2">
      <c r="A135" s="114"/>
      <c r="B135" s="125">
        <v>14</v>
      </c>
      <c r="C135" s="111"/>
      <c r="D135" s="111">
        <v>0</v>
      </c>
      <c r="E135" s="111">
        <v>0</v>
      </c>
      <c r="F135" s="111">
        <v>0</v>
      </c>
      <c r="G135" s="111">
        <v>0</v>
      </c>
      <c r="H135" s="111">
        <v>0</v>
      </c>
      <c r="I135" s="111">
        <v>0</v>
      </c>
      <c r="J135" s="111">
        <v>0</v>
      </c>
      <c r="K135" s="111">
        <v>0</v>
      </c>
      <c r="L135" s="111">
        <v>0</v>
      </c>
      <c r="M135" s="111">
        <v>0</v>
      </c>
      <c r="N135" s="111">
        <v>0</v>
      </c>
      <c r="O135" s="111">
        <v>0</v>
      </c>
      <c r="P135" s="111">
        <v>0</v>
      </c>
      <c r="Q135" s="111">
        <v>0</v>
      </c>
      <c r="R135" s="111">
        <v>0</v>
      </c>
      <c r="S135" s="111">
        <v>0</v>
      </c>
      <c r="T135" s="111">
        <v>0</v>
      </c>
      <c r="U135" s="111">
        <v>0</v>
      </c>
      <c r="V135" s="111">
        <v>0</v>
      </c>
      <c r="W135" s="111">
        <v>0</v>
      </c>
      <c r="X135" s="111">
        <v>0</v>
      </c>
      <c r="Y135" s="111">
        <v>0</v>
      </c>
      <c r="Z135" s="111">
        <v>0</v>
      </c>
      <c r="AA135" s="111">
        <v>0</v>
      </c>
      <c r="AB135" s="111">
        <v>0</v>
      </c>
      <c r="AC135" s="111">
        <v>0</v>
      </c>
      <c r="AD135" s="111">
        <v>0</v>
      </c>
      <c r="AE135" s="111">
        <v>0</v>
      </c>
      <c r="AF135" s="111">
        <v>0</v>
      </c>
      <c r="AG135" s="111">
        <v>0</v>
      </c>
      <c r="AH135" s="111">
        <v>0</v>
      </c>
      <c r="AI135" s="111">
        <v>0</v>
      </c>
      <c r="AJ135" s="111">
        <v>0</v>
      </c>
      <c r="AK135" s="111">
        <v>0</v>
      </c>
      <c r="AL135" s="111">
        <v>0</v>
      </c>
      <c r="AM135" s="111">
        <v>0</v>
      </c>
      <c r="AN135" s="111">
        <v>0</v>
      </c>
      <c r="AO135" s="111">
        <v>0</v>
      </c>
      <c r="AP135" s="111">
        <v>0</v>
      </c>
      <c r="AQ135" s="111">
        <v>0</v>
      </c>
      <c r="AR135" s="111">
        <v>0</v>
      </c>
      <c r="AS135" s="111">
        <v>0</v>
      </c>
      <c r="AT135" s="111">
        <v>0</v>
      </c>
      <c r="AU135" s="111">
        <v>0</v>
      </c>
      <c r="AV135" s="111">
        <v>0</v>
      </c>
      <c r="AW135" s="111">
        <v>0</v>
      </c>
      <c r="AX135" s="111">
        <v>0</v>
      </c>
      <c r="AY135" s="111">
        <v>0</v>
      </c>
    </row>
    <row r="136" spans="1:51" x14ac:dyDescent="0.2">
      <c r="A136" s="114"/>
      <c r="B136" s="125">
        <v>15</v>
      </c>
      <c r="C136" s="111"/>
      <c r="D136" s="111">
        <v>0</v>
      </c>
      <c r="E136" s="111">
        <v>0</v>
      </c>
      <c r="F136" s="111">
        <v>0</v>
      </c>
      <c r="G136" s="111">
        <v>0</v>
      </c>
      <c r="H136" s="111">
        <v>0</v>
      </c>
      <c r="I136" s="111">
        <v>0</v>
      </c>
      <c r="J136" s="111">
        <v>0</v>
      </c>
      <c r="K136" s="111">
        <v>0</v>
      </c>
      <c r="L136" s="111">
        <v>0</v>
      </c>
      <c r="M136" s="111">
        <v>0</v>
      </c>
      <c r="N136" s="111">
        <v>0</v>
      </c>
      <c r="O136" s="111">
        <v>0</v>
      </c>
      <c r="P136" s="111">
        <v>0</v>
      </c>
      <c r="Q136" s="111">
        <v>0</v>
      </c>
      <c r="R136" s="111">
        <v>0</v>
      </c>
      <c r="S136" s="111">
        <v>0</v>
      </c>
      <c r="T136" s="111">
        <v>0</v>
      </c>
      <c r="U136" s="111">
        <v>0</v>
      </c>
      <c r="V136" s="111">
        <v>0</v>
      </c>
      <c r="W136" s="111">
        <v>0</v>
      </c>
      <c r="X136" s="111">
        <v>0</v>
      </c>
      <c r="Y136" s="111">
        <v>0</v>
      </c>
      <c r="Z136" s="111">
        <v>0</v>
      </c>
      <c r="AA136" s="111">
        <v>0</v>
      </c>
      <c r="AB136" s="111">
        <v>0</v>
      </c>
      <c r="AC136" s="111">
        <v>0</v>
      </c>
      <c r="AD136" s="111">
        <v>0</v>
      </c>
      <c r="AE136" s="111">
        <v>0</v>
      </c>
      <c r="AF136" s="111">
        <v>0</v>
      </c>
      <c r="AG136" s="111">
        <v>0</v>
      </c>
      <c r="AH136" s="111">
        <v>0</v>
      </c>
      <c r="AI136" s="111">
        <v>0</v>
      </c>
      <c r="AJ136" s="111">
        <v>0</v>
      </c>
      <c r="AK136" s="111">
        <v>0</v>
      </c>
      <c r="AL136" s="111">
        <v>0</v>
      </c>
      <c r="AM136" s="111">
        <v>0</v>
      </c>
      <c r="AN136" s="111">
        <v>0</v>
      </c>
      <c r="AO136" s="111">
        <v>0</v>
      </c>
      <c r="AP136" s="111">
        <v>0</v>
      </c>
      <c r="AQ136" s="111">
        <v>0</v>
      </c>
      <c r="AR136" s="111">
        <v>0</v>
      </c>
      <c r="AS136" s="111">
        <v>0</v>
      </c>
      <c r="AT136" s="111">
        <v>0</v>
      </c>
      <c r="AU136" s="111">
        <v>0</v>
      </c>
      <c r="AV136" s="111">
        <v>0</v>
      </c>
      <c r="AW136" s="111">
        <v>0</v>
      </c>
      <c r="AX136" s="111">
        <v>0</v>
      </c>
      <c r="AY136" s="111">
        <v>0</v>
      </c>
    </row>
    <row r="137" spans="1:51" x14ac:dyDescent="0.2">
      <c r="A137" s="114"/>
      <c r="B137" s="125">
        <v>16</v>
      </c>
      <c r="C137" s="111"/>
      <c r="D137" s="111">
        <v>0</v>
      </c>
      <c r="E137" s="111">
        <v>0</v>
      </c>
      <c r="F137" s="111">
        <v>0</v>
      </c>
      <c r="G137" s="111">
        <v>0</v>
      </c>
      <c r="H137" s="111">
        <v>0</v>
      </c>
      <c r="I137" s="111">
        <v>0</v>
      </c>
      <c r="J137" s="111">
        <v>0</v>
      </c>
      <c r="K137" s="111">
        <v>0</v>
      </c>
      <c r="L137" s="111">
        <v>0</v>
      </c>
      <c r="M137" s="111">
        <v>0</v>
      </c>
      <c r="N137" s="111">
        <v>0</v>
      </c>
      <c r="O137" s="111">
        <v>0</v>
      </c>
      <c r="P137" s="111">
        <v>0</v>
      </c>
      <c r="Q137" s="111">
        <v>0</v>
      </c>
      <c r="R137" s="111">
        <v>0</v>
      </c>
      <c r="S137" s="111">
        <v>0</v>
      </c>
      <c r="T137" s="111">
        <v>0</v>
      </c>
      <c r="U137" s="111">
        <v>0</v>
      </c>
      <c r="V137" s="111">
        <v>0</v>
      </c>
      <c r="W137" s="111">
        <v>0</v>
      </c>
      <c r="X137" s="111">
        <v>0</v>
      </c>
      <c r="Y137" s="111">
        <v>0</v>
      </c>
      <c r="Z137" s="111">
        <v>0</v>
      </c>
      <c r="AA137" s="111">
        <v>0</v>
      </c>
      <c r="AB137" s="111">
        <v>0</v>
      </c>
      <c r="AC137" s="111">
        <v>0</v>
      </c>
      <c r="AD137" s="111">
        <v>0</v>
      </c>
      <c r="AE137" s="111">
        <v>0</v>
      </c>
      <c r="AF137" s="111">
        <v>0</v>
      </c>
      <c r="AG137" s="111">
        <v>0</v>
      </c>
      <c r="AH137" s="111">
        <v>0</v>
      </c>
      <c r="AI137" s="111">
        <v>0</v>
      </c>
      <c r="AJ137" s="111">
        <v>0</v>
      </c>
      <c r="AK137" s="111">
        <v>0</v>
      </c>
      <c r="AL137" s="111">
        <v>0</v>
      </c>
      <c r="AM137" s="111">
        <v>0</v>
      </c>
      <c r="AN137" s="111">
        <v>0</v>
      </c>
      <c r="AO137" s="111">
        <v>0</v>
      </c>
      <c r="AP137" s="111">
        <v>0</v>
      </c>
      <c r="AQ137" s="111">
        <v>0</v>
      </c>
      <c r="AR137" s="111">
        <v>0</v>
      </c>
      <c r="AS137" s="111">
        <v>0</v>
      </c>
      <c r="AT137" s="111">
        <v>0</v>
      </c>
      <c r="AU137" s="111">
        <v>0</v>
      </c>
      <c r="AV137" s="111">
        <v>0</v>
      </c>
      <c r="AW137" s="111">
        <v>0</v>
      </c>
      <c r="AX137" s="111">
        <v>0</v>
      </c>
      <c r="AY137" s="111">
        <v>0</v>
      </c>
    </row>
    <row r="138" spans="1:51" x14ac:dyDescent="0.2">
      <c r="A138" s="114"/>
      <c r="B138" s="125">
        <v>17</v>
      </c>
      <c r="C138" s="111"/>
      <c r="D138" s="111">
        <v>0</v>
      </c>
      <c r="E138" s="111">
        <v>0</v>
      </c>
      <c r="F138" s="111">
        <v>0</v>
      </c>
      <c r="G138" s="111">
        <v>0</v>
      </c>
      <c r="H138" s="111">
        <v>0</v>
      </c>
      <c r="I138" s="111">
        <v>0</v>
      </c>
      <c r="J138" s="111">
        <v>0</v>
      </c>
      <c r="K138" s="111">
        <v>0</v>
      </c>
      <c r="L138" s="111">
        <v>0</v>
      </c>
      <c r="M138" s="111">
        <v>0</v>
      </c>
      <c r="N138" s="111">
        <v>0</v>
      </c>
      <c r="O138" s="111">
        <v>0</v>
      </c>
      <c r="P138" s="111">
        <v>0</v>
      </c>
      <c r="Q138" s="111">
        <v>0</v>
      </c>
      <c r="R138" s="111">
        <v>0</v>
      </c>
      <c r="S138" s="111">
        <v>0</v>
      </c>
      <c r="T138" s="111">
        <v>0</v>
      </c>
      <c r="U138" s="111">
        <v>0</v>
      </c>
      <c r="V138" s="111">
        <v>0</v>
      </c>
      <c r="W138" s="111">
        <v>0</v>
      </c>
      <c r="X138" s="111">
        <v>0</v>
      </c>
      <c r="Y138" s="111">
        <v>0</v>
      </c>
      <c r="Z138" s="111">
        <v>0</v>
      </c>
      <c r="AA138" s="111">
        <v>0</v>
      </c>
      <c r="AB138" s="111">
        <v>0</v>
      </c>
      <c r="AC138" s="111">
        <v>0</v>
      </c>
      <c r="AD138" s="111">
        <v>0</v>
      </c>
      <c r="AE138" s="111">
        <v>0</v>
      </c>
      <c r="AF138" s="111">
        <v>0</v>
      </c>
      <c r="AG138" s="111">
        <v>0</v>
      </c>
      <c r="AH138" s="111">
        <v>0</v>
      </c>
      <c r="AI138" s="111">
        <v>0</v>
      </c>
      <c r="AJ138" s="111">
        <v>0</v>
      </c>
      <c r="AK138" s="111">
        <v>0</v>
      </c>
      <c r="AL138" s="111">
        <v>0</v>
      </c>
      <c r="AM138" s="111">
        <v>0</v>
      </c>
      <c r="AN138" s="111">
        <v>0</v>
      </c>
      <c r="AO138" s="111">
        <v>0</v>
      </c>
      <c r="AP138" s="111">
        <v>0</v>
      </c>
      <c r="AQ138" s="111">
        <v>0</v>
      </c>
      <c r="AR138" s="111">
        <v>0</v>
      </c>
      <c r="AS138" s="111">
        <v>0</v>
      </c>
      <c r="AT138" s="111">
        <v>0</v>
      </c>
      <c r="AU138" s="111">
        <v>0</v>
      </c>
      <c r="AV138" s="111">
        <v>0</v>
      </c>
      <c r="AW138" s="111">
        <v>0</v>
      </c>
      <c r="AX138" s="111">
        <v>0</v>
      </c>
      <c r="AY138" s="111">
        <v>0</v>
      </c>
    </row>
    <row r="139" spans="1:51" x14ac:dyDescent="0.2">
      <c r="A139" s="114"/>
      <c r="B139" s="125">
        <v>18</v>
      </c>
      <c r="C139" s="111"/>
      <c r="D139" s="111">
        <v>0</v>
      </c>
      <c r="E139" s="111">
        <v>0</v>
      </c>
      <c r="F139" s="111">
        <v>0</v>
      </c>
      <c r="G139" s="111">
        <v>0</v>
      </c>
      <c r="H139" s="111">
        <v>0</v>
      </c>
      <c r="I139" s="111">
        <v>0</v>
      </c>
      <c r="J139" s="111">
        <v>0</v>
      </c>
      <c r="K139" s="111">
        <v>0</v>
      </c>
      <c r="L139" s="111">
        <v>0</v>
      </c>
      <c r="M139" s="111">
        <v>0</v>
      </c>
      <c r="N139" s="111">
        <v>0</v>
      </c>
      <c r="O139" s="111">
        <v>0</v>
      </c>
      <c r="P139" s="111">
        <v>0</v>
      </c>
      <c r="Q139" s="111">
        <v>0</v>
      </c>
      <c r="R139" s="111">
        <v>0</v>
      </c>
      <c r="S139" s="111">
        <v>0</v>
      </c>
      <c r="T139" s="111">
        <v>0</v>
      </c>
      <c r="U139" s="111">
        <v>0</v>
      </c>
      <c r="V139" s="111">
        <v>0</v>
      </c>
      <c r="W139" s="111">
        <v>0</v>
      </c>
      <c r="X139" s="111">
        <v>0</v>
      </c>
      <c r="Y139" s="111">
        <v>0</v>
      </c>
      <c r="Z139" s="111">
        <v>0</v>
      </c>
      <c r="AA139" s="111">
        <v>0</v>
      </c>
      <c r="AB139" s="111">
        <v>0</v>
      </c>
      <c r="AC139" s="111">
        <v>0</v>
      </c>
      <c r="AD139" s="111">
        <v>0</v>
      </c>
      <c r="AE139" s="111">
        <v>0</v>
      </c>
      <c r="AF139" s="111">
        <v>0</v>
      </c>
      <c r="AG139" s="111">
        <v>0</v>
      </c>
      <c r="AH139" s="111">
        <v>0</v>
      </c>
      <c r="AI139" s="111">
        <v>0</v>
      </c>
      <c r="AJ139" s="111">
        <v>0</v>
      </c>
      <c r="AK139" s="111">
        <v>0</v>
      </c>
      <c r="AL139" s="111">
        <v>0</v>
      </c>
      <c r="AM139" s="111">
        <v>0</v>
      </c>
      <c r="AN139" s="111">
        <v>0</v>
      </c>
      <c r="AO139" s="111">
        <v>0</v>
      </c>
      <c r="AP139" s="111">
        <v>0</v>
      </c>
      <c r="AQ139" s="111">
        <v>0</v>
      </c>
      <c r="AR139" s="111">
        <v>0</v>
      </c>
      <c r="AS139" s="111">
        <v>0</v>
      </c>
      <c r="AT139" s="111">
        <v>0</v>
      </c>
      <c r="AU139" s="111">
        <v>0</v>
      </c>
      <c r="AV139" s="111">
        <v>0</v>
      </c>
      <c r="AW139" s="111">
        <v>0</v>
      </c>
      <c r="AX139" s="111">
        <v>0</v>
      </c>
      <c r="AY139" s="111">
        <v>0</v>
      </c>
    </row>
    <row r="140" spans="1:51" x14ac:dyDescent="0.2">
      <c r="A140" s="114"/>
      <c r="B140" s="125">
        <v>19</v>
      </c>
      <c r="C140" s="111"/>
      <c r="D140" s="111">
        <v>0</v>
      </c>
      <c r="E140" s="111">
        <v>0</v>
      </c>
      <c r="F140" s="111">
        <v>0</v>
      </c>
      <c r="G140" s="111">
        <v>0</v>
      </c>
      <c r="H140" s="111">
        <v>0</v>
      </c>
      <c r="I140" s="111">
        <v>0</v>
      </c>
      <c r="J140" s="111">
        <v>0</v>
      </c>
      <c r="K140" s="111">
        <v>0</v>
      </c>
      <c r="L140" s="111">
        <v>0</v>
      </c>
      <c r="M140" s="111">
        <v>0</v>
      </c>
      <c r="N140" s="111">
        <v>0</v>
      </c>
      <c r="O140" s="111">
        <v>0</v>
      </c>
      <c r="P140" s="111">
        <v>0</v>
      </c>
      <c r="Q140" s="111">
        <v>0</v>
      </c>
      <c r="R140" s="111">
        <v>0</v>
      </c>
      <c r="S140" s="111">
        <v>0</v>
      </c>
      <c r="T140" s="111">
        <v>0</v>
      </c>
      <c r="U140" s="111">
        <v>0</v>
      </c>
      <c r="V140" s="111">
        <v>0</v>
      </c>
      <c r="W140" s="111">
        <v>0</v>
      </c>
      <c r="X140" s="111">
        <v>0</v>
      </c>
      <c r="Y140" s="111">
        <v>0</v>
      </c>
      <c r="Z140" s="111">
        <v>0</v>
      </c>
      <c r="AA140" s="111">
        <v>0</v>
      </c>
      <c r="AB140" s="111">
        <v>0</v>
      </c>
      <c r="AC140" s="111">
        <v>0</v>
      </c>
      <c r="AD140" s="111">
        <v>0</v>
      </c>
      <c r="AE140" s="111">
        <v>0</v>
      </c>
      <c r="AF140" s="111">
        <v>0</v>
      </c>
      <c r="AG140" s="111">
        <v>0</v>
      </c>
      <c r="AH140" s="111">
        <v>0</v>
      </c>
      <c r="AI140" s="111">
        <v>0</v>
      </c>
      <c r="AJ140" s="111">
        <v>0</v>
      </c>
      <c r="AK140" s="111">
        <v>0</v>
      </c>
      <c r="AL140" s="111">
        <v>0</v>
      </c>
      <c r="AM140" s="111">
        <v>0</v>
      </c>
      <c r="AN140" s="111">
        <v>0</v>
      </c>
      <c r="AO140" s="111">
        <v>0</v>
      </c>
      <c r="AP140" s="111">
        <v>0</v>
      </c>
      <c r="AQ140" s="111">
        <v>0</v>
      </c>
      <c r="AR140" s="111">
        <v>0</v>
      </c>
      <c r="AS140" s="111">
        <v>0</v>
      </c>
      <c r="AT140" s="111">
        <v>0</v>
      </c>
      <c r="AU140" s="111">
        <v>0</v>
      </c>
      <c r="AV140" s="111">
        <v>0</v>
      </c>
      <c r="AW140" s="111">
        <v>0</v>
      </c>
      <c r="AX140" s="111">
        <v>0</v>
      </c>
      <c r="AY140" s="111">
        <v>0</v>
      </c>
    </row>
    <row r="141" spans="1:51" x14ac:dyDescent="0.2">
      <c r="A141" s="114"/>
      <c r="B141" s="125">
        <v>20</v>
      </c>
      <c r="C141" s="111"/>
      <c r="D141" s="111">
        <v>0</v>
      </c>
      <c r="E141" s="111">
        <v>0</v>
      </c>
      <c r="F141" s="111">
        <v>0</v>
      </c>
      <c r="G141" s="111">
        <v>0</v>
      </c>
      <c r="H141" s="111">
        <v>0</v>
      </c>
      <c r="I141" s="111">
        <v>0</v>
      </c>
      <c r="J141" s="111">
        <v>0</v>
      </c>
      <c r="K141" s="111">
        <v>0</v>
      </c>
      <c r="L141" s="111">
        <v>0</v>
      </c>
      <c r="M141" s="111">
        <v>0</v>
      </c>
      <c r="N141" s="111">
        <v>0</v>
      </c>
      <c r="O141" s="111">
        <v>0</v>
      </c>
      <c r="P141" s="111">
        <v>0</v>
      </c>
      <c r="Q141" s="111">
        <v>0</v>
      </c>
      <c r="R141" s="111">
        <v>0</v>
      </c>
      <c r="S141" s="111">
        <v>0</v>
      </c>
      <c r="T141" s="111">
        <v>0</v>
      </c>
      <c r="U141" s="111">
        <v>0</v>
      </c>
      <c r="V141" s="111">
        <v>0</v>
      </c>
      <c r="W141" s="111">
        <v>0</v>
      </c>
      <c r="X141" s="111">
        <v>0</v>
      </c>
      <c r="Y141" s="111">
        <v>0</v>
      </c>
      <c r="Z141" s="111">
        <v>0</v>
      </c>
      <c r="AA141" s="111">
        <v>0</v>
      </c>
      <c r="AB141" s="111">
        <v>0</v>
      </c>
      <c r="AC141" s="111">
        <v>0</v>
      </c>
      <c r="AD141" s="111">
        <v>0</v>
      </c>
      <c r="AE141" s="111">
        <v>0</v>
      </c>
      <c r="AF141" s="111">
        <v>0</v>
      </c>
      <c r="AG141" s="111">
        <v>0</v>
      </c>
      <c r="AH141" s="111">
        <v>0</v>
      </c>
      <c r="AI141" s="111">
        <v>0</v>
      </c>
      <c r="AJ141" s="111">
        <v>0</v>
      </c>
      <c r="AK141" s="111">
        <v>0</v>
      </c>
      <c r="AL141" s="111">
        <v>0</v>
      </c>
      <c r="AM141" s="111">
        <v>0</v>
      </c>
      <c r="AN141" s="111">
        <v>0</v>
      </c>
      <c r="AO141" s="111">
        <v>0</v>
      </c>
      <c r="AP141" s="111">
        <v>0</v>
      </c>
      <c r="AQ141" s="111">
        <v>0</v>
      </c>
      <c r="AR141" s="111">
        <v>0</v>
      </c>
      <c r="AS141" s="111">
        <v>0</v>
      </c>
      <c r="AT141" s="111">
        <v>0</v>
      </c>
      <c r="AU141" s="111">
        <v>0</v>
      </c>
      <c r="AV141" s="111">
        <v>0</v>
      </c>
      <c r="AW141" s="111">
        <v>0</v>
      </c>
      <c r="AX141" s="111">
        <v>0</v>
      </c>
      <c r="AY141" s="111">
        <v>0</v>
      </c>
    </row>
    <row r="142" spans="1:51" x14ac:dyDescent="0.2">
      <c r="A142" s="114"/>
      <c r="B142" s="125">
        <v>21</v>
      </c>
      <c r="C142" s="111"/>
      <c r="D142" s="111">
        <v>0</v>
      </c>
      <c r="E142" s="111">
        <v>0</v>
      </c>
      <c r="F142" s="111">
        <v>0</v>
      </c>
      <c r="G142" s="111">
        <v>0</v>
      </c>
      <c r="H142" s="111">
        <v>0</v>
      </c>
      <c r="I142" s="111">
        <v>0</v>
      </c>
      <c r="J142" s="111">
        <v>0</v>
      </c>
      <c r="K142" s="111">
        <v>0</v>
      </c>
      <c r="L142" s="111">
        <v>0</v>
      </c>
      <c r="M142" s="111">
        <v>0</v>
      </c>
      <c r="N142" s="111">
        <v>0</v>
      </c>
      <c r="O142" s="111">
        <v>0</v>
      </c>
      <c r="P142" s="111">
        <v>0</v>
      </c>
      <c r="Q142" s="111">
        <v>0</v>
      </c>
      <c r="R142" s="111">
        <v>0</v>
      </c>
      <c r="S142" s="111">
        <v>0</v>
      </c>
      <c r="T142" s="111">
        <v>0</v>
      </c>
      <c r="U142" s="111">
        <v>0</v>
      </c>
      <c r="V142" s="111">
        <v>0</v>
      </c>
      <c r="W142" s="111">
        <v>0</v>
      </c>
      <c r="X142" s="111">
        <v>0</v>
      </c>
      <c r="Y142" s="111">
        <v>0</v>
      </c>
      <c r="Z142" s="111">
        <v>0</v>
      </c>
      <c r="AA142" s="111">
        <v>0</v>
      </c>
      <c r="AB142" s="111">
        <v>0</v>
      </c>
      <c r="AC142" s="111">
        <v>0</v>
      </c>
      <c r="AD142" s="111">
        <v>0</v>
      </c>
      <c r="AE142" s="111">
        <v>0</v>
      </c>
      <c r="AF142" s="111">
        <v>0</v>
      </c>
      <c r="AG142" s="111">
        <v>0</v>
      </c>
      <c r="AH142" s="111">
        <v>0</v>
      </c>
      <c r="AI142" s="111">
        <v>0</v>
      </c>
      <c r="AJ142" s="111">
        <v>0</v>
      </c>
      <c r="AK142" s="111">
        <v>0</v>
      </c>
      <c r="AL142" s="111">
        <v>0</v>
      </c>
      <c r="AM142" s="111">
        <v>0</v>
      </c>
      <c r="AN142" s="111">
        <v>0</v>
      </c>
      <c r="AO142" s="111">
        <v>0</v>
      </c>
      <c r="AP142" s="111">
        <v>0</v>
      </c>
      <c r="AQ142" s="111">
        <v>0</v>
      </c>
      <c r="AR142" s="111">
        <v>0</v>
      </c>
      <c r="AS142" s="111">
        <v>0</v>
      </c>
      <c r="AT142" s="111">
        <v>0</v>
      </c>
      <c r="AU142" s="111">
        <v>0</v>
      </c>
      <c r="AV142" s="111">
        <v>0</v>
      </c>
      <c r="AW142" s="111">
        <v>0</v>
      </c>
      <c r="AX142" s="111">
        <v>0</v>
      </c>
      <c r="AY142" s="111">
        <v>0</v>
      </c>
    </row>
    <row r="143" spans="1:51" x14ac:dyDescent="0.2">
      <c r="A143" s="114"/>
      <c r="B143" s="125">
        <v>22</v>
      </c>
      <c r="C143" s="111"/>
      <c r="D143" s="111">
        <v>0</v>
      </c>
      <c r="E143" s="111">
        <v>0</v>
      </c>
      <c r="F143" s="111">
        <v>0</v>
      </c>
      <c r="G143" s="111">
        <v>0</v>
      </c>
      <c r="H143" s="111">
        <v>0</v>
      </c>
      <c r="I143" s="111">
        <v>0</v>
      </c>
      <c r="J143" s="111">
        <v>0</v>
      </c>
      <c r="K143" s="111">
        <v>0</v>
      </c>
      <c r="L143" s="111">
        <v>0</v>
      </c>
      <c r="M143" s="111">
        <v>0</v>
      </c>
      <c r="N143" s="111">
        <v>0</v>
      </c>
      <c r="O143" s="111">
        <v>0</v>
      </c>
      <c r="P143" s="111">
        <v>0</v>
      </c>
      <c r="Q143" s="111">
        <v>0</v>
      </c>
      <c r="R143" s="111">
        <v>0</v>
      </c>
      <c r="S143" s="111">
        <v>0</v>
      </c>
      <c r="T143" s="111">
        <v>0</v>
      </c>
      <c r="U143" s="111">
        <v>0</v>
      </c>
      <c r="V143" s="111">
        <v>0</v>
      </c>
      <c r="W143" s="111">
        <v>0</v>
      </c>
      <c r="X143" s="111">
        <v>0</v>
      </c>
      <c r="Y143" s="111">
        <v>0</v>
      </c>
      <c r="Z143" s="111">
        <v>0</v>
      </c>
      <c r="AA143" s="111">
        <v>0</v>
      </c>
      <c r="AB143" s="111">
        <v>0</v>
      </c>
      <c r="AC143" s="111">
        <v>0</v>
      </c>
      <c r="AD143" s="111">
        <v>0</v>
      </c>
      <c r="AE143" s="111">
        <v>0</v>
      </c>
      <c r="AF143" s="111">
        <v>0</v>
      </c>
      <c r="AG143" s="111">
        <v>0</v>
      </c>
      <c r="AH143" s="111">
        <v>0</v>
      </c>
      <c r="AI143" s="111">
        <v>0</v>
      </c>
      <c r="AJ143" s="111">
        <v>0</v>
      </c>
      <c r="AK143" s="111">
        <v>0</v>
      </c>
      <c r="AL143" s="111">
        <v>0</v>
      </c>
      <c r="AM143" s="111">
        <v>0</v>
      </c>
      <c r="AN143" s="111">
        <v>0</v>
      </c>
      <c r="AO143" s="111">
        <v>0</v>
      </c>
      <c r="AP143" s="111">
        <v>0</v>
      </c>
      <c r="AQ143" s="111">
        <v>0</v>
      </c>
      <c r="AR143" s="111">
        <v>0</v>
      </c>
      <c r="AS143" s="111">
        <v>0</v>
      </c>
      <c r="AT143" s="111">
        <v>0</v>
      </c>
      <c r="AU143" s="111">
        <v>0</v>
      </c>
      <c r="AV143" s="111">
        <v>0</v>
      </c>
      <c r="AW143" s="111">
        <v>0</v>
      </c>
      <c r="AX143" s="111">
        <v>0</v>
      </c>
      <c r="AY143" s="111">
        <v>0</v>
      </c>
    </row>
    <row r="144" spans="1:51" x14ac:dyDescent="0.2">
      <c r="A144" s="114"/>
      <c r="B144" s="125">
        <v>23</v>
      </c>
      <c r="C144" s="111"/>
      <c r="D144" s="111">
        <v>0</v>
      </c>
      <c r="E144" s="111">
        <v>0</v>
      </c>
      <c r="F144" s="111">
        <v>0</v>
      </c>
      <c r="G144" s="111">
        <v>0</v>
      </c>
      <c r="H144" s="111">
        <v>0</v>
      </c>
      <c r="I144" s="111">
        <v>0</v>
      </c>
      <c r="J144" s="111">
        <v>0</v>
      </c>
      <c r="K144" s="111">
        <v>0</v>
      </c>
      <c r="L144" s="111">
        <v>0</v>
      </c>
      <c r="M144" s="111">
        <v>0</v>
      </c>
      <c r="N144" s="111">
        <v>0</v>
      </c>
      <c r="O144" s="111">
        <v>0</v>
      </c>
      <c r="P144" s="111">
        <v>0</v>
      </c>
      <c r="Q144" s="111">
        <v>0</v>
      </c>
      <c r="R144" s="111">
        <v>0</v>
      </c>
      <c r="S144" s="111">
        <v>0</v>
      </c>
      <c r="T144" s="111">
        <v>0</v>
      </c>
      <c r="U144" s="111">
        <v>0</v>
      </c>
      <c r="V144" s="111">
        <v>0</v>
      </c>
      <c r="W144" s="111">
        <v>0</v>
      </c>
      <c r="X144" s="111">
        <v>0</v>
      </c>
      <c r="Y144" s="111">
        <v>0</v>
      </c>
      <c r="Z144" s="111">
        <v>0</v>
      </c>
      <c r="AA144" s="111">
        <v>0</v>
      </c>
      <c r="AB144" s="111">
        <v>0</v>
      </c>
      <c r="AC144" s="111">
        <v>0</v>
      </c>
      <c r="AD144" s="111">
        <v>0</v>
      </c>
      <c r="AE144" s="111">
        <v>0</v>
      </c>
      <c r="AF144" s="111">
        <v>0</v>
      </c>
      <c r="AG144" s="111">
        <v>0</v>
      </c>
      <c r="AH144" s="111">
        <v>0</v>
      </c>
      <c r="AI144" s="111">
        <v>0</v>
      </c>
      <c r="AJ144" s="111">
        <v>0</v>
      </c>
      <c r="AK144" s="111">
        <v>0</v>
      </c>
      <c r="AL144" s="111">
        <v>0</v>
      </c>
      <c r="AM144" s="111">
        <v>0</v>
      </c>
      <c r="AN144" s="111">
        <v>0</v>
      </c>
      <c r="AO144" s="111">
        <v>0</v>
      </c>
      <c r="AP144" s="111">
        <v>0</v>
      </c>
      <c r="AQ144" s="111">
        <v>0</v>
      </c>
      <c r="AR144" s="111">
        <v>0</v>
      </c>
      <c r="AS144" s="111">
        <v>0</v>
      </c>
      <c r="AT144" s="111">
        <v>0</v>
      </c>
      <c r="AU144" s="111">
        <v>0</v>
      </c>
      <c r="AV144" s="111">
        <v>0</v>
      </c>
      <c r="AW144" s="111">
        <v>0</v>
      </c>
      <c r="AX144" s="111">
        <v>0</v>
      </c>
      <c r="AY144" s="111">
        <v>0</v>
      </c>
    </row>
    <row r="145" spans="1:51" x14ac:dyDescent="0.2">
      <c r="A145" s="114"/>
      <c r="B145" s="125">
        <v>24</v>
      </c>
      <c r="C145" s="111"/>
      <c r="D145" s="111">
        <v>0</v>
      </c>
      <c r="E145" s="111">
        <v>0</v>
      </c>
      <c r="F145" s="111">
        <v>0</v>
      </c>
      <c r="G145" s="111">
        <v>0</v>
      </c>
      <c r="H145" s="111">
        <v>0</v>
      </c>
      <c r="I145" s="111">
        <v>0</v>
      </c>
      <c r="J145" s="111">
        <v>0</v>
      </c>
      <c r="K145" s="111">
        <v>0</v>
      </c>
      <c r="L145" s="111">
        <v>0</v>
      </c>
      <c r="M145" s="111">
        <v>0</v>
      </c>
      <c r="N145" s="111">
        <v>0</v>
      </c>
      <c r="O145" s="111">
        <v>0</v>
      </c>
      <c r="P145" s="111">
        <v>0</v>
      </c>
      <c r="Q145" s="111">
        <v>0</v>
      </c>
      <c r="R145" s="111">
        <v>0</v>
      </c>
      <c r="S145" s="111">
        <v>0</v>
      </c>
      <c r="T145" s="111">
        <v>0</v>
      </c>
      <c r="U145" s="111">
        <v>0</v>
      </c>
      <c r="V145" s="111">
        <v>0</v>
      </c>
      <c r="W145" s="111">
        <v>0</v>
      </c>
      <c r="X145" s="111">
        <v>0</v>
      </c>
      <c r="Y145" s="111">
        <v>0</v>
      </c>
      <c r="Z145" s="111">
        <v>0</v>
      </c>
      <c r="AA145" s="111">
        <v>0</v>
      </c>
      <c r="AB145" s="111">
        <v>0</v>
      </c>
      <c r="AC145" s="111">
        <v>0</v>
      </c>
      <c r="AD145" s="111">
        <v>0</v>
      </c>
      <c r="AE145" s="111">
        <v>0</v>
      </c>
      <c r="AF145" s="111">
        <v>0</v>
      </c>
      <c r="AG145" s="111">
        <v>0</v>
      </c>
      <c r="AH145" s="111">
        <v>0</v>
      </c>
      <c r="AI145" s="111">
        <v>0</v>
      </c>
      <c r="AJ145" s="111">
        <v>0</v>
      </c>
      <c r="AK145" s="111">
        <v>0</v>
      </c>
      <c r="AL145" s="111">
        <v>0</v>
      </c>
      <c r="AM145" s="111">
        <v>0</v>
      </c>
      <c r="AN145" s="111">
        <v>0</v>
      </c>
      <c r="AO145" s="111">
        <v>0</v>
      </c>
      <c r="AP145" s="111">
        <v>0</v>
      </c>
      <c r="AQ145" s="111">
        <v>0</v>
      </c>
      <c r="AR145" s="111">
        <v>0</v>
      </c>
      <c r="AS145" s="111">
        <v>0</v>
      </c>
      <c r="AT145" s="111">
        <v>0</v>
      </c>
      <c r="AU145" s="111">
        <v>0</v>
      </c>
      <c r="AV145" s="111">
        <v>0</v>
      </c>
      <c r="AW145" s="111">
        <v>0</v>
      </c>
      <c r="AX145" s="111">
        <v>0</v>
      </c>
      <c r="AY145" s="111">
        <v>0</v>
      </c>
    </row>
    <row r="146" spans="1:51" x14ac:dyDescent="0.2">
      <c r="A146" s="114"/>
      <c r="B146" s="132">
        <v>25</v>
      </c>
      <c r="C146" s="111"/>
      <c r="D146" s="111">
        <v>0</v>
      </c>
      <c r="E146" s="111">
        <v>0</v>
      </c>
      <c r="F146" s="111">
        <v>0</v>
      </c>
      <c r="G146" s="111">
        <v>0</v>
      </c>
      <c r="H146" s="111">
        <v>0</v>
      </c>
      <c r="I146" s="111">
        <v>0</v>
      </c>
      <c r="J146" s="111">
        <v>0</v>
      </c>
      <c r="K146" s="111">
        <v>0</v>
      </c>
      <c r="L146" s="111">
        <v>0</v>
      </c>
      <c r="M146" s="111">
        <v>0</v>
      </c>
      <c r="N146" s="111">
        <v>0</v>
      </c>
      <c r="O146" s="111">
        <v>0</v>
      </c>
      <c r="P146" s="111">
        <v>0</v>
      </c>
      <c r="Q146" s="111">
        <v>0</v>
      </c>
      <c r="R146" s="111">
        <v>0</v>
      </c>
      <c r="S146" s="111">
        <v>0</v>
      </c>
      <c r="T146" s="111">
        <v>0</v>
      </c>
      <c r="U146" s="111">
        <v>0</v>
      </c>
      <c r="V146" s="111">
        <v>0</v>
      </c>
      <c r="W146" s="111">
        <v>0</v>
      </c>
      <c r="X146" s="111">
        <v>0</v>
      </c>
      <c r="Y146" s="111">
        <v>0</v>
      </c>
      <c r="Z146" s="111">
        <v>0</v>
      </c>
      <c r="AA146" s="111">
        <v>0</v>
      </c>
      <c r="AB146" s="111">
        <v>0</v>
      </c>
      <c r="AC146" s="111">
        <v>0</v>
      </c>
      <c r="AD146" s="111">
        <v>0</v>
      </c>
      <c r="AE146" s="111">
        <v>0</v>
      </c>
      <c r="AF146" s="111">
        <v>0</v>
      </c>
      <c r="AG146" s="111">
        <v>0</v>
      </c>
      <c r="AH146" s="111">
        <v>0</v>
      </c>
      <c r="AI146" s="111">
        <v>0</v>
      </c>
      <c r="AJ146" s="111">
        <v>0</v>
      </c>
      <c r="AK146" s="111">
        <v>0</v>
      </c>
      <c r="AL146" s="111">
        <v>0</v>
      </c>
      <c r="AM146" s="111">
        <v>0</v>
      </c>
      <c r="AN146" s="111">
        <v>0</v>
      </c>
      <c r="AO146" s="111">
        <v>0</v>
      </c>
      <c r="AP146" s="111">
        <v>0</v>
      </c>
      <c r="AQ146" s="111">
        <v>0</v>
      </c>
      <c r="AR146" s="111">
        <v>0</v>
      </c>
      <c r="AS146" s="111">
        <v>0</v>
      </c>
      <c r="AT146" s="111">
        <v>0</v>
      </c>
      <c r="AU146" s="111">
        <v>0</v>
      </c>
      <c r="AV146" s="111">
        <v>0</v>
      </c>
      <c r="AW146" s="111">
        <v>0</v>
      </c>
      <c r="AX146" s="111">
        <v>0</v>
      </c>
      <c r="AY146" s="111">
        <v>0</v>
      </c>
    </row>
    <row r="147" spans="1:51" x14ac:dyDescent="0.2">
      <c r="A147" s="114"/>
      <c r="B147" s="132">
        <v>26</v>
      </c>
      <c r="C147" s="111"/>
      <c r="D147" s="111">
        <v>0</v>
      </c>
      <c r="E147" s="111">
        <v>0</v>
      </c>
      <c r="F147" s="111">
        <v>0</v>
      </c>
      <c r="G147" s="111">
        <v>0</v>
      </c>
      <c r="H147" s="111">
        <v>0</v>
      </c>
      <c r="I147" s="111">
        <v>0</v>
      </c>
      <c r="J147" s="111">
        <v>0</v>
      </c>
      <c r="K147" s="111">
        <v>0</v>
      </c>
      <c r="L147" s="111">
        <v>0</v>
      </c>
      <c r="M147" s="111">
        <v>0</v>
      </c>
      <c r="N147" s="111">
        <v>0</v>
      </c>
      <c r="O147" s="111">
        <v>0</v>
      </c>
      <c r="P147" s="111">
        <v>0</v>
      </c>
      <c r="Q147" s="111">
        <v>0</v>
      </c>
      <c r="R147" s="111">
        <v>0</v>
      </c>
      <c r="S147" s="111">
        <v>0</v>
      </c>
      <c r="T147" s="111">
        <v>0</v>
      </c>
      <c r="U147" s="111">
        <v>0</v>
      </c>
      <c r="V147" s="111">
        <v>0</v>
      </c>
      <c r="W147" s="111">
        <v>0</v>
      </c>
      <c r="X147" s="111">
        <v>0</v>
      </c>
      <c r="Y147" s="111">
        <v>0</v>
      </c>
      <c r="Z147" s="111">
        <v>0</v>
      </c>
      <c r="AA147" s="111">
        <v>0</v>
      </c>
      <c r="AB147" s="111">
        <v>0</v>
      </c>
      <c r="AC147" s="111">
        <v>0</v>
      </c>
      <c r="AD147" s="111">
        <v>0</v>
      </c>
      <c r="AE147" s="111">
        <v>0</v>
      </c>
      <c r="AF147" s="111">
        <v>0</v>
      </c>
      <c r="AG147" s="111">
        <v>0</v>
      </c>
      <c r="AH147" s="111">
        <v>0</v>
      </c>
      <c r="AI147" s="111">
        <v>0</v>
      </c>
      <c r="AJ147" s="111">
        <v>0</v>
      </c>
      <c r="AK147" s="111">
        <v>0</v>
      </c>
      <c r="AL147" s="111">
        <v>0</v>
      </c>
      <c r="AM147" s="111">
        <v>0</v>
      </c>
      <c r="AN147" s="111">
        <v>0</v>
      </c>
      <c r="AO147" s="111">
        <v>0</v>
      </c>
      <c r="AP147" s="111">
        <v>0</v>
      </c>
      <c r="AQ147" s="111">
        <v>0</v>
      </c>
      <c r="AR147" s="111">
        <v>0</v>
      </c>
      <c r="AS147" s="111">
        <v>0</v>
      </c>
      <c r="AT147" s="111">
        <v>0</v>
      </c>
      <c r="AU147" s="111">
        <v>0</v>
      </c>
      <c r="AV147" s="111">
        <v>0</v>
      </c>
      <c r="AW147" s="111">
        <v>0</v>
      </c>
      <c r="AX147" s="111">
        <v>0</v>
      </c>
      <c r="AY147" s="111">
        <v>0</v>
      </c>
    </row>
    <row r="148" spans="1:51" x14ac:dyDescent="0.2">
      <c r="A148" s="114"/>
      <c r="B148" s="132">
        <v>27</v>
      </c>
      <c r="C148" s="111"/>
      <c r="D148" s="111">
        <v>0</v>
      </c>
      <c r="E148" s="111">
        <v>0</v>
      </c>
      <c r="F148" s="111">
        <v>0</v>
      </c>
      <c r="G148" s="111">
        <v>0</v>
      </c>
      <c r="H148" s="111">
        <v>0</v>
      </c>
      <c r="I148" s="111">
        <v>0</v>
      </c>
      <c r="J148" s="111">
        <v>0</v>
      </c>
      <c r="K148" s="111">
        <v>0</v>
      </c>
      <c r="L148" s="111">
        <v>0</v>
      </c>
      <c r="M148" s="111">
        <v>0</v>
      </c>
      <c r="N148" s="111">
        <v>0</v>
      </c>
      <c r="O148" s="111">
        <v>0</v>
      </c>
      <c r="P148" s="111">
        <v>0</v>
      </c>
      <c r="Q148" s="111">
        <v>0</v>
      </c>
      <c r="R148" s="111">
        <v>0</v>
      </c>
      <c r="S148" s="111">
        <v>0</v>
      </c>
      <c r="T148" s="111">
        <v>0</v>
      </c>
      <c r="U148" s="111">
        <v>0</v>
      </c>
      <c r="V148" s="111">
        <v>0</v>
      </c>
      <c r="W148" s="111">
        <v>0</v>
      </c>
      <c r="X148" s="111">
        <v>0</v>
      </c>
      <c r="Y148" s="111">
        <v>0</v>
      </c>
      <c r="Z148" s="111">
        <v>0</v>
      </c>
      <c r="AA148" s="111">
        <v>0</v>
      </c>
      <c r="AB148" s="111">
        <v>0</v>
      </c>
      <c r="AC148" s="111">
        <v>0</v>
      </c>
      <c r="AD148" s="111">
        <v>0</v>
      </c>
      <c r="AE148" s="111">
        <v>0</v>
      </c>
      <c r="AF148" s="111">
        <v>0</v>
      </c>
      <c r="AG148" s="111">
        <v>0</v>
      </c>
      <c r="AH148" s="111">
        <v>0</v>
      </c>
      <c r="AI148" s="111">
        <v>0</v>
      </c>
      <c r="AJ148" s="111">
        <v>0</v>
      </c>
      <c r="AK148" s="111">
        <v>0</v>
      </c>
      <c r="AL148" s="111">
        <v>0</v>
      </c>
      <c r="AM148" s="111">
        <v>0</v>
      </c>
      <c r="AN148" s="111">
        <v>0</v>
      </c>
      <c r="AO148" s="111">
        <v>0</v>
      </c>
      <c r="AP148" s="111">
        <v>0</v>
      </c>
      <c r="AQ148" s="111">
        <v>0</v>
      </c>
      <c r="AR148" s="111">
        <v>0</v>
      </c>
      <c r="AS148" s="111">
        <v>0</v>
      </c>
      <c r="AT148" s="111">
        <v>0</v>
      </c>
      <c r="AU148" s="111">
        <v>0</v>
      </c>
      <c r="AV148" s="111">
        <v>0</v>
      </c>
      <c r="AW148" s="111">
        <v>0</v>
      </c>
      <c r="AX148" s="111">
        <v>0</v>
      </c>
      <c r="AY148" s="111">
        <v>0</v>
      </c>
    </row>
    <row r="149" spans="1:51" x14ac:dyDescent="0.2">
      <c r="A149" s="114"/>
      <c r="B149" s="132">
        <v>28</v>
      </c>
      <c r="C149" s="111"/>
      <c r="D149" s="111">
        <v>0</v>
      </c>
      <c r="E149" s="111">
        <v>0</v>
      </c>
      <c r="F149" s="111">
        <v>0</v>
      </c>
      <c r="G149" s="111">
        <v>0</v>
      </c>
      <c r="H149" s="111">
        <v>0</v>
      </c>
      <c r="I149" s="111">
        <v>0</v>
      </c>
      <c r="J149" s="111">
        <v>0</v>
      </c>
      <c r="K149" s="111">
        <v>0</v>
      </c>
      <c r="L149" s="111">
        <v>0</v>
      </c>
      <c r="M149" s="111">
        <v>0</v>
      </c>
      <c r="N149" s="111">
        <v>0</v>
      </c>
      <c r="O149" s="111">
        <v>0</v>
      </c>
      <c r="P149" s="111">
        <v>0</v>
      </c>
      <c r="Q149" s="111">
        <v>0</v>
      </c>
      <c r="R149" s="111">
        <v>0</v>
      </c>
      <c r="S149" s="111">
        <v>0</v>
      </c>
      <c r="T149" s="111">
        <v>0</v>
      </c>
      <c r="U149" s="111">
        <v>0</v>
      </c>
      <c r="V149" s="111">
        <v>0</v>
      </c>
      <c r="W149" s="111">
        <v>0</v>
      </c>
      <c r="X149" s="111">
        <v>0</v>
      </c>
      <c r="Y149" s="111">
        <v>0</v>
      </c>
      <c r="Z149" s="111">
        <v>0</v>
      </c>
      <c r="AA149" s="111">
        <v>0</v>
      </c>
      <c r="AB149" s="111">
        <v>0</v>
      </c>
      <c r="AC149" s="111">
        <v>0</v>
      </c>
      <c r="AD149" s="111">
        <v>0</v>
      </c>
      <c r="AE149" s="111">
        <v>0</v>
      </c>
      <c r="AF149" s="111">
        <v>0</v>
      </c>
      <c r="AG149" s="111">
        <v>0</v>
      </c>
      <c r="AH149" s="111">
        <v>0</v>
      </c>
      <c r="AI149" s="111">
        <v>0</v>
      </c>
      <c r="AJ149" s="111">
        <v>0</v>
      </c>
      <c r="AK149" s="111">
        <v>0</v>
      </c>
      <c r="AL149" s="111">
        <v>0</v>
      </c>
      <c r="AM149" s="111">
        <v>0</v>
      </c>
      <c r="AN149" s="111">
        <v>0</v>
      </c>
      <c r="AO149" s="111">
        <v>0</v>
      </c>
      <c r="AP149" s="111">
        <v>0</v>
      </c>
      <c r="AQ149" s="111">
        <v>0</v>
      </c>
      <c r="AR149" s="111">
        <v>0</v>
      </c>
      <c r="AS149" s="111">
        <v>0</v>
      </c>
      <c r="AT149" s="111">
        <v>0</v>
      </c>
      <c r="AU149" s="111">
        <v>0</v>
      </c>
      <c r="AV149" s="111">
        <v>0</v>
      </c>
      <c r="AW149" s="111">
        <v>0</v>
      </c>
      <c r="AX149" s="111">
        <v>0</v>
      </c>
      <c r="AY149" s="111">
        <v>0</v>
      </c>
    </row>
    <row r="150" spans="1:51" x14ac:dyDescent="0.2">
      <c r="A150" s="114"/>
      <c r="B150" s="132">
        <v>29</v>
      </c>
      <c r="C150" s="111"/>
      <c r="D150" s="111">
        <v>0</v>
      </c>
      <c r="E150" s="111">
        <v>0</v>
      </c>
      <c r="F150" s="111">
        <v>0</v>
      </c>
      <c r="G150" s="111">
        <v>0</v>
      </c>
      <c r="H150" s="111">
        <v>0</v>
      </c>
      <c r="I150" s="111">
        <v>0</v>
      </c>
      <c r="J150" s="111">
        <v>0</v>
      </c>
      <c r="K150" s="111">
        <v>0</v>
      </c>
      <c r="L150" s="111">
        <v>0</v>
      </c>
      <c r="M150" s="111">
        <v>0</v>
      </c>
      <c r="N150" s="111">
        <v>0</v>
      </c>
      <c r="O150" s="111">
        <v>0</v>
      </c>
      <c r="P150" s="111">
        <v>0</v>
      </c>
      <c r="Q150" s="111">
        <v>0</v>
      </c>
      <c r="R150" s="111">
        <v>0</v>
      </c>
      <c r="S150" s="111">
        <v>0</v>
      </c>
      <c r="T150" s="111">
        <v>0</v>
      </c>
      <c r="U150" s="111">
        <v>0</v>
      </c>
      <c r="V150" s="111">
        <v>0</v>
      </c>
      <c r="W150" s="111">
        <v>0</v>
      </c>
      <c r="X150" s="111">
        <v>0</v>
      </c>
      <c r="Y150" s="111">
        <v>0</v>
      </c>
      <c r="Z150" s="111">
        <v>0</v>
      </c>
      <c r="AA150" s="111">
        <v>0</v>
      </c>
      <c r="AB150" s="111">
        <v>0</v>
      </c>
      <c r="AC150" s="111">
        <v>0</v>
      </c>
      <c r="AD150" s="111">
        <v>0</v>
      </c>
      <c r="AE150" s="111">
        <v>0</v>
      </c>
      <c r="AF150" s="111">
        <v>0</v>
      </c>
      <c r="AG150" s="111">
        <v>0</v>
      </c>
      <c r="AH150" s="111">
        <v>0</v>
      </c>
      <c r="AI150" s="111">
        <v>0</v>
      </c>
      <c r="AJ150" s="111">
        <v>0</v>
      </c>
      <c r="AK150" s="111">
        <v>0</v>
      </c>
      <c r="AL150" s="111">
        <v>0</v>
      </c>
      <c r="AM150" s="111">
        <v>0</v>
      </c>
      <c r="AN150" s="111">
        <v>0</v>
      </c>
      <c r="AO150" s="111">
        <v>0</v>
      </c>
      <c r="AP150" s="111">
        <v>0</v>
      </c>
      <c r="AQ150" s="111">
        <v>0</v>
      </c>
      <c r="AR150" s="111">
        <v>0</v>
      </c>
      <c r="AS150" s="111">
        <v>0</v>
      </c>
      <c r="AT150" s="111">
        <v>0</v>
      </c>
      <c r="AU150" s="111">
        <v>0</v>
      </c>
      <c r="AV150" s="111">
        <v>0</v>
      </c>
      <c r="AW150" s="111">
        <v>0</v>
      </c>
      <c r="AX150" s="111">
        <v>0</v>
      </c>
      <c r="AY150" s="111">
        <v>0</v>
      </c>
    </row>
    <row r="151" spans="1:51" x14ac:dyDescent="0.2">
      <c r="A151" s="114"/>
      <c r="B151" s="132">
        <v>30</v>
      </c>
      <c r="C151" s="111"/>
      <c r="D151" s="111">
        <v>0</v>
      </c>
      <c r="E151" s="111">
        <v>0</v>
      </c>
      <c r="F151" s="111">
        <v>0</v>
      </c>
      <c r="G151" s="111">
        <v>0</v>
      </c>
      <c r="H151" s="111">
        <v>0</v>
      </c>
      <c r="I151" s="111">
        <v>0</v>
      </c>
      <c r="J151" s="111">
        <v>0</v>
      </c>
      <c r="K151" s="111">
        <v>0</v>
      </c>
      <c r="L151" s="111">
        <v>0</v>
      </c>
      <c r="M151" s="111">
        <v>0</v>
      </c>
      <c r="N151" s="111">
        <v>0</v>
      </c>
      <c r="O151" s="111">
        <v>0</v>
      </c>
      <c r="P151" s="111">
        <v>0</v>
      </c>
      <c r="Q151" s="111">
        <v>0</v>
      </c>
      <c r="R151" s="111">
        <v>0</v>
      </c>
      <c r="S151" s="111">
        <v>0</v>
      </c>
      <c r="T151" s="111">
        <v>0</v>
      </c>
      <c r="U151" s="111">
        <v>0</v>
      </c>
      <c r="V151" s="111">
        <v>0</v>
      </c>
      <c r="W151" s="111">
        <v>0</v>
      </c>
      <c r="X151" s="111">
        <v>0</v>
      </c>
      <c r="Y151" s="111">
        <v>0</v>
      </c>
      <c r="Z151" s="111">
        <v>0</v>
      </c>
      <c r="AA151" s="111">
        <v>0</v>
      </c>
      <c r="AB151" s="111">
        <v>0</v>
      </c>
      <c r="AC151" s="111">
        <v>0</v>
      </c>
      <c r="AD151" s="111">
        <v>0</v>
      </c>
      <c r="AE151" s="111">
        <v>0</v>
      </c>
      <c r="AF151" s="111">
        <v>0</v>
      </c>
      <c r="AG151" s="111">
        <v>0</v>
      </c>
      <c r="AH151" s="111">
        <v>0</v>
      </c>
      <c r="AI151" s="111">
        <v>0</v>
      </c>
      <c r="AJ151" s="111">
        <v>0</v>
      </c>
      <c r="AK151" s="111">
        <v>0</v>
      </c>
      <c r="AL151" s="111">
        <v>0</v>
      </c>
      <c r="AM151" s="111">
        <v>0</v>
      </c>
      <c r="AN151" s="111">
        <v>0</v>
      </c>
      <c r="AO151" s="111">
        <v>0</v>
      </c>
      <c r="AP151" s="111">
        <v>0</v>
      </c>
      <c r="AQ151" s="111">
        <v>0</v>
      </c>
      <c r="AR151" s="111">
        <v>0</v>
      </c>
      <c r="AS151" s="111">
        <v>0</v>
      </c>
      <c r="AT151" s="111">
        <v>0</v>
      </c>
      <c r="AU151" s="111">
        <v>0</v>
      </c>
      <c r="AV151" s="111">
        <v>0</v>
      </c>
      <c r="AW151" s="111">
        <v>0</v>
      </c>
      <c r="AX151" s="111">
        <v>0</v>
      </c>
      <c r="AY151" s="111">
        <v>0</v>
      </c>
    </row>
    <row r="152" spans="1:51" x14ac:dyDescent="0.2">
      <c r="A152" s="114"/>
      <c r="B152" s="132">
        <v>31</v>
      </c>
      <c r="C152" s="111"/>
      <c r="D152" s="111">
        <v>0</v>
      </c>
      <c r="E152" s="111">
        <v>0</v>
      </c>
      <c r="F152" s="111">
        <v>0</v>
      </c>
      <c r="G152" s="111">
        <v>0</v>
      </c>
      <c r="H152" s="111">
        <v>0</v>
      </c>
      <c r="I152" s="111">
        <v>0</v>
      </c>
      <c r="J152" s="111">
        <v>0</v>
      </c>
      <c r="K152" s="111">
        <v>0</v>
      </c>
      <c r="L152" s="111">
        <v>0</v>
      </c>
      <c r="M152" s="111">
        <v>0</v>
      </c>
      <c r="N152" s="111">
        <v>0</v>
      </c>
      <c r="O152" s="111">
        <v>0</v>
      </c>
      <c r="P152" s="111">
        <v>0</v>
      </c>
      <c r="Q152" s="111">
        <v>0</v>
      </c>
      <c r="R152" s="111">
        <v>0</v>
      </c>
      <c r="S152" s="111">
        <v>0</v>
      </c>
      <c r="T152" s="111">
        <v>0</v>
      </c>
      <c r="U152" s="111">
        <v>0</v>
      </c>
      <c r="V152" s="111">
        <v>0</v>
      </c>
      <c r="W152" s="111">
        <v>0</v>
      </c>
      <c r="X152" s="111">
        <v>0</v>
      </c>
      <c r="Y152" s="111">
        <v>0</v>
      </c>
      <c r="Z152" s="111">
        <v>0</v>
      </c>
      <c r="AA152" s="111">
        <v>0</v>
      </c>
      <c r="AB152" s="111">
        <v>0</v>
      </c>
      <c r="AC152" s="111">
        <v>0</v>
      </c>
      <c r="AD152" s="111">
        <v>0</v>
      </c>
      <c r="AE152" s="111">
        <v>0</v>
      </c>
      <c r="AF152" s="111">
        <v>0</v>
      </c>
      <c r="AG152" s="111">
        <v>0</v>
      </c>
      <c r="AH152" s="111">
        <v>0</v>
      </c>
      <c r="AI152" s="111">
        <v>0</v>
      </c>
      <c r="AJ152" s="111">
        <v>0</v>
      </c>
      <c r="AK152" s="111">
        <v>0</v>
      </c>
      <c r="AL152" s="111">
        <v>0</v>
      </c>
      <c r="AM152" s="111">
        <v>0</v>
      </c>
      <c r="AN152" s="111">
        <v>0</v>
      </c>
      <c r="AO152" s="111">
        <v>0</v>
      </c>
      <c r="AP152" s="111">
        <v>0</v>
      </c>
      <c r="AQ152" s="111">
        <v>0</v>
      </c>
      <c r="AR152" s="111">
        <v>0</v>
      </c>
      <c r="AS152" s="111">
        <v>0</v>
      </c>
      <c r="AT152" s="111">
        <v>0</v>
      </c>
      <c r="AU152" s="111">
        <v>0</v>
      </c>
      <c r="AV152" s="111">
        <v>0</v>
      </c>
      <c r="AW152" s="111">
        <v>0</v>
      </c>
      <c r="AX152" s="111">
        <v>0</v>
      </c>
      <c r="AY152" s="111">
        <v>0</v>
      </c>
    </row>
    <row r="153" spans="1:51" x14ac:dyDescent="0.2">
      <c r="A153" s="114"/>
      <c r="B153" s="132">
        <v>32</v>
      </c>
      <c r="C153" s="111"/>
      <c r="D153" s="111">
        <v>0</v>
      </c>
      <c r="E153" s="111">
        <v>0</v>
      </c>
      <c r="F153" s="111">
        <v>0</v>
      </c>
      <c r="G153" s="111">
        <v>0</v>
      </c>
      <c r="H153" s="111">
        <v>0</v>
      </c>
      <c r="I153" s="111">
        <v>0</v>
      </c>
      <c r="J153" s="111">
        <v>0</v>
      </c>
      <c r="K153" s="111">
        <v>0</v>
      </c>
      <c r="L153" s="111">
        <v>0</v>
      </c>
      <c r="M153" s="111">
        <v>0</v>
      </c>
      <c r="N153" s="111">
        <v>0</v>
      </c>
      <c r="O153" s="111">
        <v>0</v>
      </c>
      <c r="P153" s="111">
        <v>0</v>
      </c>
      <c r="Q153" s="111">
        <v>0</v>
      </c>
      <c r="R153" s="111">
        <v>0</v>
      </c>
      <c r="S153" s="111">
        <v>0</v>
      </c>
      <c r="T153" s="111">
        <v>0</v>
      </c>
      <c r="U153" s="111">
        <v>0</v>
      </c>
      <c r="V153" s="111">
        <v>0</v>
      </c>
      <c r="W153" s="111">
        <v>0</v>
      </c>
      <c r="X153" s="111">
        <v>0</v>
      </c>
      <c r="Y153" s="111">
        <v>0</v>
      </c>
      <c r="Z153" s="111">
        <v>0</v>
      </c>
      <c r="AA153" s="111">
        <v>0</v>
      </c>
      <c r="AB153" s="111">
        <v>0</v>
      </c>
      <c r="AC153" s="111">
        <v>0</v>
      </c>
      <c r="AD153" s="111">
        <v>0</v>
      </c>
      <c r="AE153" s="111">
        <v>0</v>
      </c>
      <c r="AF153" s="111">
        <v>0</v>
      </c>
      <c r="AG153" s="111">
        <v>0</v>
      </c>
      <c r="AH153" s="111">
        <v>0</v>
      </c>
      <c r="AI153" s="111">
        <v>0</v>
      </c>
      <c r="AJ153" s="111">
        <v>0</v>
      </c>
      <c r="AK153" s="111">
        <v>0</v>
      </c>
      <c r="AL153" s="111">
        <v>0</v>
      </c>
      <c r="AM153" s="111">
        <v>0</v>
      </c>
      <c r="AN153" s="111">
        <v>0</v>
      </c>
      <c r="AO153" s="111">
        <v>0</v>
      </c>
      <c r="AP153" s="111">
        <v>0</v>
      </c>
      <c r="AQ153" s="111">
        <v>0</v>
      </c>
      <c r="AR153" s="111">
        <v>0</v>
      </c>
      <c r="AS153" s="111">
        <v>0</v>
      </c>
      <c r="AT153" s="111">
        <v>0</v>
      </c>
      <c r="AU153" s="111">
        <v>0</v>
      </c>
      <c r="AV153" s="111">
        <v>0</v>
      </c>
      <c r="AW153" s="111">
        <v>0</v>
      </c>
      <c r="AX153" s="111">
        <v>0</v>
      </c>
      <c r="AY153" s="111">
        <v>0</v>
      </c>
    </row>
    <row r="154" spans="1:51" x14ac:dyDescent="0.2">
      <c r="A154" s="114"/>
      <c r="B154" s="132">
        <v>33</v>
      </c>
      <c r="C154" s="111"/>
      <c r="D154" s="111">
        <v>0</v>
      </c>
      <c r="E154" s="111">
        <v>0</v>
      </c>
      <c r="F154" s="111">
        <v>0</v>
      </c>
      <c r="G154" s="111">
        <v>0</v>
      </c>
      <c r="H154" s="111">
        <v>0</v>
      </c>
      <c r="I154" s="111">
        <v>0</v>
      </c>
      <c r="J154" s="111">
        <v>0</v>
      </c>
      <c r="K154" s="111">
        <v>0</v>
      </c>
      <c r="L154" s="111">
        <v>0</v>
      </c>
      <c r="M154" s="111">
        <v>0</v>
      </c>
      <c r="N154" s="111">
        <v>0</v>
      </c>
      <c r="O154" s="111">
        <v>0</v>
      </c>
      <c r="P154" s="111">
        <v>0</v>
      </c>
      <c r="Q154" s="111">
        <v>0</v>
      </c>
      <c r="R154" s="111">
        <v>0</v>
      </c>
      <c r="S154" s="111">
        <v>0</v>
      </c>
      <c r="T154" s="111">
        <v>0</v>
      </c>
      <c r="U154" s="111">
        <v>0</v>
      </c>
      <c r="V154" s="111">
        <v>0</v>
      </c>
      <c r="W154" s="111">
        <v>0</v>
      </c>
      <c r="X154" s="111">
        <v>0</v>
      </c>
      <c r="Y154" s="111">
        <v>0</v>
      </c>
      <c r="Z154" s="111">
        <v>0</v>
      </c>
      <c r="AA154" s="111">
        <v>0</v>
      </c>
      <c r="AB154" s="111">
        <v>0</v>
      </c>
      <c r="AC154" s="111">
        <v>0</v>
      </c>
      <c r="AD154" s="111">
        <v>0</v>
      </c>
      <c r="AE154" s="111">
        <v>0</v>
      </c>
      <c r="AF154" s="111">
        <v>0</v>
      </c>
      <c r="AG154" s="111">
        <v>0</v>
      </c>
      <c r="AH154" s="111">
        <v>0</v>
      </c>
      <c r="AI154" s="111">
        <v>0</v>
      </c>
      <c r="AJ154" s="111">
        <v>0</v>
      </c>
      <c r="AK154" s="111">
        <v>0</v>
      </c>
      <c r="AL154" s="111">
        <v>0</v>
      </c>
      <c r="AM154" s="111">
        <v>0</v>
      </c>
      <c r="AN154" s="111">
        <v>0</v>
      </c>
      <c r="AO154" s="111">
        <v>0</v>
      </c>
      <c r="AP154" s="111">
        <v>0</v>
      </c>
      <c r="AQ154" s="111">
        <v>0</v>
      </c>
      <c r="AR154" s="111">
        <v>0</v>
      </c>
      <c r="AS154" s="111">
        <v>0</v>
      </c>
      <c r="AT154" s="111">
        <v>0</v>
      </c>
      <c r="AU154" s="111">
        <v>0</v>
      </c>
      <c r="AV154" s="111">
        <v>0</v>
      </c>
      <c r="AW154" s="111">
        <v>0</v>
      </c>
      <c r="AX154" s="111">
        <v>0</v>
      </c>
      <c r="AY154" s="111">
        <v>0</v>
      </c>
    </row>
    <row r="155" spans="1:51" x14ac:dyDescent="0.2">
      <c r="A155" s="114"/>
      <c r="B155" s="132">
        <v>34</v>
      </c>
      <c r="C155" s="111"/>
      <c r="D155" s="111">
        <v>0</v>
      </c>
      <c r="E155" s="111">
        <v>0</v>
      </c>
      <c r="F155" s="111">
        <v>0</v>
      </c>
      <c r="G155" s="111">
        <v>0</v>
      </c>
      <c r="H155" s="111">
        <v>0</v>
      </c>
      <c r="I155" s="111">
        <v>0</v>
      </c>
      <c r="J155" s="111">
        <v>0</v>
      </c>
      <c r="K155" s="111">
        <v>0</v>
      </c>
      <c r="L155" s="111">
        <v>0</v>
      </c>
      <c r="M155" s="111">
        <v>0</v>
      </c>
      <c r="N155" s="111">
        <v>0</v>
      </c>
      <c r="O155" s="111">
        <v>0</v>
      </c>
      <c r="P155" s="111">
        <v>0</v>
      </c>
      <c r="Q155" s="111">
        <v>0</v>
      </c>
      <c r="R155" s="111">
        <v>0</v>
      </c>
      <c r="S155" s="111">
        <v>0</v>
      </c>
      <c r="T155" s="111">
        <v>0</v>
      </c>
      <c r="U155" s="111">
        <v>0</v>
      </c>
      <c r="V155" s="111">
        <v>0</v>
      </c>
      <c r="W155" s="111">
        <v>0</v>
      </c>
      <c r="X155" s="111">
        <v>0</v>
      </c>
      <c r="Y155" s="111">
        <v>0</v>
      </c>
      <c r="Z155" s="111">
        <v>0</v>
      </c>
      <c r="AA155" s="111">
        <v>0</v>
      </c>
      <c r="AB155" s="111">
        <v>0</v>
      </c>
      <c r="AC155" s="111">
        <v>0</v>
      </c>
      <c r="AD155" s="111">
        <v>0</v>
      </c>
      <c r="AE155" s="111">
        <v>0</v>
      </c>
      <c r="AF155" s="111">
        <v>0</v>
      </c>
      <c r="AG155" s="111">
        <v>0</v>
      </c>
      <c r="AH155" s="111">
        <v>0</v>
      </c>
      <c r="AI155" s="111">
        <v>0</v>
      </c>
      <c r="AJ155" s="111">
        <v>0</v>
      </c>
      <c r="AK155" s="111">
        <v>0</v>
      </c>
      <c r="AL155" s="111">
        <v>0</v>
      </c>
      <c r="AM155" s="111">
        <v>0</v>
      </c>
      <c r="AN155" s="111">
        <v>0</v>
      </c>
      <c r="AO155" s="111">
        <v>0</v>
      </c>
      <c r="AP155" s="111">
        <v>0</v>
      </c>
      <c r="AQ155" s="111">
        <v>0</v>
      </c>
      <c r="AR155" s="111">
        <v>0</v>
      </c>
      <c r="AS155" s="111">
        <v>0</v>
      </c>
      <c r="AT155" s="111">
        <v>0</v>
      </c>
      <c r="AU155" s="111">
        <v>0</v>
      </c>
      <c r="AV155" s="111">
        <v>0</v>
      </c>
      <c r="AW155" s="111">
        <v>0</v>
      </c>
      <c r="AX155" s="111">
        <v>0</v>
      </c>
      <c r="AY155" s="111">
        <v>0</v>
      </c>
    </row>
    <row r="156" spans="1:51" x14ac:dyDescent="0.2">
      <c r="A156" s="114"/>
      <c r="B156" s="132">
        <v>35</v>
      </c>
      <c r="C156" s="111"/>
      <c r="D156" s="111">
        <v>0</v>
      </c>
      <c r="E156" s="111">
        <v>0</v>
      </c>
      <c r="F156" s="111">
        <v>0</v>
      </c>
      <c r="G156" s="111">
        <v>0</v>
      </c>
      <c r="H156" s="111">
        <v>0</v>
      </c>
      <c r="I156" s="111">
        <v>0</v>
      </c>
      <c r="J156" s="111">
        <v>0</v>
      </c>
      <c r="K156" s="111">
        <v>0</v>
      </c>
      <c r="L156" s="111">
        <v>0</v>
      </c>
      <c r="M156" s="111">
        <v>0</v>
      </c>
      <c r="N156" s="111">
        <v>0</v>
      </c>
      <c r="O156" s="111">
        <v>0</v>
      </c>
      <c r="P156" s="111">
        <v>0</v>
      </c>
      <c r="Q156" s="111">
        <v>0</v>
      </c>
      <c r="R156" s="111">
        <v>0</v>
      </c>
      <c r="S156" s="111">
        <v>0</v>
      </c>
      <c r="T156" s="111">
        <v>0</v>
      </c>
      <c r="U156" s="111">
        <v>0</v>
      </c>
      <c r="V156" s="111">
        <v>0</v>
      </c>
      <c r="W156" s="111">
        <v>0</v>
      </c>
      <c r="X156" s="111">
        <v>0</v>
      </c>
      <c r="Y156" s="111">
        <v>0</v>
      </c>
      <c r="Z156" s="111">
        <v>0</v>
      </c>
      <c r="AA156" s="111">
        <v>0</v>
      </c>
      <c r="AB156" s="111">
        <v>0</v>
      </c>
      <c r="AC156" s="111">
        <v>0</v>
      </c>
      <c r="AD156" s="111">
        <v>0</v>
      </c>
      <c r="AE156" s="111">
        <v>0</v>
      </c>
      <c r="AF156" s="111">
        <v>0</v>
      </c>
      <c r="AG156" s="111">
        <v>0</v>
      </c>
      <c r="AH156" s="111">
        <v>0</v>
      </c>
      <c r="AI156" s="111">
        <v>0</v>
      </c>
      <c r="AJ156" s="111">
        <v>0</v>
      </c>
      <c r="AK156" s="111">
        <v>0</v>
      </c>
      <c r="AL156" s="111">
        <v>0</v>
      </c>
      <c r="AM156" s="111">
        <v>0</v>
      </c>
      <c r="AN156" s="111">
        <v>0</v>
      </c>
      <c r="AO156" s="111">
        <v>0</v>
      </c>
      <c r="AP156" s="111">
        <v>0</v>
      </c>
      <c r="AQ156" s="111">
        <v>0</v>
      </c>
      <c r="AR156" s="111">
        <v>0</v>
      </c>
      <c r="AS156" s="111">
        <v>0</v>
      </c>
      <c r="AT156" s="111">
        <v>0</v>
      </c>
      <c r="AU156" s="111">
        <v>0</v>
      </c>
      <c r="AV156" s="111">
        <v>0</v>
      </c>
      <c r="AW156" s="111">
        <v>0</v>
      </c>
      <c r="AX156" s="111">
        <v>0</v>
      </c>
      <c r="AY156" s="111">
        <v>0</v>
      </c>
    </row>
    <row r="157" spans="1:51" x14ac:dyDescent="0.2">
      <c r="A157" s="114"/>
      <c r="B157" s="132">
        <v>36</v>
      </c>
      <c r="C157" s="111"/>
      <c r="D157" s="111">
        <v>0</v>
      </c>
      <c r="E157" s="111">
        <v>0</v>
      </c>
      <c r="F157" s="111">
        <v>0</v>
      </c>
      <c r="G157" s="111">
        <v>0</v>
      </c>
      <c r="H157" s="111">
        <v>0</v>
      </c>
      <c r="I157" s="111">
        <v>0</v>
      </c>
      <c r="J157" s="111">
        <v>0</v>
      </c>
      <c r="K157" s="111">
        <v>0</v>
      </c>
      <c r="L157" s="111">
        <v>0</v>
      </c>
      <c r="M157" s="111">
        <v>0</v>
      </c>
      <c r="N157" s="111">
        <v>0</v>
      </c>
      <c r="O157" s="111">
        <v>0</v>
      </c>
      <c r="P157" s="111">
        <v>0</v>
      </c>
      <c r="Q157" s="111">
        <v>0</v>
      </c>
      <c r="R157" s="111">
        <v>0</v>
      </c>
      <c r="S157" s="111">
        <v>0</v>
      </c>
      <c r="T157" s="111">
        <v>0</v>
      </c>
      <c r="U157" s="111">
        <v>0</v>
      </c>
      <c r="V157" s="111">
        <v>0</v>
      </c>
      <c r="W157" s="111">
        <v>0</v>
      </c>
      <c r="X157" s="111">
        <v>0</v>
      </c>
      <c r="Y157" s="111">
        <v>0</v>
      </c>
      <c r="Z157" s="111">
        <v>0</v>
      </c>
      <c r="AA157" s="111">
        <v>0</v>
      </c>
      <c r="AB157" s="111">
        <v>0</v>
      </c>
      <c r="AC157" s="111">
        <v>0</v>
      </c>
      <c r="AD157" s="111">
        <v>0</v>
      </c>
      <c r="AE157" s="111">
        <v>0</v>
      </c>
      <c r="AF157" s="111">
        <v>0</v>
      </c>
      <c r="AG157" s="111">
        <v>0</v>
      </c>
      <c r="AH157" s="111">
        <v>0</v>
      </c>
      <c r="AI157" s="111">
        <v>0</v>
      </c>
      <c r="AJ157" s="111">
        <v>0</v>
      </c>
      <c r="AK157" s="111">
        <v>0</v>
      </c>
      <c r="AL157" s="111">
        <v>0</v>
      </c>
      <c r="AM157" s="111">
        <v>0</v>
      </c>
      <c r="AN157" s="111">
        <v>0</v>
      </c>
      <c r="AO157" s="111">
        <v>0</v>
      </c>
      <c r="AP157" s="111">
        <v>0</v>
      </c>
      <c r="AQ157" s="111">
        <v>0</v>
      </c>
      <c r="AR157" s="111">
        <v>0</v>
      </c>
      <c r="AS157" s="111">
        <v>0</v>
      </c>
      <c r="AT157" s="111">
        <v>0</v>
      </c>
      <c r="AU157" s="111">
        <v>0</v>
      </c>
      <c r="AV157" s="111">
        <v>0</v>
      </c>
      <c r="AW157" s="111">
        <v>0</v>
      </c>
      <c r="AX157" s="111">
        <v>0</v>
      </c>
      <c r="AY157" s="111">
        <v>0</v>
      </c>
    </row>
    <row r="158" spans="1:51" x14ac:dyDescent="0.2">
      <c r="A158" s="114"/>
      <c r="B158" s="135">
        <v>37</v>
      </c>
      <c r="C158" s="111"/>
      <c r="D158" s="111">
        <v>0</v>
      </c>
      <c r="E158" s="111">
        <v>0</v>
      </c>
      <c r="F158" s="111">
        <v>0</v>
      </c>
      <c r="G158" s="111">
        <v>0</v>
      </c>
      <c r="H158" s="111">
        <v>0</v>
      </c>
      <c r="I158" s="111">
        <v>0</v>
      </c>
      <c r="J158" s="111">
        <v>0</v>
      </c>
      <c r="K158" s="111">
        <v>0</v>
      </c>
      <c r="L158" s="111">
        <v>0</v>
      </c>
      <c r="M158" s="111">
        <v>0</v>
      </c>
      <c r="N158" s="111">
        <v>0</v>
      </c>
      <c r="O158" s="111">
        <v>0</v>
      </c>
      <c r="P158" s="111">
        <v>0</v>
      </c>
      <c r="Q158" s="111">
        <v>0</v>
      </c>
      <c r="R158" s="111">
        <v>0</v>
      </c>
      <c r="S158" s="111">
        <v>0</v>
      </c>
      <c r="T158" s="111">
        <v>0</v>
      </c>
      <c r="U158" s="111">
        <v>0</v>
      </c>
      <c r="V158" s="111">
        <v>0</v>
      </c>
      <c r="W158" s="111">
        <v>0</v>
      </c>
      <c r="X158" s="111">
        <v>0</v>
      </c>
      <c r="Y158" s="111">
        <v>0</v>
      </c>
      <c r="Z158" s="111">
        <v>0</v>
      </c>
      <c r="AA158" s="111">
        <v>0</v>
      </c>
      <c r="AB158" s="111">
        <v>0</v>
      </c>
      <c r="AC158" s="111">
        <v>0</v>
      </c>
      <c r="AD158" s="111">
        <v>0</v>
      </c>
      <c r="AE158" s="111">
        <v>0</v>
      </c>
      <c r="AF158" s="111">
        <v>0</v>
      </c>
      <c r="AG158" s="111">
        <v>0</v>
      </c>
      <c r="AH158" s="111">
        <v>0</v>
      </c>
      <c r="AI158" s="111">
        <v>0</v>
      </c>
      <c r="AJ158" s="111">
        <v>0</v>
      </c>
      <c r="AK158" s="111">
        <v>0</v>
      </c>
      <c r="AL158" s="111">
        <v>0</v>
      </c>
      <c r="AM158" s="111">
        <v>0</v>
      </c>
      <c r="AN158" s="111">
        <v>0</v>
      </c>
      <c r="AO158" s="111">
        <v>0</v>
      </c>
      <c r="AP158" s="111">
        <v>0</v>
      </c>
      <c r="AQ158" s="111">
        <v>0</v>
      </c>
      <c r="AR158" s="111">
        <v>0</v>
      </c>
      <c r="AS158" s="111">
        <v>0</v>
      </c>
      <c r="AT158" s="111">
        <v>0</v>
      </c>
      <c r="AU158" s="111">
        <v>0</v>
      </c>
      <c r="AV158" s="111">
        <v>0</v>
      </c>
      <c r="AW158" s="111">
        <v>0</v>
      </c>
      <c r="AX158" s="111">
        <v>0</v>
      </c>
      <c r="AY158" s="111">
        <v>0</v>
      </c>
    </row>
    <row r="159" spans="1:51" x14ac:dyDescent="0.2">
      <c r="A159" s="114"/>
      <c r="B159" s="135">
        <v>38</v>
      </c>
      <c r="C159" s="111"/>
      <c r="D159" s="111">
        <v>0</v>
      </c>
      <c r="E159" s="111">
        <v>0</v>
      </c>
      <c r="F159" s="111">
        <v>0</v>
      </c>
      <c r="G159" s="111">
        <v>0</v>
      </c>
      <c r="H159" s="111">
        <v>0</v>
      </c>
      <c r="I159" s="111">
        <v>0</v>
      </c>
      <c r="J159" s="111">
        <v>0</v>
      </c>
      <c r="K159" s="111">
        <v>0</v>
      </c>
      <c r="L159" s="111">
        <v>0</v>
      </c>
      <c r="M159" s="111">
        <v>0</v>
      </c>
      <c r="N159" s="111">
        <v>0</v>
      </c>
      <c r="O159" s="111">
        <v>0</v>
      </c>
      <c r="P159" s="111">
        <v>0</v>
      </c>
      <c r="Q159" s="111">
        <v>0</v>
      </c>
      <c r="R159" s="111">
        <v>0</v>
      </c>
      <c r="S159" s="111">
        <v>0</v>
      </c>
      <c r="T159" s="111">
        <v>0</v>
      </c>
      <c r="U159" s="111">
        <v>0</v>
      </c>
      <c r="V159" s="111">
        <v>0</v>
      </c>
      <c r="W159" s="111">
        <v>0</v>
      </c>
      <c r="X159" s="111">
        <v>0</v>
      </c>
      <c r="Y159" s="111">
        <v>0</v>
      </c>
      <c r="Z159" s="111">
        <v>0</v>
      </c>
      <c r="AA159" s="111">
        <v>0</v>
      </c>
      <c r="AB159" s="111">
        <v>0</v>
      </c>
      <c r="AC159" s="111">
        <v>0</v>
      </c>
      <c r="AD159" s="111">
        <v>0</v>
      </c>
      <c r="AE159" s="111">
        <v>0</v>
      </c>
      <c r="AF159" s="111">
        <v>0</v>
      </c>
      <c r="AG159" s="111">
        <v>0</v>
      </c>
      <c r="AH159" s="111">
        <v>0</v>
      </c>
      <c r="AI159" s="111">
        <v>0</v>
      </c>
      <c r="AJ159" s="111">
        <v>0</v>
      </c>
      <c r="AK159" s="111">
        <v>0</v>
      </c>
      <c r="AL159" s="111">
        <v>0</v>
      </c>
      <c r="AM159" s="111">
        <v>0</v>
      </c>
      <c r="AN159" s="111">
        <v>0</v>
      </c>
      <c r="AO159" s="111">
        <v>0</v>
      </c>
      <c r="AP159" s="111">
        <v>0</v>
      </c>
      <c r="AQ159" s="111">
        <v>0</v>
      </c>
      <c r="AR159" s="111">
        <v>0</v>
      </c>
      <c r="AS159" s="111">
        <v>0</v>
      </c>
      <c r="AT159" s="111">
        <v>0</v>
      </c>
      <c r="AU159" s="111">
        <v>0</v>
      </c>
      <c r="AV159" s="111">
        <v>0</v>
      </c>
      <c r="AW159" s="111">
        <v>0</v>
      </c>
      <c r="AX159" s="111">
        <v>0</v>
      </c>
      <c r="AY159" s="111">
        <v>0</v>
      </c>
    </row>
    <row r="160" spans="1:51" x14ac:dyDescent="0.2">
      <c r="A160" s="114"/>
      <c r="B160" s="135">
        <v>39</v>
      </c>
      <c r="C160" s="111"/>
      <c r="D160" s="111">
        <v>0</v>
      </c>
      <c r="E160" s="111">
        <v>0</v>
      </c>
      <c r="F160" s="111">
        <v>0</v>
      </c>
      <c r="G160" s="111">
        <v>0</v>
      </c>
      <c r="H160" s="111">
        <v>0</v>
      </c>
      <c r="I160" s="111">
        <v>0</v>
      </c>
      <c r="J160" s="111">
        <v>0</v>
      </c>
      <c r="K160" s="111">
        <v>0</v>
      </c>
      <c r="L160" s="111">
        <v>0</v>
      </c>
      <c r="M160" s="111">
        <v>0</v>
      </c>
      <c r="N160" s="111">
        <v>0</v>
      </c>
      <c r="O160" s="111">
        <v>0</v>
      </c>
      <c r="P160" s="111">
        <v>0</v>
      </c>
      <c r="Q160" s="111">
        <v>0</v>
      </c>
      <c r="R160" s="111">
        <v>0</v>
      </c>
      <c r="S160" s="111">
        <v>0</v>
      </c>
      <c r="T160" s="111">
        <v>0</v>
      </c>
      <c r="U160" s="111">
        <v>0</v>
      </c>
      <c r="V160" s="111">
        <v>0</v>
      </c>
      <c r="W160" s="111">
        <v>0</v>
      </c>
      <c r="X160" s="111">
        <v>0</v>
      </c>
      <c r="Y160" s="111">
        <v>0</v>
      </c>
      <c r="Z160" s="111">
        <v>0</v>
      </c>
      <c r="AA160" s="111">
        <v>0</v>
      </c>
      <c r="AB160" s="111">
        <v>0</v>
      </c>
      <c r="AC160" s="111">
        <v>0</v>
      </c>
      <c r="AD160" s="111">
        <v>0</v>
      </c>
      <c r="AE160" s="111">
        <v>0</v>
      </c>
      <c r="AF160" s="111">
        <v>0</v>
      </c>
      <c r="AG160" s="111">
        <v>0</v>
      </c>
      <c r="AH160" s="111">
        <v>0</v>
      </c>
      <c r="AI160" s="111">
        <v>0</v>
      </c>
      <c r="AJ160" s="111">
        <v>0</v>
      </c>
      <c r="AK160" s="111">
        <v>0</v>
      </c>
      <c r="AL160" s="111">
        <v>0</v>
      </c>
      <c r="AM160" s="111">
        <v>0</v>
      </c>
      <c r="AN160" s="111">
        <v>0</v>
      </c>
      <c r="AO160" s="111">
        <v>0</v>
      </c>
      <c r="AP160" s="111">
        <v>0</v>
      </c>
      <c r="AQ160" s="111">
        <v>0</v>
      </c>
      <c r="AR160" s="111">
        <v>0</v>
      </c>
      <c r="AS160" s="111">
        <v>0</v>
      </c>
      <c r="AT160" s="111">
        <v>0</v>
      </c>
      <c r="AU160" s="111">
        <v>0</v>
      </c>
      <c r="AV160" s="111">
        <v>0</v>
      </c>
      <c r="AW160" s="111">
        <v>0</v>
      </c>
      <c r="AX160" s="111">
        <v>0</v>
      </c>
      <c r="AY160" s="111">
        <v>0</v>
      </c>
    </row>
    <row r="161" spans="1:52" x14ac:dyDescent="0.2">
      <c r="A161" s="114"/>
      <c r="B161" s="135">
        <v>40</v>
      </c>
      <c r="C161" s="111"/>
      <c r="D161" s="111">
        <v>0</v>
      </c>
      <c r="E161" s="111">
        <v>0</v>
      </c>
      <c r="F161" s="111">
        <v>0</v>
      </c>
      <c r="G161" s="111">
        <v>0</v>
      </c>
      <c r="H161" s="111">
        <v>0</v>
      </c>
      <c r="I161" s="111">
        <v>0</v>
      </c>
      <c r="J161" s="111">
        <v>0</v>
      </c>
      <c r="K161" s="111">
        <v>0</v>
      </c>
      <c r="L161" s="111">
        <v>0</v>
      </c>
      <c r="M161" s="111">
        <v>0</v>
      </c>
      <c r="N161" s="111">
        <v>0</v>
      </c>
      <c r="O161" s="111">
        <v>0</v>
      </c>
      <c r="P161" s="111">
        <v>0</v>
      </c>
      <c r="Q161" s="111">
        <v>0</v>
      </c>
      <c r="R161" s="111">
        <v>0</v>
      </c>
      <c r="S161" s="111">
        <v>0</v>
      </c>
      <c r="T161" s="111">
        <v>0</v>
      </c>
      <c r="U161" s="111">
        <v>0</v>
      </c>
      <c r="V161" s="111">
        <v>0</v>
      </c>
      <c r="W161" s="111">
        <v>0</v>
      </c>
      <c r="X161" s="111">
        <v>0</v>
      </c>
      <c r="Y161" s="111">
        <v>0</v>
      </c>
      <c r="Z161" s="111">
        <v>0</v>
      </c>
      <c r="AA161" s="111">
        <v>0</v>
      </c>
      <c r="AB161" s="111">
        <v>0</v>
      </c>
      <c r="AC161" s="111">
        <v>0</v>
      </c>
      <c r="AD161" s="111">
        <v>0</v>
      </c>
      <c r="AE161" s="111">
        <v>0</v>
      </c>
      <c r="AF161" s="111">
        <v>0</v>
      </c>
      <c r="AG161" s="111">
        <v>0</v>
      </c>
      <c r="AH161" s="111">
        <v>0</v>
      </c>
      <c r="AI161" s="111">
        <v>0</v>
      </c>
      <c r="AJ161" s="111">
        <v>0</v>
      </c>
      <c r="AK161" s="111">
        <v>0</v>
      </c>
      <c r="AL161" s="111">
        <v>0</v>
      </c>
      <c r="AM161" s="111">
        <v>0</v>
      </c>
      <c r="AN161" s="111">
        <v>0</v>
      </c>
      <c r="AO161" s="111">
        <v>0</v>
      </c>
      <c r="AP161" s="111">
        <v>0</v>
      </c>
      <c r="AQ161" s="111">
        <v>0</v>
      </c>
      <c r="AR161" s="111">
        <v>0</v>
      </c>
      <c r="AS161" s="111">
        <v>0</v>
      </c>
      <c r="AT161" s="111">
        <v>0</v>
      </c>
      <c r="AU161" s="111">
        <v>0</v>
      </c>
      <c r="AV161" s="111">
        <v>0</v>
      </c>
      <c r="AW161" s="111">
        <v>0</v>
      </c>
      <c r="AX161" s="111">
        <v>0</v>
      </c>
      <c r="AY161" s="111">
        <v>0</v>
      </c>
    </row>
    <row r="162" spans="1:52" x14ac:dyDescent="0.2">
      <c r="A162" s="114"/>
      <c r="B162" s="135">
        <v>41</v>
      </c>
      <c r="C162" s="111"/>
      <c r="D162" s="111">
        <v>0</v>
      </c>
      <c r="E162" s="111">
        <v>0</v>
      </c>
      <c r="F162" s="111">
        <v>0</v>
      </c>
      <c r="G162" s="111">
        <v>0</v>
      </c>
      <c r="H162" s="111">
        <v>0</v>
      </c>
      <c r="I162" s="111">
        <v>0</v>
      </c>
      <c r="J162" s="111">
        <v>0</v>
      </c>
      <c r="K162" s="111">
        <v>0</v>
      </c>
      <c r="L162" s="111">
        <v>0</v>
      </c>
      <c r="M162" s="111">
        <v>0</v>
      </c>
      <c r="N162" s="111">
        <v>0</v>
      </c>
      <c r="O162" s="111">
        <v>0</v>
      </c>
      <c r="P162" s="111">
        <v>0</v>
      </c>
      <c r="Q162" s="111">
        <v>0</v>
      </c>
      <c r="R162" s="111">
        <v>0</v>
      </c>
      <c r="S162" s="111">
        <v>0</v>
      </c>
      <c r="T162" s="111">
        <v>0</v>
      </c>
      <c r="U162" s="111">
        <v>0</v>
      </c>
      <c r="V162" s="111">
        <v>0</v>
      </c>
      <c r="W162" s="111">
        <v>0</v>
      </c>
      <c r="X162" s="111">
        <v>0</v>
      </c>
      <c r="Y162" s="111">
        <v>0</v>
      </c>
      <c r="Z162" s="111">
        <v>0</v>
      </c>
      <c r="AA162" s="111">
        <v>0</v>
      </c>
      <c r="AB162" s="111">
        <v>0</v>
      </c>
      <c r="AC162" s="111">
        <v>0</v>
      </c>
      <c r="AD162" s="111">
        <v>0</v>
      </c>
      <c r="AE162" s="111">
        <v>0</v>
      </c>
      <c r="AF162" s="111">
        <v>0</v>
      </c>
      <c r="AG162" s="111">
        <v>0</v>
      </c>
      <c r="AH162" s="111">
        <v>0</v>
      </c>
      <c r="AI162" s="111">
        <v>0</v>
      </c>
      <c r="AJ162" s="111">
        <v>0</v>
      </c>
      <c r="AK162" s="111">
        <v>0</v>
      </c>
      <c r="AL162" s="111">
        <v>0</v>
      </c>
      <c r="AM162" s="111">
        <v>0</v>
      </c>
      <c r="AN162" s="111">
        <v>0</v>
      </c>
      <c r="AO162" s="111">
        <v>0</v>
      </c>
      <c r="AP162" s="111">
        <v>0</v>
      </c>
      <c r="AQ162" s="111">
        <v>0</v>
      </c>
      <c r="AR162" s="111">
        <v>0</v>
      </c>
      <c r="AS162" s="111">
        <v>0</v>
      </c>
      <c r="AT162" s="111">
        <v>0</v>
      </c>
      <c r="AU162" s="111">
        <v>0</v>
      </c>
      <c r="AV162" s="111">
        <v>0</v>
      </c>
      <c r="AW162" s="111">
        <v>0</v>
      </c>
      <c r="AX162" s="111">
        <v>0</v>
      </c>
      <c r="AY162" s="111">
        <v>0</v>
      </c>
    </row>
    <row r="163" spans="1:52" x14ac:dyDescent="0.2">
      <c r="A163" s="114"/>
      <c r="B163" s="135">
        <v>42</v>
      </c>
      <c r="C163" s="111"/>
      <c r="D163" s="111">
        <v>0</v>
      </c>
      <c r="E163" s="111">
        <v>0</v>
      </c>
      <c r="F163" s="111">
        <v>0</v>
      </c>
      <c r="G163" s="111">
        <v>0</v>
      </c>
      <c r="H163" s="111">
        <v>0</v>
      </c>
      <c r="I163" s="111">
        <v>0</v>
      </c>
      <c r="J163" s="111">
        <v>0</v>
      </c>
      <c r="K163" s="111">
        <v>0</v>
      </c>
      <c r="L163" s="111">
        <v>0</v>
      </c>
      <c r="M163" s="111">
        <v>0</v>
      </c>
      <c r="N163" s="111">
        <v>0</v>
      </c>
      <c r="O163" s="111">
        <v>0</v>
      </c>
      <c r="P163" s="111">
        <v>0</v>
      </c>
      <c r="Q163" s="111">
        <v>0</v>
      </c>
      <c r="R163" s="111">
        <v>0</v>
      </c>
      <c r="S163" s="111">
        <v>0</v>
      </c>
      <c r="T163" s="111">
        <v>0</v>
      </c>
      <c r="U163" s="111">
        <v>0</v>
      </c>
      <c r="V163" s="111">
        <v>0</v>
      </c>
      <c r="W163" s="111">
        <v>0</v>
      </c>
      <c r="X163" s="111">
        <v>0</v>
      </c>
      <c r="Y163" s="111">
        <v>0</v>
      </c>
      <c r="Z163" s="111">
        <v>0</v>
      </c>
      <c r="AA163" s="111">
        <v>0</v>
      </c>
      <c r="AB163" s="111">
        <v>0</v>
      </c>
      <c r="AC163" s="111">
        <v>0</v>
      </c>
      <c r="AD163" s="111">
        <v>0</v>
      </c>
      <c r="AE163" s="111">
        <v>0</v>
      </c>
      <c r="AF163" s="111">
        <v>0</v>
      </c>
      <c r="AG163" s="111">
        <v>0</v>
      </c>
      <c r="AH163" s="111">
        <v>0</v>
      </c>
      <c r="AI163" s="111">
        <v>0</v>
      </c>
      <c r="AJ163" s="111">
        <v>0</v>
      </c>
      <c r="AK163" s="111">
        <v>0</v>
      </c>
      <c r="AL163" s="111">
        <v>0</v>
      </c>
      <c r="AM163" s="111">
        <v>0</v>
      </c>
      <c r="AN163" s="111">
        <v>0</v>
      </c>
      <c r="AO163" s="111">
        <v>0</v>
      </c>
      <c r="AP163" s="111">
        <v>0</v>
      </c>
      <c r="AQ163" s="111">
        <v>0</v>
      </c>
      <c r="AR163" s="111">
        <v>0</v>
      </c>
      <c r="AS163" s="111">
        <v>0</v>
      </c>
      <c r="AT163" s="111">
        <v>0</v>
      </c>
      <c r="AU163" s="111">
        <v>0</v>
      </c>
      <c r="AV163" s="111">
        <v>0</v>
      </c>
      <c r="AW163" s="111">
        <v>0</v>
      </c>
      <c r="AX163" s="111">
        <v>0</v>
      </c>
      <c r="AY163" s="111">
        <v>0</v>
      </c>
    </row>
    <row r="164" spans="1:52" x14ac:dyDescent="0.2">
      <c r="A164" s="114"/>
      <c r="B164" s="135">
        <v>43</v>
      </c>
      <c r="C164" s="111"/>
      <c r="D164" s="111">
        <v>0</v>
      </c>
      <c r="E164" s="111">
        <v>0</v>
      </c>
      <c r="F164" s="111">
        <v>0</v>
      </c>
      <c r="G164" s="111">
        <v>0</v>
      </c>
      <c r="H164" s="111">
        <v>0</v>
      </c>
      <c r="I164" s="111">
        <v>0</v>
      </c>
      <c r="J164" s="111">
        <v>0</v>
      </c>
      <c r="K164" s="111">
        <v>0</v>
      </c>
      <c r="L164" s="111">
        <v>0</v>
      </c>
      <c r="M164" s="111">
        <v>0</v>
      </c>
      <c r="N164" s="111">
        <v>0</v>
      </c>
      <c r="O164" s="111">
        <v>0</v>
      </c>
      <c r="P164" s="111">
        <v>0</v>
      </c>
      <c r="Q164" s="111">
        <v>0</v>
      </c>
      <c r="R164" s="111">
        <v>0</v>
      </c>
      <c r="S164" s="111">
        <v>0</v>
      </c>
      <c r="T164" s="111">
        <v>0</v>
      </c>
      <c r="U164" s="111">
        <v>0</v>
      </c>
      <c r="V164" s="111">
        <v>0</v>
      </c>
      <c r="W164" s="111">
        <v>0</v>
      </c>
      <c r="X164" s="111">
        <v>0</v>
      </c>
      <c r="Y164" s="111">
        <v>0</v>
      </c>
      <c r="Z164" s="111">
        <v>0</v>
      </c>
      <c r="AA164" s="111">
        <v>0</v>
      </c>
      <c r="AB164" s="111">
        <v>0</v>
      </c>
      <c r="AC164" s="111">
        <v>0</v>
      </c>
      <c r="AD164" s="111">
        <v>0</v>
      </c>
      <c r="AE164" s="111">
        <v>0</v>
      </c>
      <c r="AF164" s="111">
        <v>0</v>
      </c>
      <c r="AG164" s="111">
        <v>0</v>
      </c>
      <c r="AH164" s="111">
        <v>0</v>
      </c>
      <c r="AI164" s="111">
        <v>0</v>
      </c>
      <c r="AJ164" s="111">
        <v>0</v>
      </c>
      <c r="AK164" s="111">
        <v>0</v>
      </c>
      <c r="AL164" s="111">
        <v>0</v>
      </c>
      <c r="AM164" s="111">
        <v>0</v>
      </c>
      <c r="AN164" s="111">
        <v>0</v>
      </c>
      <c r="AO164" s="111">
        <v>0</v>
      </c>
      <c r="AP164" s="111">
        <v>0</v>
      </c>
      <c r="AQ164" s="111">
        <v>0</v>
      </c>
      <c r="AR164" s="111">
        <v>0</v>
      </c>
      <c r="AS164" s="111">
        <v>0</v>
      </c>
      <c r="AT164" s="111">
        <v>0</v>
      </c>
      <c r="AU164" s="111">
        <v>0</v>
      </c>
      <c r="AV164" s="111">
        <v>0</v>
      </c>
      <c r="AW164" s="111">
        <v>0</v>
      </c>
      <c r="AX164" s="111">
        <v>0</v>
      </c>
      <c r="AY164" s="111">
        <v>0</v>
      </c>
    </row>
    <row r="165" spans="1:52" x14ac:dyDescent="0.2">
      <c r="A165" s="114"/>
      <c r="B165" s="135">
        <v>44</v>
      </c>
      <c r="C165" s="111"/>
      <c r="D165" s="111">
        <v>0</v>
      </c>
      <c r="E165" s="111">
        <v>0</v>
      </c>
      <c r="F165" s="111">
        <v>0</v>
      </c>
      <c r="G165" s="111">
        <v>0</v>
      </c>
      <c r="H165" s="111">
        <v>0</v>
      </c>
      <c r="I165" s="111">
        <v>0</v>
      </c>
      <c r="J165" s="111">
        <v>0</v>
      </c>
      <c r="K165" s="111">
        <v>0</v>
      </c>
      <c r="L165" s="111">
        <v>0</v>
      </c>
      <c r="M165" s="111">
        <v>0</v>
      </c>
      <c r="N165" s="111">
        <v>0</v>
      </c>
      <c r="O165" s="111">
        <v>0</v>
      </c>
      <c r="P165" s="111">
        <v>0</v>
      </c>
      <c r="Q165" s="111">
        <v>0</v>
      </c>
      <c r="R165" s="111">
        <v>0</v>
      </c>
      <c r="S165" s="111">
        <v>0</v>
      </c>
      <c r="T165" s="111">
        <v>0</v>
      </c>
      <c r="U165" s="111">
        <v>0</v>
      </c>
      <c r="V165" s="111">
        <v>0</v>
      </c>
      <c r="W165" s="111">
        <v>0</v>
      </c>
      <c r="X165" s="111">
        <v>0</v>
      </c>
      <c r="Y165" s="111">
        <v>0</v>
      </c>
      <c r="Z165" s="111">
        <v>0</v>
      </c>
      <c r="AA165" s="111">
        <v>0</v>
      </c>
      <c r="AB165" s="111">
        <v>0</v>
      </c>
      <c r="AC165" s="111">
        <v>0</v>
      </c>
      <c r="AD165" s="111">
        <v>0</v>
      </c>
      <c r="AE165" s="111">
        <v>0</v>
      </c>
      <c r="AF165" s="111">
        <v>0</v>
      </c>
      <c r="AG165" s="111">
        <v>0</v>
      </c>
      <c r="AH165" s="111">
        <v>0</v>
      </c>
      <c r="AI165" s="111">
        <v>0</v>
      </c>
      <c r="AJ165" s="111">
        <v>0</v>
      </c>
      <c r="AK165" s="111">
        <v>0</v>
      </c>
      <c r="AL165" s="111">
        <v>0</v>
      </c>
      <c r="AM165" s="111">
        <v>0</v>
      </c>
      <c r="AN165" s="111">
        <v>0</v>
      </c>
      <c r="AO165" s="111">
        <v>0</v>
      </c>
      <c r="AP165" s="111">
        <v>0</v>
      </c>
      <c r="AQ165" s="111">
        <v>0</v>
      </c>
      <c r="AR165" s="111">
        <v>0</v>
      </c>
      <c r="AS165" s="111">
        <v>0</v>
      </c>
      <c r="AT165" s="111">
        <v>0</v>
      </c>
      <c r="AU165" s="111">
        <v>0</v>
      </c>
      <c r="AV165" s="111">
        <v>0</v>
      </c>
      <c r="AW165" s="111">
        <v>0</v>
      </c>
      <c r="AX165" s="111">
        <v>0</v>
      </c>
      <c r="AY165" s="111">
        <v>0</v>
      </c>
    </row>
    <row r="166" spans="1:52" x14ac:dyDescent="0.2">
      <c r="A166" s="114"/>
      <c r="B166" s="135">
        <v>45</v>
      </c>
      <c r="C166" s="111"/>
      <c r="D166" s="111">
        <v>0</v>
      </c>
      <c r="E166" s="111">
        <v>0</v>
      </c>
      <c r="F166" s="111">
        <v>0</v>
      </c>
      <c r="G166" s="111">
        <v>0</v>
      </c>
      <c r="H166" s="111">
        <v>0</v>
      </c>
      <c r="I166" s="111">
        <v>0</v>
      </c>
      <c r="J166" s="111">
        <v>0</v>
      </c>
      <c r="K166" s="111">
        <v>0</v>
      </c>
      <c r="L166" s="111">
        <v>0</v>
      </c>
      <c r="M166" s="111">
        <v>0</v>
      </c>
      <c r="N166" s="111">
        <v>0</v>
      </c>
      <c r="O166" s="111">
        <v>0</v>
      </c>
      <c r="P166" s="111">
        <v>0</v>
      </c>
      <c r="Q166" s="111">
        <v>0</v>
      </c>
      <c r="R166" s="111">
        <v>0</v>
      </c>
      <c r="S166" s="111">
        <v>0</v>
      </c>
      <c r="T166" s="111">
        <v>0</v>
      </c>
      <c r="U166" s="111">
        <v>0</v>
      </c>
      <c r="V166" s="111">
        <v>0</v>
      </c>
      <c r="W166" s="111">
        <v>0</v>
      </c>
      <c r="X166" s="111">
        <v>0</v>
      </c>
      <c r="Y166" s="111">
        <v>0</v>
      </c>
      <c r="Z166" s="111">
        <v>0</v>
      </c>
      <c r="AA166" s="111">
        <v>0</v>
      </c>
      <c r="AB166" s="111">
        <v>0</v>
      </c>
      <c r="AC166" s="111">
        <v>0</v>
      </c>
      <c r="AD166" s="111">
        <v>0</v>
      </c>
      <c r="AE166" s="111">
        <v>0</v>
      </c>
      <c r="AF166" s="111">
        <v>0</v>
      </c>
      <c r="AG166" s="111">
        <v>0</v>
      </c>
      <c r="AH166" s="111">
        <v>0</v>
      </c>
      <c r="AI166" s="111">
        <v>0</v>
      </c>
      <c r="AJ166" s="111">
        <v>0</v>
      </c>
      <c r="AK166" s="111">
        <v>0</v>
      </c>
      <c r="AL166" s="111">
        <v>0</v>
      </c>
      <c r="AM166" s="111">
        <v>0</v>
      </c>
      <c r="AN166" s="111">
        <v>0</v>
      </c>
      <c r="AO166" s="111">
        <v>0</v>
      </c>
      <c r="AP166" s="111">
        <v>0</v>
      </c>
      <c r="AQ166" s="111">
        <v>0</v>
      </c>
      <c r="AR166" s="111">
        <v>0</v>
      </c>
      <c r="AS166" s="111">
        <v>0</v>
      </c>
      <c r="AT166" s="111">
        <v>0</v>
      </c>
      <c r="AU166" s="111">
        <v>0</v>
      </c>
      <c r="AV166" s="111">
        <v>0</v>
      </c>
      <c r="AW166" s="111">
        <v>0</v>
      </c>
      <c r="AX166" s="111">
        <v>0</v>
      </c>
      <c r="AY166" s="111">
        <v>0</v>
      </c>
    </row>
    <row r="167" spans="1:52" x14ac:dyDescent="0.2">
      <c r="A167" s="114"/>
      <c r="B167" s="135">
        <v>46</v>
      </c>
      <c r="C167" s="111"/>
      <c r="D167" s="111">
        <v>0</v>
      </c>
      <c r="E167" s="111">
        <v>0</v>
      </c>
      <c r="F167" s="111">
        <v>0</v>
      </c>
      <c r="G167" s="111">
        <v>0</v>
      </c>
      <c r="H167" s="111">
        <v>0</v>
      </c>
      <c r="I167" s="111">
        <v>0</v>
      </c>
      <c r="J167" s="111">
        <v>0</v>
      </c>
      <c r="K167" s="111">
        <v>0</v>
      </c>
      <c r="L167" s="111">
        <v>0</v>
      </c>
      <c r="M167" s="111">
        <v>0</v>
      </c>
      <c r="N167" s="111">
        <v>0</v>
      </c>
      <c r="O167" s="111">
        <v>0</v>
      </c>
      <c r="P167" s="111">
        <v>0</v>
      </c>
      <c r="Q167" s="111">
        <v>0</v>
      </c>
      <c r="R167" s="111">
        <v>0</v>
      </c>
      <c r="S167" s="111">
        <v>0</v>
      </c>
      <c r="T167" s="111">
        <v>0</v>
      </c>
      <c r="U167" s="111">
        <v>0</v>
      </c>
      <c r="V167" s="111">
        <v>0</v>
      </c>
      <c r="W167" s="111">
        <v>0</v>
      </c>
      <c r="X167" s="111">
        <v>0</v>
      </c>
      <c r="Y167" s="111">
        <v>0</v>
      </c>
      <c r="Z167" s="111">
        <v>0</v>
      </c>
      <c r="AA167" s="111">
        <v>0</v>
      </c>
      <c r="AB167" s="111">
        <v>0</v>
      </c>
      <c r="AC167" s="111">
        <v>0</v>
      </c>
      <c r="AD167" s="111">
        <v>0</v>
      </c>
      <c r="AE167" s="111">
        <v>0</v>
      </c>
      <c r="AF167" s="111">
        <v>0</v>
      </c>
      <c r="AG167" s="111">
        <v>0</v>
      </c>
      <c r="AH167" s="111">
        <v>0</v>
      </c>
      <c r="AI167" s="111">
        <v>0</v>
      </c>
      <c r="AJ167" s="111">
        <v>0</v>
      </c>
      <c r="AK167" s="111">
        <v>0</v>
      </c>
      <c r="AL167" s="111">
        <v>0</v>
      </c>
      <c r="AM167" s="111">
        <v>0</v>
      </c>
      <c r="AN167" s="111">
        <v>0</v>
      </c>
      <c r="AO167" s="111">
        <v>0</v>
      </c>
      <c r="AP167" s="111">
        <v>0</v>
      </c>
      <c r="AQ167" s="111">
        <v>0</v>
      </c>
      <c r="AR167" s="111">
        <v>0</v>
      </c>
      <c r="AS167" s="111">
        <v>0</v>
      </c>
      <c r="AT167" s="111">
        <v>0</v>
      </c>
      <c r="AU167" s="111">
        <v>0</v>
      </c>
      <c r="AV167" s="111">
        <v>0</v>
      </c>
      <c r="AW167" s="111">
        <v>0</v>
      </c>
      <c r="AX167" s="111">
        <v>0</v>
      </c>
      <c r="AY167" s="111">
        <v>0</v>
      </c>
    </row>
    <row r="168" spans="1:52" x14ac:dyDescent="0.2">
      <c r="A168" s="114"/>
      <c r="B168" s="135">
        <v>47</v>
      </c>
      <c r="C168" s="111"/>
      <c r="D168" s="111">
        <v>0</v>
      </c>
      <c r="E168" s="111">
        <v>0</v>
      </c>
      <c r="F168" s="111">
        <v>0</v>
      </c>
      <c r="G168" s="111">
        <v>0</v>
      </c>
      <c r="H168" s="111">
        <v>0</v>
      </c>
      <c r="I168" s="111">
        <v>0</v>
      </c>
      <c r="J168" s="111">
        <v>0</v>
      </c>
      <c r="K168" s="111">
        <v>0</v>
      </c>
      <c r="L168" s="111">
        <v>0</v>
      </c>
      <c r="M168" s="111">
        <v>0</v>
      </c>
      <c r="N168" s="111">
        <v>0</v>
      </c>
      <c r="O168" s="111">
        <v>0</v>
      </c>
      <c r="P168" s="111">
        <v>0</v>
      </c>
      <c r="Q168" s="111">
        <v>0</v>
      </c>
      <c r="R168" s="111">
        <v>0</v>
      </c>
      <c r="S168" s="111">
        <v>0</v>
      </c>
      <c r="T168" s="111">
        <v>0</v>
      </c>
      <c r="U168" s="111">
        <v>0</v>
      </c>
      <c r="V168" s="111">
        <v>0</v>
      </c>
      <c r="W168" s="111">
        <v>0</v>
      </c>
      <c r="X168" s="111">
        <v>0</v>
      </c>
      <c r="Y168" s="111">
        <v>0</v>
      </c>
      <c r="Z168" s="111">
        <v>0</v>
      </c>
      <c r="AA168" s="111">
        <v>0</v>
      </c>
      <c r="AB168" s="111">
        <v>0</v>
      </c>
      <c r="AC168" s="111">
        <v>0</v>
      </c>
      <c r="AD168" s="111">
        <v>0</v>
      </c>
      <c r="AE168" s="111">
        <v>0</v>
      </c>
      <c r="AF168" s="111">
        <v>0</v>
      </c>
      <c r="AG168" s="111">
        <v>0</v>
      </c>
      <c r="AH168" s="111">
        <v>0</v>
      </c>
      <c r="AI168" s="111">
        <v>0</v>
      </c>
      <c r="AJ168" s="111">
        <v>0</v>
      </c>
      <c r="AK168" s="111">
        <v>0</v>
      </c>
      <c r="AL168" s="111">
        <v>0</v>
      </c>
      <c r="AM168" s="111">
        <v>0</v>
      </c>
      <c r="AN168" s="111">
        <v>0</v>
      </c>
      <c r="AO168" s="111">
        <v>0</v>
      </c>
      <c r="AP168" s="111">
        <v>0</v>
      </c>
      <c r="AQ168" s="111">
        <v>0</v>
      </c>
      <c r="AR168" s="111">
        <v>0</v>
      </c>
      <c r="AS168" s="111">
        <v>0</v>
      </c>
      <c r="AT168" s="111">
        <v>0</v>
      </c>
      <c r="AU168" s="111">
        <v>0</v>
      </c>
      <c r="AV168" s="111">
        <v>0</v>
      </c>
      <c r="AW168" s="111">
        <v>0</v>
      </c>
      <c r="AX168" s="111">
        <v>0</v>
      </c>
      <c r="AY168" s="111">
        <v>0</v>
      </c>
    </row>
    <row r="169" spans="1:52" x14ac:dyDescent="0.2">
      <c r="A169" s="114"/>
      <c r="B169" s="135">
        <v>48</v>
      </c>
      <c r="C169" s="111"/>
      <c r="D169" s="111">
        <v>0</v>
      </c>
      <c r="E169" s="111">
        <v>0</v>
      </c>
      <c r="F169" s="111">
        <v>0</v>
      </c>
      <c r="G169" s="111">
        <v>0</v>
      </c>
      <c r="H169" s="111">
        <v>0</v>
      </c>
      <c r="I169" s="111">
        <v>0</v>
      </c>
      <c r="J169" s="111">
        <v>0</v>
      </c>
      <c r="K169" s="111">
        <v>0</v>
      </c>
      <c r="L169" s="111">
        <v>0</v>
      </c>
      <c r="M169" s="111">
        <v>0</v>
      </c>
      <c r="N169" s="111">
        <v>0</v>
      </c>
      <c r="O169" s="111">
        <v>0</v>
      </c>
      <c r="P169" s="111">
        <v>0</v>
      </c>
      <c r="Q169" s="111">
        <v>0</v>
      </c>
      <c r="R169" s="111">
        <v>0</v>
      </c>
      <c r="S169" s="111">
        <v>0</v>
      </c>
      <c r="T169" s="111">
        <v>0</v>
      </c>
      <c r="U169" s="111">
        <v>0</v>
      </c>
      <c r="V169" s="111">
        <v>0</v>
      </c>
      <c r="W169" s="111">
        <v>0</v>
      </c>
      <c r="X169" s="111">
        <v>0</v>
      </c>
      <c r="Y169" s="111">
        <v>0</v>
      </c>
      <c r="Z169" s="111">
        <v>0</v>
      </c>
      <c r="AA169" s="111">
        <v>0</v>
      </c>
      <c r="AB169" s="111">
        <v>0</v>
      </c>
      <c r="AC169" s="111">
        <v>0</v>
      </c>
      <c r="AD169" s="111">
        <v>0</v>
      </c>
      <c r="AE169" s="111">
        <v>0</v>
      </c>
      <c r="AF169" s="111">
        <v>0</v>
      </c>
      <c r="AG169" s="111">
        <v>0</v>
      </c>
      <c r="AH169" s="111">
        <v>0</v>
      </c>
      <c r="AI169" s="111">
        <v>0</v>
      </c>
      <c r="AJ169" s="111">
        <v>0</v>
      </c>
      <c r="AK169" s="111">
        <v>0</v>
      </c>
      <c r="AL169" s="111">
        <v>0</v>
      </c>
      <c r="AM169" s="111">
        <v>0</v>
      </c>
      <c r="AN169" s="111">
        <v>0</v>
      </c>
      <c r="AO169" s="111">
        <v>0</v>
      </c>
      <c r="AP169" s="111">
        <v>0</v>
      </c>
      <c r="AQ169" s="111">
        <v>0</v>
      </c>
      <c r="AR169" s="111">
        <v>0</v>
      </c>
      <c r="AS169" s="111">
        <v>0</v>
      </c>
      <c r="AT169" s="111">
        <v>0</v>
      </c>
      <c r="AU169" s="111">
        <v>0</v>
      </c>
      <c r="AV169" s="111">
        <v>0</v>
      </c>
      <c r="AW169" s="111">
        <v>0</v>
      </c>
      <c r="AX169" s="111">
        <v>0</v>
      </c>
      <c r="AY169" s="111">
        <v>0</v>
      </c>
    </row>
    <row r="170" spans="1:52" x14ac:dyDescent="0.2">
      <c r="A170" s="133"/>
      <c r="B170" s="137" t="s">
        <v>298</v>
      </c>
      <c r="C170" s="119"/>
      <c r="D170" s="130">
        <v>0</v>
      </c>
      <c r="E170" s="130">
        <v>0</v>
      </c>
      <c r="F170" s="130">
        <v>0</v>
      </c>
      <c r="G170" s="130">
        <v>0</v>
      </c>
      <c r="H170" s="130">
        <v>0</v>
      </c>
      <c r="I170" s="130">
        <v>0</v>
      </c>
      <c r="J170" s="130">
        <v>0</v>
      </c>
      <c r="K170" s="130">
        <v>0</v>
      </c>
      <c r="L170" s="130">
        <v>0</v>
      </c>
      <c r="M170" s="130">
        <v>0</v>
      </c>
      <c r="N170" s="130">
        <v>0</v>
      </c>
      <c r="O170" s="130">
        <v>0</v>
      </c>
      <c r="P170" s="130">
        <v>0</v>
      </c>
      <c r="Q170" s="130">
        <v>0</v>
      </c>
      <c r="R170" s="130">
        <v>0</v>
      </c>
      <c r="S170" s="130">
        <v>0</v>
      </c>
      <c r="T170" s="130">
        <v>0</v>
      </c>
      <c r="U170" s="130">
        <v>0</v>
      </c>
      <c r="V170" s="130">
        <v>0</v>
      </c>
      <c r="W170" s="130">
        <v>0</v>
      </c>
      <c r="X170" s="130">
        <v>0</v>
      </c>
      <c r="Y170" s="130">
        <v>0</v>
      </c>
      <c r="Z170" s="130">
        <v>0</v>
      </c>
      <c r="AA170" s="130">
        <v>0</v>
      </c>
      <c r="AB170" s="130">
        <v>0</v>
      </c>
      <c r="AC170" s="130">
        <v>0</v>
      </c>
      <c r="AD170" s="130">
        <v>0</v>
      </c>
      <c r="AE170" s="130">
        <v>0</v>
      </c>
      <c r="AF170" s="130">
        <v>0</v>
      </c>
      <c r="AG170" s="130">
        <v>0</v>
      </c>
      <c r="AH170" s="130">
        <v>0</v>
      </c>
      <c r="AI170" s="130">
        <v>0</v>
      </c>
      <c r="AJ170" s="130">
        <v>0</v>
      </c>
      <c r="AK170" s="130">
        <v>0</v>
      </c>
      <c r="AL170" s="130">
        <v>0</v>
      </c>
      <c r="AM170" s="130">
        <v>0</v>
      </c>
      <c r="AN170" s="130">
        <v>0</v>
      </c>
      <c r="AO170" s="130">
        <v>0</v>
      </c>
      <c r="AP170" s="130">
        <v>0</v>
      </c>
      <c r="AQ170" s="130">
        <v>0</v>
      </c>
      <c r="AR170" s="130">
        <v>0</v>
      </c>
      <c r="AS170" s="130">
        <v>0</v>
      </c>
      <c r="AT170" s="130">
        <v>0</v>
      </c>
      <c r="AU170" s="130">
        <v>0</v>
      </c>
      <c r="AV170" s="130">
        <v>0</v>
      </c>
      <c r="AW170" s="130">
        <v>0</v>
      </c>
      <c r="AX170" s="130">
        <v>0</v>
      </c>
      <c r="AY170" s="130">
        <v>0</v>
      </c>
      <c r="AZ170" s="112">
        <f>SUM($D170:$AY170)</f>
        <v>0</v>
      </c>
    </row>
    <row r="172" spans="1:52" x14ac:dyDescent="0.2">
      <c r="A172" s="107" t="s">
        <v>124</v>
      </c>
      <c r="B172" s="138" t="s">
        <v>299</v>
      </c>
      <c r="C172" s="139"/>
      <c r="D172" s="139">
        <v>0.23</v>
      </c>
      <c r="E172" s="139">
        <v>0.23</v>
      </c>
      <c r="F172" s="139">
        <v>0.23</v>
      </c>
      <c r="G172" s="139">
        <v>0.23</v>
      </c>
      <c r="H172" s="139">
        <v>0.23</v>
      </c>
      <c r="I172" s="139">
        <v>0.23</v>
      </c>
      <c r="J172" s="139">
        <v>0.23</v>
      </c>
      <c r="K172" s="139">
        <v>0.23</v>
      </c>
      <c r="L172" s="139">
        <v>0.23</v>
      </c>
      <c r="M172" s="139">
        <v>0.23</v>
      </c>
      <c r="N172" s="139">
        <v>0.23</v>
      </c>
      <c r="O172" s="139">
        <v>0.23</v>
      </c>
      <c r="P172" s="139">
        <v>0.23</v>
      </c>
      <c r="Q172" s="139">
        <v>0.23</v>
      </c>
      <c r="R172" s="139">
        <v>0.23</v>
      </c>
      <c r="S172" s="139">
        <v>0.23</v>
      </c>
      <c r="T172" s="139">
        <v>0.23</v>
      </c>
      <c r="U172" s="139">
        <v>0.23</v>
      </c>
      <c r="V172" s="139">
        <v>0.23</v>
      </c>
      <c r="W172" s="139">
        <v>0.23</v>
      </c>
      <c r="X172" s="139">
        <v>0.23</v>
      </c>
      <c r="Y172" s="139">
        <v>0.23</v>
      </c>
      <c r="Z172" s="139">
        <v>0.23</v>
      </c>
      <c r="AA172" s="139">
        <v>0.23</v>
      </c>
      <c r="AB172" s="139">
        <v>0.23</v>
      </c>
      <c r="AC172" s="139">
        <v>0.23</v>
      </c>
      <c r="AD172" s="139">
        <v>0.23</v>
      </c>
      <c r="AE172" s="139">
        <v>0.23</v>
      </c>
      <c r="AF172" s="139">
        <v>0.23</v>
      </c>
      <c r="AG172" s="139">
        <v>0.23</v>
      </c>
      <c r="AH172" s="139">
        <v>0.23</v>
      </c>
      <c r="AI172" s="139">
        <v>0.23</v>
      </c>
      <c r="AJ172" s="139">
        <v>0.23</v>
      </c>
      <c r="AK172" s="139">
        <v>0.23</v>
      </c>
      <c r="AL172" s="139">
        <v>0.23</v>
      </c>
      <c r="AM172" s="139">
        <v>0.23</v>
      </c>
      <c r="AN172" s="139">
        <v>0.23</v>
      </c>
      <c r="AO172" s="139">
        <v>0.23</v>
      </c>
      <c r="AP172" s="139">
        <v>0.23</v>
      </c>
      <c r="AQ172" s="139">
        <v>0.23</v>
      </c>
      <c r="AR172" s="139">
        <v>0.23</v>
      </c>
      <c r="AS172" s="139">
        <v>0.23</v>
      </c>
      <c r="AT172" s="139">
        <v>0.23</v>
      </c>
      <c r="AU172" s="139">
        <v>0.23</v>
      </c>
      <c r="AV172" s="139">
        <v>0.23</v>
      </c>
      <c r="AW172" s="139">
        <v>0.23</v>
      </c>
      <c r="AX172" s="139">
        <v>0.23</v>
      </c>
      <c r="AY172" s="139">
        <v>0.23</v>
      </c>
    </row>
    <row r="174" spans="1:52" x14ac:dyDescent="0.2">
      <c r="A174" s="107" t="s">
        <v>274</v>
      </c>
    </row>
    <row r="175" spans="1:52" x14ac:dyDescent="0.2">
      <c r="A175" s="140" t="s">
        <v>125</v>
      </c>
      <c r="B175" s="140" t="s">
        <v>300</v>
      </c>
      <c r="C175" s="129" t="s">
        <v>295</v>
      </c>
      <c r="D175" s="129">
        <f t="shared" ref="D175:AY175" si="1">SUM(D95:D98)</f>
        <v>132.15822784810126</v>
      </c>
      <c r="E175" s="129">
        <f t="shared" si="1"/>
        <v>172.31645569620252</v>
      </c>
      <c r="F175" s="129">
        <f t="shared" si="1"/>
        <v>228.47468354430379</v>
      </c>
      <c r="G175" s="129">
        <f t="shared" si="1"/>
        <v>237.63291139240505</v>
      </c>
      <c r="H175" s="129">
        <f t="shared" si="1"/>
        <v>259.79113924050631</v>
      </c>
      <c r="I175" s="129">
        <f t="shared" si="1"/>
        <v>316.94936708860757</v>
      </c>
      <c r="J175" s="129">
        <f t="shared" si="1"/>
        <v>362.10759493670884</v>
      </c>
      <c r="K175" s="129">
        <f t="shared" si="1"/>
        <v>371.2658227848101</v>
      </c>
      <c r="L175" s="129">
        <f t="shared" si="1"/>
        <v>405.20822784810127</v>
      </c>
      <c r="M175" s="129">
        <f t="shared" si="1"/>
        <v>421.15063291139239</v>
      </c>
      <c r="N175" s="129">
        <f t="shared" si="1"/>
        <v>430.09303797468357</v>
      </c>
      <c r="O175" s="129">
        <f t="shared" si="1"/>
        <v>441.03544303797474</v>
      </c>
      <c r="P175" s="129">
        <f t="shared" si="1"/>
        <v>486.19367088607601</v>
      </c>
      <c r="Q175" s="129">
        <f t="shared" si="1"/>
        <v>502.20126582278488</v>
      </c>
      <c r="R175" s="129">
        <f t="shared" si="1"/>
        <v>515.41708860759491</v>
      </c>
      <c r="S175" s="129">
        <f t="shared" si="1"/>
        <v>528.63291139240505</v>
      </c>
      <c r="T175" s="129">
        <f t="shared" si="1"/>
        <v>528.63291139240505</v>
      </c>
      <c r="U175" s="129">
        <f t="shared" si="1"/>
        <v>528.63291139240505</v>
      </c>
      <c r="V175" s="129">
        <f t="shared" si="1"/>
        <v>528.63291139240505</v>
      </c>
      <c r="W175" s="129">
        <f t="shared" si="1"/>
        <v>528.63291139240505</v>
      </c>
      <c r="X175" s="129">
        <f t="shared" si="1"/>
        <v>528.63291139240505</v>
      </c>
      <c r="Y175" s="129">
        <f t="shared" si="1"/>
        <v>528.63291139240505</v>
      </c>
      <c r="Z175" s="129">
        <f t="shared" si="1"/>
        <v>528.63291139240505</v>
      </c>
      <c r="AA175" s="129">
        <f t="shared" si="1"/>
        <v>528.63291139240505</v>
      </c>
      <c r="AB175" s="129">
        <f t="shared" si="1"/>
        <v>528.63291139240505</v>
      </c>
      <c r="AC175" s="129">
        <f t="shared" si="1"/>
        <v>528.63291139240505</v>
      </c>
      <c r="AD175" s="129">
        <f t="shared" si="1"/>
        <v>528.63291139240505</v>
      </c>
      <c r="AE175" s="129">
        <f t="shared" si="1"/>
        <v>528.63291139240505</v>
      </c>
      <c r="AF175" s="129">
        <f t="shared" si="1"/>
        <v>528.63291139240505</v>
      </c>
      <c r="AG175" s="129">
        <f t="shared" si="1"/>
        <v>528.63291139240505</v>
      </c>
      <c r="AH175" s="129">
        <f t="shared" si="1"/>
        <v>528.63291139240505</v>
      </c>
      <c r="AI175" s="129">
        <f t="shared" si="1"/>
        <v>528.63291139240505</v>
      </c>
      <c r="AJ175" s="129">
        <f t="shared" si="1"/>
        <v>541.84873417721519</v>
      </c>
      <c r="AK175" s="129">
        <f t="shared" si="1"/>
        <v>555.06455696202534</v>
      </c>
      <c r="AL175" s="129">
        <f t="shared" si="1"/>
        <v>568.28037974683548</v>
      </c>
      <c r="AM175" s="129">
        <f t="shared" si="1"/>
        <v>581.49620253164562</v>
      </c>
      <c r="AN175" s="129">
        <f t="shared" si="1"/>
        <v>568.28037974683548</v>
      </c>
      <c r="AO175" s="129">
        <f t="shared" si="1"/>
        <v>555.06455696202534</v>
      </c>
      <c r="AP175" s="129">
        <f t="shared" si="1"/>
        <v>541.84873417721519</v>
      </c>
      <c r="AQ175" s="129">
        <f t="shared" si="1"/>
        <v>528.63291139240505</v>
      </c>
      <c r="AR175" s="129">
        <f t="shared" si="1"/>
        <v>541.84873417721519</v>
      </c>
      <c r="AS175" s="129">
        <f t="shared" si="1"/>
        <v>555.06455696202534</v>
      </c>
      <c r="AT175" s="129">
        <f t="shared" si="1"/>
        <v>568.28037974683548</v>
      </c>
      <c r="AU175" s="129">
        <f t="shared" si="1"/>
        <v>578.65443037974683</v>
      </c>
      <c r="AV175" s="129">
        <f t="shared" si="1"/>
        <v>568.28037974683548</v>
      </c>
      <c r="AW175" s="129">
        <f t="shared" si="1"/>
        <v>555.06455696202534</v>
      </c>
      <c r="AX175" s="129">
        <f t="shared" si="1"/>
        <v>541.84873417721519</v>
      </c>
      <c r="AY175" s="129">
        <f t="shared" si="1"/>
        <v>528.63291139240505</v>
      </c>
    </row>
    <row r="176" spans="1:52" x14ac:dyDescent="0.2">
      <c r="A176" s="130"/>
      <c r="B176" s="141" t="s">
        <v>301</v>
      </c>
      <c r="C176" s="130" t="s">
        <v>295</v>
      </c>
      <c r="D176" s="130">
        <v>92</v>
      </c>
      <c r="E176" s="130">
        <v>76</v>
      </c>
      <c r="F176" s="130">
        <v>123</v>
      </c>
      <c r="G176" s="130">
        <v>110</v>
      </c>
      <c r="H176" s="130">
        <v>75</v>
      </c>
      <c r="I176" s="130">
        <v>87</v>
      </c>
      <c r="J176" s="130">
        <v>123</v>
      </c>
      <c r="K176" s="130">
        <v>85</v>
      </c>
      <c r="L176" s="130">
        <v>103</v>
      </c>
      <c r="M176" s="130">
        <v>110</v>
      </c>
      <c r="N176" s="130">
        <v>108</v>
      </c>
      <c r="O176" s="130">
        <v>87</v>
      </c>
      <c r="P176" s="130">
        <v>114</v>
      </c>
      <c r="Q176" s="130">
        <v>78</v>
      </c>
      <c r="R176" s="130">
        <v>111</v>
      </c>
      <c r="S176" s="130">
        <v>97</v>
      </c>
      <c r="T176" s="130">
        <v>117</v>
      </c>
      <c r="U176" s="130">
        <v>121</v>
      </c>
      <c r="V176" s="130">
        <v>108</v>
      </c>
      <c r="W176" s="130">
        <v>103</v>
      </c>
      <c r="X176" s="130">
        <v>120</v>
      </c>
      <c r="Y176" s="130">
        <v>129</v>
      </c>
      <c r="Z176" s="130">
        <v>128</v>
      </c>
      <c r="AA176" s="130">
        <v>124</v>
      </c>
      <c r="AB176" s="130">
        <v>103</v>
      </c>
      <c r="AC176" s="130">
        <v>129</v>
      </c>
      <c r="AD176" s="130">
        <v>110</v>
      </c>
      <c r="AE176" s="130">
        <v>92</v>
      </c>
      <c r="AF176" s="130">
        <v>93</v>
      </c>
      <c r="AG176" s="130">
        <v>105</v>
      </c>
      <c r="AH176" s="130">
        <v>128</v>
      </c>
      <c r="AI176" s="130">
        <v>97</v>
      </c>
      <c r="AJ176" s="130">
        <v>108</v>
      </c>
      <c r="AK176" s="130">
        <v>129</v>
      </c>
      <c r="AL176" s="130">
        <v>128</v>
      </c>
      <c r="AM176" s="130">
        <v>122</v>
      </c>
      <c r="AN176" s="130">
        <v>82</v>
      </c>
      <c r="AO176" s="130">
        <v>81</v>
      </c>
      <c r="AP176" s="130">
        <v>113</v>
      </c>
      <c r="AQ176" s="130">
        <v>102</v>
      </c>
      <c r="AR176" s="130">
        <v>109</v>
      </c>
      <c r="AS176" s="130">
        <v>84</v>
      </c>
      <c r="AT176" s="130">
        <v>135</v>
      </c>
      <c r="AU176" s="130">
        <v>107</v>
      </c>
      <c r="AV176" s="130">
        <v>133</v>
      </c>
      <c r="AW176" s="130">
        <v>87</v>
      </c>
      <c r="AX176" s="130">
        <v>108</v>
      </c>
      <c r="AY176" s="130">
        <v>123</v>
      </c>
    </row>
    <row r="177" spans="1:51" x14ac:dyDescent="0.2">
      <c r="A177" s="140" t="s">
        <v>133</v>
      </c>
      <c r="B177" s="140" t="s">
        <v>300</v>
      </c>
      <c r="C177" s="129" t="s">
        <v>295</v>
      </c>
      <c r="D177" s="129">
        <f t="shared" ref="D177:AY177" si="2">SUM(D100:D107)</f>
        <v>0</v>
      </c>
      <c r="E177" s="129">
        <f t="shared" si="2"/>
        <v>284.15300546448077</v>
      </c>
      <c r="F177" s="129">
        <f t="shared" si="2"/>
        <v>291.49477761637951</v>
      </c>
      <c r="G177" s="129">
        <f t="shared" si="2"/>
        <v>313.83654976827825</v>
      </c>
      <c r="H177" s="129">
        <f t="shared" si="2"/>
        <v>341.17832192017698</v>
      </c>
      <c r="I177" s="129">
        <f t="shared" si="2"/>
        <v>358.52009407207572</v>
      </c>
      <c r="J177" s="129">
        <f t="shared" si="2"/>
        <v>388.86186622397446</v>
      </c>
      <c r="K177" s="129">
        <f t="shared" si="2"/>
        <v>388.2036383758732</v>
      </c>
      <c r="L177" s="129">
        <f t="shared" si="2"/>
        <v>383.54541052777193</v>
      </c>
      <c r="M177" s="129">
        <f t="shared" si="2"/>
        <v>385.88718267967067</v>
      </c>
      <c r="N177" s="129">
        <f t="shared" si="2"/>
        <v>379.89477761637954</v>
      </c>
      <c r="O177" s="129">
        <f t="shared" si="2"/>
        <v>389.90237255308841</v>
      </c>
      <c r="P177" s="129">
        <f t="shared" si="2"/>
        <v>402.90996748979728</v>
      </c>
      <c r="Q177" s="129">
        <f t="shared" si="2"/>
        <v>400.91756242650615</v>
      </c>
      <c r="R177" s="129">
        <f t="shared" si="2"/>
        <v>408.25933457840489</v>
      </c>
      <c r="S177" s="129">
        <f t="shared" si="2"/>
        <v>398.60110673030363</v>
      </c>
      <c r="T177" s="129">
        <f t="shared" si="2"/>
        <v>311.60110673030363</v>
      </c>
      <c r="U177" s="129">
        <f t="shared" si="2"/>
        <v>452.28465103410105</v>
      </c>
      <c r="V177" s="129">
        <f t="shared" si="2"/>
        <v>463.62642318599978</v>
      </c>
      <c r="W177" s="129">
        <f t="shared" si="2"/>
        <v>490.96819533789852</v>
      </c>
      <c r="X177" s="129">
        <f t="shared" si="2"/>
        <v>483.30996748979726</v>
      </c>
      <c r="Y177" s="129">
        <f t="shared" si="2"/>
        <v>497.651739641696</v>
      </c>
      <c r="Z177" s="129">
        <f t="shared" si="2"/>
        <v>534.99351179359473</v>
      </c>
      <c r="AA177" s="129">
        <f t="shared" si="2"/>
        <v>551.33528394549353</v>
      </c>
      <c r="AB177" s="129">
        <f t="shared" si="2"/>
        <v>562.67705609739232</v>
      </c>
      <c r="AC177" s="129">
        <f t="shared" si="2"/>
        <v>578.018828249291</v>
      </c>
      <c r="AD177" s="129">
        <f t="shared" si="2"/>
        <v>579.36060040118969</v>
      </c>
      <c r="AE177" s="129">
        <f t="shared" si="2"/>
        <v>584.70237255308848</v>
      </c>
      <c r="AF177" s="129">
        <f t="shared" si="2"/>
        <v>602.04414470498727</v>
      </c>
      <c r="AG177" s="129">
        <f t="shared" si="2"/>
        <v>617.38591685688596</v>
      </c>
      <c r="AH177" s="129">
        <f t="shared" si="2"/>
        <v>638.72768900878475</v>
      </c>
      <c r="AI177" s="129">
        <f t="shared" si="2"/>
        <v>641.06946116068343</v>
      </c>
      <c r="AJ177" s="129">
        <f t="shared" si="2"/>
        <v>647.41123331258223</v>
      </c>
      <c r="AK177" s="129">
        <f t="shared" si="2"/>
        <v>656.75300546448102</v>
      </c>
      <c r="AL177" s="129">
        <f t="shared" si="2"/>
        <v>687.42895483156951</v>
      </c>
      <c r="AM177" s="129">
        <f t="shared" si="2"/>
        <v>709.10490419865801</v>
      </c>
      <c r="AN177" s="129">
        <f t="shared" si="2"/>
        <v>728.78085356574684</v>
      </c>
      <c r="AO177" s="129">
        <f t="shared" si="2"/>
        <v>756.45680293283544</v>
      </c>
      <c r="AP177" s="129">
        <f t="shared" si="2"/>
        <v>752.79857508473413</v>
      </c>
      <c r="AQ177" s="129">
        <f t="shared" si="2"/>
        <v>781.14034723663269</v>
      </c>
      <c r="AR177" s="129">
        <f t="shared" si="2"/>
        <v>775.4821193885316</v>
      </c>
      <c r="AS177" s="129">
        <f t="shared" si="2"/>
        <v>802.82389154043028</v>
      </c>
      <c r="AT177" s="129">
        <f t="shared" si="2"/>
        <v>844.49984090751889</v>
      </c>
      <c r="AU177" s="129">
        <f t="shared" si="2"/>
        <v>860.17579027460749</v>
      </c>
      <c r="AV177" s="129">
        <f t="shared" si="2"/>
        <v>868.0708860759496</v>
      </c>
      <c r="AW177" s="129">
        <f t="shared" si="2"/>
        <v>868.0708860759496</v>
      </c>
      <c r="AX177" s="129">
        <f t="shared" si="2"/>
        <v>868.0708860759496</v>
      </c>
      <c r="AY177" s="129">
        <f t="shared" si="2"/>
        <v>868.07088607594937</v>
      </c>
    </row>
    <row r="178" spans="1:51" x14ac:dyDescent="0.2">
      <c r="A178" s="130"/>
      <c r="B178" s="141" t="s">
        <v>301</v>
      </c>
      <c r="C178" s="130" t="s">
        <v>295</v>
      </c>
      <c r="D178" s="130">
        <v>0</v>
      </c>
      <c r="E178" s="130">
        <v>96</v>
      </c>
      <c r="F178" s="130">
        <v>81</v>
      </c>
      <c r="G178" s="130">
        <v>76</v>
      </c>
      <c r="H178" s="130">
        <v>86</v>
      </c>
      <c r="I178" s="130">
        <v>73</v>
      </c>
      <c r="J178" s="130">
        <v>104</v>
      </c>
      <c r="K178" s="130">
        <v>108</v>
      </c>
      <c r="L178" s="130">
        <v>101</v>
      </c>
      <c r="M178" s="130">
        <v>99</v>
      </c>
      <c r="N178" s="130">
        <v>83</v>
      </c>
      <c r="O178" s="130">
        <v>80</v>
      </c>
      <c r="P178" s="130">
        <v>95</v>
      </c>
      <c r="Q178" s="130">
        <v>96</v>
      </c>
      <c r="R178" s="130">
        <v>113</v>
      </c>
      <c r="S178" s="130">
        <v>87</v>
      </c>
      <c r="T178" s="130">
        <v>66</v>
      </c>
      <c r="U178" s="130">
        <v>92</v>
      </c>
      <c r="V178" s="130">
        <v>76</v>
      </c>
      <c r="W178" s="130">
        <v>111</v>
      </c>
      <c r="X178" s="130">
        <v>89</v>
      </c>
      <c r="Y178" s="130">
        <v>66</v>
      </c>
      <c r="Z178" s="130">
        <v>87</v>
      </c>
      <c r="AA178" s="130">
        <v>92</v>
      </c>
      <c r="AB178" s="130">
        <v>88</v>
      </c>
      <c r="AC178" s="130">
        <v>102</v>
      </c>
      <c r="AD178" s="130">
        <v>98</v>
      </c>
      <c r="AE178" s="130">
        <v>86</v>
      </c>
      <c r="AF178" s="130">
        <v>88</v>
      </c>
      <c r="AG178" s="130">
        <v>82</v>
      </c>
      <c r="AH178" s="130">
        <v>101</v>
      </c>
      <c r="AI178" s="130">
        <v>97</v>
      </c>
      <c r="AJ178" s="130">
        <v>94</v>
      </c>
      <c r="AK178" s="130">
        <v>83</v>
      </c>
      <c r="AL178" s="130">
        <v>92</v>
      </c>
      <c r="AM178" s="130">
        <v>94</v>
      </c>
      <c r="AN178" s="130">
        <v>86</v>
      </c>
      <c r="AO178" s="130">
        <v>107</v>
      </c>
      <c r="AP178" s="130">
        <v>75</v>
      </c>
      <c r="AQ178" s="130">
        <v>109</v>
      </c>
      <c r="AR178" s="130">
        <v>76</v>
      </c>
      <c r="AS178" s="130">
        <v>72</v>
      </c>
      <c r="AT178" s="130">
        <v>98</v>
      </c>
      <c r="AU178" s="130">
        <v>92</v>
      </c>
      <c r="AV178" s="130">
        <v>86</v>
      </c>
      <c r="AW178" s="130">
        <v>92</v>
      </c>
      <c r="AX178" s="130">
        <v>91</v>
      </c>
      <c r="AY178" s="130">
        <v>89</v>
      </c>
    </row>
    <row r="179" spans="1:51" x14ac:dyDescent="0.2">
      <c r="A179" s="140" t="s">
        <v>134</v>
      </c>
      <c r="B179" s="140" t="s">
        <v>300</v>
      </c>
      <c r="C179" s="129" t="s">
        <v>295</v>
      </c>
      <c r="D179" s="129">
        <f t="shared" ref="D179:AY179" si="3">SUM(D109:D120)</f>
        <v>0</v>
      </c>
      <c r="E179" s="129">
        <f t="shared" si="3"/>
        <v>66.358521647307285</v>
      </c>
      <c r="F179" s="129">
        <f t="shared" si="3"/>
        <v>116.00333039047671</v>
      </c>
      <c r="G179" s="129">
        <f t="shared" si="3"/>
        <v>155.09844107496525</v>
      </c>
      <c r="H179" s="129">
        <f t="shared" si="3"/>
        <v>191.8551979493287</v>
      </c>
      <c r="I179" s="129">
        <f t="shared" si="3"/>
        <v>253.66142238989585</v>
      </c>
      <c r="J179" s="129">
        <f t="shared" si="3"/>
        <v>302.85573685643988</v>
      </c>
      <c r="K179" s="129">
        <f t="shared" si="3"/>
        <v>328.22888064298598</v>
      </c>
      <c r="L179" s="129">
        <f t="shared" si="3"/>
        <v>369.72972300593381</v>
      </c>
      <c r="M179" s="129">
        <f t="shared" si="3"/>
        <v>423.08889327271089</v>
      </c>
      <c r="N179" s="129">
        <f t="shared" si="3"/>
        <v>485.79897602543656</v>
      </c>
      <c r="O179" s="129">
        <f t="shared" si="3"/>
        <v>546.67376139234261</v>
      </c>
      <c r="P179" s="129">
        <f t="shared" si="3"/>
        <v>591.74536777216758</v>
      </c>
      <c r="Q179" s="129">
        <f t="shared" si="3"/>
        <v>613.60852633194008</v>
      </c>
      <c r="R179" s="129">
        <f t="shared" si="3"/>
        <v>643.98118007027233</v>
      </c>
      <c r="S179" s="129">
        <f t="shared" si="3"/>
        <v>670.48164509609524</v>
      </c>
      <c r="T179" s="129">
        <f t="shared" si="3"/>
        <v>692.80052481328619</v>
      </c>
      <c r="U179" s="129">
        <f t="shared" si="3"/>
        <v>675.69458384283064</v>
      </c>
      <c r="V179" s="129">
        <f t="shared" si="3"/>
        <v>688.16310549013792</v>
      </c>
      <c r="W179" s="129">
        <f t="shared" si="3"/>
        <v>707.25738880587176</v>
      </c>
      <c r="X179" s="129">
        <f t="shared" si="3"/>
        <v>755.77350860629429</v>
      </c>
      <c r="Y179" s="129">
        <f t="shared" si="3"/>
        <v>810.89444249992675</v>
      </c>
      <c r="Z179" s="129">
        <f t="shared" si="3"/>
        <v>871.89108324533095</v>
      </c>
      <c r="AA179" s="129">
        <f t="shared" si="3"/>
        <v>907.89201826659973</v>
      </c>
      <c r="AB179" s="129">
        <f t="shared" si="3"/>
        <v>923.54625988028386</v>
      </c>
      <c r="AC179" s="129">
        <f t="shared" si="3"/>
        <v>949.05354757012799</v>
      </c>
      <c r="AD179" s="129">
        <f t="shared" si="3"/>
        <v>982.62768073861514</v>
      </c>
      <c r="AE179" s="129">
        <f t="shared" si="3"/>
        <v>987.73328492565759</v>
      </c>
      <c r="AF179" s="129">
        <f t="shared" si="3"/>
        <v>1013.0881217969874</v>
      </c>
      <c r="AG179" s="129">
        <f t="shared" si="3"/>
        <v>1036.8448678352188</v>
      </c>
      <c r="AH179" s="129">
        <f t="shared" si="3"/>
        <v>1056.6510839319642</v>
      </c>
      <c r="AI179" s="129">
        <f t="shared" si="3"/>
        <v>1080.9253919737655</v>
      </c>
      <c r="AJ179" s="129">
        <f t="shared" si="3"/>
        <v>1124.3601308132597</v>
      </c>
      <c r="AK179" s="129">
        <f t="shared" si="3"/>
        <v>1169.9084013669776</v>
      </c>
      <c r="AL179" s="129">
        <f t="shared" si="3"/>
        <v>1187.9240913406477</v>
      </c>
      <c r="AM179" s="129">
        <f t="shared" si="3"/>
        <v>1212.7951942676809</v>
      </c>
      <c r="AN179" s="129">
        <f t="shared" si="3"/>
        <v>1245.65870528852</v>
      </c>
      <c r="AO179" s="129">
        <f t="shared" si="3"/>
        <v>1261.11996495178</v>
      </c>
      <c r="AP179" s="129">
        <f t="shared" si="3"/>
        <v>1277.6246370044232</v>
      </c>
      <c r="AQ179" s="129">
        <f t="shared" si="3"/>
        <v>1296.1172365968907</v>
      </c>
      <c r="AR179" s="129">
        <f t="shared" si="3"/>
        <v>1311.3105403950228</v>
      </c>
      <c r="AS179" s="129">
        <f t="shared" si="3"/>
        <v>1331.5533864315173</v>
      </c>
      <c r="AT179" s="129">
        <f t="shared" si="3"/>
        <v>1345.3343799915503</v>
      </c>
      <c r="AU179" s="129">
        <f t="shared" si="3"/>
        <v>1346.9752471447082</v>
      </c>
      <c r="AV179" s="129">
        <f t="shared" si="3"/>
        <v>1338.1182169645722</v>
      </c>
      <c r="AW179" s="129">
        <f t="shared" si="3"/>
        <v>1306.7889680581618</v>
      </c>
      <c r="AX179" s="129">
        <f t="shared" si="3"/>
        <v>1290.992299731799</v>
      </c>
      <c r="AY179" s="129">
        <f t="shared" si="3"/>
        <v>1271.7333651204995</v>
      </c>
    </row>
    <row r="180" spans="1:51" x14ac:dyDescent="0.2">
      <c r="A180" s="130"/>
      <c r="B180" s="141" t="s">
        <v>301</v>
      </c>
      <c r="C180" s="130" t="s">
        <v>295</v>
      </c>
      <c r="D180" s="130">
        <v>0</v>
      </c>
      <c r="E180" s="130">
        <v>66.358521647307285</v>
      </c>
      <c r="F180" s="130">
        <v>72</v>
      </c>
      <c r="G180" s="130">
        <v>78</v>
      </c>
      <c r="H180" s="130">
        <v>56</v>
      </c>
      <c r="I180" s="130">
        <v>59</v>
      </c>
      <c r="J180" s="130">
        <v>86</v>
      </c>
      <c r="K180" s="130">
        <v>76</v>
      </c>
      <c r="L180" s="130">
        <v>73</v>
      </c>
      <c r="M180" s="130">
        <v>73</v>
      </c>
      <c r="N180" s="130">
        <v>80</v>
      </c>
      <c r="O180" s="130">
        <v>80</v>
      </c>
      <c r="P180" s="130">
        <v>80</v>
      </c>
      <c r="Q180" s="130">
        <v>78</v>
      </c>
      <c r="R180" s="130">
        <v>65</v>
      </c>
      <c r="S180" s="130">
        <v>67</v>
      </c>
      <c r="T180" s="130">
        <v>86</v>
      </c>
      <c r="U180" s="130">
        <v>90</v>
      </c>
      <c r="V180" s="130">
        <v>95</v>
      </c>
      <c r="W180" s="130">
        <v>72</v>
      </c>
      <c r="X180" s="130">
        <v>80</v>
      </c>
      <c r="Y180" s="130">
        <v>58</v>
      </c>
      <c r="Z180" s="130">
        <v>83</v>
      </c>
      <c r="AA180" s="130">
        <v>93</v>
      </c>
      <c r="AB180" s="130">
        <v>83</v>
      </c>
      <c r="AC180" s="130">
        <v>67</v>
      </c>
      <c r="AD180" s="130">
        <v>82</v>
      </c>
      <c r="AE180" s="130">
        <v>73</v>
      </c>
      <c r="AF180" s="130">
        <v>69</v>
      </c>
      <c r="AG180" s="130">
        <v>76</v>
      </c>
      <c r="AH180" s="130">
        <v>84</v>
      </c>
      <c r="AI180" s="130">
        <v>68</v>
      </c>
      <c r="AJ180" s="130">
        <v>72</v>
      </c>
      <c r="AK180" s="130">
        <v>84</v>
      </c>
      <c r="AL180" s="130">
        <v>87</v>
      </c>
      <c r="AM180" s="130">
        <v>78</v>
      </c>
      <c r="AN180" s="130">
        <v>79</v>
      </c>
      <c r="AO180" s="130">
        <v>71</v>
      </c>
      <c r="AP180" s="130">
        <v>77</v>
      </c>
      <c r="AQ180" s="130">
        <v>79</v>
      </c>
      <c r="AR180" s="130">
        <v>80</v>
      </c>
      <c r="AS180" s="130">
        <v>95</v>
      </c>
      <c r="AT180" s="130">
        <v>72</v>
      </c>
      <c r="AU180" s="130">
        <v>72</v>
      </c>
      <c r="AV180" s="130">
        <v>58</v>
      </c>
      <c r="AW180" s="130">
        <v>90</v>
      </c>
      <c r="AX180" s="130">
        <v>79</v>
      </c>
      <c r="AY180" s="130">
        <v>89</v>
      </c>
    </row>
    <row r="181" spans="1:51" x14ac:dyDescent="0.2">
      <c r="A181" s="140" t="s">
        <v>123</v>
      </c>
      <c r="B181" s="140" t="s">
        <v>300</v>
      </c>
      <c r="C181" s="129" t="s">
        <v>295</v>
      </c>
      <c r="D181" s="129">
        <f t="shared" ref="D181:AY181" si="4">(1-D172)*SUM(D122:D169)</f>
        <v>222.15678986272439</v>
      </c>
      <c r="E181" s="129">
        <f t="shared" si="4"/>
        <v>388.35897565507418</v>
      </c>
      <c r="F181" s="129">
        <f t="shared" si="4"/>
        <v>371.92710968285292</v>
      </c>
      <c r="G181" s="129">
        <f t="shared" si="4"/>
        <v>384.18566431852116</v>
      </c>
      <c r="H181" s="129">
        <f t="shared" si="4"/>
        <v>394.39475138798571</v>
      </c>
      <c r="I181" s="129">
        <f t="shared" si="4"/>
        <v>362.21574843147334</v>
      </c>
      <c r="J181" s="129">
        <f t="shared" si="4"/>
        <v>372.85791615495884</v>
      </c>
      <c r="K181" s="129">
        <f t="shared" si="4"/>
        <v>393.37238530204269</v>
      </c>
      <c r="L181" s="129">
        <f t="shared" si="4"/>
        <v>423.02852654529732</v>
      </c>
      <c r="M181" s="129">
        <f t="shared" si="4"/>
        <v>454.33375530260327</v>
      </c>
      <c r="N181" s="129">
        <f t="shared" si="4"/>
        <v>471.62428144572891</v>
      </c>
      <c r="O181" s="129">
        <f t="shared" si="4"/>
        <v>418.7179865759357</v>
      </c>
      <c r="P181" s="129">
        <f t="shared" si="4"/>
        <v>341.02013952619495</v>
      </c>
      <c r="Q181" s="129">
        <f t="shared" si="4"/>
        <v>362.81279729789446</v>
      </c>
      <c r="R181" s="129">
        <f t="shared" si="4"/>
        <v>306.32764378210317</v>
      </c>
      <c r="S181" s="129">
        <f t="shared" si="4"/>
        <v>299.02407557494382</v>
      </c>
      <c r="T181" s="129">
        <f t="shared" si="4"/>
        <v>230.64532805543112</v>
      </c>
      <c r="U181" s="129">
        <f t="shared" si="4"/>
        <v>343.04678986272449</v>
      </c>
      <c r="V181" s="129">
        <f t="shared" si="4"/>
        <v>381.96781805702227</v>
      </c>
      <c r="W181" s="129">
        <f t="shared" si="4"/>
        <v>403.46700976663152</v>
      </c>
      <c r="X181" s="129">
        <f t="shared" si="4"/>
        <v>452.3613873830306</v>
      </c>
      <c r="Y181" s="129">
        <f t="shared" si="4"/>
        <v>398.38005814765802</v>
      </c>
      <c r="Z181" s="129">
        <f t="shared" si="4"/>
        <v>398.39443463642095</v>
      </c>
      <c r="AA181" s="129">
        <f t="shared" si="4"/>
        <v>363.75550453276855</v>
      </c>
      <c r="AB181" s="129">
        <f t="shared" si="4"/>
        <v>363.2635283529562</v>
      </c>
      <c r="AC181" s="129">
        <f t="shared" si="4"/>
        <v>336.70470669450066</v>
      </c>
      <c r="AD181" s="129">
        <f t="shared" si="4"/>
        <v>291.61441401748988</v>
      </c>
      <c r="AE181" s="129">
        <f t="shared" si="4"/>
        <v>329.27488865619165</v>
      </c>
      <c r="AF181" s="129">
        <f t="shared" si="4"/>
        <v>310.53345412799189</v>
      </c>
      <c r="AG181" s="129">
        <f t="shared" si="4"/>
        <v>320.74254954127821</v>
      </c>
      <c r="AH181" s="129">
        <f t="shared" si="4"/>
        <v>362.48355300950863</v>
      </c>
      <c r="AI181" s="129">
        <f t="shared" si="4"/>
        <v>373.064125680046</v>
      </c>
      <c r="AJ181" s="129">
        <f t="shared" si="4"/>
        <v>393.53116663635984</v>
      </c>
      <c r="AK181" s="129">
        <f t="shared" si="4"/>
        <v>341.53078817272143</v>
      </c>
      <c r="AL181" s="129">
        <f t="shared" si="4"/>
        <v>374.52499675571988</v>
      </c>
      <c r="AM181" s="129">
        <f t="shared" si="4"/>
        <v>372.98053736462879</v>
      </c>
      <c r="AN181" s="129">
        <f t="shared" si="4"/>
        <v>415.02513679082756</v>
      </c>
      <c r="AO181" s="129">
        <f t="shared" si="4"/>
        <v>391.95947834900062</v>
      </c>
      <c r="AP181" s="129">
        <f t="shared" si="4"/>
        <v>353.52442134879391</v>
      </c>
      <c r="AQ181" s="129">
        <f t="shared" si="4"/>
        <v>380.13942745863471</v>
      </c>
      <c r="AR181" s="129">
        <f t="shared" si="4"/>
        <v>378.30298216321211</v>
      </c>
      <c r="AS181" s="129">
        <f t="shared" si="4"/>
        <v>366.87891928573669</v>
      </c>
      <c r="AT181" s="129">
        <f t="shared" si="4"/>
        <v>367.97689087008064</v>
      </c>
      <c r="AU181" s="129">
        <f t="shared" si="4"/>
        <v>343.41232899002551</v>
      </c>
      <c r="AV181" s="129">
        <f t="shared" si="4"/>
        <v>288.64628986272447</v>
      </c>
      <c r="AW181" s="129">
        <f t="shared" si="4"/>
        <v>288.64628986272442</v>
      </c>
      <c r="AX181" s="129">
        <f t="shared" si="4"/>
        <v>310.04943305702221</v>
      </c>
      <c r="AY181" s="129">
        <f t="shared" si="4"/>
        <v>314.20985331663144</v>
      </c>
    </row>
    <row r="182" spans="1:51" x14ac:dyDescent="0.2">
      <c r="A182" s="130"/>
      <c r="B182" s="141" t="s">
        <v>301</v>
      </c>
      <c r="C182" s="130" t="s">
        <v>295</v>
      </c>
      <c r="D182" s="130">
        <v>222.15678986272439</v>
      </c>
      <c r="E182" s="130">
        <v>272.35206679776439</v>
      </c>
      <c r="F182" s="130">
        <v>240</v>
      </c>
      <c r="G182" s="130">
        <v>239</v>
      </c>
      <c r="H182" s="130">
        <v>291</v>
      </c>
      <c r="I182" s="130">
        <v>245</v>
      </c>
      <c r="J182" s="130">
        <v>229</v>
      </c>
      <c r="K182" s="130">
        <v>211</v>
      </c>
      <c r="L182" s="130">
        <v>200</v>
      </c>
      <c r="M182" s="130">
        <v>201</v>
      </c>
      <c r="N182" s="130">
        <v>287</v>
      </c>
      <c r="O182" s="130">
        <v>335</v>
      </c>
      <c r="P182" s="130">
        <v>229</v>
      </c>
      <c r="Q182" s="130">
        <v>332</v>
      </c>
      <c r="R182" s="130">
        <v>285</v>
      </c>
      <c r="S182" s="130">
        <v>288</v>
      </c>
      <c r="T182" s="130">
        <v>230.64532805543112</v>
      </c>
      <c r="U182" s="130">
        <v>214</v>
      </c>
      <c r="V182" s="130">
        <v>225</v>
      </c>
      <c r="W182" s="130">
        <v>183</v>
      </c>
      <c r="X182" s="130">
        <v>302</v>
      </c>
      <c r="Y182" s="130">
        <v>248</v>
      </c>
      <c r="Z182" s="130">
        <v>293</v>
      </c>
      <c r="AA182" s="130">
        <v>259</v>
      </c>
      <c r="AB182" s="130">
        <v>293</v>
      </c>
      <c r="AC182" s="130">
        <v>325</v>
      </c>
      <c r="AD182" s="130">
        <v>231</v>
      </c>
      <c r="AE182" s="130">
        <v>293</v>
      </c>
      <c r="AF182" s="130">
        <v>261</v>
      </c>
      <c r="AG182" s="130">
        <v>217</v>
      </c>
      <c r="AH182" s="130">
        <v>245</v>
      </c>
      <c r="AI182" s="130">
        <v>229</v>
      </c>
      <c r="AJ182" s="130">
        <v>317</v>
      </c>
      <c r="AK182" s="130">
        <v>230</v>
      </c>
      <c r="AL182" s="130">
        <v>265</v>
      </c>
      <c r="AM182" s="130">
        <v>237</v>
      </c>
      <c r="AN182" s="130">
        <v>309</v>
      </c>
      <c r="AO182" s="130">
        <v>328</v>
      </c>
      <c r="AP182" s="130">
        <v>255</v>
      </c>
      <c r="AQ182" s="130">
        <v>284</v>
      </c>
      <c r="AR182" s="130">
        <v>297</v>
      </c>
      <c r="AS182" s="130">
        <v>292</v>
      </c>
      <c r="AT182" s="130">
        <v>325</v>
      </c>
      <c r="AU182" s="130">
        <v>343.41232899002551</v>
      </c>
      <c r="AV182" s="130">
        <v>288.64628986272447</v>
      </c>
      <c r="AW182" s="130">
        <v>253</v>
      </c>
      <c r="AX182" s="130">
        <v>269</v>
      </c>
      <c r="AY182" s="130">
        <v>224</v>
      </c>
    </row>
    <row r="184" spans="1:51" x14ac:dyDescent="0.2">
      <c r="A184" s="107" t="s">
        <v>302</v>
      </c>
    </row>
    <row r="185" spans="1:51" x14ac:dyDescent="0.2">
      <c r="A185" s="131" t="s">
        <v>125</v>
      </c>
      <c r="B185" s="128">
        <v>1</v>
      </c>
      <c r="C185" s="129"/>
      <c r="D185" s="129">
        <v>92</v>
      </c>
      <c r="E185" s="129">
        <v>35.841772151898738</v>
      </c>
      <c r="F185" s="129">
        <v>26.683544303797476</v>
      </c>
      <c r="G185" s="129">
        <v>4.5253164556962133</v>
      </c>
      <c r="H185" s="129">
        <v>0</v>
      </c>
      <c r="I185" s="129">
        <v>0</v>
      </c>
      <c r="J185" s="129">
        <v>0</v>
      </c>
      <c r="K185" s="129">
        <v>0</v>
      </c>
      <c r="L185" s="129">
        <v>0</v>
      </c>
      <c r="M185" s="129">
        <v>0</v>
      </c>
      <c r="N185" s="129">
        <v>0</v>
      </c>
      <c r="O185" s="129">
        <v>0</v>
      </c>
      <c r="P185" s="129">
        <v>0</v>
      </c>
      <c r="Q185" s="129">
        <v>0</v>
      </c>
      <c r="R185" s="129">
        <v>0</v>
      </c>
      <c r="S185" s="129">
        <v>0</v>
      </c>
      <c r="T185" s="129">
        <v>0</v>
      </c>
      <c r="U185" s="129">
        <v>0</v>
      </c>
      <c r="V185" s="129">
        <v>0</v>
      </c>
      <c r="W185" s="129">
        <v>0</v>
      </c>
      <c r="X185" s="129">
        <v>0</v>
      </c>
      <c r="Y185" s="129">
        <v>0</v>
      </c>
      <c r="Z185" s="129">
        <v>0</v>
      </c>
      <c r="AA185" s="129">
        <v>0</v>
      </c>
      <c r="AB185" s="129">
        <v>0</v>
      </c>
      <c r="AC185" s="129">
        <v>0</v>
      </c>
      <c r="AD185" s="129">
        <v>0</v>
      </c>
      <c r="AE185" s="129">
        <v>0</v>
      </c>
      <c r="AF185" s="129">
        <v>0</v>
      </c>
      <c r="AG185" s="129">
        <v>0</v>
      </c>
      <c r="AH185" s="129">
        <v>0</v>
      </c>
      <c r="AI185" s="129">
        <v>0</v>
      </c>
      <c r="AJ185" s="129">
        <v>0</v>
      </c>
      <c r="AK185" s="129">
        <v>0</v>
      </c>
      <c r="AL185" s="129">
        <v>0</v>
      </c>
      <c r="AM185" s="129">
        <v>0</v>
      </c>
      <c r="AN185" s="129">
        <v>0</v>
      </c>
      <c r="AO185" s="129">
        <v>0</v>
      </c>
      <c r="AP185" s="129">
        <v>0</v>
      </c>
      <c r="AQ185" s="129">
        <v>0</v>
      </c>
      <c r="AR185" s="129">
        <v>0</v>
      </c>
      <c r="AS185" s="129">
        <v>0</v>
      </c>
      <c r="AT185" s="129">
        <v>0</v>
      </c>
      <c r="AU185" s="129">
        <v>0</v>
      </c>
      <c r="AV185" s="129">
        <v>0</v>
      </c>
      <c r="AW185" s="129">
        <v>0</v>
      </c>
      <c r="AX185" s="129">
        <v>0</v>
      </c>
      <c r="AY185" s="129">
        <v>0</v>
      </c>
    </row>
    <row r="186" spans="1:51" x14ac:dyDescent="0.2">
      <c r="A186" s="114"/>
      <c r="B186" s="125">
        <v>2</v>
      </c>
      <c r="C186" s="111"/>
      <c r="D186" s="111">
        <v>0</v>
      </c>
      <c r="E186" s="111">
        <v>40.158227848101262</v>
      </c>
      <c r="F186" s="111">
        <v>96.316455696202524</v>
      </c>
      <c r="G186" s="111">
        <v>105.47468354430379</v>
      </c>
      <c r="H186" s="111">
        <v>75</v>
      </c>
      <c r="I186" s="111">
        <v>34.367088607594951</v>
      </c>
      <c r="J186" s="111">
        <v>25.208860759493689</v>
      </c>
      <c r="K186" s="111">
        <v>0</v>
      </c>
      <c r="L186" s="111">
        <v>0</v>
      </c>
      <c r="M186" s="111">
        <v>0</v>
      </c>
      <c r="N186" s="111">
        <v>0</v>
      </c>
      <c r="O186" s="111">
        <v>0</v>
      </c>
      <c r="P186" s="111">
        <v>0</v>
      </c>
      <c r="Q186" s="111">
        <v>0</v>
      </c>
      <c r="R186" s="111">
        <v>0</v>
      </c>
      <c r="S186" s="111">
        <v>0</v>
      </c>
      <c r="T186" s="111">
        <v>0</v>
      </c>
      <c r="U186" s="111">
        <v>0</v>
      </c>
      <c r="V186" s="111">
        <v>0</v>
      </c>
      <c r="W186" s="111">
        <v>0</v>
      </c>
      <c r="X186" s="111">
        <v>0</v>
      </c>
      <c r="Y186" s="111">
        <v>0</v>
      </c>
      <c r="Z186" s="111">
        <v>0</v>
      </c>
      <c r="AA186" s="111">
        <v>0</v>
      </c>
      <c r="AB186" s="111">
        <v>0</v>
      </c>
      <c r="AC186" s="111">
        <v>0</v>
      </c>
      <c r="AD186" s="111">
        <v>0</v>
      </c>
      <c r="AE186" s="111">
        <v>0</v>
      </c>
      <c r="AF186" s="111">
        <v>0</v>
      </c>
      <c r="AG186" s="111">
        <v>0</v>
      </c>
      <c r="AH186" s="111">
        <v>0</v>
      </c>
      <c r="AI186" s="111">
        <v>0</v>
      </c>
      <c r="AJ186" s="111">
        <v>0</v>
      </c>
      <c r="AK186" s="111">
        <v>0</v>
      </c>
      <c r="AL186" s="111">
        <v>0</v>
      </c>
      <c r="AM186" s="111">
        <v>0</v>
      </c>
      <c r="AN186" s="111">
        <v>0</v>
      </c>
      <c r="AO186" s="111">
        <v>0</v>
      </c>
      <c r="AP186" s="111">
        <v>0</v>
      </c>
      <c r="AQ186" s="111">
        <v>0</v>
      </c>
      <c r="AR186" s="111">
        <v>0</v>
      </c>
      <c r="AS186" s="111">
        <v>0</v>
      </c>
      <c r="AT186" s="111">
        <v>0</v>
      </c>
      <c r="AU186" s="111">
        <v>0</v>
      </c>
      <c r="AV186" s="111">
        <v>0</v>
      </c>
      <c r="AW186" s="111">
        <v>0</v>
      </c>
      <c r="AX186" s="111">
        <v>0</v>
      </c>
      <c r="AY186" s="111">
        <v>0</v>
      </c>
    </row>
    <row r="187" spans="1:51" x14ac:dyDescent="0.2">
      <c r="A187" s="114"/>
      <c r="B187" s="132">
        <v>3</v>
      </c>
      <c r="C187" s="111"/>
      <c r="D187" s="111">
        <v>0</v>
      </c>
      <c r="E187" s="111">
        <v>0</v>
      </c>
      <c r="F187" s="111">
        <v>0</v>
      </c>
      <c r="G187" s="111">
        <v>0</v>
      </c>
      <c r="H187" s="111">
        <v>0</v>
      </c>
      <c r="I187" s="111">
        <v>52.632911392405049</v>
      </c>
      <c r="J187" s="111">
        <v>97.791139240506311</v>
      </c>
      <c r="K187" s="111">
        <v>85</v>
      </c>
      <c r="L187" s="111">
        <v>81.050632911392427</v>
      </c>
      <c r="M187" s="111">
        <v>58.892405063291164</v>
      </c>
      <c r="N187" s="111">
        <v>34.734177215189902</v>
      </c>
      <c r="O187" s="111">
        <v>2.7917721518987406</v>
      </c>
      <c r="P187" s="111">
        <v>0</v>
      </c>
      <c r="Q187" s="111">
        <v>0</v>
      </c>
      <c r="R187" s="111">
        <v>0</v>
      </c>
      <c r="S187" s="111">
        <v>0</v>
      </c>
      <c r="T187" s="111">
        <v>0</v>
      </c>
      <c r="U187" s="111">
        <v>0</v>
      </c>
      <c r="V187" s="111">
        <v>0</v>
      </c>
      <c r="W187" s="111">
        <v>0</v>
      </c>
      <c r="X187" s="111">
        <v>0</v>
      </c>
      <c r="Y187" s="111">
        <v>0</v>
      </c>
      <c r="Z187" s="111">
        <v>0</v>
      </c>
      <c r="AA187" s="111">
        <v>0</v>
      </c>
      <c r="AB187" s="111">
        <v>0</v>
      </c>
      <c r="AC187" s="111">
        <v>0</v>
      </c>
      <c r="AD187" s="111">
        <v>0</v>
      </c>
      <c r="AE187" s="111">
        <v>0</v>
      </c>
      <c r="AF187" s="111">
        <v>0</v>
      </c>
      <c r="AG187" s="111">
        <v>0</v>
      </c>
      <c r="AH187" s="111">
        <v>0</v>
      </c>
      <c r="AI187" s="111">
        <v>0</v>
      </c>
      <c r="AJ187" s="111">
        <v>0</v>
      </c>
      <c r="AK187" s="111">
        <v>0</v>
      </c>
      <c r="AL187" s="111">
        <v>0</v>
      </c>
      <c r="AM187" s="111">
        <v>0</v>
      </c>
      <c r="AN187" s="111">
        <v>0</v>
      </c>
      <c r="AO187" s="111">
        <v>0</v>
      </c>
      <c r="AP187" s="111">
        <v>0</v>
      </c>
      <c r="AQ187" s="111">
        <v>0</v>
      </c>
      <c r="AR187" s="111">
        <v>0</v>
      </c>
      <c r="AS187" s="111">
        <v>0</v>
      </c>
      <c r="AT187" s="111">
        <v>2.8417721518987378</v>
      </c>
      <c r="AU187" s="111">
        <v>0</v>
      </c>
      <c r="AV187" s="111">
        <v>0</v>
      </c>
      <c r="AW187" s="111">
        <v>0</v>
      </c>
      <c r="AX187" s="111">
        <v>0</v>
      </c>
      <c r="AY187" s="111">
        <v>0</v>
      </c>
    </row>
    <row r="188" spans="1:51" x14ac:dyDescent="0.2">
      <c r="A188" s="133"/>
      <c r="B188" s="134">
        <v>4</v>
      </c>
      <c r="C188" s="111"/>
      <c r="D188" s="111">
        <v>0</v>
      </c>
      <c r="E188" s="111">
        <v>0</v>
      </c>
      <c r="F188" s="111">
        <v>0</v>
      </c>
      <c r="G188" s="111">
        <v>0</v>
      </c>
      <c r="H188" s="111">
        <v>0</v>
      </c>
      <c r="I188" s="111">
        <v>0</v>
      </c>
      <c r="J188" s="111">
        <v>0</v>
      </c>
      <c r="K188" s="111">
        <v>0</v>
      </c>
      <c r="L188" s="111">
        <v>21.949367088607573</v>
      </c>
      <c r="M188" s="111">
        <v>51.107594936708836</v>
      </c>
      <c r="N188" s="111">
        <v>73.265822784810098</v>
      </c>
      <c r="O188" s="111">
        <v>84.208227848101259</v>
      </c>
      <c r="P188" s="111">
        <v>114</v>
      </c>
      <c r="Q188" s="111">
        <v>78</v>
      </c>
      <c r="R188" s="111">
        <v>111</v>
      </c>
      <c r="S188" s="111">
        <v>97</v>
      </c>
      <c r="T188" s="111">
        <v>117</v>
      </c>
      <c r="U188" s="111">
        <v>121</v>
      </c>
      <c r="V188" s="111">
        <v>108</v>
      </c>
      <c r="W188" s="111">
        <v>103</v>
      </c>
      <c r="X188" s="111">
        <v>120</v>
      </c>
      <c r="Y188" s="111">
        <v>129</v>
      </c>
      <c r="Z188" s="111">
        <v>128</v>
      </c>
      <c r="AA188" s="111">
        <v>124</v>
      </c>
      <c r="AB188" s="111">
        <v>103</v>
      </c>
      <c r="AC188" s="111">
        <v>129</v>
      </c>
      <c r="AD188" s="111">
        <v>110</v>
      </c>
      <c r="AE188" s="111">
        <v>92</v>
      </c>
      <c r="AF188" s="111">
        <v>93</v>
      </c>
      <c r="AG188" s="111">
        <v>105</v>
      </c>
      <c r="AH188" s="111">
        <v>128</v>
      </c>
      <c r="AI188" s="111">
        <v>97</v>
      </c>
      <c r="AJ188" s="111">
        <v>108</v>
      </c>
      <c r="AK188" s="111">
        <v>129</v>
      </c>
      <c r="AL188" s="111">
        <v>128</v>
      </c>
      <c r="AM188" s="111">
        <v>122</v>
      </c>
      <c r="AN188" s="111">
        <v>82</v>
      </c>
      <c r="AO188" s="111">
        <v>81</v>
      </c>
      <c r="AP188" s="111">
        <v>113</v>
      </c>
      <c r="AQ188" s="111">
        <v>102</v>
      </c>
      <c r="AR188" s="111">
        <v>109</v>
      </c>
      <c r="AS188" s="111">
        <v>84</v>
      </c>
      <c r="AT188" s="111">
        <v>132.15822784810126</v>
      </c>
      <c r="AU188" s="111">
        <v>107</v>
      </c>
      <c r="AV188" s="111">
        <v>133</v>
      </c>
      <c r="AW188" s="111">
        <v>87</v>
      </c>
      <c r="AX188" s="111">
        <v>108</v>
      </c>
      <c r="AY188" s="111">
        <v>123</v>
      </c>
    </row>
    <row r="189" spans="1:51" x14ac:dyDescent="0.2">
      <c r="A189" s="131" t="s">
        <v>133</v>
      </c>
      <c r="B189" s="128">
        <v>1</v>
      </c>
      <c r="C189" s="129"/>
      <c r="D189" s="129">
        <v>0</v>
      </c>
      <c r="E189" s="129">
        <v>96</v>
      </c>
      <c r="F189" s="129">
        <v>0</v>
      </c>
      <c r="G189" s="129">
        <v>0</v>
      </c>
      <c r="H189" s="129">
        <v>0</v>
      </c>
      <c r="I189" s="129">
        <v>0</v>
      </c>
      <c r="J189" s="129">
        <v>0</v>
      </c>
      <c r="K189" s="129">
        <v>0</v>
      </c>
      <c r="L189" s="129">
        <v>0</v>
      </c>
      <c r="M189" s="129">
        <v>0</v>
      </c>
      <c r="N189" s="129">
        <v>0</v>
      </c>
      <c r="O189" s="129">
        <v>0</v>
      </c>
      <c r="P189" s="129">
        <v>0</v>
      </c>
      <c r="Q189" s="129">
        <v>0</v>
      </c>
      <c r="R189" s="129">
        <v>0</v>
      </c>
      <c r="S189" s="129">
        <v>0</v>
      </c>
      <c r="T189" s="129">
        <v>0</v>
      </c>
      <c r="U189" s="129">
        <v>0</v>
      </c>
      <c r="V189" s="129">
        <v>0</v>
      </c>
      <c r="W189" s="129">
        <v>0</v>
      </c>
      <c r="X189" s="129">
        <v>0</v>
      </c>
      <c r="Y189" s="129">
        <v>0</v>
      </c>
      <c r="Z189" s="129">
        <v>0</v>
      </c>
      <c r="AA189" s="129">
        <v>0</v>
      </c>
      <c r="AB189" s="129">
        <v>0</v>
      </c>
      <c r="AC189" s="129">
        <v>0</v>
      </c>
      <c r="AD189" s="129">
        <v>0</v>
      </c>
      <c r="AE189" s="129">
        <v>0</v>
      </c>
      <c r="AF189" s="129">
        <v>0</v>
      </c>
      <c r="AG189" s="129">
        <v>0</v>
      </c>
      <c r="AH189" s="129">
        <v>0</v>
      </c>
      <c r="AI189" s="129">
        <v>0</v>
      </c>
      <c r="AJ189" s="129">
        <v>0</v>
      </c>
      <c r="AK189" s="129">
        <v>0</v>
      </c>
      <c r="AL189" s="129">
        <v>0</v>
      </c>
      <c r="AM189" s="129">
        <v>0</v>
      </c>
      <c r="AN189" s="129">
        <v>0</v>
      </c>
      <c r="AO189" s="129">
        <v>0</v>
      </c>
      <c r="AP189" s="129">
        <v>0</v>
      </c>
      <c r="AQ189" s="129">
        <v>0</v>
      </c>
      <c r="AR189" s="129">
        <v>0</v>
      </c>
      <c r="AS189" s="129">
        <v>0</v>
      </c>
      <c r="AT189" s="129">
        <v>0</v>
      </c>
      <c r="AU189" s="129">
        <v>0</v>
      </c>
      <c r="AV189" s="129">
        <v>0</v>
      </c>
      <c r="AW189" s="129">
        <v>0</v>
      </c>
      <c r="AX189" s="129">
        <v>0</v>
      </c>
      <c r="AY189" s="129">
        <v>0</v>
      </c>
    </row>
    <row r="190" spans="1:51" x14ac:dyDescent="0.2">
      <c r="A190" s="114"/>
      <c r="B190" s="124">
        <v>2</v>
      </c>
      <c r="C190" s="111"/>
      <c r="D190" s="111">
        <v>0</v>
      </c>
      <c r="E190" s="111">
        <v>0</v>
      </c>
      <c r="F190" s="111">
        <v>81</v>
      </c>
      <c r="G190" s="111">
        <v>0</v>
      </c>
      <c r="H190" s="111">
        <v>0</v>
      </c>
      <c r="I190" s="111">
        <v>0</v>
      </c>
      <c r="J190" s="111">
        <v>0</v>
      </c>
      <c r="K190" s="111">
        <v>0</v>
      </c>
      <c r="L190" s="111">
        <v>0</v>
      </c>
      <c r="M190" s="111">
        <v>0</v>
      </c>
      <c r="N190" s="111">
        <v>0</v>
      </c>
      <c r="O190" s="111">
        <v>0</v>
      </c>
      <c r="P190" s="111">
        <v>0</v>
      </c>
      <c r="Q190" s="111">
        <v>0</v>
      </c>
      <c r="R190" s="111">
        <v>0</v>
      </c>
      <c r="S190" s="111">
        <v>0</v>
      </c>
      <c r="T190" s="111">
        <v>0</v>
      </c>
      <c r="U190" s="111">
        <v>0</v>
      </c>
      <c r="V190" s="111">
        <v>0</v>
      </c>
      <c r="W190" s="111">
        <v>0</v>
      </c>
      <c r="X190" s="111">
        <v>0</v>
      </c>
      <c r="Y190" s="111">
        <v>0</v>
      </c>
      <c r="Z190" s="111">
        <v>0</v>
      </c>
      <c r="AA190" s="111">
        <v>0</v>
      </c>
      <c r="AB190" s="111">
        <v>0</v>
      </c>
      <c r="AC190" s="111">
        <v>0</v>
      </c>
      <c r="AD190" s="111">
        <v>0</v>
      </c>
      <c r="AE190" s="111">
        <v>0</v>
      </c>
      <c r="AF190" s="111">
        <v>0</v>
      </c>
      <c r="AG190" s="111">
        <v>0</v>
      </c>
      <c r="AH190" s="111">
        <v>0</v>
      </c>
      <c r="AI190" s="111">
        <v>0</v>
      </c>
      <c r="AJ190" s="111">
        <v>0</v>
      </c>
      <c r="AK190" s="111">
        <v>0</v>
      </c>
      <c r="AL190" s="111">
        <v>0</v>
      </c>
      <c r="AM190" s="111">
        <v>0</v>
      </c>
      <c r="AN190" s="111">
        <v>0</v>
      </c>
      <c r="AO190" s="111">
        <v>0</v>
      </c>
      <c r="AP190" s="111">
        <v>0</v>
      </c>
      <c r="AQ190" s="111">
        <v>0</v>
      </c>
      <c r="AR190" s="111">
        <v>0</v>
      </c>
      <c r="AS190" s="111">
        <v>0</v>
      </c>
      <c r="AT190" s="111">
        <v>0</v>
      </c>
      <c r="AU190" s="111">
        <v>0</v>
      </c>
      <c r="AV190" s="111">
        <v>0</v>
      </c>
      <c r="AW190" s="111">
        <v>0</v>
      </c>
      <c r="AX190" s="111">
        <v>0</v>
      </c>
      <c r="AY190" s="111">
        <v>0</v>
      </c>
    </row>
    <row r="191" spans="1:51" x14ac:dyDescent="0.2">
      <c r="A191" s="114"/>
      <c r="B191" s="125">
        <v>3</v>
      </c>
      <c r="C191" s="111"/>
      <c r="D191" s="111">
        <v>0</v>
      </c>
      <c r="E191" s="111">
        <v>0</v>
      </c>
      <c r="F191" s="111">
        <v>0</v>
      </c>
      <c r="G191" s="111">
        <v>76</v>
      </c>
      <c r="H191" s="111">
        <v>54.846994535519229</v>
      </c>
      <c r="I191" s="111">
        <v>24.505222383620492</v>
      </c>
      <c r="J191" s="111">
        <v>25.163450231721754</v>
      </c>
      <c r="K191" s="111">
        <v>29.821678079823016</v>
      </c>
      <c r="L191" s="111">
        <v>27.479905927924278</v>
      </c>
      <c r="M191" s="111">
        <v>23.138133776025541</v>
      </c>
      <c r="N191" s="111">
        <v>2.7963616241268028</v>
      </c>
      <c r="O191" s="111">
        <v>0</v>
      </c>
      <c r="P191" s="111">
        <v>0</v>
      </c>
      <c r="Q191" s="111">
        <v>0</v>
      </c>
      <c r="R191" s="111">
        <v>0</v>
      </c>
      <c r="S191" s="111">
        <v>0</v>
      </c>
      <c r="T191" s="111">
        <v>0</v>
      </c>
      <c r="U191" s="111">
        <v>0</v>
      </c>
      <c r="V191" s="111">
        <v>0</v>
      </c>
      <c r="W191" s="111">
        <v>33.398893269696373</v>
      </c>
      <c r="X191" s="111">
        <v>0</v>
      </c>
      <c r="Y191" s="111">
        <v>0</v>
      </c>
      <c r="Z191" s="111">
        <v>0</v>
      </c>
      <c r="AA191" s="111">
        <v>0</v>
      </c>
      <c r="AB191" s="111">
        <v>0</v>
      </c>
      <c r="AC191" s="111">
        <v>0</v>
      </c>
      <c r="AD191" s="111">
        <v>0</v>
      </c>
      <c r="AE191" s="111">
        <v>0</v>
      </c>
      <c r="AF191" s="111">
        <v>0</v>
      </c>
      <c r="AG191" s="111">
        <v>0</v>
      </c>
      <c r="AH191" s="111">
        <v>0</v>
      </c>
      <c r="AI191" s="111">
        <v>0</v>
      </c>
      <c r="AJ191" s="111">
        <v>0</v>
      </c>
      <c r="AK191" s="111">
        <v>0</v>
      </c>
      <c r="AL191" s="111">
        <v>0</v>
      </c>
      <c r="AM191" s="111">
        <v>0</v>
      </c>
      <c r="AN191" s="111">
        <v>0</v>
      </c>
      <c r="AO191" s="111">
        <v>0</v>
      </c>
      <c r="AP191" s="111">
        <v>0</v>
      </c>
      <c r="AQ191" s="111">
        <v>0</v>
      </c>
      <c r="AR191" s="111">
        <v>0</v>
      </c>
      <c r="AS191" s="111">
        <v>0</v>
      </c>
      <c r="AT191" s="111">
        <v>0</v>
      </c>
      <c r="AU191" s="111">
        <v>0</v>
      </c>
      <c r="AV191" s="111">
        <v>0</v>
      </c>
      <c r="AW191" s="111">
        <v>0</v>
      </c>
      <c r="AX191" s="111">
        <v>0</v>
      </c>
      <c r="AY191" s="111">
        <v>0</v>
      </c>
    </row>
    <row r="192" spans="1:51" x14ac:dyDescent="0.2">
      <c r="A192" s="114"/>
      <c r="B192" s="125">
        <v>4</v>
      </c>
      <c r="C192" s="111"/>
      <c r="D192" s="111">
        <v>0</v>
      </c>
      <c r="E192" s="111">
        <v>0</v>
      </c>
      <c r="F192" s="111">
        <v>0</v>
      </c>
      <c r="G192" s="111">
        <v>0</v>
      </c>
      <c r="H192" s="111">
        <v>31.153005464480771</v>
      </c>
      <c r="I192" s="111">
        <v>48.494777616379508</v>
      </c>
      <c r="J192" s="111">
        <v>78.836549768278246</v>
      </c>
      <c r="K192" s="111">
        <v>78.178321920176984</v>
      </c>
      <c r="L192" s="111">
        <v>73.520094072075722</v>
      </c>
      <c r="M192" s="111">
        <v>75.861866223974459</v>
      </c>
      <c r="N192" s="111">
        <v>80.203638375873197</v>
      </c>
      <c r="O192" s="111">
        <v>80</v>
      </c>
      <c r="P192" s="111">
        <v>74.454589472228065</v>
      </c>
      <c r="Q192" s="111">
        <v>67.112817320329327</v>
      </c>
      <c r="R192" s="111">
        <v>87.105222383620458</v>
      </c>
      <c r="S192" s="111">
        <v>81.097627446911588</v>
      </c>
      <c r="T192" s="111">
        <v>54.090032510202718</v>
      </c>
      <c r="U192" s="111">
        <v>53.082437573493849</v>
      </c>
      <c r="V192" s="111">
        <v>25.740665421595111</v>
      </c>
      <c r="W192" s="111">
        <v>0</v>
      </c>
      <c r="X192" s="111">
        <v>89</v>
      </c>
      <c r="Y192" s="111">
        <v>0</v>
      </c>
      <c r="Z192" s="111">
        <v>0</v>
      </c>
      <c r="AA192" s="111">
        <v>0</v>
      </c>
      <c r="AB192" s="111">
        <v>0</v>
      </c>
      <c r="AC192" s="111">
        <v>0</v>
      </c>
      <c r="AD192" s="111">
        <v>0</v>
      </c>
      <c r="AE192" s="111">
        <v>0</v>
      </c>
      <c r="AF192" s="111">
        <v>0</v>
      </c>
      <c r="AG192" s="111">
        <v>0</v>
      </c>
      <c r="AH192" s="111">
        <v>0</v>
      </c>
      <c r="AI192" s="111">
        <v>0</v>
      </c>
      <c r="AJ192" s="111">
        <v>0</v>
      </c>
      <c r="AK192" s="111">
        <v>0</v>
      </c>
      <c r="AL192" s="111">
        <v>0</v>
      </c>
      <c r="AM192" s="111">
        <v>0</v>
      </c>
      <c r="AN192" s="111">
        <v>0</v>
      </c>
      <c r="AO192" s="111">
        <v>0</v>
      </c>
      <c r="AP192" s="111">
        <v>0</v>
      </c>
      <c r="AQ192" s="111">
        <v>0</v>
      </c>
      <c r="AR192" s="111">
        <v>0</v>
      </c>
      <c r="AS192" s="111">
        <v>0</v>
      </c>
      <c r="AT192" s="111">
        <v>0</v>
      </c>
      <c r="AU192" s="111">
        <v>0</v>
      </c>
      <c r="AV192" s="111">
        <v>0</v>
      </c>
      <c r="AW192" s="111">
        <v>0</v>
      </c>
      <c r="AX192" s="111">
        <v>0</v>
      </c>
      <c r="AY192" s="111">
        <v>0</v>
      </c>
    </row>
    <row r="193" spans="1:51" x14ac:dyDescent="0.2">
      <c r="A193" s="114"/>
      <c r="B193" s="132">
        <v>5</v>
      </c>
      <c r="C193" s="111"/>
      <c r="D193" s="111">
        <v>0</v>
      </c>
      <c r="E193" s="111">
        <v>0</v>
      </c>
      <c r="F193" s="111">
        <v>0</v>
      </c>
      <c r="G193" s="111">
        <v>0</v>
      </c>
      <c r="H193" s="111">
        <v>0</v>
      </c>
      <c r="I193" s="111">
        <v>0</v>
      </c>
      <c r="J193" s="111">
        <v>0</v>
      </c>
      <c r="K193" s="111">
        <v>0</v>
      </c>
      <c r="L193" s="111">
        <v>0</v>
      </c>
      <c r="M193" s="111">
        <v>0</v>
      </c>
      <c r="N193" s="111">
        <v>0</v>
      </c>
      <c r="O193" s="111">
        <v>0</v>
      </c>
      <c r="P193" s="111">
        <v>20.545410527771935</v>
      </c>
      <c r="Q193" s="111">
        <v>28.887182679670673</v>
      </c>
      <c r="R193" s="111">
        <v>25.894777616379542</v>
      </c>
      <c r="S193" s="111">
        <v>5.9023725530884121</v>
      </c>
      <c r="T193" s="111">
        <v>11.909967489797282</v>
      </c>
      <c r="U193" s="111">
        <v>38.917562426506151</v>
      </c>
      <c r="V193" s="111">
        <v>50.259334578404889</v>
      </c>
      <c r="W193" s="111">
        <v>77.601106730303627</v>
      </c>
      <c r="X193" s="111">
        <v>0</v>
      </c>
      <c r="Y193" s="111">
        <v>66</v>
      </c>
      <c r="Z193" s="111">
        <v>68.715348965898954</v>
      </c>
      <c r="AA193" s="111">
        <v>57.373576814000216</v>
      </c>
      <c r="AB193" s="111">
        <v>42.031804662101479</v>
      </c>
      <c r="AC193" s="111">
        <v>40.690032510202741</v>
      </c>
      <c r="AD193" s="111">
        <v>35.348260358304003</v>
      </c>
      <c r="AE193" s="111">
        <v>18.006488206405265</v>
      </c>
      <c r="AF193" s="111">
        <v>2.6647160545065276</v>
      </c>
      <c r="AG193" s="111">
        <v>0</v>
      </c>
      <c r="AH193" s="111">
        <v>0</v>
      </c>
      <c r="AI193" s="111">
        <v>0</v>
      </c>
      <c r="AJ193" s="111">
        <v>0</v>
      </c>
      <c r="AK193" s="111">
        <v>0</v>
      </c>
      <c r="AL193" s="111">
        <v>0</v>
      </c>
      <c r="AM193" s="111">
        <v>0</v>
      </c>
      <c r="AN193" s="111">
        <v>0</v>
      </c>
      <c r="AO193" s="111">
        <v>0</v>
      </c>
      <c r="AP193" s="111">
        <v>0</v>
      </c>
      <c r="AQ193" s="111">
        <v>0</v>
      </c>
      <c r="AR193" s="111">
        <v>0</v>
      </c>
      <c r="AS193" s="111">
        <v>0</v>
      </c>
      <c r="AT193" s="111">
        <v>0</v>
      </c>
      <c r="AU193" s="111">
        <v>0</v>
      </c>
      <c r="AV193" s="111">
        <v>0</v>
      </c>
      <c r="AW193" s="111">
        <v>0</v>
      </c>
      <c r="AX193" s="111">
        <v>0</v>
      </c>
      <c r="AY193" s="111">
        <v>0</v>
      </c>
    </row>
    <row r="194" spans="1:51" x14ac:dyDescent="0.2">
      <c r="A194" s="114"/>
      <c r="B194" s="132">
        <v>6</v>
      </c>
      <c r="C194" s="111"/>
      <c r="D194" s="111">
        <v>0</v>
      </c>
      <c r="E194" s="111">
        <v>0</v>
      </c>
      <c r="F194" s="111">
        <v>0</v>
      </c>
      <c r="G194" s="111">
        <v>0</v>
      </c>
      <c r="H194" s="111">
        <v>0</v>
      </c>
      <c r="I194" s="111">
        <v>0</v>
      </c>
      <c r="J194" s="111">
        <v>0</v>
      </c>
      <c r="K194" s="111">
        <v>0</v>
      </c>
      <c r="L194" s="111">
        <v>0</v>
      </c>
      <c r="M194" s="111">
        <v>0</v>
      </c>
      <c r="N194" s="111">
        <v>0</v>
      </c>
      <c r="O194" s="111">
        <v>0</v>
      </c>
      <c r="P194" s="111">
        <v>0</v>
      </c>
      <c r="Q194" s="111">
        <v>0</v>
      </c>
      <c r="R194" s="111">
        <v>0</v>
      </c>
      <c r="S194" s="111">
        <v>0</v>
      </c>
      <c r="T194" s="111">
        <v>0</v>
      </c>
      <c r="U194" s="111">
        <v>0</v>
      </c>
      <c r="V194" s="111">
        <v>0</v>
      </c>
      <c r="W194" s="111">
        <v>0</v>
      </c>
      <c r="X194" s="111">
        <v>0</v>
      </c>
      <c r="Y194" s="111">
        <v>0</v>
      </c>
      <c r="Z194" s="111">
        <v>18.284651034101046</v>
      </c>
      <c r="AA194" s="111">
        <v>34.626423185999784</v>
      </c>
      <c r="AB194" s="111">
        <v>45.968195337898521</v>
      </c>
      <c r="AC194" s="111">
        <v>61.309967489797259</v>
      </c>
      <c r="AD194" s="111">
        <v>62.651739641695997</v>
      </c>
      <c r="AE194" s="111">
        <v>67.993511793594735</v>
      </c>
      <c r="AF194" s="111">
        <v>85.335283945493472</v>
      </c>
      <c r="AG194" s="111">
        <v>82</v>
      </c>
      <c r="AH194" s="111">
        <v>82.32294390260779</v>
      </c>
      <c r="AI194" s="111">
        <v>75.981171750709052</v>
      </c>
      <c r="AJ194" s="111">
        <v>66.639399598810314</v>
      </c>
      <c r="AK194" s="111">
        <v>46.297627446911576</v>
      </c>
      <c r="AL194" s="111">
        <v>34.955855295012839</v>
      </c>
      <c r="AM194" s="111">
        <v>25.614083143114101</v>
      </c>
      <c r="AN194" s="111">
        <v>8.2723109912153632</v>
      </c>
      <c r="AO194" s="111">
        <v>11.930538839316625</v>
      </c>
      <c r="AP194" s="111">
        <v>0</v>
      </c>
      <c r="AQ194" s="111">
        <v>0</v>
      </c>
      <c r="AR194" s="111">
        <v>0</v>
      </c>
      <c r="AS194" s="111">
        <v>0</v>
      </c>
      <c r="AT194" s="111">
        <v>0</v>
      </c>
      <c r="AU194" s="111">
        <v>0</v>
      </c>
      <c r="AV194" s="111">
        <v>0</v>
      </c>
      <c r="AW194" s="111">
        <v>0</v>
      </c>
      <c r="AX194" s="111">
        <v>0</v>
      </c>
      <c r="AY194" s="111">
        <v>0</v>
      </c>
    </row>
    <row r="195" spans="1:51" x14ac:dyDescent="0.2">
      <c r="A195" s="114"/>
      <c r="B195" s="135">
        <v>7</v>
      </c>
      <c r="C195" s="111"/>
      <c r="D195" s="111">
        <v>0</v>
      </c>
      <c r="E195" s="111">
        <v>0</v>
      </c>
      <c r="F195" s="111">
        <v>0</v>
      </c>
      <c r="G195" s="111">
        <v>0</v>
      </c>
      <c r="H195" s="111">
        <v>0</v>
      </c>
      <c r="I195" s="111">
        <v>0</v>
      </c>
      <c r="J195" s="111">
        <v>0</v>
      </c>
      <c r="K195" s="111">
        <v>0</v>
      </c>
      <c r="L195" s="111">
        <v>0</v>
      </c>
      <c r="M195" s="111">
        <v>0</v>
      </c>
      <c r="N195" s="111">
        <v>0</v>
      </c>
      <c r="O195" s="111">
        <v>0</v>
      </c>
      <c r="P195" s="111">
        <v>0</v>
      </c>
      <c r="Q195" s="111">
        <v>0</v>
      </c>
      <c r="R195" s="111">
        <v>0</v>
      </c>
      <c r="S195" s="111">
        <v>0</v>
      </c>
      <c r="T195" s="111">
        <v>0</v>
      </c>
      <c r="U195" s="111">
        <v>0</v>
      </c>
      <c r="V195" s="111">
        <v>0</v>
      </c>
      <c r="W195" s="111">
        <v>0</v>
      </c>
      <c r="X195" s="111">
        <v>0</v>
      </c>
      <c r="Y195" s="111">
        <v>0</v>
      </c>
      <c r="Z195" s="111">
        <v>0</v>
      </c>
      <c r="AA195" s="111">
        <v>0</v>
      </c>
      <c r="AB195" s="111">
        <v>0</v>
      </c>
      <c r="AC195" s="111">
        <v>0</v>
      </c>
      <c r="AD195" s="111">
        <v>0</v>
      </c>
      <c r="AE195" s="111">
        <v>0</v>
      </c>
      <c r="AF195" s="111">
        <v>0</v>
      </c>
      <c r="AG195" s="111">
        <v>0</v>
      </c>
      <c r="AH195" s="111">
        <v>18.67705609739221</v>
      </c>
      <c r="AI195" s="111">
        <v>21.018828249290948</v>
      </c>
      <c r="AJ195" s="111">
        <v>27.360600401189686</v>
      </c>
      <c r="AK195" s="111">
        <v>36.702372553088424</v>
      </c>
      <c r="AL195" s="111">
        <v>57.044144704987161</v>
      </c>
      <c r="AM195" s="111">
        <v>68.385916856885899</v>
      </c>
      <c r="AN195" s="111">
        <v>77.727689008784637</v>
      </c>
      <c r="AO195" s="111">
        <v>95.069461160683375</v>
      </c>
      <c r="AP195" s="111">
        <v>75</v>
      </c>
      <c r="AQ195" s="111">
        <v>92.588766687417888</v>
      </c>
      <c r="AR195" s="111">
        <v>65.24699453551915</v>
      </c>
      <c r="AS195" s="111">
        <v>23.57104516843053</v>
      </c>
      <c r="AT195" s="111">
        <v>7.8950958013419097</v>
      </c>
      <c r="AU195" s="111">
        <v>0</v>
      </c>
      <c r="AV195" s="111">
        <v>0</v>
      </c>
      <c r="AW195" s="111">
        <v>0</v>
      </c>
      <c r="AX195" s="111">
        <v>0</v>
      </c>
      <c r="AY195" s="111">
        <v>0</v>
      </c>
    </row>
    <row r="196" spans="1:51" x14ac:dyDescent="0.2">
      <c r="A196" s="133"/>
      <c r="B196" s="134">
        <v>8</v>
      </c>
      <c r="C196" s="119"/>
      <c r="D196" s="119">
        <v>0</v>
      </c>
      <c r="E196" s="119">
        <v>0</v>
      </c>
      <c r="F196" s="119">
        <v>0</v>
      </c>
      <c r="G196" s="119">
        <v>0</v>
      </c>
      <c r="H196" s="119">
        <v>0</v>
      </c>
      <c r="I196" s="119">
        <v>0</v>
      </c>
      <c r="J196" s="119">
        <v>0</v>
      </c>
      <c r="K196" s="119">
        <v>0</v>
      </c>
      <c r="L196" s="119">
        <v>0</v>
      </c>
      <c r="M196" s="119">
        <v>0</v>
      </c>
      <c r="N196" s="119">
        <v>0</v>
      </c>
      <c r="O196" s="119">
        <v>0</v>
      </c>
      <c r="P196" s="119">
        <v>0</v>
      </c>
      <c r="Q196" s="119">
        <v>0</v>
      </c>
      <c r="R196" s="119">
        <v>0</v>
      </c>
      <c r="S196" s="119">
        <v>0</v>
      </c>
      <c r="T196" s="119">
        <v>0</v>
      </c>
      <c r="U196" s="119">
        <v>0</v>
      </c>
      <c r="V196" s="119">
        <v>0</v>
      </c>
      <c r="W196" s="119">
        <v>0</v>
      </c>
      <c r="X196" s="119">
        <v>0</v>
      </c>
      <c r="Y196" s="119">
        <v>0</v>
      </c>
      <c r="Z196" s="119">
        <v>0</v>
      </c>
      <c r="AA196" s="119">
        <v>0</v>
      </c>
      <c r="AB196" s="119">
        <v>0</v>
      </c>
      <c r="AC196" s="119">
        <v>0</v>
      </c>
      <c r="AD196" s="119">
        <v>0</v>
      </c>
      <c r="AE196" s="119">
        <v>0</v>
      </c>
      <c r="AF196" s="119">
        <v>0</v>
      </c>
      <c r="AG196" s="119">
        <v>0</v>
      </c>
      <c r="AH196" s="119">
        <v>0</v>
      </c>
      <c r="AI196" s="119">
        <v>0</v>
      </c>
      <c r="AJ196" s="119">
        <v>0</v>
      </c>
      <c r="AK196" s="119">
        <v>0</v>
      </c>
      <c r="AL196" s="119">
        <v>0</v>
      </c>
      <c r="AM196" s="119">
        <v>0</v>
      </c>
      <c r="AN196" s="119">
        <v>0</v>
      </c>
      <c r="AO196" s="119">
        <v>0</v>
      </c>
      <c r="AP196" s="119">
        <v>0</v>
      </c>
      <c r="AQ196" s="119">
        <v>16.411233312582112</v>
      </c>
      <c r="AR196" s="119">
        <v>10.75300546448085</v>
      </c>
      <c r="AS196" s="119">
        <v>48.42895483156947</v>
      </c>
      <c r="AT196" s="119">
        <v>90.10490419865809</v>
      </c>
      <c r="AU196" s="119">
        <v>92</v>
      </c>
      <c r="AV196" s="119">
        <v>86</v>
      </c>
      <c r="AW196" s="119">
        <v>92</v>
      </c>
      <c r="AX196" s="119">
        <v>91</v>
      </c>
      <c r="AY196" s="119">
        <v>89</v>
      </c>
    </row>
    <row r="197" spans="1:51" x14ac:dyDescent="0.2">
      <c r="A197" s="136" t="s">
        <v>134</v>
      </c>
      <c r="B197" s="124">
        <v>1</v>
      </c>
      <c r="C197" s="111"/>
      <c r="D197" s="111">
        <v>0</v>
      </c>
      <c r="E197" s="111">
        <v>66.358521647307285</v>
      </c>
      <c r="F197" s="111">
        <v>72</v>
      </c>
      <c r="G197" s="111">
        <v>33.996669609523295</v>
      </c>
      <c r="H197" s="111">
        <v>0</v>
      </c>
      <c r="I197" s="111">
        <v>0</v>
      </c>
      <c r="J197" s="111">
        <v>0</v>
      </c>
      <c r="K197" s="111">
        <v>0</v>
      </c>
      <c r="L197" s="111">
        <v>0</v>
      </c>
      <c r="M197" s="111">
        <v>0</v>
      </c>
      <c r="N197" s="111">
        <v>0</v>
      </c>
      <c r="O197" s="111">
        <v>0</v>
      </c>
      <c r="P197" s="111">
        <v>0</v>
      </c>
      <c r="Q197" s="111">
        <v>0</v>
      </c>
      <c r="R197" s="111">
        <v>0</v>
      </c>
      <c r="S197" s="111">
        <v>0</v>
      </c>
      <c r="T197" s="111">
        <v>0</v>
      </c>
      <c r="U197" s="111">
        <v>0</v>
      </c>
      <c r="V197" s="111">
        <v>0</v>
      </c>
      <c r="W197" s="111">
        <v>0</v>
      </c>
      <c r="X197" s="111">
        <v>0</v>
      </c>
      <c r="Y197" s="111">
        <v>0</v>
      </c>
      <c r="Z197" s="111">
        <v>0</v>
      </c>
      <c r="AA197" s="111">
        <v>0</v>
      </c>
      <c r="AB197" s="111">
        <v>0</v>
      </c>
      <c r="AC197" s="111">
        <v>0</v>
      </c>
      <c r="AD197" s="111">
        <v>0</v>
      </c>
      <c r="AE197" s="111">
        <v>0</v>
      </c>
      <c r="AF197" s="111">
        <v>0</v>
      </c>
      <c r="AG197" s="111">
        <v>0</v>
      </c>
      <c r="AH197" s="111">
        <v>0</v>
      </c>
      <c r="AI197" s="111">
        <v>0</v>
      </c>
      <c r="AJ197" s="111">
        <v>0</v>
      </c>
      <c r="AK197" s="111">
        <v>0</v>
      </c>
      <c r="AL197" s="111">
        <v>0</v>
      </c>
      <c r="AM197" s="111">
        <v>0</v>
      </c>
      <c r="AN197" s="111">
        <v>0</v>
      </c>
      <c r="AO197" s="111">
        <v>0</v>
      </c>
      <c r="AP197" s="111">
        <v>0</v>
      </c>
      <c r="AQ197" s="111">
        <v>0</v>
      </c>
      <c r="AR197" s="111">
        <v>0</v>
      </c>
      <c r="AS197" s="111">
        <v>0</v>
      </c>
      <c r="AT197" s="111">
        <v>0</v>
      </c>
      <c r="AU197" s="111">
        <v>0</v>
      </c>
      <c r="AV197" s="111">
        <v>0</v>
      </c>
      <c r="AW197" s="111">
        <v>0</v>
      </c>
      <c r="AX197" s="111">
        <v>0</v>
      </c>
      <c r="AY197" s="111">
        <v>0</v>
      </c>
    </row>
    <row r="198" spans="1:51" x14ac:dyDescent="0.2">
      <c r="A198" s="114"/>
      <c r="B198" s="124">
        <v>2</v>
      </c>
      <c r="C198" s="111"/>
      <c r="D198" s="111">
        <v>0</v>
      </c>
      <c r="E198" s="111">
        <v>0</v>
      </c>
      <c r="F198" s="111">
        <v>0</v>
      </c>
      <c r="G198" s="111">
        <v>44.003330390476705</v>
      </c>
      <c r="H198" s="111">
        <v>56</v>
      </c>
      <c r="I198" s="111">
        <v>37.901558925034763</v>
      </c>
      <c r="J198" s="111">
        <v>9.1448020506713021</v>
      </c>
      <c r="K198" s="111">
        <v>0</v>
      </c>
      <c r="L198" s="111">
        <v>0</v>
      </c>
      <c r="M198" s="111">
        <v>0</v>
      </c>
      <c r="N198" s="111">
        <v>0</v>
      </c>
      <c r="O198" s="111">
        <v>0</v>
      </c>
      <c r="P198" s="111">
        <v>0</v>
      </c>
      <c r="Q198" s="111">
        <v>0</v>
      </c>
      <c r="R198" s="111">
        <v>0</v>
      </c>
      <c r="S198" s="111">
        <v>0</v>
      </c>
      <c r="T198" s="111">
        <v>0</v>
      </c>
      <c r="U198" s="111">
        <v>0</v>
      </c>
      <c r="V198" s="111">
        <v>0</v>
      </c>
      <c r="W198" s="111">
        <v>0</v>
      </c>
      <c r="X198" s="111">
        <v>0</v>
      </c>
      <c r="Y198" s="111">
        <v>0</v>
      </c>
      <c r="Z198" s="111">
        <v>0</v>
      </c>
      <c r="AA198" s="111">
        <v>0</v>
      </c>
      <c r="AB198" s="111">
        <v>0</v>
      </c>
      <c r="AC198" s="111">
        <v>0</v>
      </c>
      <c r="AD198" s="111">
        <v>0</v>
      </c>
      <c r="AE198" s="111">
        <v>0</v>
      </c>
      <c r="AF198" s="111">
        <v>0</v>
      </c>
      <c r="AG198" s="111">
        <v>0</v>
      </c>
      <c r="AH198" s="111">
        <v>0</v>
      </c>
      <c r="AI198" s="111">
        <v>0</v>
      </c>
      <c r="AJ198" s="111">
        <v>0</v>
      </c>
      <c r="AK198" s="111">
        <v>0</v>
      </c>
      <c r="AL198" s="111">
        <v>0</v>
      </c>
      <c r="AM198" s="111">
        <v>0</v>
      </c>
      <c r="AN198" s="111">
        <v>0</v>
      </c>
      <c r="AO198" s="111">
        <v>0</v>
      </c>
      <c r="AP198" s="111">
        <v>0</v>
      </c>
      <c r="AQ198" s="111">
        <v>0</v>
      </c>
      <c r="AR198" s="111">
        <v>0</v>
      </c>
      <c r="AS198" s="111">
        <v>0</v>
      </c>
      <c r="AT198" s="111">
        <v>0</v>
      </c>
      <c r="AU198" s="111">
        <v>0</v>
      </c>
      <c r="AV198" s="111">
        <v>0</v>
      </c>
      <c r="AW198" s="111">
        <v>0</v>
      </c>
      <c r="AX198" s="111">
        <v>0</v>
      </c>
      <c r="AY198" s="111">
        <v>0</v>
      </c>
    </row>
    <row r="199" spans="1:51" x14ac:dyDescent="0.2">
      <c r="A199" s="114"/>
      <c r="B199" s="124">
        <v>3</v>
      </c>
      <c r="C199" s="111"/>
      <c r="D199" s="111">
        <v>0</v>
      </c>
      <c r="E199" s="111">
        <v>0</v>
      </c>
      <c r="F199" s="111">
        <v>0</v>
      </c>
      <c r="G199" s="111">
        <v>0</v>
      </c>
      <c r="H199" s="111">
        <v>0</v>
      </c>
      <c r="I199" s="111">
        <v>21.098441074965237</v>
      </c>
      <c r="J199" s="111">
        <v>76.855197949328698</v>
      </c>
      <c r="K199" s="111">
        <v>76</v>
      </c>
      <c r="L199" s="111">
        <v>40.338577610104153</v>
      </c>
      <c r="M199" s="111">
        <v>5.1442631435601669</v>
      </c>
      <c r="N199" s="111">
        <v>0</v>
      </c>
      <c r="O199" s="111">
        <v>0</v>
      </c>
      <c r="P199" s="111">
        <v>0</v>
      </c>
      <c r="Q199" s="111">
        <v>0</v>
      </c>
      <c r="R199" s="111">
        <v>0</v>
      </c>
      <c r="S199" s="111">
        <v>0</v>
      </c>
      <c r="T199" s="111">
        <v>0</v>
      </c>
      <c r="U199" s="111">
        <v>0</v>
      </c>
      <c r="V199" s="111">
        <v>0</v>
      </c>
      <c r="W199" s="111">
        <v>0</v>
      </c>
      <c r="X199" s="111">
        <v>0</v>
      </c>
      <c r="Y199" s="111">
        <v>0</v>
      </c>
      <c r="Z199" s="111">
        <v>0</v>
      </c>
      <c r="AA199" s="111">
        <v>0</v>
      </c>
      <c r="AB199" s="111">
        <v>0</v>
      </c>
      <c r="AC199" s="111">
        <v>0</v>
      </c>
      <c r="AD199" s="111">
        <v>0</v>
      </c>
      <c r="AE199" s="111">
        <v>0</v>
      </c>
      <c r="AF199" s="111">
        <v>0</v>
      </c>
      <c r="AG199" s="111">
        <v>0</v>
      </c>
      <c r="AH199" s="111">
        <v>0</v>
      </c>
      <c r="AI199" s="111">
        <v>0</v>
      </c>
      <c r="AJ199" s="111">
        <v>0</v>
      </c>
      <c r="AK199" s="111">
        <v>0</v>
      </c>
      <c r="AL199" s="111">
        <v>0</v>
      </c>
      <c r="AM199" s="111">
        <v>0</v>
      </c>
      <c r="AN199" s="111">
        <v>0</v>
      </c>
      <c r="AO199" s="111">
        <v>0</v>
      </c>
      <c r="AP199" s="111">
        <v>0</v>
      </c>
      <c r="AQ199" s="111">
        <v>0</v>
      </c>
      <c r="AR199" s="111">
        <v>0</v>
      </c>
      <c r="AS199" s="111">
        <v>0</v>
      </c>
      <c r="AT199" s="111">
        <v>0</v>
      </c>
      <c r="AU199" s="111">
        <v>0</v>
      </c>
      <c r="AV199" s="111">
        <v>0</v>
      </c>
      <c r="AW199" s="111">
        <v>0</v>
      </c>
      <c r="AX199" s="111">
        <v>0</v>
      </c>
      <c r="AY199" s="111">
        <v>0</v>
      </c>
    </row>
    <row r="200" spans="1:51" x14ac:dyDescent="0.2">
      <c r="A200" s="114"/>
      <c r="B200" s="125">
        <v>4</v>
      </c>
      <c r="C200" s="111"/>
      <c r="D200" s="111">
        <v>0</v>
      </c>
      <c r="E200" s="111">
        <v>0</v>
      </c>
      <c r="F200" s="111">
        <v>0</v>
      </c>
      <c r="G200" s="111">
        <v>0</v>
      </c>
      <c r="H200" s="111">
        <v>0</v>
      </c>
      <c r="I200" s="111">
        <v>0</v>
      </c>
      <c r="J200" s="111">
        <v>0</v>
      </c>
      <c r="K200" s="111">
        <v>0</v>
      </c>
      <c r="L200" s="111">
        <v>32.661422389895847</v>
      </c>
      <c r="M200" s="111">
        <v>67.855736856439833</v>
      </c>
      <c r="N200" s="111">
        <v>80</v>
      </c>
      <c r="O200" s="111">
        <v>53.771119357014015</v>
      </c>
      <c r="P200" s="111">
        <v>16.270276994066194</v>
      </c>
      <c r="Q200" s="111">
        <v>0</v>
      </c>
      <c r="R200" s="111">
        <v>0</v>
      </c>
      <c r="S200" s="111">
        <v>0</v>
      </c>
      <c r="T200" s="111">
        <v>0</v>
      </c>
      <c r="U200" s="111">
        <v>0</v>
      </c>
      <c r="V200" s="111">
        <v>0</v>
      </c>
      <c r="W200" s="111">
        <v>0</v>
      </c>
      <c r="X200" s="111">
        <v>0</v>
      </c>
      <c r="Y200" s="111">
        <v>0</v>
      </c>
      <c r="Z200" s="111">
        <v>0</v>
      </c>
      <c r="AA200" s="111">
        <v>0</v>
      </c>
      <c r="AB200" s="111">
        <v>0</v>
      </c>
      <c r="AC200" s="111">
        <v>0</v>
      </c>
      <c r="AD200" s="111">
        <v>0</v>
      </c>
      <c r="AE200" s="111">
        <v>0</v>
      </c>
      <c r="AF200" s="111">
        <v>0</v>
      </c>
      <c r="AG200" s="111">
        <v>0</v>
      </c>
      <c r="AH200" s="111">
        <v>0</v>
      </c>
      <c r="AI200" s="111">
        <v>0</v>
      </c>
      <c r="AJ200" s="111">
        <v>0</v>
      </c>
      <c r="AK200" s="111">
        <v>0</v>
      </c>
      <c r="AL200" s="111">
        <v>0</v>
      </c>
      <c r="AM200" s="111">
        <v>0</v>
      </c>
      <c r="AN200" s="111">
        <v>0</v>
      </c>
      <c r="AO200" s="111">
        <v>0</v>
      </c>
      <c r="AP200" s="111">
        <v>0</v>
      </c>
      <c r="AQ200" s="111">
        <v>0</v>
      </c>
      <c r="AR200" s="111">
        <v>0</v>
      </c>
      <c r="AS200" s="111">
        <v>0</v>
      </c>
      <c r="AT200" s="111">
        <v>0</v>
      </c>
      <c r="AU200" s="111">
        <v>0</v>
      </c>
      <c r="AV200" s="111">
        <v>0</v>
      </c>
      <c r="AW200" s="111">
        <v>0</v>
      </c>
      <c r="AX200" s="111">
        <v>0</v>
      </c>
      <c r="AY200" s="111">
        <v>0</v>
      </c>
    </row>
    <row r="201" spans="1:51" x14ac:dyDescent="0.2">
      <c r="A201" s="114"/>
      <c r="B201" s="125">
        <v>5</v>
      </c>
      <c r="C201" s="111"/>
      <c r="D201" s="111">
        <v>0</v>
      </c>
      <c r="E201" s="111">
        <v>0</v>
      </c>
      <c r="F201" s="111">
        <v>0</v>
      </c>
      <c r="G201" s="111">
        <v>0</v>
      </c>
      <c r="H201" s="111">
        <v>0</v>
      </c>
      <c r="I201" s="111">
        <v>0</v>
      </c>
      <c r="J201" s="111">
        <v>0</v>
      </c>
      <c r="K201" s="111">
        <v>0</v>
      </c>
      <c r="L201" s="111">
        <v>0</v>
      </c>
      <c r="M201" s="111">
        <v>0</v>
      </c>
      <c r="N201" s="111">
        <v>0</v>
      </c>
      <c r="O201" s="111">
        <v>26.228880642985985</v>
      </c>
      <c r="P201" s="111">
        <v>63.729723005933806</v>
      </c>
      <c r="Q201" s="111">
        <v>78</v>
      </c>
      <c r="R201" s="111">
        <v>32.911106727289081</v>
      </c>
      <c r="S201" s="111">
        <v>0</v>
      </c>
      <c r="T201" s="111">
        <v>0</v>
      </c>
      <c r="U201" s="111">
        <v>0</v>
      </c>
      <c r="V201" s="111">
        <v>0</v>
      </c>
      <c r="W201" s="111">
        <v>0</v>
      </c>
      <c r="X201" s="111">
        <v>0</v>
      </c>
      <c r="Y201" s="111">
        <v>0</v>
      </c>
      <c r="Z201" s="111">
        <v>0</v>
      </c>
      <c r="AA201" s="111">
        <v>0</v>
      </c>
      <c r="AB201" s="111">
        <v>0</v>
      </c>
      <c r="AC201" s="111">
        <v>0</v>
      </c>
      <c r="AD201" s="111">
        <v>0</v>
      </c>
      <c r="AE201" s="111">
        <v>0</v>
      </c>
      <c r="AF201" s="111">
        <v>0</v>
      </c>
      <c r="AG201" s="111">
        <v>0</v>
      </c>
      <c r="AH201" s="111">
        <v>0</v>
      </c>
      <c r="AI201" s="111">
        <v>0</v>
      </c>
      <c r="AJ201" s="111">
        <v>0</v>
      </c>
      <c r="AK201" s="111">
        <v>0</v>
      </c>
      <c r="AL201" s="111">
        <v>0</v>
      </c>
      <c r="AM201" s="111">
        <v>0</v>
      </c>
      <c r="AN201" s="111">
        <v>0</v>
      </c>
      <c r="AO201" s="111">
        <v>0</v>
      </c>
      <c r="AP201" s="111">
        <v>0</v>
      </c>
      <c r="AQ201" s="111">
        <v>0</v>
      </c>
      <c r="AR201" s="111">
        <v>0</v>
      </c>
      <c r="AS201" s="111">
        <v>0</v>
      </c>
      <c r="AT201" s="111">
        <v>0</v>
      </c>
      <c r="AU201" s="111">
        <v>0</v>
      </c>
      <c r="AV201" s="111">
        <v>0</v>
      </c>
      <c r="AW201" s="111">
        <v>0</v>
      </c>
      <c r="AX201" s="111">
        <v>0</v>
      </c>
      <c r="AY201" s="111">
        <v>0</v>
      </c>
    </row>
    <row r="202" spans="1:51" x14ac:dyDescent="0.2">
      <c r="A202" s="114"/>
      <c r="B202" s="125">
        <v>6</v>
      </c>
      <c r="C202" s="111"/>
      <c r="D202" s="111">
        <v>0</v>
      </c>
      <c r="E202" s="111">
        <v>0</v>
      </c>
      <c r="F202" s="111">
        <v>0</v>
      </c>
      <c r="G202" s="111">
        <v>0</v>
      </c>
      <c r="H202" s="111">
        <v>0</v>
      </c>
      <c r="I202" s="111">
        <v>0</v>
      </c>
      <c r="J202" s="111">
        <v>0</v>
      </c>
      <c r="K202" s="111">
        <v>0</v>
      </c>
      <c r="L202" s="111">
        <v>0</v>
      </c>
      <c r="M202" s="111">
        <v>0</v>
      </c>
      <c r="N202" s="111">
        <v>0</v>
      </c>
      <c r="O202" s="111">
        <v>0</v>
      </c>
      <c r="P202" s="111">
        <v>0</v>
      </c>
      <c r="Q202" s="111">
        <v>0</v>
      </c>
      <c r="R202" s="111">
        <v>32.088893272710919</v>
      </c>
      <c r="S202" s="111">
        <v>67</v>
      </c>
      <c r="T202" s="111">
        <v>50.201023974563412</v>
      </c>
      <c r="U202" s="111">
        <v>0</v>
      </c>
      <c r="V202" s="111">
        <v>0</v>
      </c>
      <c r="W202" s="111">
        <v>0</v>
      </c>
      <c r="X202" s="111">
        <v>0</v>
      </c>
      <c r="Y202" s="111">
        <v>0</v>
      </c>
      <c r="Z202" s="111">
        <v>0</v>
      </c>
      <c r="AA202" s="111">
        <v>0</v>
      </c>
      <c r="AB202" s="111">
        <v>0</v>
      </c>
      <c r="AC202" s="111">
        <v>0</v>
      </c>
      <c r="AD202" s="111">
        <v>0</v>
      </c>
      <c r="AE202" s="111">
        <v>0</v>
      </c>
      <c r="AF202" s="111">
        <v>0</v>
      </c>
      <c r="AG202" s="111">
        <v>0</v>
      </c>
      <c r="AH202" s="111">
        <v>0</v>
      </c>
      <c r="AI202" s="111">
        <v>0</v>
      </c>
      <c r="AJ202" s="111">
        <v>0</v>
      </c>
      <c r="AK202" s="111">
        <v>0</v>
      </c>
      <c r="AL202" s="111">
        <v>0</v>
      </c>
      <c r="AM202" s="111">
        <v>0</v>
      </c>
      <c r="AN202" s="111">
        <v>0</v>
      </c>
      <c r="AO202" s="111">
        <v>0</v>
      </c>
      <c r="AP202" s="111">
        <v>0</v>
      </c>
      <c r="AQ202" s="111">
        <v>0</v>
      </c>
      <c r="AR202" s="111">
        <v>0</v>
      </c>
      <c r="AS202" s="111">
        <v>0</v>
      </c>
      <c r="AT202" s="111">
        <v>0</v>
      </c>
      <c r="AU202" s="111">
        <v>0</v>
      </c>
      <c r="AV202" s="111">
        <v>0</v>
      </c>
      <c r="AW202" s="111">
        <v>0</v>
      </c>
      <c r="AX202" s="111">
        <v>0</v>
      </c>
      <c r="AY202" s="111">
        <v>0</v>
      </c>
    </row>
    <row r="203" spans="1:51" x14ac:dyDescent="0.2">
      <c r="A203" s="114"/>
      <c r="B203" s="132">
        <v>7</v>
      </c>
      <c r="C203" s="111"/>
      <c r="D203" s="111">
        <v>0</v>
      </c>
      <c r="E203" s="111">
        <v>0</v>
      </c>
      <c r="F203" s="111">
        <v>0</v>
      </c>
      <c r="G203" s="111">
        <v>0</v>
      </c>
      <c r="H203" s="111">
        <v>0</v>
      </c>
      <c r="I203" s="111">
        <v>0</v>
      </c>
      <c r="J203" s="111">
        <v>0</v>
      </c>
      <c r="K203" s="111">
        <v>0</v>
      </c>
      <c r="L203" s="111">
        <v>0</v>
      </c>
      <c r="M203" s="111">
        <v>0</v>
      </c>
      <c r="N203" s="111">
        <v>0</v>
      </c>
      <c r="O203" s="111">
        <v>0</v>
      </c>
      <c r="P203" s="111">
        <v>0</v>
      </c>
      <c r="Q203" s="111">
        <v>0</v>
      </c>
      <c r="R203" s="111">
        <v>0</v>
      </c>
      <c r="S203" s="111">
        <v>0</v>
      </c>
      <c r="T203" s="111">
        <v>35.798976025436588</v>
      </c>
      <c r="U203" s="111">
        <v>90</v>
      </c>
      <c r="V203" s="111">
        <v>94.326238607657359</v>
      </c>
      <c r="W203" s="111">
        <v>41.254632227832403</v>
      </c>
      <c r="X203" s="111">
        <v>19.391473668059888</v>
      </c>
      <c r="Y203" s="111">
        <v>0</v>
      </c>
      <c r="Z203" s="111">
        <v>0</v>
      </c>
      <c r="AA203" s="111">
        <v>0</v>
      </c>
      <c r="AB203" s="111">
        <v>0</v>
      </c>
      <c r="AC203" s="111">
        <v>0</v>
      </c>
      <c r="AD203" s="111">
        <v>0</v>
      </c>
      <c r="AE203" s="111">
        <v>0</v>
      </c>
      <c r="AF203" s="111">
        <v>0</v>
      </c>
      <c r="AG203" s="111">
        <v>0</v>
      </c>
      <c r="AH203" s="111">
        <v>0</v>
      </c>
      <c r="AI203" s="111">
        <v>0</v>
      </c>
      <c r="AJ203" s="111">
        <v>0</v>
      </c>
      <c r="AK203" s="111">
        <v>0</v>
      </c>
      <c r="AL203" s="111">
        <v>0</v>
      </c>
      <c r="AM203" s="111">
        <v>0</v>
      </c>
      <c r="AN203" s="111">
        <v>0</v>
      </c>
      <c r="AO203" s="111">
        <v>0</v>
      </c>
      <c r="AP203" s="111">
        <v>0</v>
      </c>
      <c r="AQ203" s="111">
        <v>0</v>
      </c>
      <c r="AR203" s="111">
        <v>0</v>
      </c>
      <c r="AS203" s="111">
        <v>0</v>
      </c>
      <c r="AT203" s="111">
        <v>0</v>
      </c>
      <c r="AU203" s="111">
        <v>0</v>
      </c>
      <c r="AV203" s="111">
        <v>0</v>
      </c>
      <c r="AW203" s="111">
        <v>0</v>
      </c>
      <c r="AX203" s="111">
        <v>0</v>
      </c>
      <c r="AY203" s="111">
        <v>0</v>
      </c>
    </row>
    <row r="204" spans="1:51" x14ac:dyDescent="0.2">
      <c r="A204" s="114"/>
      <c r="B204" s="132">
        <v>8</v>
      </c>
      <c r="C204" s="111"/>
      <c r="D204" s="111">
        <v>0</v>
      </c>
      <c r="E204" s="111">
        <v>0</v>
      </c>
      <c r="F204" s="111">
        <v>0</v>
      </c>
      <c r="G204" s="111">
        <v>0</v>
      </c>
      <c r="H204" s="111">
        <v>0</v>
      </c>
      <c r="I204" s="111">
        <v>0</v>
      </c>
      <c r="J204" s="111">
        <v>0</v>
      </c>
      <c r="K204" s="111">
        <v>0</v>
      </c>
      <c r="L204" s="111">
        <v>0</v>
      </c>
      <c r="M204" s="111">
        <v>0</v>
      </c>
      <c r="N204" s="111">
        <v>0</v>
      </c>
      <c r="O204" s="111">
        <v>0</v>
      </c>
      <c r="P204" s="111">
        <v>0</v>
      </c>
      <c r="Q204" s="111">
        <v>0</v>
      </c>
      <c r="R204" s="111">
        <v>0</v>
      </c>
      <c r="S204" s="111">
        <v>0</v>
      </c>
      <c r="T204" s="111">
        <v>0</v>
      </c>
      <c r="U204" s="111">
        <v>0</v>
      </c>
      <c r="V204" s="111">
        <v>0.67376139234264087</v>
      </c>
      <c r="W204" s="111">
        <v>30.745367772167597</v>
      </c>
      <c r="X204" s="111">
        <v>60.608526331940112</v>
      </c>
      <c r="Y204" s="111">
        <v>58</v>
      </c>
      <c r="Z204" s="111">
        <v>52.018819929727769</v>
      </c>
      <c r="AA204" s="111">
        <v>53.518354903904736</v>
      </c>
      <c r="AB204" s="111">
        <v>47.199475186713727</v>
      </c>
      <c r="AC204" s="111">
        <v>45.305416157169361</v>
      </c>
      <c r="AD204" s="111">
        <v>24.836894509862049</v>
      </c>
      <c r="AE204" s="111">
        <v>0</v>
      </c>
      <c r="AF204" s="111">
        <v>0</v>
      </c>
      <c r="AG204" s="111">
        <v>0</v>
      </c>
      <c r="AH204" s="111">
        <v>0</v>
      </c>
      <c r="AI204" s="111">
        <v>0</v>
      </c>
      <c r="AJ204" s="111">
        <v>0</v>
      </c>
      <c r="AK204" s="111">
        <v>0</v>
      </c>
      <c r="AL204" s="111">
        <v>0</v>
      </c>
      <c r="AM204" s="111">
        <v>0</v>
      </c>
      <c r="AN204" s="111">
        <v>0</v>
      </c>
      <c r="AO204" s="111">
        <v>0</v>
      </c>
      <c r="AP204" s="111">
        <v>0</v>
      </c>
      <c r="AQ204" s="111">
        <v>0</v>
      </c>
      <c r="AR204" s="111">
        <v>0</v>
      </c>
      <c r="AS204" s="111">
        <v>0</v>
      </c>
      <c r="AT204" s="111">
        <v>0</v>
      </c>
      <c r="AU204" s="111">
        <v>0</v>
      </c>
      <c r="AV204" s="111">
        <v>0</v>
      </c>
      <c r="AW204" s="111">
        <v>0</v>
      </c>
      <c r="AX204" s="111">
        <v>0</v>
      </c>
      <c r="AY204" s="111">
        <v>0</v>
      </c>
    </row>
    <row r="205" spans="1:51" x14ac:dyDescent="0.2">
      <c r="A205" s="114"/>
      <c r="B205" s="132">
        <v>9</v>
      </c>
      <c r="C205" s="111"/>
      <c r="D205" s="111">
        <v>0</v>
      </c>
      <c r="E205" s="111">
        <v>0</v>
      </c>
      <c r="F205" s="111">
        <v>0</v>
      </c>
      <c r="G205" s="111">
        <v>0</v>
      </c>
      <c r="H205" s="111">
        <v>0</v>
      </c>
      <c r="I205" s="111">
        <v>0</v>
      </c>
      <c r="J205" s="111">
        <v>0</v>
      </c>
      <c r="K205" s="111">
        <v>0</v>
      </c>
      <c r="L205" s="111">
        <v>0</v>
      </c>
      <c r="M205" s="111">
        <v>0</v>
      </c>
      <c r="N205" s="111">
        <v>0</v>
      </c>
      <c r="O205" s="111">
        <v>0</v>
      </c>
      <c r="P205" s="111">
        <v>0</v>
      </c>
      <c r="Q205" s="111">
        <v>0</v>
      </c>
      <c r="R205" s="111">
        <v>0</v>
      </c>
      <c r="S205" s="111">
        <v>0</v>
      </c>
      <c r="T205" s="111">
        <v>0</v>
      </c>
      <c r="U205" s="111">
        <v>0</v>
      </c>
      <c r="V205" s="111">
        <v>0</v>
      </c>
      <c r="W205" s="111">
        <v>0</v>
      </c>
      <c r="X205" s="111">
        <v>0</v>
      </c>
      <c r="Y205" s="111">
        <v>0</v>
      </c>
      <c r="Z205" s="111">
        <v>30.981180070272231</v>
      </c>
      <c r="AA205" s="111">
        <v>39.481645096095264</v>
      </c>
      <c r="AB205" s="111">
        <v>35.800524813286273</v>
      </c>
      <c r="AC205" s="111">
        <v>21.694583842830639</v>
      </c>
      <c r="AD205" s="111">
        <v>57.163105490137951</v>
      </c>
      <c r="AE205" s="111">
        <v>73</v>
      </c>
      <c r="AF205" s="111">
        <v>52.742611194128131</v>
      </c>
      <c r="AG205" s="111">
        <v>8.2264913937057287</v>
      </c>
      <c r="AH205" s="111">
        <v>0</v>
      </c>
      <c r="AI205" s="111">
        <v>0</v>
      </c>
      <c r="AJ205" s="111">
        <v>0</v>
      </c>
      <c r="AK205" s="111">
        <v>0</v>
      </c>
      <c r="AL205" s="111">
        <v>0</v>
      </c>
      <c r="AM205" s="111">
        <v>0</v>
      </c>
      <c r="AN205" s="111">
        <v>0</v>
      </c>
      <c r="AO205" s="111">
        <v>0</v>
      </c>
      <c r="AP205" s="111">
        <v>0</v>
      </c>
      <c r="AQ205" s="111">
        <v>0</v>
      </c>
      <c r="AR205" s="111">
        <v>0</v>
      </c>
      <c r="AS205" s="111">
        <v>0</v>
      </c>
      <c r="AT205" s="111">
        <v>0</v>
      </c>
      <c r="AU205" s="111">
        <v>0</v>
      </c>
      <c r="AV205" s="111">
        <v>0</v>
      </c>
      <c r="AW205" s="111">
        <v>0</v>
      </c>
      <c r="AX205" s="111">
        <v>0</v>
      </c>
      <c r="AY205" s="111">
        <v>0</v>
      </c>
    </row>
    <row r="206" spans="1:51" x14ac:dyDescent="0.2">
      <c r="A206" s="114"/>
      <c r="B206" s="135">
        <v>10</v>
      </c>
      <c r="C206" s="111"/>
      <c r="D206" s="111">
        <v>0</v>
      </c>
      <c r="E206" s="111">
        <v>0</v>
      </c>
      <c r="F206" s="111">
        <v>0</v>
      </c>
      <c r="G206" s="111">
        <v>0</v>
      </c>
      <c r="H206" s="111">
        <v>0</v>
      </c>
      <c r="I206" s="111">
        <v>0</v>
      </c>
      <c r="J206" s="111">
        <v>0</v>
      </c>
      <c r="K206" s="111">
        <v>0</v>
      </c>
      <c r="L206" s="111">
        <v>0</v>
      </c>
      <c r="M206" s="111">
        <v>0</v>
      </c>
      <c r="N206" s="111">
        <v>0</v>
      </c>
      <c r="O206" s="111">
        <v>0</v>
      </c>
      <c r="P206" s="111">
        <v>0</v>
      </c>
      <c r="Q206" s="111">
        <v>0</v>
      </c>
      <c r="R206" s="111">
        <v>0</v>
      </c>
      <c r="S206" s="111">
        <v>0</v>
      </c>
      <c r="T206" s="111">
        <v>0</v>
      </c>
      <c r="U206" s="111">
        <v>0</v>
      </c>
      <c r="V206" s="111">
        <v>0</v>
      </c>
      <c r="W206" s="111">
        <v>0</v>
      </c>
      <c r="X206" s="111">
        <v>0</v>
      </c>
      <c r="Y206" s="111">
        <v>0</v>
      </c>
      <c r="Z206" s="111">
        <v>0</v>
      </c>
      <c r="AA206" s="111">
        <v>0</v>
      </c>
      <c r="AB206" s="111">
        <v>0</v>
      </c>
      <c r="AC206" s="111">
        <v>0</v>
      </c>
      <c r="AD206" s="111">
        <v>0</v>
      </c>
      <c r="AE206" s="111">
        <v>0</v>
      </c>
      <c r="AF206" s="111">
        <v>16.257388805871869</v>
      </c>
      <c r="AG206" s="111">
        <v>67.773508606294271</v>
      </c>
      <c r="AH206" s="111">
        <v>84</v>
      </c>
      <c r="AI206" s="111">
        <v>25.105557500073203</v>
      </c>
      <c r="AJ206" s="111">
        <v>0</v>
      </c>
      <c r="AK206" s="111">
        <v>0</v>
      </c>
      <c r="AL206" s="111">
        <v>0</v>
      </c>
      <c r="AM206" s="111">
        <v>0</v>
      </c>
      <c r="AN206" s="111">
        <v>0</v>
      </c>
      <c r="AO206" s="111">
        <v>0</v>
      </c>
      <c r="AP206" s="111">
        <v>0</v>
      </c>
      <c r="AQ206" s="111">
        <v>0</v>
      </c>
      <c r="AR206" s="111">
        <v>0</v>
      </c>
      <c r="AS206" s="111">
        <v>0</v>
      </c>
      <c r="AT206" s="111">
        <v>0</v>
      </c>
      <c r="AU206" s="111">
        <v>0</v>
      </c>
      <c r="AV206" s="111">
        <v>0</v>
      </c>
      <c r="AW206" s="111">
        <v>0</v>
      </c>
      <c r="AX206" s="111">
        <v>0</v>
      </c>
      <c r="AY206" s="111">
        <v>0</v>
      </c>
    </row>
    <row r="207" spans="1:51" x14ac:dyDescent="0.2">
      <c r="A207" s="114"/>
      <c r="B207" s="135">
        <v>11</v>
      </c>
      <c r="C207" s="111"/>
      <c r="D207" s="111">
        <v>0</v>
      </c>
      <c r="E207" s="111">
        <v>0</v>
      </c>
      <c r="F207" s="111">
        <v>0</v>
      </c>
      <c r="G207" s="111">
        <v>0</v>
      </c>
      <c r="H207" s="111">
        <v>0</v>
      </c>
      <c r="I207" s="111">
        <v>0</v>
      </c>
      <c r="J207" s="111">
        <v>0</v>
      </c>
      <c r="K207" s="111">
        <v>0</v>
      </c>
      <c r="L207" s="111">
        <v>0</v>
      </c>
      <c r="M207" s="111">
        <v>0</v>
      </c>
      <c r="N207" s="111">
        <v>0</v>
      </c>
      <c r="O207" s="111">
        <v>0</v>
      </c>
      <c r="P207" s="111">
        <v>0</v>
      </c>
      <c r="Q207" s="111">
        <v>0</v>
      </c>
      <c r="R207" s="111">
        <v>0</v>
      </c>
      <c r="S207" s="111">
        <v>0</v>
      </c>
      <c r="T207" s="111">
        <v>0</v>
      </c>
      <c r="U207" s="111">
        <v>0</v>
      </c>
      <c r="V207" s="111">
        <v>0</v>
      </c>
      <c r="W207" s="111">
        <v>0</v>
      </c>
      <c r="X207" s="111">
        <v>0</v>
      </c>
      <c r="Y207" s="111">
        <v>0</v>
      </c>
      <c r="Z207" s="111">
        <v>0</v>
      </c>
      <c r="AA207" s="111">
        <v>0</v>
      </c>
      <c r="AB207" s="111">
        <v>0</v>
      </c>
      <c r="AC207" s="111">
        <v>0</v>
      </c>
      <c r="AD207" s="111">
        <v>0</v>
      </c>
      <c r="AE207" s="111">
        <v>0</v>
      </c>
      <c r="AF207" s="111">
        <v>0</v>
      </c>
      <c r="AG207" s="111">
        <v>0</v>
      </c>
      <c r="AH207" s="111">
        <v>0</v>
      </c>
      <c r="AI207" s="111">
        <v>42.894442499926797</v>
      </c>
      <c r="AJ207" s="111">
        <v>72</v>
      </c>
      <c r="AK207" s="111">
        <v>62.108916754668869</v>
      </c>
      <c r="AL207" s="111">
        <v>30.107981733400266</v>
      </c>
      <c r="AM207" s="111">
        <v>0</v>
      </c>
      <c r="AN207" s="111">
        <v>0</v>
      </c>
      <c r="AO207" s="111">
        <v>0</v>
      </c>
      <c r="AP207" s="111">
        <v>0</v>
      </c>
      <c r="AQ207" s="111">
        <v>0</v>
      </c>
      <c r="AR207" s="111">
        <v>0</v>
      </c>
      <c r="AS207" s="111">
        <v>0</v>
      </c>
      <c r="AT207" s="111">
        <v>0</v>
      </c>
      <c r="AU207" s="111">
        <v>0</v>
      </c>
      <c r="AV207" s="111">
        <v>0</v>
      </c>
      <c r="AW207" s="111">
        <v>0</v>
      </c>
      <c r="AX207" s="111">
        <v>0</v>
      </c>
      <c r="AY207" s="111">
        <v>0</v>
      </c>
    </row>
    <row r="208" spans="1:51" x14ac:dyDescent="0.2">
      <c r="A208" s="114"/>
      <c r="B208" s="135">
        <v>12</v>
      </c>
      <c r="C208" s="111"/>
      <c r="D208" s="111">
        <v>0</v>
      </c>
      <c r="E208" s="111">
        <v>0</v>
      </c>
      <c r="F208" s="111">
        <v>0</v>
      </c>
      <c r="G208" s="111">
        <v>0</v>
      </c>
      <c r="H208" s="111">
        <v>0</v>
      </c>
      <c r="I208" s="111">
        <v>0</v>
      </c>
      <c r="J208" s="111">
        <v>0</v>
      </c>
      <c r="K208" s="111">
        <v>0</v>
      </c>
      <c r="L208" s="111">
        <v>0</v>
      </c>
      <c r="M208" s="111">
        <v>0</v>
      </c>
      <c r="N208" s="111">
        <v>0</v>
      </c>
      <c r="O208" s="111">
        <v>0</v>
      </c>
      <c r="P208" s="111">
        <v>0</v>
      </c>
      <c r="Q208" s="111">
        <v>0</v>
      </c>
      <c r="R208" s="111">
        <v>0</v>
      </c>
      <c r="S208" s="111">
        <v>0</v>
      </c>
      <c r="T208" s="111">
        <v>0</v>
      </c>
      <c r="U208" s="111">
        <v>0</v>
      </c>
      <c r="V208" s="111">
        <v>0</v>
      </c>
      <c r="W208" s="111">
        <v>0</v>
      </c>
      <c r="X208" s="111">
        <v>0</v>
      </c>
      <c r="Y208" s="111">
        <v>0</v>
      </c>
      <c r="Z208" s="111">
        <v>0</v>
      </c>
      <c r="AA208" s="111">
        <v>0</v>
      </c>
      <c r="AB208" s="111">
        <v>0</v>
      </c>
      <c r="AC208" s="111">
        <v>0</v>
      </c>
      <c r="AD208" s="111">
        <v>0</v>
      </c>
      <c r="AE208" s="111">
        <v>0</v>
      </c>
      <c r="AF208" s="111">
        <v>0</v>
      </c>
      <c r="AG208" s="111">
        <v>0</v>
      </c>
      <c r="AH208" s="111">
        <v>0</v>
      </c>
      <c r="AI208" s="111">
        <v>0</v>
      </c>
      <c r="AJ208" s="111">
        <v>0</v>
      </c>
      <c r="AK208" s="111">
        <v>21.891083245331131</v>
      </c>
      <c r="AL208" s="111">
        <v>56.892018266599734</v>
      </c>
      <c r="AM208" s="111">
        <v>78</v>
      </c>
      <c r="AN208" s="111">
        <v>79</v>
      </c>
      <c r="AO208" s="111">
        <v>71</v>
      </c>
      <c r="AP208" s="111">
        <v>77</v>
      </c>
      <c r="AQ208" s="111">
        <v>79</v>
      </c>
      <c r="AR208" s="111">
        <v>80</v>
      </c>
      <c r="AS208" s="111">
        <v>95</v>
      </c>
      <c r="AT208" s="111">
        <v>72</v>
      </c>
      <c r="AU208" s="111">
        <v>72</v>
      </c>
      <c r="AV208" s="111">
        <v>58</v>
      </c>
      <c r="AW208" s="111">
        <v>90</v>
      </c>
      <c r="AX208" s="111">
        <v>79</v>
      </c>
      <c r="AY208" s="111">
        <v>89</v>
      </c>
    </row>
    <row r="209" spans="1:51" x14ac:dyDescent="0.2">
      <c r="A209" s="131" t="s">
        <v>123</v>
      </c>
      <c r="B209" s="128">
        <v>1</v>
      </c>
      <c r="C209" s="129"/>
      <c r="D209" s="129">
        <v>222.15678986272439</v>
      </c>
      <c r="E209" s="129">
        <v>272.35206679776439</v>
      </c>
      <c r="F209" s="129">
        <v>150.67468017987147</v>
      </c>
      <c r="G209" s="129">
        <v>137.41612554420325</v>
      </c>
      <c r="H209" s="129">
        <v>179.20703847473874</v>
      </c>
      <c r="I209" s="129">
        <v>165.38604143125104</v>
      </c>
      <c r="J209" s="129">
        <v>138.74387370776552</v>
      </c>
      <c r="K209" s="129">
        <v>100.22940456068167</v>
      </c>
      <c r="L209" s="129">
        <v>59.573263317427092</v>
      </c>
      <c r="M209" s="129">
        <v>29.268034560121066</v>
      </c>
      <c r="N209" s="129">
        <v>91.933008416995449</v>
      </c>
      <c r="O209" s="129">
        <v>192.83930328678869</v>
      </c>
      <c r="P209" s="129">
        <v>164.53715033652949</v>
      </c>
      <c r="Q209" s="129">
        <v>245.7444925648299</v>
      </c>
      <c r="R209" s="129">
        <v>261.27414608062122</v>
      </c>
      <c r="S209" s="129">
        <v>271.57771428778057</v>
      </c>
      <c r="T209" s="129">
        <v>222.15678986272437</v>
      </c>
      <c r="U209" s="129">
        <v>213.99999999999997</v>
      </c>
      <c r="V209" s="129">
        <v>125.63397180570216</v>
      </c>
      <c r="W209" s="129">
        <v>62.134780096092896</v>
      </c>
      <c r="X209" s="129">
        <v>132.24040247969376</v>
      </c>
      <c r="Y209" s="129">
        <v>132.22173171506643</v>
      </c>
      <c r="Z209" s="129">
        <v>177.20735522630338</v>
      </c>
      <c r="AA209" s="129">
        <v>177.84628532995583</v>
      </c>
      <c r="AB209" s="129">
        <v>212.33826150976822</v>
      </c>
      <c r="AC209" s="129">
        <v>270.89708316822373</v>
      </c>
      <c r="AD209" s="129">
        <v>221.98737584523448</v>
      </c>
      <c r="AE209" s="129">
        <v>246.32690120653277</v>
      </c>
      <c r="AF209" s="129">
        <v>233.06833573473244</v>
      </c>
      <c r="AG209" s="129">
        <v>178.85924032144621</v>
      </c>
      <c r="AH209" s="129">
        <v>165.11823685321582</v>
      </c>
      <c r="AI209" s="129">
        <v>138.53766418267838</v>
      </c>
      <c r="AJ209" s="129">
        <v>206.07062322636457</v>
      </c>
      <c r="AK209" s="129">
        <v>171.07100169000296</v>
      </c>
      <c r="AL209" s="129">
        <v>179.1212931070045</v>
      </c>
      <c r="AM209" s="129">
        <v>152.66575249809569</v>
      </c>
      <c r="AN209" s="129">
        <v>204.29498622923586</v>
      </c>
      <c r="AO209" s="129">
        <v>246.36064467106277</v>
      </c>
      <c r="AP209" s="129">
        <v>205.75120167126948</v>
      </c>
      <c r="AQ209" s="129">
        <v>208.13619556142868</v>
      </c>
      <c r="AR209" s="129">
        <v>222.97264085685129</v>
      </c>
      <c r="AS209" s="129">
        <v>229.39670373432668</v>
      </c>
      <c r="AT209" s="129">
        <v>267.34323214998273</v>
      </c>
      <c r="AU209" s="129">
        <v>310.32012302006336</v>
      </c>
      <c r="AV209" s="129">
        <v>288.64628986272442</v>
      </c>
      <c r="AW209" s="129">
        <v>253</v>
      </c>
      <c r="AX209" s="129">
        <v>241.5523568057022</v>
      </c>
      <c r="AY209" s="129">
        <v>192.39193654609292</v>
      </c>
    </row>
    <row r="210" spans="1:51" x14ac:dyDescent="0.2">
      <c r="A210" s="114"/>
      <c r="B210" s="124">
        <v>2</v>
      </c>
      <c r="C210" s="111"/>
      <c r="D210" s="115">
        <v>0</v>
      </c>
      <c r="E210" s="115">
        <v>0</v>
      </c>
      <c r="F210" s="115">
        <v>89.325319820128527</v>
      </c>
      <c r="G210" s="115">
        <v>101.58387445579675</v>
      </c>
      <c r="H210" s="115">
        <v>111.79296152526128</v>
      </c>
      <c r="I210" s="115">
        <v>79.613958568748956</v>
      </c>
      <c r="J210" s="115">
        <v>90.256126292234484</v>
      </c>
      <c r="K210" s="115">
        <v>110.77059543931833</v>
      </c>
      <c r="L210" s="115">
        <v>140.42673668257291</v>
      </c>
      <c r="M210" s="115">
        <v>171.73196543987893</v>
      </c>
      <c r="N210" s="115">
        <v>195.06699158300455</v>
      </c>
      <c r="O210" s="115">
        <v>142.16069671321131</v>
      </c>
      <c r="P210" s="115">
        <v>64.462849663470507</v>
      </c>
      <c r="Q210" s="115">
        <v>86.255507435170088</v>
      </c>
      <c r="R210" s="115">
        <v>23.725853919378782</v>
      </c>
      <c r="S210" s="115">
        <v>16.422285712219438</v>
      </c>
      <c r="T210" s="115">
        <v>8.4885381927067431</v>
      </c>
      <c r="U210" s="115">
        <v>2.1884716261411086E-14</v>
      </c>
      <c r="V210" s="115">
        <v>99.36602819429784</v>
      </c>
      <c r="W210" s="115">
        <v>120.8652199039071</v>
      </c>
      <c r="X210" s="115">
        <v>169.75959752030624</v>
      </c>
      <c r="Y210" s="115">
        <v>115.77826828493359</v>
      </c>
      <c r="Z210" s="115">
        <v>115.79264477369664</v>
      </c>
      <c r="AA210" s="115">
        <v>81.153714670044181</v>
      </c>
      <c r="AB210" s="115">
        <v>80.661738490231784</v>
      </c>
      <c r="AC210" s="115">
        <v>54.102916831776255</v>
      </c>
      <c r="AD210" s="115">
        <v>9.0126241547655059</v>
      </c>
      <c r="AE210" s="115">
        <v>46.673098793467226</v>
      </c>
      <c r="AF210" s="115">
        <v>27.93166426526755</v>
      </c>
      <c r="AG210" s="115">
        <v>38.140759678553799</v>
      </c>
      <c r="AH210" s="115">
        <v>79.881763146784195</v>
      </c>
      <c r="AI210" s="115">
        <v>90.462335817321602</v>
      </c>
      <c r="AJ210" s="115">
        <v>110.92937677363543</v>
      </c>
      <c r="AK210" s="115">
        <v>58.928998309997056</v>
      </c>
      <c r="AL210" s="115">
        <v>85.878706892995496</v>
      </c>
      <c r="AM210" s="115">
        <v>84.334247501904329</v>
      </c>
      <c r="AN210" s="115">
        <v>104.70501377076413</v>
      </c>
      <c r="AO210" s="115">
        <v>81.639355328937228</v>
      </c>
      <c r="AP210" s="115">
        <v>49.248798328730501</v>
      </c>
      <c r="AQ210" s="115">
        <v>75.863804438571307</v>
      </c>
      <c r="AR210" s="115">
        <v>74.027359143148729</v>
      </c>
      <c r="AS210" s="115">
        <v>62.603296265673322</v>
      </c>
      <c r="AT210" s="115">
        <v>57.656767850017275</v>
      </c>
      <c r="AU210" s="115">
        <v>33.092205969962137</v>
      </c>
      <c r="AV210" s="115">
        <v>4.3769432522822172E-14</v>
      </c>
      <c r="AW210" s="115">
        <v>0</v>
      </c>
      <c r="AX210" s="115">
        <v>27.4476431942978</v>
      </c>
      <c r="AY210" s="115">
        <v>31.608063453907082</v>
      </c>
    </row>
    <row r="211" spans="1:51" x14ac:dyDescent="0.2">
      <c r="A211" s="114"/>
      <c r="B211" s="124">
        <v>3</v>
      </c>
      <c r="C211" s="111"/>
      <c r="D211" s="115">
        <v>0</v>
      </c>
      <c r="E211" s="115">
        <v>0</v>
      </c>
      <c r="F211" s="115">
        <v>0</v>
      </c>
      <c r="G211" s="115">
        <v>0</v>
      </c>
      <c r="H211" s="115">
        <v>0</v>
      </c>
      <c r="I211" s="115">
        <v>0</v>
      </c>
      <c r="J211" s="115">
        <v>0</v>
      </c>
      <c r="K211" s="115">
        <v>0</v>
      </c>
      <c r="L211" s="115">
        <v>0</v>
      </c>
      <c r="M211" s="115">
        <v>0</v>
      </c>
      <c r="N211" s="115">
        <v>0</v>
      </c>
      <c r="O211" s="115">
        <v>0</v>
      </c>
      <c r="P211" s="115">
        <v>0</v>
      </c>
      <c r="Q211" s="115">
        <v>0</v>
      </c>
      <c r="R211" s="115">
        <v>0</v>
      </c>
      <c r="S211" s="115">
        <v>0</v>
      </c>
      <c r="T211" s="115">
        <v>0</v>
      </c>
      <c r="U211" s="115">
        <v>0</v>
      </c>
      <c r="V211" s="115">
        <v>0</v>
      </c>
      <c r="W211" s="115">
        <v>0</v>
      </c>
      <c r="X211" s="115">
        <v>0</v>
      </c>
      <c r="Y211" s="115">
        <v>0</v>
      </c>
      <c r="Z211" s="115">
        <v>0</v>
      </c>
      <c r="AA211" s="115">
        <v>0</v>
      </c>
      <c r="AB211" s="115">
        <v>0</v>
      </c>
      <c r="AC211" s="115">
        <v>0</v>
      </c>
      <c r="AD211" s="115">
        <v>0</v>
      </c>
      <c r="AE211" s="115">
        <v>0</v>
      </c>
      <c r="AF211" s="115">
        <v>0</v>
      </c>
      <c r="AG211" s="115">
        <v>0</v>
      </c>
      <c r="AH211" s="115">
        <v>0</v>
      </c>
      <c r="AI211" s="115">
        <v>0</v>
      </c>
      <c r="AJ211" s="115">
        <v>0</v>
      </c>
      <c r="AK211" s="115">
        <v>0</v>
      </c>
      <c r="AL211" s="115">
        <v>0</v>
      </c>
      <c r="AM211" s="115">
        <v>0</v>
      </c>
      <c r="AN211" s="115">
        <v>0</v>
      </c>
      <c r="AO211" s="115">
        <v>0</v>
      </c>
      <c r="AP211" s="115">
        <v>0</v>
      </c>
      <c r="AQ211" s="115">
        <v>0</v>
      </c>
      <c r="AR211" s="115">
        <v>0</v>
      </c>
      <c r="AS211" s="115">
        <v>0</v>
      </c>
      <c r="AT211" s="115">
        <v>0</v>
      </c>
      <c r="AU211" s="115">
        <v>0</v>
      </c>
      <c r="AV211" s="115">
        <v>0</v>
      </c>
      <c r="AW211" s="115">
        <v>0</v>
      </c>
      <c r="AX211" s="115">
        <v>0</v>
      </c>
      <c r="AY211" s="115">
        <v>0</v>
      </c>
    </row>
    <row r="212" spans="1:51" x14ac:dyDescent="0.2">
      <c r="A212" s="114"/>
      <c r="B212" s="124">
        <v>4</v>
      </c>
      <c r="C212" s="111"/>
      <c r="D212" s="115">
        <v>0</v>
      </c>
      <c r="E212" s="115">
        <v>0</v>
      </c>
      <c r="F212" s="115">
        <v>0</v>
      </c>
      <c r="G212" s="115">
        <v>0</v>
      </c>
      <c r="H212" s="115">
        <v>0</v>
      </c>
      <c r="I212" s="115">
        <v>0</v>
      </c>
      <c r="J212" s="115">
        <v>0</v>
      </c>
      <c r="K212" s="115">
        <v>0</v>
      </c>
      <c r="L212" s="115">
        <v>0</v>
      </c>
      <c r="M212" s="115">
        <v>0</v>
      </c>
      <c r="N212" s="115">
        <v>0</v>
      </c>
      <c r="O212" s="115">
        <v>0</v>
      </c>
      <c r="P212" s="115">
        <v>0</v>
      </c>
      <c r="Q212" s="115">
        <v>0</v>
      </c>
      <c r="R212" s="115">
        <v>0</v>
      </c>
      <c r="S212" s="115">
        <v>0</v>
      </c>
      <c r="T212" s="115">
        <v>0</v>
      </c>
      <c r="U212" s="115">
        <v>0</v>
      </c>
      <c r="V212" s="115">
        <v>0</v>
      </c>
      <c r="W212" s="115">
        <v>0</v>
      </c>
      <c r="X212" s="115">
        <v>0</v>
      </c>
      <c r="Y212" s="115">
        <v>0</v>
      </c>
      <c r="Z212" s="115">
        <v>0</v>
      </c>
      <c r="AA212" s="115">
        <v>0</v>
      </c>
      <c r="AB212" s="115">
        <v>0</v>
      </c>
      <c r="AC212" s="115">
        <v>0</v>
      </c>
      <c r="AD212" s="115">
        <v>0</v>
      </c>
      <c r="AE212" s="115">
        <v>0</v>
      </c>
      <c r="AF212" s="115">
        <v>0</v>
      </c>
      <c r="AG212" s="115">
        <v>0</v>
      </c>
      <c r="AH212" s="115">
        <v>0</v>
      </c>
      <c r="AI212" s="115">
        <v>0</v>
      </c>
      <c r="AJ212" s="115">
        <v>0</v>
      </c>
      <c r="AK212" s="115">
        <v>0</v>
      </c>
      <c r="AL212" s="115">
        <v>0</v>
      </c>
      <c r="AM212" s="115">
        <v>0</v>
      </c>
      <c r="AN212" s="115">
        <v>0</v>
      </c>
      <c r="AO212" s="115">
        <v>0</v>
      </c>
      <c r="AP212" s="115">
        <v>0</v>
      </c>
      <c r="AQ212" s="115">
        <v>0</v>
      </c>
      <c r="AR212" s="115">
        <v>0</v>
      </c>
      <c r="AS212" s="115">
        <v>0</v>
      </c>
      <c r="AT212" s="115">
        <v>0</v>
      </c>
      <c r="AU212" s="115">
        <v>0</v>
      </c>
      <c r="AV212" s="115">
        <v>0</v>
      </c>
      <c r="AW212" s="115">
        <v>0</v>
      </c>
      <c r="AX212" s="115">
        <v>0</v>
      </c>
      <c r="AY212" s="115">
        <v>0</v>
      </c>
    </row>
    <row r="213" spans="1:51" x14ac:dyDescent="0.2">
      <c r="A213" s="114"/>
      <c r="B213" s="124">
        <v>5</v>
      </c>
      <c r="C213" s="111"/>
      <c r="D213" s="115">
        <v>0</v>
      </c>
      <c r="E213" s="115">
        <v>0</v>
      </c>
      <c r="F213" s="115">
        <v>0</v>
      </c>
      <c r="G213" s="115">
        <v>0</v>
      </c>
      <c r="H213" s="115">
        <v>0</v>
      </c>
      <c r="I213" s="115">
        <v>0</v>
      </c>
      <c r="J213" s="115">
        <v>0</v>
      </c>
      <c r="K213" s="115">
        <v>0</v>
      </c>
      <c r="L213" s="115">
        <v>0</v>
      </c>
      <c r="M213" s="115">
        <v>0</v>
      </c>
      <c r="N213" s="115">
        <v>0</v>
      </c>
      <c r="O213" s="115">
        <v>0</v>
      </c>
      <c r="P213" s="115">
        <v>0</v>
      </c>
      <c r="Q213" s="115">
        <v>0</v>
      </c>
      <c r="R213" s="115">
        <v>0</v>
      </c>
      <c r="S213" s="115">
        <v>0</v>
      </c>
      <c r="T213" s="115">
        <v>0</v>
      </c>
      <c r="U213" s="115">
        <v>0</v>
      </c>
      <c r="V213" s="115">
        <v>0</v>
      </c>
      <c r="W213" s="115">
        <v>0</v>
      </c>
      <c r="X213" s="115">
        <v>0</v>
      </c>
      <c r="Y213" s="115">
        <v>0</v>
      </c>
      <c r="Z213" s="115">
        <v>0</v>
      </c>
      <c r="AA213" s="115">
        <v>0</v>
      </c>
      <c r="AB213" s="115">
        <v>0</v>
      </c>
      <c r="AC213" s="115">
        <v>0</v>
      </c>
      <c r="AD213" s="115">
        <v>0</v>
      </c>
      <c r="AE213" s="115">
        <v>0</v>
      </c>
      <c r="AF213" s="115">
        <v>0</v>
      </c>
      <c r="AG213" s="115">
        <v>0</v>
      </c>
      <c r="AH213" s="115">
        <v>0</v>
      </c>
      <c r="AI213" s="115">
        <v>0</v>
      </c>
      <c r="AJ213" s="115">
        <v>0</v>
      </c>
      <c r="AK213" s="115">
        <v>0</v>
      </c>
      <c r="AL213" s="115">
        <v>0</v>
      </c>
      <c r="AM213" s="115">
        <v>0</v>
      </c>
      <c r="AN213" s="115">
        <v>0</v>
      </c>
      <c r="AO213" s="115">
        <v>0</v>
      </c>
      <c r="AP213" s="115">
        <v>0</v>
      </c>
      <c r="AQ213" s="115">
        <v>0</v>
      </c>
      <c r="AR213" s="115">
        <v>0</v>
      </c>
      <c r="AS213" s="115">
        <v>0</v>
      </c>
      <c r="AT213" s="115">
        <v>0</v>
      </c>
      <c r="AU213" s="115">
        <v>0</v>
      </c>
      <c r="AV213" s="115">
        <v>0</v>
      </c>
      <c r="AW213" s="115">
        <v>0</v>
      </c>
      <c r="AX213" s="115">
        <v>0</v>
      </c>
      <c r="AY213" s="115">
        <v>0</v>
      </c>
    </row>
    <row r="214" spans="1:51" x14ac:dyDescent="0.2">
      <c r="A214" s="114"/>
      <c r="B214" s="124">
        <v>6</v>
      </c>
      <c r="C214" s="111"/>
      <c r="D214" s="115">
        <v>0</v>
      </c>
      <c r="E214" s="115">
        <v>0</v>
      </c>
      <c r="F214" s="115">
        <v>0</v>
      </c>
      <c r="G214" s="115">
        <v>0</v>
      </c>
      <c r="H214" s="115">
        <v>0</v>
      </c>
      <c r="I214" s="115">
        <v>0</v>
      </c>
      <c r="J214" s="115">
        <v>0</v>
      </c>
      <c r="K214" s="115">
        <v>0</v>
      </c>
      <c r="L214" s="115">
        <v>0</v>
      </c>
      <c r="M214" s="115">
        <v>0</v>
      </c>
      <c r="N214" s="115">
        <v>0</v>
      </c>
      <c r="O214" s="115">
        <v>0</v>
      </c>
      <c r="P214" s="115">
        <v>0</v>
      </c>
      <c r="Q214" s="115">
        <v>0</v>
      </c>
      <c r="R214" s="115">
        <v>0</v>
      </c>
      <c r="S214" s="115">
        <v>0</v>
      </c>
      <c r="T214" s="115">
        <v>0</v>
      </c>
      <c r="U214" s="115">
        <v>0</v>
      </c>
      <c r="V214" s="115">
        <v>0</v>
      </c>
      <c r="W214" s="115">
        <v>0</v>
      </c>
      <c r="X214" s="115">
        <v>0</v>
      </c>
      <c r="Y214" s="115">
        <v>0</v>
      </c>
      <c r="Z214" s="115">
        <v>0</v>
      </c>
      <c r="AA214" s="115">
        <v>0</v>
      </c>
      <c r="AB214" s="115">
        <v>0</v>
      </c>
      <c r="AC214" s="115">
        <v>0</v>
      </c>
      <c r="AD214" s="115">
        <v>0</v>
      </c>
      <c r="AE214" s="115">
        <v>0</v>
      </c>
      <c r="AF214" s="115">
        <v>0</v>
      </c>
      <c r="AG214" s="115">
        <v>0</v>
      </c>
      <c r="AH214" s="115">
        <v>0</v>
      </c>
      <c r="AI214" s="115">
        <v>0</v>
      </c>
      <c r="AJ214" s="115">
        <v>0</v>
      </c>
      <c r="AK214" s="115">
        <v>0</v>
      </c>
      <c r="AL214" s="115">
        <v>0</v>
      </c>
      <c r="AM214" s="115">
        <v>0</v>
      </c>
      <c r="AN214" s="115">
        <v>0</v>
      </c>
      <c r="AO214" s="115">
        <v>0</v>
      </c>
      <c r="AP214" s="115">
        <v>0</v>
      </c>
      <c r="AQ214" s="115">
        <v>0</v>
      </c>
      <c r="AR214" s="115">
        <v>0</v>
      </c>
      <c r="AS214" s="115">
        <v>0</v>
      </c>
      <c r="AT214" s="115">
        <v>0</v>
      </c>
      <c r="AU214" s="115">
        <v>0</v>
      </c>
      <c r="AV214" s="115">
        <v>0</v>
      </c>
      <c r="AW214" s="115">
        <v>0</v>
      </c>
      <c r="AX214" s="115">
        <v>0</v>
      </c>
      <c r="AY214" s="115">
        <v>0</v>
      </c>
    </row>
    <row r="215" spans="1:51" x14ac:dyDescent="0.2">
      <c r="A215" s="114"/>
      <c r="B215" s="124">
        <v>7</v>
      </c>
      <c r="C215" s="111"/>
      <c r="D215" s="115">
        <v>0</v>
      </c>
      <c r="E215" s="115">
        <v>0</v>
      </c>
      <c r="F215" s="115">
        <v>0</v>
      </c>
      <c r="G215" s="115">
        <v>0</v>
      </c>
      <c r="H215" s="115">
        <v>0</v>
      </c>
      <c r="I215" s="115">
        <v>0</v>
      </c>
      <c r="J215" s="115">
        <v>0</v>
      </c>
      <c r="K215" s="115">
        <v>0</v>
      </c>
      <c r="L215" s="115">
        <v>0</v>
      </c>
      <c r="M215" s="115">
        <v>0</v>
      </c>
      <c r="N215" s="115">
        <v>0</v>
      </c>
      <c r="O215" s="115">
        <v>0</v>
      </c>
      <c r="P215" s="115">
        <v>0</v>
      </c>
      <c r="Q215" s="115">
        <v>0</v>
      </c>
      <c r="R215" s="115">
        <v>0</v>
      </c>
      <c r="S215" s="115">
        <v>0</v>
      </c>
      <c r="T215" s="115">
        <v>0</v>
      </c>
      <c r="U215" s="115">
        <v>0</v>
      </c>
      <c r="V215" s="115">
        <v>0</v>
      </c>
      <c r="W215" s="115">
        <v>0</v>
      </c>
      <c r="X215" s="115">
        <v>0</v>
      </c>
      <c r="Y215" s="115">
        <v>0</v>
      </c>
      <c r="Z215" s="115">
        <v>0</v>
      </c>
      <c r="AA215" s="115">
        <v>0</v>
      </c>
      <c r="AB215" s="115">
        <v>0</v>
      </c>
      <c r="AC215" s="115">
        <v>0</v>
      </c>
      <c r="AD215" s="115">
        <v>0</v>
      </c>
      <c r="AE215" s="115">
        <v>0</v>
      </c>
      <c r="AF215" s="115">
        <v>0</v>
      </c>
      <c r="AG215" s="115">
        <v>0</v>
      </c>
      <c r="AH215" s="115">
        <v>0</v>
      </c>
      <c r="AI215" s="115">
        <v>0</v>
      </c>
      <c r="AJ215" s="115">
        <v>0</v>
      </c>
      <c r="AK215" s="115">
        <v>0</v>
      </c>
      <c r="AL215" s="115">
        <v>0</v>
      </c>
      <c r="AM215" s="115">
        <v>0</v>
      </c>
      <c r="AN215" s="115">
        <v>0</v>
      </c>
      <c r="AO215" s="115">
        <v>0</v>
      </c>
      <c r="AP215" s="115">
        <v>0</v>
      </c>
      <c r="AQ215" s="115">
        <v>0</v>
      </c>
      <c r="AR215" s="115">
        <v>0</v>
      </c>
      <c r="AS215" s="115">
        <v>0</v>
      </c>
      <c r="AT215" s="115">
        <v>0</v>
      </c>
      <c r="AU215" s="115">
        <v>0</v>
      </c>
      <c r="AV215" s="115">
        <v>0</v>
      </c>
      <c r="AW215" s="115">
        <v>0</v>
      </c>
      <c r="AX215" s="115">
        <v>0</v>
      </c>
      <c r="AY215" s="115">
        <v>0</v>
      </c>
    </row>
    <row r="216" spans="1:51" x14ac:dyDescent="0.2">
      <c r="A216" s="114"/>
      <c r="B216" s="124">
        <v>8</v>
      </c>
      <c r="C216" s="111"/>
      <c r="D216" s="115">
        <v>0</v>
      </c>
      <c r="E216" s="115">
        <v>0</v>
      </c>
      <c r="F216" s="115">
        <v>0</v>
      </c>
      <c r="G216" s="115">
        <v>0</v>
      </c>
      <c r="H216" s="115">
        <v>0</v>
      </c>
      <c r="I216" s="115">
        <v>0</v>
      </c>
      <c r="J216" s="115">
        <v>0</v>
      </c>
      <c r="K216" s="115">
        <v>0</v>
      </c>
      <c r="L216" s="115">
        <v>0</v>
      </c>
      <c r="M216" s="115">
        <v>0</v>
      </c>
      <c r="N216" s="115">
        <v>0</v>
      </c>
      <c r="O216" s="115">
        <v>0</v>
      </c>
      <c r="P216" s="115">
        <v>0</v>
      </c>
      <c r="Q216" s="115">
        <v>0</v>
      </c>
      <c r="R216" s="115">
        <v>0</v>
      </c>
      <c r="S216" s="115">
        <v>0</v>
      </c>
      <c r="T216" s="115">
        <v>0</v>
      </c>
      <c r="U216" s="115">
        <v>0</v>
      </c>
      <c r="V216" s="115">
        <v>0</v>
      </c>
      <c r="W216" s="115">
        <v>0</v>
      </c>
      <c r="X216" s="115">
        <v>0</v>
      </c>
      <c r="Y216" s="115">
        <v>0</v>
      </c>
      <c r="Z216" s="115">
        <v>0</v>
      </c>
      <c r="AA216" s="115">
        <v>0</v>
      </c>
      <c r="AB216" s="115">
        <v>0</v>
      </c>
      <c r="AC216" s="115">
        <v>0</v>
      </c>
      <c r="AD216" s="115">
        <v>0</v>
      </c>
      <c r="AE216" s="115">
        <v>0</v>
      </c>
      <c r="AF216" s="115">
        <v>0</v>
      </c>
      <c r="AG216" s="115">
        <v>0</v>
      </c>
      <c r="AH216" s="115">
        <v>0</v>
      </c>
      <c r="AI216" s="115">
        <v>0</v>
      </c>
      <c r="AJ216" s="115">
        <v>0</v>
      </c>
      <c r="AK216" s="115">
        <v>0</v>
      </c>
      <c r="AL216" s="115">
        <v>0</v>
      </c>
      <c r="AM216" s="115">
        <v>0</v>
      </c>
      <c r="AN216" s="115">
        <v>0</v>
      </c>
      <c r="AO216" s="115">
        <v>0</v>
      </c>
      <c r="AP216" s="115">
        <v>0</v>
      </c>
      <c r="AQ216" s="115">
        <v>0</v>
      </c>
      <c r="AR216" s="115">
        <v>0</v>
      </c>
      <c r="AS216" s="115">
        <v>0</v>
      </c>
      <c r="AT216" s="115">
        <v>0</v>
      </c>
      <c r="AU216" s="115">
        <v>0</v>
      </c>
      <c r="AV216" s="115">
        <v>0</v>
      </c>
      <c r="AW216" s="115">
        <v>0</v>
      </c>
      <c r="AX216" s="115">
        <v>0</v>
      </c>
      <c r="AY216" s="115">
        <v>0</v>
      </c>
    </row>
    <row r="217" spans="1:51" x14ac:dyDescent="0.2">
      <c r="A217" s="114"/>
      <c r="B217" s="124">
        <v>9</v>
      </c>
      <c r="C217" s="111"/>
      <c r="D217" s="115">
        <v>0</v>
      </c>
      <c r="E217" s="115">
        <v>0</v>
      </c>
      <c r="F217" s="115">
        <v>0</v>
      </c>
      <c r="G217" s="115">
        <v>0</v>
      </c>
      <c r="H217" s="115">
        <v>0</v>
      </c>
      <c r="I217" s="115">
        <v>0</v>
      </c>
      <c r="J217" s="115">
        <v>0</v>
      </c>
      <c r="K217" s="115">
        <v>0</v>
      </c>
      <c r="L217" s="115">
        <v>0</v>
      </c>
      <c r="M217" s="115">
        <v>0</v>
      </c>
      <c r="N217" s="115">
        <v>0</v>
      </c>
      <c r="O217" s="115">
        <v>0</v>
      </c>
      <c r="P217" s="115">
        <v>0</v>
      </c>
      <c r="Q217" s="115">
        <v>0</v>
      </c>
      <c r="R217" s="115">
        <v>0</v>
      </c>
      <c r="S217" s="115">
        <v>0</v>
      </c>
      <c r="T217" s="115">
        <v>0</v>
      </c>
      <c r="U217" s="115">
        <v>0</v>
      </c>
      <c r="V217" s="115">
        <v>0</v>
      </c>
      <c r="W217" s="115">
        <v>0</v>
      </c>
      <c r="X217" s="115">
        <v>0</v>
      </c>
      <c r="Y217" s="115">
        <v>0</v>
      </c>
      <c r="Z217" s="115">
        <v>0</v>
      </c>
      <c r="AA217" s="115">
        <v>0</v>
      </c>
      <c r="AB217" s="115">
        <v>0</v>
      </c>
      <c r="AC217" s="115">
        <v>0</v>
      </c>
      <c r="AD217" s="115">
        <v>0</v>
      </c>
      <c r="AE217" s="115">
        <v>0</v>
      </c>
      <c r="AF217" s="115">
        <v>0</v>
      </c>
      <c r="AG217" s="115">
        <v>0</v>
      </c>
      <c r="AH217" s="115">
        <v>0</v>
      </c>
      <c r="AI217" s="115">
        <v>0</v>
      </c>
      <c r="AJ217" s="115">
        <v>0</v>
      </c>
      <c r="AK217" s="115">
        <v>0</v>
      </c>
      <c r="AL217" s="115">
        <v>0</v>
      </c>
      <c r="AM217" s="115">
        <v>0</v>
      </c>
      <c r="AN217" s="115">
        <v>0</v>
      </c>
      <c r="AO217" s="115">
        <v>0</v>
      </c>
      <c r="AP217" s="115">
        <v>0</v>
      </c>
      <c r="AQ217" s="115">
        <v>0</v>
      </c>
      <c r="AR217" s="115">
        <v>0</v>
      </c>
      <c r="AS217" s="115">
        <v>0</v>
      </c>
      <c r="AT217" s="115">
        <v>0</v>
      </c>
      <c r="AU217" s="115">
        <v>0</v>
      </c>
      <c r="AV217" s="115">
        <v>0</v>
      </c>
      <c r="AW217" s="115">
        <v>0</v>
      </c>
      <c r="AX217" s="115">
        <v>0</v>
      </c>
      <c r="AY217" s="115">
        <v>0</v>
      </c>
    </row>
    <row r="218" spans="1:51" x14ac:dyDescent="0.2">
      <c r="A218" s="114"/>
      <c r="B218" s="124">
        <v>10</v>
      </c>
      <c r="C218" s="111"/>
      <c r="D218" s="115">
        <v>0</v>
      </c>
      <c r="E218" s="115">
        <v>0</v>
      </c>
      <c r="F218" s="115">
        <v>0</v>
      </c>
      <c r="G218" s="115">
        <v>0</v>
      </c>
      <c r="H218" s="115">
        <v>0</v>
      </c>
      <c r="I218" s="115">
        <v>0</v>
      </c>
      <c r="J218" s="115">
        <v>0</v>
      </c>
      <c r="K218" s="115">
        <v>0</v>
      </c>
      <c r="L218" s="115">
        <v>0</v>
      </c>
      <c r="M218" s="115">
        <v>0</v>
      </c>
      <c r="N218" s="115">
        <v>0</v>
      </c>
      <c r="O218" s="115">
        <v>0</v>
      </c>
      <c r="P218" s="115">
        <v>0</v>
      </c>
      <c r="Q218" s="115">
        <v>0</v>
      </c>
      <c r="R218" s="115">
        <v>0</v>
      </c>
      <c r="S218" s="115">
        <v>0</v>
      </c>
      <c r="T218" s="115">
        <v>0</v>
      </c>
      <c r="U218" s="115">
        <v>0</v>
      </c>
      <c r="V218" s="115">
        <v>0</v>
      </c>
      <c r="W218" s="115">
        <v>0</v>
      </c>
      <c r="X218" s="115">
        <v>0</v>
      </c>
      <c r="Y218" s="115">
        <v>0</v>
      </c>
      <c r="Z218" s="115">
        <v>0</v>
      </c>
      <c r="AA218" s="115">
        <v>0</v>
      </c>
      <c r="AB218" s="115">
        <v>0</v>
      </c>
      <c r="AC218" s="115">
        <v>0</v>
      </c>
      <c r="AD218" s="115">
        <v>0</v>
      </c>
      <c r="AE218" s="115">
        <v>0</v>
      </c>
      <c r="AF218" s="115">
        <v>0</v>
      </c>
      <c r="AG218" s="115">
        <v>0</v>
      </c>
      <c r="AH218" s="115">
        <v>0</v>
      </c>
      <c r="AI218" s="115">
        <v>0</v>
      </c>
      <c r="AJ218" s="115">
        <v>0</v>
      </c>
      <c r="AK218" s="115">
        <v>0</v>
      </c>
      <c r="AL218" s="115">
        <v>0</v>
      </c>
      <c r="AM218" s="115">
        <v>0</v>
      </c>
      <c r="AN218" s="115">
        <v>0</v>
      </c>
      <c r="AO218" s="115">
        <v>0</v>
      </c>
      <c r="AP218" s="115">
        <v>0</v>
      </c>
      <c r="AQ218" s="115">
        <v>0</v>
      </c>
      <c r="AR218" s="115">
        <v>0</v>
      </c>
      <c r="AS218" s="115">
        <v>0</v>
      </c>
      <c r="AT218" s="115">
        <v>0</v>
      </c>
      <c r="AU218" s="115">
        <v>0</v>
      </c>
      <c r="AV218" s="115">
        <v>0</v>
      </c>
      <c r="AW218" s="115">
        <v>0</v>
      </c>
      <c r="AX218" s="115">
        <v>0</v>
      </c>
      <c r="AY218" s="115">
        <v>0</v>
      </c>
    </row>
    <row r="219" spans="1:51" x14ac:dyDescent="0.2">
      <c r="A219" s="114"/>
      <c r="B219" s="124">
        <v>11</v>
      </c>
      <c r="C219" s="111"/>
      <c r="D219" s="115">
        <v>0</v>
      </c>
      <c r="E219" s="115">
        <v>0</v>
      </c>
      <c r="F219" s="115">
        <v>0</v>
      </c>
      <c r="G219" s="115">
        <v>0</v>
      </c>
      <c r="H219" s="115">
        <v>0</v>
      </c>
      <c r="I219" s="115">
        <v>0</v>
      </c>
      <c r="J219" s="115">
        <v>0</v>
      </c>
      <c r="K219" s="115">
        <v>0</v>
      </c>
      <c r="L219" s="115">
        <v>0</v>
      </c>
      <c r="M219" s="115">
        <v>0</v>
      </c>
      <c r="N219" s="115">
        <v>0</v>
      </c>
      <c r="O219" s="115">
        <v>0</v>
      </c>
      <c r="P219" s="115">
        <v>0</v>
      </c>
      <c r="Q219" s="115">
        <v>0</v>
      </c>
      <c r="R219" s="115">
        <v>0</v>
      </c>
      <c r="S219" s="115">
        <v>0</v>
      </c>
      <c r="T219" s="115">
        <v>0</v>
      </c>
      <c r="U219" s="115">
        <v>0</v>
      </c>
      <c r="V219" s="115">
        <v>0</v>
      </c>
      <c r="W219" s="115">
        <v>0</v>
      </c>
      <c r="X219" s="115">
        <v>0</v>
      </c>
      <c r="Y219" s="115">
        <v>0</v>
      </c>
      <c r="Z219" s="115">
        <v>0</v>
      </c>
      <c r="AA219" s="115">
        <v>0</v>
      </c>
      <c r="AB219" s="115">
        <v>0</v>
      </c>
      <c r="AC219" s="115">
        <v>0</v>
      </c>
      <c r="AD219" s="115">
        <v>0</v>
      </c>
      <c r="AE219" s="115">
        <v>0</v>
      </c>
      <c r="AF219" s="115">
        <v>0</v>
      </c>
      <c r="AG219" s="115">
        <v>0</v>
      </c>
      <c r="AH219" s="115">
        <v>0</v>
      </c>
      <c r="AI219" s="115">
        <v>0</v>
      </c>
      <c r="AJ219" s="115">
        <v>0</v>
      </c>
      <c r="AK219" s="115">
        <v>0</v>
      </c>
      <c r="AL219" s="115">
        <v>0</v>
      </c>
      <c r="AM219" s="115">
        <v>0</v>
      </c>
      <c r="AN219" s="115">
        <v>0</v>
      </c>
      <c r="AO219" s="115">
        <v>0</v>
      </c>
      <c r="AP219" s="115">
        <v>0</v>
      </c>
      <c r="AQ219" s="115">
        <v>0</v>
      </c>
      <c r="AR219" s="115">
        <v>0</v>
      </c>
      <c r="AS219" s="115">
        <v>0</v>
      </c>
      <c r="AT219" s="115">
        <v>0</v>
      </c>
      <c r="AU219" s="115">
        <v>0</v>
      </c>
      <c r="AV219" s="115">
        <v>0</v>
      </c>
      <c r="AW219" s="115">
        <v>0</v>
      </c>
      <c r="AX219" s="115">
        <v>0</v>
      </c>
      <c r="AY219" s="115">
        <v>0</v>
      </c>
    </row>
    <row r="220" spans="1:51" x14ac:dyDescent="0.2">
      <c r="A220" s="114"/>
      <c r="B220" s="124">
        <v>12</v>
      </c>
      <c r="C220" s="111"/>
      <c r="D220" s="115">
        <v>0</v>
      </c>
      <c r="E220" s="115">
        <v>0</v>
      </c>
      <c r="F220" s="115">
        <v>0</v>
      </c>
      <c r="G220" s="115">
        <v>0</v>
      </c>
      <c r="H220" s="115">
        <v>0</v>
      </c>
      <c r="I220" s="115">
        <v>0</v>
      </c>
      <c r="J220" s="115">
        <v>0</v>
      </c>
      <c r="K220" s="115">
        <v>0</v>
      </c>
      <c r="L220" s="115">
        <v>0</v>
      </c>
      <c r="M220" s="115">
        <v>0</v>
      </c>
      <c r="N220" s="115">
        <v>0</v>
      </c>
      <c r="O220" s="115">
        <v>0</v>
      </c>
      <c r="P220" s="115">
        <v>0</v>
      </c>
      <c r="Q220" s="115">
        <v>0</v>
      </c>
      <c r="R220" s="115">
        <v>0</v>
      </c>
      <c r="S220" s="115">
        <v>0</v>
      </c>
      <c r="T220" s="115">
        <v>0</v>
      </c>
      <c r="U220" s="115">
        <v>0</v>
      </c>
      <c r="V220" s="115">
        <v>0</v>
      </c>
      <c r="W220" s="115">
        <v>0</v>
      </c>
      <c r="X220" s="115">
        <v>0</v>
      </c>
      <c r="Y220" s="115">
        <v>0</v>
      </c>
      <c r="Z220" s="115">
        <v>0</v>
      </c>
      <c r="AA220" s="115">
        <v>0</v>
      </c>
      <c r="AB220" s="115">
        <v>0</v>
      </c>
      <c r="AC220" s="115">
        <v>0</v>
      </c>
      <c r="AD220" s="115">
        <v>0</v>
      </c>
      <c r="AE220" s="115">
        <v>0</v>
      </c>
      <c r="AF220" s="115">
        <v>0</v>
      </c>
      <c r="AG220" s="115">
        <v>0</v>
      </c>
      <c r="AH220" s="115">
        <v>0</v>
      </c>
      <c r="AI220" s="115">
        <v>0</v>
      </c>
      <c r="AJ220" s="115">
        <v>0</v>
      </c>
      <c r="AK220" s="115">
        <v>0</v>
      </c>
      <c r="AL220" s="115">
        <v>0</v>
      </c>
      <c r="AM220" s="115">
        <v>0</v>
      </c>
      <c r="AN220" s="115">
        <v>0</v>
      </c>
      <c r="AO220" s="115">
        <v>0</v>
      </c>
      <c r="AP220" s="115">
        <v>0</v>
      </c>
      <c r="AQ220" s="115">
        <v>0</v>
      </c>
      <c r="AR220" s="115">
        <v>0</v>
      </c>
      <c r="AS220" s="115">
        <v>0</v>
      </c>
      <c r="AT220" s="115">
        <v>0</v>
      </c>
      <c r="AU220" s="115">
        <v>0</v>
      </c>
      <c r="AV220" s="115">
        <v>0</v>
      </c>
      <c r="AW220" s="115">
        <v>0</v>
      </c>
      <c r="AX220" s="115">
        <v>0</v>
      </c>
      <c r="AY220" s="115">
        <v>0</v>
      </c>
    </row>
    <row r="221" spans="1:51" x14ac:dyDescent="0.2">
      <c r="A221" s="114"/>
      <c r="B221" s="125">
        <v>13</v>
      </c>
      <c r="C221" s="111"/>
      <c r="D221" s="115">
        <v>0</v>
      </c>
      <c r="E221" s="115">
        <v>0</v>
      </c>
      <c r="F221" s="115">
        <v>0</v>
      </c>
      <c r="G221" s="115">
        <v>0</v>
      </c>
      <c r="H221" s="115">
        <v>0</v>
      </c>
      <c r="I221" s="115">
        <v>0</v>
      </c>
      <c r="J221" s="115">
        <v>0</v>
      </c>
      <c r="K221" s="115">
        <v>0</v>
      </c>
      <c r="L221" s="115">
        <v>0</v>
      </c>
      <c r="M221" s="115">
        <v>0</v>
      </c>
      <c r="N221" s="115">
        <v>0</v>
      </c>
      <c r="O221" s="115">
        <v>0</v>
      </c>
      <c r="P221" s="115">
        <v>0</v>
      </c>
      <c r="Q221" s="115">
        <v>0</v>
      </c>
      <c r="R221" s="115">
        <v>0</v>
      </c>
      <c r="S221" s="115">
        <v>0</v>
      </c>
      <c r="T221" s="115">
        <v>0</v>
      </c>
      <c r="U221" s="115">
        <v>0</v>
      </c>
      <c r="V221" s="115">
        <v>0</v>
      </c>
      <c r="W221" s="115">
        <v>0</v>
      </c>
      <c r="X221" s="115">
        <v>0</v>
      </c>
      <c r="Y221" s="115">
        <v>0</v>
      </c>
      <c r="Z221" s="115">
        <v>0</v>
      </c>
      <c r="AA221" s="115">
        <v>0</v>
      </c>
      <c r="AB221" s="115">
        <v>0</v>
      </c>
      <c r="AC221" s="115">
        <v>0</v>
      </c>
      <c r="AD221" s="115">
        <v>0</v>
      </c>
      <c r="AE221" s="115">
        <v>0</v>
      </c>
      <c r="AF221" s="115">
        <v>0</v>
      </c>
      <c r="AG221" s="115">
        <v>0</v>
      </c>
      <c r="AH221" s="115">
        <v>0</v>
      </c>
      <c r="AI221" s="115">
        <v>0</v>
      </c>
      <c r="AJ221" s="115">
        <v>0</v>
      </c>
      <c r="AK221" s="115">
        <v>0</v>
      </c>
      <c r="AL221" s="115">
        <v>0</v>
      </c>
      <c r="AM221" s="115">
        <v>0</v>
      </c>
      <c r="AN221" s="115">
        <v>0</v>
      </c>
      <c r="AO221" s="115">
        <v>0</v>
      </c>
      <c r="AP221" s="115">
        <v>0</v>
      </c>
      <c r="AQ221" s="115">
        <v>0</v>
      </c>
      <c r="AR221" s="115">
        <v>0</v>
      </c>
      <c r="AS221" s="115">
        <v>0</v>
      </c>
      <c r="AT221" s="115">
        <v>0</v>
      </c>
      <c r="AU221" s="115">
        <v>0</v>
      </c>
      <c r="AV221" s="115">
        <v>0</v>
      </c>
      <c r="AW221" s="115">
        <v>0</v>
      </c>
      <c r="AX221" s="115">
        <v>0</v>
      </c>
      <c r="AY221" s="115">
        <v>0</v>
      </c>
    </row>
    <row r="222" spans="1:51" x14ac:dyDescent="0.2">
      <c r="A222" s="114"/>
      <c r="B222" s="125">
        <v>14</v>
      </c>
      <c r="C222" s="111"/>
      <c r="D222" s="115">
        <v>0</v>
      </c>
      <c r="E222" s="115">
        <v>0</v>
      </c>
      <c r="F222" s="115">
        <v>0</v>
      </c>
      <c r="G222" s="115">
        <v>0</v>
      </c>
      <c r="H222" s="115">
        <v>0</v>
      </c>
      <c r="I222" s="115">
        <v>0</v>
      </c>
      <c r="J222" s="115">
        <v>0</v>
      </c>
      <c r="K222" s="115">
        <v>0</v>
      </c>
      <c r="L222" s="115">
        <v>0</v>
      </c>
      <c r="M222" s="115">
        <v>0</v>
      </c>
      <c r="N222" s="115">
        <v>0</v>
      </c>
      <c r="O222" s="115">
        <v>0</v>
      </c>
      <c r="P222" s="115">
        <v>0</v>
      </c>
      <c r="Q222" s="115">
        <v>0</v>
      </c>
      <c r="R222" s="115">
        <v>0</v>
      </c>
      <c r="S222" s="115">
        <v>0</v>
      </c>
      <c r="T222" s="115">
        <v>0</v>
      </c>
      <c r="U222" s="115">
        <v>0</v>
      </c>
      <c r="V222" s="115">
        <v>0</v>
      </c>
      <c r="W222" s="115">
        <v>0</v>
      </c>
      <c r="X222" s="115">
        <v>0</v>
      </c>
      <c r="Y222" s="115">
        <v>0</v>
      </c>
      <c r="Z222" s="115">
        <v>0</v>
      </c>
      <c r="AA222" s="115">
        <v>0</v>
      </c>
      <c r="AB222" s="115">
        <v>0</v>
      </c>
      <c r="AC222" s="115">
        <v>0</v>
      </c>
      <c r="AD222" s="115">
        <v>0</v>
      </c>
      <c r="AE222" s="115">
        <v>0</v>
      </c>
      <c r="AF222" s="115">
        <v>0</v>
      </c>
      <c r="AG222" s="115">
        <v>0</v>
      </c>
      <c r="AH222" s="115">
        <v>0</v>
      </c>
      <c r="AI222" s="115">
        <v>0</v>
      </c>
      <c r="AJ222" s="115">
        <v>0</v>
      </c>
      <c r="AK222" s="115">
        <v>0</v>
      </c>
      <c r="AL222" s="115">
        <v>0</v>
      </c>
      <c r="AM222" s="115">
        <v>0</v>
      </c>
      <c r="AN222" s="115">
        <v>0</v>
      </c>
      <c r="AO222" s="115">
        <v>0</v>
      </c>
      <c r="AP222" s="115">
        <v>0</v>
      </c>
      <c r="AQ222" s="115">
        <v>0</v>
      </c>
      <c r="AR222" s="115">
        <v>0</v>
      </c>
      <c r="AS222" s="115">
        <v>0</v>
      </c>
      <c r="AT222" s="115">
        <v>0</v>
      </c>
      <c r="AU222" s="115">
        <v>0</v>
      </c>
      <c r="AV222" s="115">
        <v>0</v>
      </c>
      <c r="AW222" s="115">
        <v>0</v>
      </c>
      <c r="AX222" s="115">
        <v>0</v>
      </c>
      <c r="AY222" s="115">
        <v>0</v>
      </c>
    </row>
    <row r="223" spans="1:51" x14ac:dyDescent="0.2">
      <c r="A223" s="114"/>
      <c r="B223" s="125">
        <v>15</v>
      </c>
      <c r="C223" s="111"/>
      <c r="D223" s="115">
        <v>0</v>
      </c>
      <c r="E223" s="115">
        <v>0</v>
      </c>
      <c r="F223" s="115">
        <v>0</v>
      </c>
      <c r="G223" s="115">
        <v>0</v>
      </c>
      <c r="H223" s="115">
        <v>0</v>
      </c>
      <c r="I223" s="115">
        <v>0</v>
      </c>
      <c r="J223" s="115">
        <v>0</v>
      </c>
      <c r="K223" s="115">
        <v>0</v>
      </c>
      <c r="L223" s="115">
        <v>0</v>
      </c>
      <c r="M223" s="115">
        <v>0</v>
      </c>
      <c r="N223" s="115">
        <v>0</v>
      </c>
      <c r="O223" s="115">
        <v>0</v>
      </c>
      <c r="P223" s="115">
        <v>0</v>
      </c>
      <c r="Q223" s="115">
        <v>0</v>
      </c>
      <c r="R223" s="115">
        <v>0</v>
      </c>
      <c r="S223" s="115">
        <v>0</v>
      </c>
      <c r="T223" s="115">
        <v>0</v>
      </c>
      <c r="U223" s="115">
        <v>0</v>
      </c>
      <c r="V223" s="115">
        <v>0</v>
      </c>
      <c r="W223" s="115">
        <v>0</v>
      </c>
      <c r="X223" s="115">
        <v>0</v>
      </c>
      <c r="Y223" s="115">
        <v>0</v>
      </c>
      <c r="Z223" s="115">
        <v>0</v>
      </c>
      <c r="AA223" s="115">
        <v>0</v>
      </c>
      <c r="AB223" s="115">
        <v>0</v>
      </c>
      <c r="AC223" s="115">
        <v>0</v>
      </c>
      <c r="AD223" s="115">
        <v>0</v>
      </c>
      <c r="AE223" s="115">
        <v>0</v>
      </c>
      <c r="AF223" s="115">
        <v>0</v>
      </c>
      <c r="AG223" s="115">
        <v>0</v>
      </c>
      <c r="AH223" s="115">
        <v>0</v>
      </c>
      <c r="AI223" s="115">
        <v>0</v>
      </c>
      <c r="AJ223" s="115">
        <v>0</v>
      </c>
      <c r="AK223" s="115">
        <v>0</v>
      </c>
      <c r="AL223" s="115">
        <v>0</v>
      </c>
      <c r="AM223" s="115">
        <v>0</v>
      </c>
      <c r="AN223" s="115">
        <v>0</v>
      </c>
      <c r="AO223" s="115">
        <v>0</v>
      </c>
      <c r="AP223" s="115">
        <v>0</v>
      </c>
      <c r="AQ223" s="115">
        <v>0</v>
      </c>
      <c r="AR223" s="115">
        <v>0</v>
      </c>
      <c r="AS223" s="115">
        <v>0</v>
      </c>
      <c r="AT223" s="115">
        <v>0</v>
      </c>
      <c r="AU223" s="115">
        <v>0</v>
      </c>
      <c r="AV223" s="115">
        <v>0</v>
      </c>
      <c r="AW223" s="115">
        <v>0</v>
      </c>
      <c r="AX223" s="115">
        <v>0</v>
      </c>
      <c r="AY223" s="115">
        <v>0</v>
      </c>
    </row>
    <row r="224" spans="1:51" x14ac:dyDescent="0.2">
      <c r="A224" s="114"/>
      <c r="B224" s="125">
        <v>16</v>
      </c>
      <c r="C224" s="111"/>
      <c r="D224" s="115">
        <v>0</v>
      </c>
      <c r="E224" s="115">
        <v>0</v>
      </c>
      <c r="F224" s="115">
        <v>0</v>
      </c>
      <c r="G224" s="115">
        <v>0</v>
      </c>
      <c r="H224" s="115">
        <v>0</v>
      </c>
      <c r="I224" s="115">
        <v>0</v>
      </c>
      <c r="J224" s="115">
        <v>0</v>
      </c>
      <c r="K224" s="115">
        <v>0</v>
      </c>
      <c r="L224" s="115">
        <v>0</v>
      </c>
      <c r="M224" s="115">
        <v>0</v>
      </c>
      <c r="N224" s="115">
        <v>0</v>
      </c>
      <c r="O224" s="115">
        <v>0</v>
      </c>
      <c r="P224" s="115">
        <v>0</v>
      </c>
      <c r="Q224" s="115">
        <v>0</v>
      </c>
      <c r="R224" s="115">
        <v>0</v>
      </c>
      <c r="S224" s="115">
        <v>0</v>
      </c>
      <c r="T224" s="115">
        <v>0</v>
      </c>
      <c r="U224" s="115">
        <v>0</v>
      </c>
      <c r="V224" s="115">
        <v>0</v>
      </c>
      <c r="W224" s="115">
        <v>0</v>
      </c>
      <c r="X224" s="115">
        <v>0</v>
      </c>
      <c r="Y224" s="115">
        <v>0</v>
      </c>
      <c r="Z224" s="115">
        <v>0</v>
      </c>
      <c r="AA224" s="115">
        <v>0</v>
      </c>
      <c r="AB224" s="115">
        <v>0</v>
      </c>
      <c r="AC224" s="115">
        <v>0</v>
      </c>
      <c r="AD224" s="115">
        <v>0</v>
      </c>
      <c r="AE224" s="115">
        <v>0</v>
      </c>
      <c r="AF224" s="115">
        <v>0</v>
      </c>
      <c r="AG224" s="115">
        <v>0</v>
      </c>
      <c r="AH224" s="115">
        <v>0</v>
      </c>
      <c r="AI224" s="115">
        <v>0</v>
      </c>
      <c r="AJ224" s="115">
        <v>0</v>
      </c>
      <c r="AK224" s="115">
        <v>0</v>
      </c>
      <c r="AL224" s="115">
        <v>0</v>
      </c>
      <c r="AM224" s="115">
        <v>0</v>
      </c>
      <c r="AN224" s="115">
        <v>0</v>
      </c>
      <c r="AO224" s="115">
        <v>0</v>
      </c>
      <c r="AP224" s="115">
        <v>0</v>
      </c>
      <c r="AQ224" s="115">
        <v>0</v>
      </c>
      <c r="AR224" s="115">
        <v>0</v>
      </c>
      <c r="AS224" s="115">
        <v>0</v>
      </c>
      <c r="AT224" s="115">
        <v>0</v>
      </c>
      <c r="AU224" s="115">
        <v>0</v>
      </c>
      <c r="AV224" s="115">
        <v>0</v>
      </c>
      <c r="AW224" s="115">
        <v>0</v>
      </c>
      <c r="AX224" s="115">
        <v>0</v>
      </c>
      <c r="AY224" s="115">
        <v>0</v>
      </c>
    </row>
    <row r="225" spans="1:51" x14ac:dyDescent="0.2">
      <c r="A225" s="114"/>
      <c r="B225" s="125">
        <v>17</v>
      </c>
      <c r="C225" s="111"/>
      <c r="D225" s="115">
        <v>0</v>
      </c>
      <c r="E225" s="115">
        <v>0</v>
      </c>
      <c r="F225" s="115">
        <v>0</v>
      </c>
      <c r="G225" s="115">
        <v>0</v>
      </c>
      <c r="H225" s="115">
        <v>0</v>
      </c>
      <c r="I225" s="115">
        <v>0</v>
      </c>
      <c r="J225" s="115">
        <v>0</v>
      </c>
      <c r="K225" s="115">
        <v>0</v>
      </c>
      <c r="L225" s="115">
        <v>0</v>
      </c>
      <c r="M225" s="115">
        <v>0</v>
      </c>
      <c r="N225" s="115">
        <v>0</v>
      </c>
      <c r="O225" s="115">
        <v>0</v>
      </c>
      <c r="P225" s="115">
        <v>0</v>
      </c>
      <c r="Q225" s="115">
        <v>0</v>
      </c>
      <c r="R225" s="115">
        <v>0</v>
      </c>
      <c r="S225" s="115">
        <v>0</v>
      </c>
      <c r="T225" s="115">
        <v>0</v>
      </c>
      <c r="U225" s="115">
        <v>0</v>
      </c>
      <c r="V225" s="115">
        <v>0</v>
      </c>
      <c r="W225" s="115">
        <v>0</v>
      </c>
      <c r="X225" s="115">
        <v>0</v>
      </c>
      <c r="Y225" s="115">
        <v>0</v>
      </c>
      <c r="Z225" s="115">
        <v>0</v>
      </c>
      <c r="AA225" s="115">
        <v>0</v>
      </c>
      <c r="AB225" s="115">
        <v>0</v>
      </c>
      <c r="AC225" s="115">
        <v>0</v>
      </c>
      <c r="AD225" s="115">
        <v>0</v>
      </c>
      <c r="AE225" s="115">
        <v>0</v>
      </c>
      <c r="AF225" s="115">
        <v>0</v>
      </c>
      <c r="AG225" s="115">
        <v>0</v>
      </c>
      <c r="AH225" s="115">
        <v>0</v>
      </c>
      <c r="AI225" s="115">
        <v>0</v>
      </c>
      <c r="AJ225" s="115">
        <v>0</v>
      </c>
      <c r="AK225" s="115">
        <v>0</v>
      </c>
      <c r="AL225" s="115">
        <v>0</v>
      </c>
      <c r="AM225" s="115">
        <v>0</v>
      </c>
      <c r="AN225" s="115">
        <v>0</v>
      </c>
      <c r="AO225" s="115">
        <v>0</v>
      </c>
      <c r="AP225" s="115">
        <v>0</v>
      </c>
      <c r="AQ225" s="115">
        <v>0</v>
      </c>
      <c r="AR225" s="115">
        <v>0</v>
      </c>
      <c r="AS225" s="115">
        <v>0</v>
      </c>
      <c r="AT225" s="115">
        <v>0</v>
      </c>
      <c r="AU225" s="115">
        <v>0</v>
      </c>
      <c r="AV225" s="115">
        <v>0</v>
      </c>
      <c r="AW225" s="115">
        <v>0</v>
      </c>
      <c r="AX225" s="115">
        <v>0</v>
      </c>
      <c r="AY225" s="115">
        <v>0</v>
      </c>
    </row>
    <row r="226" spans="1:51" x14ac:dyDescent="0.2">
      <c r="A226" s="114"/>
      <c r="B226" s="125">
        <v>18</v>
      </c>
      <c r="C226" s="111"/>
      <c r="D226" s="115">
        <v>0</v>
      </c>
      <c r="E226" s="115">
        <v>0</v>
      </c>
      <c r="F226" s="115">
        <v>0</v>
      </c>
      <c r="G226" s="115">
        <v>0</v>
      </c>
      <c r="H226" s="115">
        <v>0</v>
      </c>
      <c r="I226" s="115">
        <v>0</v>
      </c>
      <c r="J226" s="115">
        <v>0</v>
      </c>
      <c r="K226" s="115">
        <v>0</v>
      </c>
      <c r="L226" s="115">
        <v>0</v>
      </c>
      <c r="M226" s="115">
        <v>0</v>
      </c>
      <c r="N226" s="115">
        <v>0</v>
      </c>
      <c r="O226" s="115">
        <v>0</v>
      </c>
      <c r="P226" s="115">
        <v>0</v>
      </c>
      <c r="Q226" s="115">
        <v>0</v>
      </c>
      <c r="R226" s="115">
        <v>0</v>
      </c>
      <c r="S226" s="115">
        <v>0</v>
      </c>
      <c r="T226" s="115">
        <v>0</v>
      </c>
      <c r="U226" s="115">
        <v>0</v>
      </c>
      <c r="V226" s="115">
        <v>0</v>
      </c>
      <c r="W226" s="115">
        <v>0</v>
      </c>
      <c r="X226" s="115">
        <v>0</v>
      </c>
      <c r="Y226" s="115">
        <v>0</v>
      </c>
      <c r="Z226" s="115">
        <v>0</v>
      </c>
      <c r="AA226" s="115">
        <v>0</v>
      </c>
      <c r="AB226" s="115">
        <v>0</v>
      </c>
      <c r="AC226" s="115">
        <v>0</v>
      </c>
      <c r="AD226" s="115">
        <v>0</v>
      </c>
      <c r="AE226" s="115">
        <v>0</v>
      </c>
      <c r="AF226" s="115">
        <v>0</v>
      </c>
      <c r="AG226" s="115">
        <v>0</v>
      </c>
      <c r="AH226" s="115">
        <v>0</v>
      </c>
      <c r="AI226" s="115">
        <v>0</v>
      </c>
      <c r="AJ226" s="115">
        <v>0</v>
      </c>
      <c r="AK226" s="115">
        <v>0</v>
      </c>
      <c r="AL226" s="115">
        <v>0</v>
      </c>
      <c r="AM226" s="115">
        <v>0</v>
      </c>
      <c r="AN226" s="115">
        <v>0</v>
      </c>
      <c r="AO226" s="115">
        <v>0</v>
      </c>
      <c r="AP226" s="115">
        <v>0</v>
      </c>
      <c r="AQ226" s="115">
        <v>0</v>
      </c>
      <c r="AR226" s="115">
        <v>0</v>
      </c>
      <c r="AS226" s="115">
        <v>0</v>
      </c>
      <c r="AT226" s="115">
        <v>0</v>
      </c>
      <c r="AU226" s="115">
        <v>0</v>
      </c>
      <c r="AV226" s="115">
        <v>0</v>
      </c>
      <c r="AW226" s="115">
        <v>0</v>
      </c>
      <c r="AX226" s="115">
        <v>0</v>
      </c>
      <c r="AY226" s="115">
        <v>0</v>
      </c>
    </row>
    <row r="227" spans="1:51" x14ac:dyDescent="0.2">
      <c r="A227" s="114"/>
      <c r="B227" s="125">
        <v>19</v>
      </c>
      <c r="C227" s="111"/>
      <c r="D227" s="115">
        <v>0</v>
      </c>
      <c r="E227" s="115">
        <v>0</v>
      </c>
      <c r="F227" s="115">
        <v>0</v>
      </c>
      <c r="G227" s="115">
        <v>0</v>
      </c>
      <c r="H227" s="115">
        <v>0</v>
      </c>
      <c r="I227" s="115">
        <v>0</v>
      </c>
      <c r="J227" s="115">
        <v>0</v>
      </c>
      <c r="K227" s="115">
        <v>0</v>
      </c>
      <c r="L227" s="115">
        <v>0</v>
      </c>
      <c r="M227" s="115">
        <v>0</v>
      </c>
      <c r="N227" s="115">
        <v>0</v>
      </c>
      <c r="O227" s="115">
        <v>0</v>
      </c>
      <c r="P227" s="115">
        <v>0</v>
      </c>
      <c r="Q227" s="115">
        <v>0</v>
      </c>
      <c r="R227" s="115">
        <v>0</v>
      </c>
      <c r="S227" s="115">
        <v>0</v>
      </c>
      <c r="T227" s="115">
        <v>0</v>
      </c>
      <c r="U227" s="115">
        <v>0</v>
      </c>
      <c r="V227" s="115">
        <v>0</v>
      </c>
      <c r="W227" s="115">
        <v>0</v>
      </c>
      <c r="X227" s="115">
        <v>0</v>
      </c>
      <c r="Y227" s="115">
        <v>0</v>
      </c>
      <c r="Z227" s="115">
        <v>0</v>
      </c>
      <c r="AA227" s="115">
        <v>0</v>
      </c>
      <c r="AB227" s="115">
        <v>0</v>
      </c>
      <c r="AC227" s="115">
        <v>0</v>
      </c>
      <c r="AD227" s="115">
        <v>0</v>
      </c>
      <c r="AE227" s="115">
        <v>0</v>
      </c>
      <c r="AF227" s="115">
        <v>0</v>
      </c>
      <c r="AG227" s="115">
        <v>0</v>
      </c>
      <c r="AH227" s="115">
        <v>0</v>
      </c>
      <c r="AI227" s="115">
        <v>0</v>
      </c>
      <c r="AJ227" s="115">
        <v>0</v>
      </c>
      <c r="AK227" s="115">
        <v>0</v>
      </c>
      <c r="AL227" s="115">
        <v>0</v>
      </c>
      <c r="AM227" s="115">
        <v>0</v>
      </c>
      <c r="AN227" s="115">
        <v>0</v>
      </c>
      <c r="AO227" s="115">
        <v>0</v>
      </c>
      <c r="AP227" s="115">
        <v>0</v>
      </c>
      <c r="AQ227" s="115">
        <v>0</v>
      </c>
      <c r="AR227" s="115">
        <v>0</v>
      </c>
      <c r="AS227" s="115">
        <v>0</v>
      </c>
      <c r="AT227" s="115">
        <v>0</v>
      </c>
      <c r="AU227" s="115">
        <v>0</v>
      </c>
      <c r="AV227" s="115">
        <v>0</v>
      </c>
      <c r="AW227" s="115">
        <v>0</v>
      </c>
      <c r="AX227" s="115">
        <v>0</v>
      </c>
      <c r="AY227" s="115">
        <v>0</v>
      </c>
    </row>
    <row r="228" spans="1:51" x14ac:dyDescent="0.2">
      <c r="A228" s="114"/>
      <c r="B228" s="125">
        <v>20</v>
      </c>
      <c r="C228" s="111"/>
      <c r="D228" s="115">
        <v>0</v>
      </c>
      <c r="E228" s="115">
        <v>0</v>
      </c>
      <c r="F228" s="115">
        <v>0</v>
      </c>
      <c r="G228" s="115">
        <v>0</v>
      </c>
      <c r="H228" s="115">
        <v>0</v>
      </c>
      <c r="I228" s="115">
        <v>0</v>
      </c>
      <c r="J228" s="115">
        <v>0</v>
      </c>
      <c r="K228" s="115">
        <v>0</v>
      </c>
      <c r="L228" s="115">
        <v>0</v>
      </c>
      <c r="M228" s="115">
        <v>0</v>
      </c>
      <c r="N228" s="115">
        <v>0</v>
      </c>
      <c r="O228" s="115">
        <v>0</v>
      </c>
      <c r="P228" s="115">
        <v>0</v>
      </c>
      <c r="Q228" s="115">
        <v>0</v>
      </c>
      <c r="R228" s="115">
        <v>0</v>
      </c>
      <c r="S228" s="115">
        <v>0</v>
      </c>
      <c r="T228" s="115">
        <v>0</v>
      </c>
      <c r="U228" s="115">
        <v>0</v>
      </c>
      <c r="V228" s="115">
        <v>0</v>
      </c>
      <c r="W228" s="115">
        <v>0</v>
      </c>
      <c r="X228" s="115">
        <v>0</v>
      </c>
      <c r="Y228" s="115">
        <v>0</v>
      </c>
      <c r="Z228" s="115">
        <v>0</v>
      </c>
      <c r="AA228" s="115">
        <v>0</v>
      </c>
      <c r="AB228" s="115">
        <v>0</v>
      </c>
      <c r="AC228" s="115">
        <v>0</v>
      </c>
      <c r="AD228" s="115">
        <v>0</v>
      </c>
      <c r="AE228" s="115">
        <v>0</v>
      </c>
      <c r="AF228" s="115">
        <v>0</v>
      </c>
      <c r="AG228" s="115">
        <v>0</v>
      </c>
      <c r="AH228" s="115">
        <v>0</v>
      </c>
      <c r="AI228" s="115">
        <v>0</v>
      </c>
      <c r="AJ228" s="115">
        <v>0</v>
      </c>
      <c r="AK228" s="115">
        <v>0</v>
      </c>
      <c r="AL228" s="115">
        <v>0</v>
      </c>
      <c r="AM228" s="115">
        <v>0</v>
      </c>
      <c r="AN228" s="115">
        <v>0</v>
      </c>
      <c r="AO228" s="115">
        <v>0</v>
      </c>
      <c r="AP228" s="115">
        <v>0</v>
      </c>
      <c r="AQ228" s="115">
        <v>0</v>
      </c>
      <c r="AR228" s="115">
        <v>0</v>
      </c>
      <c r="AS228" s="115">
        <v>0</v>
      </c>
      <c r="AT228" s="115">
        <v>0</v>
      </c>
      <c r="AU228" s="115">
        <v>0</v>
      </c>
      <c r="AV228" s="115">
        <v>0</v>
      </c>
      <c r="AW228" s="115">
        <v>0</v>
      </c>
      <c r="AX228" s="115">
        <v>0</v>
      </c>
      <c r="AY228" s="115">
        <v>0</v>
      </c>
    </row>
    <row r="229" spans="1:51" x14ac:dyDescent="0.2">
      <c r="A229" s="114"/>
      <c r="B229" s="125">
        <v>21</v>
      </c>
      <c r="C229" s="111"/>
      <c r="D229" s="115">
        <v>0</v>
      </c>
      <c r="E229" s="115">
        <v>0</v>
      </c>
      <c r="F229" s="115">
        <v>0</v>
      </c>
      <c r="G229" s="115">
        <v>0</v>
      </c>
      <c r="H229" s="115">
        <v>0</v>
      </c>
      <c r="I229" s="115">
        <v>0</v>
      </c>
      <c r="J229" s="115">
        <v>0</v>
      </c>
      <c r="K229" s="115">
        <v>0</v>
      </c>
      <c r="L229" s="115">
        <v>0</v>
      </c>
      <c r="M229" s="115">
        <v>0</v>
      </c>
      <c r="N229" s="115">
        <v>0</v>
      </c>
      <c r="O229" s="115">
        <v>0</v>
      </c>
      <c r="P229" s="115">
        <v>0</v>
      </c>
      <c r="Q229" s="115">
        <v>0</v>
      </c>
      <c r="R229" s="115">
        <v>0</v>
      </c>
      <c r="S229" s="115">
        <v>0</v>
      </c>
      <c r="T229" s="115">
        <v>0</v>
      </c>
      <c r="U229" s="115">
        <v>0</v>
      </c>
      <c r="V229" s="115">
        <v>0</v>
      </c>
      <c r="W229" s="115">
        <v>0</v>
      </c>
      <c r="X229" s="115">
        <v>0</v>
      </c>
      <c r="Y229" s="115">
        <v>0</v>
      </c>
      <c r="Z229" s="115">
        <v>0</v>
      </c>
      <c r="AA229" s="115">
        <v>0</v>
      </c>
      <c r="AB229" s="115">
        <v>0</v>
      </c>
      <c r="AC229" s="115">
        <v>0</v>
      </c>
      <c r="AD229" s="115">
        <v>0</v>
      </c>
      <c r="AE229" s="115">
        <v>0</v>
      </c>
      <c r="AF229" s="115">
        <v>0</v>
      </c>
      <c r="AG229" s="115">
        <v>0</v>
      </c>
      <c r="AH229" s="115">
        <v>0</v>
      </c>
      <c r="AI229" s="115">
        <v>0</v>
      </c>
      <c r="AJ229" s="115">
        <v>0</v>
      </c>
      <c r="AK229" s="115">
        <v>0</v>
      </c>
      <c r="AL229" s="115">
        <v>0</v>
      </c>
      <c r="AM229" s="115">
        <v>0</v>
      </c>
      <c r="AN229" s="115">
        <v>0</v>
      </c>
      <c r="AO229" s="115">
        <v>0</v>
      </c>
      <c r="AP229" s="115">
        <v>0</v>
      </c>
      <c r="AQ229" s="115">
        <v>0</v>
      </c>
      <c r="AR229" s="115">
        <v>0</v>
      </c>
      <c r="AS229" s="115">
        <v>0</v>
      </c>
      <c r="AT229" s="115">
        <v>0</v>
      </c>
      <c r="AU229" s="115">
        <v>0</v>
      </c>
      <c r="AV229" s="115">
        <v>0</v>
      </c>
      <c r="AW229" s="115">
        <v>0</v>
      </c>
      <c r="AX229" s="115">
        <v>0</v>
      </c>
      <c r="AY229" s="115">
        <v>0</v>
      </c>
    </row>
    <row r="230" spans="1:51" x14ac:dyDescent="0.2">
      <c r="A230" s="114"/>
      <c r="B230" s="125">
        <v>22</v>
      </c>
      <c r="C230" s="111"/>
      <c r="D230" s="115">
        <v>0</v>
      </c>
      <c r="E230" s="115">
        <v>0</v>
      </c>
      <c r="F230" s="115">
        <v>0</v>
      </c>
      <c r="G230" s="115">
        <v>0</v>
      </c>
      <c r="H230" s="115">
        <v>0</v>
      </c>
      <c r="I230" s="115">
        <v>0</v>
      </c>
      <c r="J230" s="115">
        <v>0</v>
      </c>
      <c r="K230" s="115">
        <v>0</v>
      </c>
      <c r="L230" s="115">
        <v>0</v>
      </c>
      <c r="M230" s="115">
        <v>0</v>
      </c>
      <c r="N230" s="115">
        <v>0</v>
      </c>
      <c r="O230" s="115">
        <v>0</v>
      </c>
      <c r="P230" s="115">
        <v>0</v>
      </c>
      <c r="Q230" s="115">
        <v>0</v>
      </c>
      <c r="R230" s="115">
        <v>0</v>
      </c>
      <c r="S230" s="115">
        <v>0</v>
      </c>
      <c r="T230" s="115">
        <v>0</v>
      </c>
      <c r="U230" s="115">
        <v>0</v>
      </c>
      <c r="V230" s="115">
        <v>0</v>
      </c>
      <c r="W230" s="115">
        <v>0</v>
      </c>
      <c r="X230" s="115">
        <v>0</v>
      </c>
      <c r="Y230" s="115">
        <v>0</v>
      </c>
      <c r="Z230" s="115">
        <v>0</v>
      </c>
      <c r="AA230" s="115">
        <v>0</v>
      </c>
      <c r="AB230" s="115">
        <v>0</v>
      </c>
      <c r="AC230" s="115">
        <v>0</v>
      </c>
      <c r="AD230" s="115">
        <v>0</v>
      </c>
      <c r="AE230" s="115">
        <v>0</v>
      </c>
      <c r="AF230" s="115">
        <v>0</v>
      </c>
      <c r="AG230" s="115">
        <v>0</v>
      </c>
      <c r="AH230" s="115">
        <v>0</v>
      </c>
      <c r="AI230" s="115">
        <v>0</v>
      </c>
      <c r="AJ230" s="115">
        <v>0</v>
      </c>
      <c r="AK230" s="115">
        <v>0</v>
      </c>
      <c r="AL230" s="115">
        <v>0</v>
      </c>
      <c r="AM230" s="115">
        <v>0</v>
      </c>
      <c r="AN230" s="115">
        <v>0</v>
      </c>
      <c r="AO230" s="115">
        <v>0</v>
      </c>
      <c r="AP230" s="115">
        <v>0</v>
      </c>
      <c r="AQ230" s="115">
        <v>0</v>
      </c>
      <c r="AR230" s="115">
        <v>0</v>
      </c>
      <c r="AS230" s="115">
        <v>0</v>
      </c>
      <c r="AT230" s="115">
        <v>0</v>
      </c>
      <c r="AU230" s="115">
        <v>0</v>
      </c>
      <c r="AV230" s="115">
        <v>0</v>
      </c>
      <c r="AW230" s="115">
        <v>0</v>
      </c>
      <c r="AX230" s="115">
        <v>0</v>
      </c>
      <c r="AY230" s="115">
        <v>0</v>
      </c>
    </row>
    <row r="231" spans="1:51" x14ac:dyDescent="0.2">
      <c r="A231" s="114"/>
      <c r="B231" s="125">
        <v>23</v>
      </c>
      <c r="C231" s="111"/>
      <c r="D231" s="115">
        <v>0</v>
      </c>
      <c r="E231" s="115">
        <v>0</v>
      </c>
      <c r="F231" s="115">
        <v>0</v>
      </c>
      <c r="G231" s="115">
        <v>0</v>
      </c>
      <c r="H231" s="115">
        <v>0</v>
      </c>
      <c r="I231" s="115">
        <v>0</v>
      </c>
      <c r="J231" s="115">
        <v>0</v>
      </c>
      <c r="K231" s="115">
        <v>0</v>
      </c>
      <c r="L231" s="115">
        <v>0</v>
      </c>
      <c r="M231" s="115">
        <v>0</v>
      </c>
      <c r="N231" s="115">
        <v>0</v>
      </c>
      <c r="O231" s="115">
        <v>0</v>
      </c>
      <c r="P231" s="115">
        <v>0</v>
      </c>
      <c r="Q231" s="115">
        <v>0</v>
      </c>
      <c r="R231" s="115">
        <v>0</v>
      </c>
      <c r="S231" s="115">
        <v>0</v>
      </c>
      <c r="T231" s="115">
        <v>0</v>
      </c>
      <c r="U231" s="115">
        <v>0</v>
      </c>
      <c r="V231" s="115">
        <v>0</v>
      </c>
      <c r="W231" s="115">
        <v>0</v>
      </c>
      <c r="X231" s="115">
        <v>0</v>
      </c>
      <c r="Y231" s="115">
        <v>0</v>
      </c>
      <c r="Z231" s="115">
        <v>0</v>
      </c>
      <c r="AA231" s="115">
        <v>0</v>
      </c>
      <c r="AB231" s="115">
        <v>0</v>
      </c>
      <c r="AC231" s="115">
        <v>0</v>
      </c>
      <c r="AD231" s="115">
        <v>0</v>
      </c>
      <c r="AE231" s="115">
        <v>0</v>
      </c>
      <c r="AF231" s="115">
        <v>0</v>
      </c>
      <c r="AG231" s="115">
        <v>0</v>
      </c>
      <c r="AH231" s="115">
        <v>0</v>
      </c>
      <c r="AI231" s="115">
        <v>0</v>
      </c>
      <c r="AJ231" s="115">
        <v>0</v>
      </c>
      <c r="AK231" s="115">
        <v>0</v>
      </c>
      <c r="AL231" s="115">
        <v>0</v>
      </c>
      <c r="AM231" s="115">
        <v>0</v>
      </c>
      <c r="AN231" s="115">
        <v>0</v>
      </c>
      <c r="AO231" s="115">
        <v>0</v>
      </c>
      <c r="AP231" s="115">
        <v>0</v>
      </c>
      <c r="AQ231" s="115">
        <v>0</v>
      </c>
      <c r="AR231" s="115">
        <v>0</v>
      </c>
      <c r="AS231" s="115">
        <v>0</v>
      </c>
      <c r="AT231" s="115">
        <v>0</v>
      </c>
      <c r="AU231" s="115">
        <v>0</v>
      </c>
      <c r="AV231" s="115">
        <v>0</v>
      </c>
      <c r="AW231" s="115">
        <v>0</v>
      </c>
      <c r="AX231" s="115">
        <v>0</v>
      </c>
      <c r="AY231" s="115">
        <v>0</v>
      </c>
    </row>
    <row r="232" spans="1:51" x14ac:dyDescent="0.2">
      <c r="A232" s="114"/>
      <c r="B232" s="125">
        <v>24</v>
      </c>
      <c r="C232" s="111"/>
      <c r="D232" s="115">
        <v>0</v>
      </c>
      <c r="E232" s="115">
        <v>0</v>
      </c>
      <c r="F232" s="115">
        <v>0</v>
      </c>
      <c r="G232" s="115">
        <v>0</v>
      </c>
      <c r="H232" s="115">
        <v>0</v>
      </c>
      <c r="I232" s="115">
        <v>0</v>
      </c>
      <c r="J232" s="115">
        <v>0</v>
      </c>
      <c r="K232" s="115">
        <v>0</v>
      </c>
      <c r="L232" s="115">
        <v>0</v>
      </c>
      <c r="M232" s="115">
        <v>0</v>
      </c>
      <c r="N232" s="115">
        <v>0</v>
      </c>
      <c r="O232" s="115">
        <v>0</v>
      </c>
      <c r="P232" s="115">
        <v>0</v>
      </c>
      <c r="Q232" s="115">
        <v>0</v>
      </c>
      <c r="R232" s="115">
        <v>0</v>
      </c>
      <c r="S232" s="115">
        <v>0</v>
      </c>
      <c r="T232" s="115">
        <v>0</v>
      </c>
      <c r="U232" s="115">
        <v>0</v>
      </c>
      <c r="V232" s="115">
        <v>0</v>
      </c>
      <c r="W232" s="115">
        <v>0</v>
      </c>
      <c r="X232" s="115">
        <v>0</v>
      </c>
      <c r="Y232" s="115">
        <v>0</v>
      </c>
      <c r="Z232" s="115">
        <v>0</v>
      </c>
      <c r="AA232" s="115">
        <v>0</v>
      </c>
      <c r="AB232" s="115">
        <v>0</v>
      </c>
      <c r="AC232" s="115">
        <v>0</v>
      </c>
      <c r="AD232" s="115">
        <v>0</v>
      </c>
      <c r="AE232" s="115">
        <v>0</v>
      </c>
      <c r="AF232" s="115">
        <v>0</v>
      </c>
      <c r="AG232" s="115">
        <v>0</v>
      </c>
      <c r="AH232" s="115">
        <v>0</v>
      </c>
      <c r="AI232" s="115">
        <v>0</v>
      </c>
      <c r="AJ232" s="115">
        <v>0</v>
      </c>
      <c r="AK232" s="115">
        <v>0</v>
      </c>
      <c r="AL232" s="115">
        <v>0</v>
      </c>
      <c r="AM232" s="115">
        <v>0</v>
      </c>
      <c r="AN232" s="115">
        <v>0</v>
      </c>
      <c r="AO232" s="115">
        <v>0</v>
      </c>
      <c r="AP232" s="115">
        <v>0</v>
      </c>
      <c r="AQ232" s="115">
        <v>0</v>
      </c>
      <c r="AR232" s="115">
        <v>0</v>
      </c>
      <c r="AS232" s="115">
        <v>0</v>
      </c>
      <c r="AT232" s="115">
        <v>0</v>
      </c>
      <c r="AU232" s="115">
        <v>0</v>
      </c>
      <c r="AV232" s="115">
        <v>0</v>
      </c>
      <c r="AW232" s="115">
        <v>0</v>
      </c>
      <c r="AX232" s="115">
        <v>0</v>
      </c>
      <c r="AY232" s="115">
        <v>0</v>
      </c>
    </row>
    <row r="233" spans="1:51" x14ac:dyDescent="0.2">
      <c r="A233" s="114"/>
      <c r="B233" s="132">
        <v>25</v>
      </c>
      <c r="C233" s="111"/>
      <c r="D233" s="115">
        <v>0</v>
      </c>
      <c r="E233" s="115">
        <v>0</v>
      </c>
      <c r="F233" s="115">
        <v>0</v>
      </c>
      <c r="G233" s="115">
        <v>0</v>
      </c>
      <c r="H233" s="115">
        <v>0</v>
      </c>
      <c r="I233" s="115">
        <v>0</v>
      </c>
      <c r="J233" s="115">
        <v>0</v>
      </c>
      <c r="K233" s="115">
        <v>0</v>
      </c>
      <c r="L233" s="115">
        <v>0</v>
      </c>
      <c r="M233" s="115">
        <v>0</v>
      </c>
      <c r="N233" s="115">
        <v>0</v>
      </c>
      <c r="O233" s="115">
        <v>0</v>
      </c>
      <c r="P233" s="115">
        <v>0</v>
      </c>
      <c r="Q233" s="115">
        <v>0</v>
      </c>
      <c r="R233" s="115">
        <v>0</v>
      </c>
      <c r="S233" s="115">
        <v>0</v>
      </c>
      <c r="T233" s="115">
        <v>0</v>
      </c>
      <c r="U233" s="115">
        <v>0</v>
      </c>
      <c r="V233" s="115">
        <v>0</v>
      </c>
      <c r="W233" s="115">
        <v>0</v>
      </c>
      <c r="X233" s="115">
        <v>0</v>
      </c>
      <c r="Y233" s="115">
        <v>0</v>
      </c>
      <c r="Z233" s="115">
        <v>0</v>
      </c>
      <c r="AA233" s="115">
        <v>0</v>
      </c>
      <c r="AB233" s="115">
        <v>0</v>
      </c>
      <c r="AC233" s="115">
        <v>0</v>
      </c>
      <c r="AD233" s="115">
        <v>0</v>
      </c>
      <c r="AE233" s="115">
        <v>0</v>
      </c>
      <c r="AF233" s="115">
        <v>0</v>
      </c>
      <c r="AG233" s="115">
        <v>0</v>
      </c>
      <c r="AH233" s="115">
        <v>0</v>
      </c>
      <c r="AI233" s="115">
        <v>0</v>
      </c>
      <c r="AJ233" s="115">
        <v>0</v>
      </c>
      <c r="AK233" s="115">
        <v>0</v>
      </c>
      <c r="AL233" s="115">
        <v>0</v>
      </c>
      <c r="AM233" s="115">
        <v>0</v>
      </c>
      <c r="AN233" s="115">
        <v>0</v>
      </c>
      <c r="AO233" s="115">
        <v>0</v>
      </c>
      <c r="AP233" s="115">
        <v>0</v>
      </c>
      <c r="AQ233" s="115">
        <v>0</v>
      </c>
      <c r="AR233" s="115">
        <v>0</v>
      </c>
      <c r="AS233" s="115">
        <v>0</v>
      </c>
      <c r="AT233" s="115">
        <v>0</v>
      </c>
      <c r="AU233" s="115">
        <v>0</v>
      </c>
      <c r="AV233" s="115">
        <v>0</v>
      </c>
      <c r="AW233" s="115">
        <v>0</v>
      </c>
      <c r="AX233" s="115">
        <v>0</v>
      </c>
      <c r="AY233" s="115">
        <v>0</v>
      </c>
    </row>
    <row r="234" spans="1:51" x14ac:dyDescent="0.2">
      <c r="A234" s="114"/>
      <c r="B234" s="132">
        <v>26</v>
      </c>
      <c r="C234" s="111"/>
      <c r="D234" s="115">
        <v>0</v>
      </c>
      <c r="E234" s="115">
        <v>0</v>
      </c>
      <c r="F234" s="115">
        <v>0</v>
      </c>
      <c r="G234" s="115">
        <v>0</v>
      </c>
      <c r="H234" s="115">
        <v>0</v>
      </c>
      <c r="I234" s="115">
        <v>0</v>
      </c>
      <c r="J234" s="115">
        <v>0</v>
      </c>
      <c r="K234" s="115">
        <v>0</v>
      </c>
      <c r="L234" s="115">
        <v>0</v>
      </c>
      <c r="M234" s="115">
        <v>0</v>
      </c>
      <c r="N234" s="115">
        <v>0</v>
      </c>
      <c r="O234" s="115">
        <v>0</v>
      </c>
      <c r="P234" s="115">
        <v>0</v>
      </c>
      <c r="Q234" s="115">
        <v>0</v>
      </c>
      <c r="R234" s="115">
        <v>0</v>
      </c>
      <c r="S234" s="115">
        <v>0</v>
      </c>
      <c r="T234" s="115">
        <v>0</v>
      </c>
      <c r="U234" s="115">
        <v>0</v>
      </c>
      <c r="V234" s="115">
        <v>0</v>
      </c>
      <c r="W234" s="115">
        <v>0</v>
      </c>
      <c r="X234" s="115">
        <v>0</v>
      </c>
      <c r="Y234" s="115">
        <v>0</v>
      </c>
      <c r="Z234" s="115">
        <v>0</v>
      </c>
      <c r="AA234" s="115">
        <v>0</v>
      </c>
      <c r="AB234" s="115">
        <v>0</v>
      </c>
      <c r="AC234" s="115">
        <v>0</v>
      </c>
      <c r="AD234" s="115">
        <v>0</v>
      </c>
      <c r="AE234" s="115">
        <v>0</v>
      </c>
      <c r="AF234" s="115">
        <v>0</v>
      </c>
      <c r="AG234" s="115">
        <v>0</v>
      </c>
      <c r="AH234" s="115">
        <v>0</v>
      </c>
      <c r="AI234" s="115">
        <v>0</v>
      </c>
      <c r="AJ234" s="115">
        <v>0</v>
      </c>
      <c r="AK234" s="115">
        <v>0</v>
      </c>
      <c r="AL234" s="115">
        <v>0</v>
      </c>
      <c r="AM234" s="115">
        <v>0</v>
      </c>
      <c r="AN234" s="115">
        <v>0</v>
      </c>
      <c r="AO234" s="115">
        <v>0</v>
      </c>
      <c r="AP234" s="115">
        <v>0</v>
      </c>
      <c r="AQ234" s="115">
        <v>0</v>
      </c>
      <c r="AR234" s="115">
        <v>0</v>
      </c>
      <c r="AS234" s="115">
        <v>0</v>
      </c>
      <c r="AT234" s="115">
        <v>0</v>
      </c>
      <c r="AU234" s="115">
        <v>0</v>
      </c>
      <c r="AV234" s="115">
        <v>0</v>
      </c>
      <c r="AW234" s="115">
        <v>0</v>
      </c>
      <c r="AX234" s="115">
        <v>0</v>
      </c>
      <c r="AY234" s="115">
        <v>0</v>
      </c>
    </row>
    <row r="235" spans="1:51" x14ac:dyDescent="0.2">
      <c r="A235" s="114"/>
      <c r="B235" s="132">
        <v>27</v>
      </c>
      <c r="C235" s="111"/>
      <c r="D235" s="115">
        <v>0</v>
      </c>
      <c r="E235" s="115">
        <v>0</v>
      </c>
      <c r="F235" s="115">
        <v>0</v>
      </c>
      <c r="G235" s="115">
        <v>0</v>
      </c>
      <c r="H235" s="115">
        <v>0</v>
      </c>
      <c r="I235" s="115">
        <v>0</v>
      </c>
      <c r="J235" s="115">
        <v>0</v>
      </c>
      <c r="K235" s="115">
        <v>0</v>
      </c>
      <c r="L235" s="115">
        <v>0</v>
      </c>
      <c r="M235" s="115">
        <v>0</v>
      </c>
      <c r="N235" s="115">
        <v>0</v>
      </c>
      <c r="O235" s="115">
        <v>0</v>
      </c>
      <c r="P235" s="115">
        <v>0</v>
      </c>
      <c r="Q235" s="115">
        <v>0</v>
      </c>
      <c r="R235" s="115">
        <v>0</v>
      </c>
      <c r="S235" s="115">
        <v>0</v>
      </c>
      <c r="T235" s="115">
        <v>0</v>
      </c>
      <c r="U235" s="115">
        <v>0</v>
      </c>
      <c r="V235" s="115">
        <v>0</v>
      </c>
      <c r="W235" s="115">
        <v>0</v>
      </c>
      <c r="X235" s="115">
        <v>0</v>
      </c>
      <c r="Y235" s="115">
        <v>0</v>
      </c>
      <c r="Z235" s="115">
        <v>0</v>
      </c>
      <c r="AA235" s="115">
        <v>0</v>
      </c>
      <c r="AB235" s="115">
        <v>0</v>
      </c>
      <c r="AC235" s="115">
        <v>0</v>
      </c>
      <c r="AD235" s="115">
        <v>0</v>
      </c>
      <c r="AE235" s="115">
        <v>0</v>
      </c>
      <c r="AF235" s="115">
        <v>0</v>
      </c>
      <c r="AG235" s="115">
        <v>0</v>
      </c>
      <c r="AH235" s="115">
        <v>0</v>
      </c>
      <c r="AI235" s="115">
        <v>0</v>
      </c>
      <c r="AJ235" s="115">
        <v>0</v>
      </c>
      <c r="AK235" s="115">
        <v>0</v>
      </c>
      <c r="AL235" s="115">
        <v>0</v>
      </c>
      <c r="AM235" s="115">
        <v>0</v>
      </c>
      <c r="AN235" s="115">
        <v>0</v>
      </c>
      <c r="AO235" s="115">
        <v>0</v>
      </c>
      <c r="AP235" s="115">
        <v>0</v>
      </c>
      <c r="AQ235" s="115">
        <v>0</v>
      </c>
      <c r="AR235" s="115">
        <v>0</v>
      </c>
      <c r="AS235" s="115">
        <v>0</v>
      </c>
      <c r="AT235" s="115">
        <v>0</v>
      </c>
      <c r="AU235" s="115">
        <v>0</v>
      </c>
      <c r="AV235" s="115">
        <v>0</v>
      </c>
      <c r="AW235" s="115">
        <v>0</v>
      </c>
      <c r="AX235" s="115">
        <v>0</v>
      </c>
      <c r="AY235" s="115">
        <v>0</v>
      </c>
    </row>
    <row r="236" spans="1:51" x14ac:dyDescent="0.2">
      <c r="A236" s="114"/>
      <c r="B236" s="132">
        <v>28</v>
      </c>
      <c r="C236" s="111"/>
      <c r="D236" s="115">
        <v>0</v>
      </c>
      <c r="E236" s="115">
        <v>0</v>
      </c>
      <c r="F236" s="115">
        <v>0</v>
      </c>
      <c r="G236" s="115">
        <v>0</v>
      </c>
      <c r="H236" s="115">
        <v>0</v>
      </c>
      <c r="I236" s="115">
        <v>0</v>
      </c>
      <c r="J236" s="115">
        <v>0</v>
      </c>
      <c r="K236" s="115">
        <v>0</v>
      </c>
      <c r="L236" s="115">
        <v>0</v>
      </c>
      <c r="M236" s="115">
        <v>0</v>
      </c>
      <c r="N236" s="115">
        <v>0</v>
      </c>
      <c r="O236" s="115">
        <v>0</v>
      </c>
      <c r="P236" s="115">
        <v>0</v>
      </c>
      <c r="Q236" s="115">
        <v>0</v>
      </c>
      <c r="R236" s="115">
        <v>0</v>
      </c>
      <c r="S236" s="115">
        <v>0</v>
      </c>
      <c r="T236" s="115">
        <v>0</v>
      </c>
      <c r="U236" s="115">
        <v>0</v>
      </c>
      <c r="V236" s="115">
        <v>0</v>
      </c>
      <c r="W236" s="115">
        <v>0</v>
      </c>
      <c r="X236" s="115">
        <v>0</v>
      </c>
      <c r="Y236" s="115">
        <v>0</v>
      </c>
      <c r="Z236" s="115">
        <v>0</v>
      </c>
      <c r="AA236" s="115">
        <v>0</v>
      </c>
      <c r="AB236" s="115">
        <v>0</v>
      </c>
      <c r="AC236" s="115">
        <v>0</v>
      </c>
      <c r="AD236" s="115">
        <v>0</v>
      </c>
      <c r="AE236" s="115">
        <v>0</v>
      </c>
      <c r="AF236" s="115">
        <v>0</v>
      </c>
      <c r="AG236" s="115">
        <v>0</v>
      </c>
      <c r="AH236" s="115">
        <v>0</v>
      </c>
      <c r="AI236" s="115">
        <v>0</v>
      </c>
      <c r="AJ236" s="115">
        <v>0</v>
      </c>
      <c r="AK236" s="115">
        <v>0</v>
      </c>
      <c r="AL236" s="115">
        <v>0</v>
      </c>
      <c r="AM236" s="115">
        <v>0</v>
      </c>
      <c r="AN236" s="115">
        <v>0</v>
      </c>
      <c r="AO236" s="115">
        <v>0</v>
      </c>
      <c r="AP236" s="115">
        <v>0</v>
      </c>
      <c r="AQ236" s="115">
        <v>0</v>
      </c>
      <c r="AR236" s="115">
        <v>0</v>
      </c>
      <c r="AS236" s="115">
        <v>0</v>
      </c>
      <c r="AT236" s="115">
        <v>0</v>
      </c>
      <c r="AU236" s="115">
        <v>0</v>
      </c>
      <c r="AV236" s="115">
        <v>0</v>
      </c>
      <c r="AW236" s="115">
        <v>0</v>
      </c>
      <c r="AX236" s="115">
        <v>0</v>
      </c>
      <c r="AY236" s="115">
        <v>0</v>
      </c>
    </row>
    <row r="237" spans="1:51" x14ac:dyDescent="0.2">
      <c r="A237" s="114"/>
      <c r="B237" s="132">
        <v>29</v>
      </c>
      <c r="C237" s="111"/>
      <c r="D237" s="115">
        <v>0</v>
      </c>
      <c r="E237" s="115">
        <v>0</v>
      </c>
      <c r="F237" s="115">
        <v>0</v>
      </c>
      <c r="G237" s="115">
        <v>0</v>
      </c>
      <c r="H237" s="115">
        <v>0</v>
      </c>
      <c r="I237" s="115">
        <v>0</v>
      </c>
      <c r="J237" s="115">
        <v>0</v>
      </c>
      <c r="K237" s="115">
        <v>0</v>
      </c>
      <c r="L237" s="115">
        <v>0</v>
      </c>
      <c r="M237" s="115">
        <v>0</v>
      </c>
      <c r="N237" s="115">
        <v>0</v>
      </c>
      <c r="O237" s="115">
        <v>0</v>
      </c>
      <c r="P237" s="115">
        <v>0</v>
      </c>
      <c r="Q237" s="115">
        <v>0</v>
      </c>
      <c r="R237" s="115">
        <v>0</v>
      </c>
      <c r="S237" s="115">
        <v>0</v>
      </c>
      <c r="T237" s="115">
        <v>0</v>
      </c>
      <c r="U237" s="115">
        <v>0</v>
      </c>
      <c r="V237" s="115">
        <v>0</v>
      </c>
      <c r="W237" s="115">
        <v>0</v>
      </c>
      <c r="X237" s="115">
        <v>0</v>
      </c>
      <c r="Y237" s="115">
        <v>0</v>
      </c>
      <c r="Z237" s="115">
        <v>0</v>
      </c>
      <c r="AA237" s="115">
        <v>0</v>
      </c>
      <c r="AB237" s="115">
        <v>0</v>
      </c>
      <c r="AC237" s="115">
        <v>0</v>
      </c>
      <c r="AD237" s="115">
        <v>0</v>
      </c>
      <c r="AE237" s="115">
        <v>0</v>
      </c>
      <c r="AF237" s="115">
        <v>0</v>
      </c>
      <c r="AG237" s="115">
        <v>0</v>
      </c>
      <c r="AH237" s="115">
        <v>0</v>
      </c>
      <c r="AI237" s="115">
        <v>0</v>
      </c>
      <c r="AJ237" s="115">
        <v>0</v>
      </c>
      <c r="AK237" s="115">
        <v>0</v>
      </c>
      <c r="AL237" s="115">
        <v>0</v>
      </c>
      <c r="AM237" s="115">
        <v>0</v>
      </c>
      <c r="AN237" s="115">
        <v>0</v>
      </c>
      <c r="AO237" s="115">
        <v>0</v>
      </c>
      <c r="AP237" s="115">
        <v>0</v>
      </c>
      <c r="AQ237" s="115">
        <v>0</v>
      </c>
      <c r="AR237" s="115">
        <v>0</v>
      </c>
      <c r="AS237" s="115">
        <v>0</v>
      </c>
      <c r="AT237" s="115">
        <v>0</v>
      </c>
      <c r="AU237" s="115">
        <v>0</v>
      </c>
      <c r="AV237" s="115">
        <v>0</v>
      </c>
      <c r="AW237" s="115">
        <v>0</v>
      </c>
      <c r="AX237" s="115">
        <v>0</v>
      </c>
      <c r="AY237" s="115">
        <v>0</v>
      </c>
    </row>
    <row r="238" spans="1:51" x14ac:dyDescent="0.2">
      <c r="A238" s="114"/>
      <c r="B238" s="132">
        <v>30</v>
      </c>
      <c r="C238" s="111"/>
      <c r="D238" s="115">
        <v>0</v>
      </c>
      <c r="E238" s="115">
        <v>0</v>
      </c>
      <c r="F238" s="115">
        <v>0</v>
      </c>
      <c r="G238" s="115">
        <v>0</v>
      </c>
      <c r="H238" s="115">
        <v>0</v>
      </c>
      <c r="I238" s="115">
        <v>0</v>
      </c>
      <c r="J238" s="115">
        <v>0</v>
      </c>
      <c r="K238" s="115">
        <v>0</v>
      </c>
      <c r="L238" s="115">
        <v>0</v>
      </c>
      <c r="M238" s="115">
        <v>0</v>
      </c>
      <c r="N238" s="115">
        <v>0</v>
      </c>
      <c r="O238" s="115">
        <v>0</v>
      </c>
      <c r="P238" s="115">
        <v>0</v>
      </c>
      <c r="Q238" s="115">
        <v>0</v>
      </c>
      <c r="R238" s="115">
        <v>0</v>
      </c>
      <c r="S238" s="115">
        <v>0</v>
      </c>
      <c r="T238" s="115">
        <v>0</v>
      </c>
      <c r="U238" s="115">
        <v>0</v>
      </c>
      <c r="V238" s="115">
        <v>0</v>
      </c>
      <c r="W238" s="115">
        <v>0</v>
      </c>
      <c r="X238" s="115">
        <v>0</v>
      </c>
      <c r="Y238" s="115">
        <v>0</v>
      </c>
      <c r="Z238" s="115">
        <v>0</v>
      </c>
      <c r="AA238" s="115">
        <v>0</v>
      </c>
      <c r="AB238" s="115">
        <v>0</v>
      </c>
      <c r="AC238" s="115">
        <v>0</v>
      </c>
      <c r="AD238" s="115">
        <v>0</v>
      </c>
      <c r="AE238" s="115">
        <v>0</v>
      </c>
      <c r="AF238" s="115">
        <v>0</v>
      </c>
      <c r="AG238" s="115">
        <v>0</v>
      </c>
      <c r="AH238" s="115">
        <v>0</v>
      </c>
      <c r="AI238" s="115">
        <v>0</v>
      </c>
      <c r="AJ238" s="115">
        <v>0</v>
      </c>
      <c r="AK238" s="115">
        <v>0</v>
      </c>
      <c r="AL238" s="115">
        <v>0</v>
      </c>
      <c r="AM238" s="115">
        <v>0</v>
      </c>
      <c r="AN238" s="115">
        <v>0</v>
      </c>
      <c r="AO238" s="115">
        <v>0</v>
      </c>
      <c r="AP238" s="115">
        <v>0</v>
      </c>
      <c r="AQ238" s="115">
        <v>0</v>
      </c>
      <c r="AR238" s="115">
        <v>0</v>
      </c>
      <c r="AS238" s="115">
        <v>0</v>
      </c>
      <c r="AT238" s="115">
        <v>0</v>
      </c>
      <c r="AU238" s="115">
        <v>0</v>
      </c>
      <c r="AV238" s="115">
        <v>0</v>
      </c>
      <c r="AW238" s="115">
        <v>0</v>
      </c>
      <c r="AX238" s="115">
        <v>0</v>
      </c>
      <c r="AY238" s="115">
        <v>0</v>
      </c>
    </row>
    <row r="239" spans="1:51" x14ac:dyDescent="0.2">
      <c r="A239" s="114"/>
      <c r="B239" s="132">
        <v>31</v>
      </c>
      <c r="C239" s="111"/>
      <c r="D239" s="115">
        <v>0</v>
      </c>
      <c r="E239" s="115">
        <v>0</v>
      </c>
      <c r="F239" s="115">
        <v>0</v>
      </c>
      <c r="G239" s="115">
        <v>0</v>
      </c>
      <c r="H239" s="115">
        <v>0</v>
      </c>
      <c r="I239" s="115">
        <v>0</v>
      </c>
      <c r="J239" s="115">
        <v>0</v>
      </c>
      <c r="K239" s="115">
        <v>0</v>
      </c>
      <c r="L239" s="115">
        <v>0</v>
      </c>
      <c r="M239" s="115">
        <v>0</v>
      </c>
      <c r="N239" s="115">
        <v>0</v>
      </c>
      <c r="O239" s="115">
        <v>0</v>
      </c>
      <c r="P239" s="115">
        <v>0</v>
      </c>
      <c r="Q239" s="115">
        <v>0</v>
      </c>
      <c r="R239" s="115">
        <v>0</v>
      </c>
      <c r="S239" s="115">
        <v>0</v>
      </c>
      <c r="T239" s="115">
        <v>0</v>
      </c>
      <c r="U239" s="115">
        <v>0</v>
      </c>
      <c r="V239" s="115">
        <v>0</v>
      </c>
      <c r="W239" s="115">
        <v>0</v>
      </c>
      <c r="X239" s="115">
        <v>0</v>
      </c>
      <c r="Y239" s="115">
        <v>0</v>
      </c>
      <c r="Z239" s="115">
        <v>0</v>
      </c>
      <c r="AA239" s="115">
        <v>0</v>
      </c>
      <c r="AB239" s="115">
        <v>0</v>
      </c>
      <c r="AC239" s="115">
        <v>0</v>
      </c>
      <c r="AD239" s="115">
        <v>0</v>
      </c>
      <c r="AE239" s="115">
        <v>0</v>
      </c>
      <c r="AF239" s="115">
        <v>0</v>
      </c>
      <c r="AG239" s="115">
        <v>0</v>
      </c>
      <c r="AH239" s="115">
        <v>0</v>
      </c>
      <c r="AI239" s="115">
        <v>0</v>
      </c>
      <c r="AJ239" s="115">
        <v>0</v>
      </c>
      <c r="AK239" s="115">
        <v>0</v>
      </c>
      <c r="AL239" s="115">
        <v>0</v>
      </c>
      <c r="AM239" s="115">
        <v>0</v>
      </c>
      <c r="AN239" s="115">
        <v>0</v>
      </c>
      <c r="AO239" s="115">
        <v>0</v>
      </c>
      <c r="AP239" s="115">
        <v>0</v>
      </c>
      <c r="AQ239" s="115">
        <v>0</v>
      </c>
      <c r="AR239" s="115">
        <v>0</v>
      </c>
      <c r="AS239" s="115">
        <v>0</v>
      </c>
      <c r="AT239" s="115">
        <v>0</v>
      </c>
      <c r="AU239" s="115">
        <v>0</v>
      </c>
      <c r="AV239" s="115">
        <v>0</v>
      </c>
      <c r="AW239" s="115">
        <v>0</v>
      </c>
      <c r="AX239" s="115">
        <v>0</v>
      </c>
      <c r="AY239" s="115">
        <v>0</v>
      </c>
    </row>
    <row r="240" spans="1:51" x14ac:dyDescent="0.2">
      <c r="A240" s="114"/>
      <c r="B240" s="132">
        <v>32</v>
      </c>
      <c r="C240" s="111"/>
      <c r="D240" s="115">
        <v>0</v>
      </c>
      <c r="E240" s="115">
        <v>0</v>
      </c>
      <c r="F240" s="115">
        <v>0</v>
      </c>
      <c r="G240" s="115">
        <v>0</v>
      </c>
      <c r="H240" s="115">
        <v>0</v>
      </c>
      <c r="I240" s="115">
        <v>0</v>
      </c>
      <c r="J240" s="115">
        <v>0</v>
      </c>
      <c r="K240" s="115">
        <v>0</v>
      </c>
      <c r="L240" s="115">
        <v>0</v>
      </c>
      <c r="M240" s="115">
        <v>0</v>
      </c>
      <c r="N240" s="115">
        <v>0</v>
      </c>
      <c r="O240" s="115">
        <v>0</v>
      </c>
      <c r="P240" s="115">
        <v>0</v>
      </c>
      <c r="Q240" s="115">
        <v>0</v>
      </c>
      <c r="R240" s="115">
        <v>0</v>
      </c>
      <c r="S240" s="115">
        <v>0</v>
      </c>
      <c r="T240" s="115">
        <v>0</v>
      </c>
      <c r="U240" s="115">
        <v>0</v>
      </c>
      <c r="V240" s="115">
        <v>0</v>
      </c>
      <c r="W240" s="115">
        <v>0</v>
      </c>
      <c r="X240" s="115">
        <v>0</v>
      </c>
      <c r="Y240" s="115">
        <v>0</v>
      </c>
      <c r="Z240" s="115">
        <v>0</v>
      </c>
      <c r="AA240" s="115">
        <v>0</v>
      </c>
      <c r="AB240" s="115">
        <v>0</v>
      </c>
      <c r="AC240" s="115">
        <v>0</v>
      </c>
      <c r="AD240" s="115">
        <v>0</v>
      </c>
      <c r="AE240" s="115">
        <v>0</v>
      </c>
      <c r="AF240" s="115">
        <v>0</v>
      </c>
      <c r="AG240" s="115">
        <v>0</v>
      </c>
      <c r="AH240" s="115">
        <v>0</v>
      </c>
      <c r="AI240" s="115">
        <v>0</v>
      </c>
      <c r="AJ240" s="115">
        <v>0</v>
      </c>
      <c r="AK240" s="115">
        <v>0</v>
      </c>
      <c r="AL240" s="115">
        <v>0</v>
      </c>
      <c r="AM240" s="115">
        <v>0</v>
      </c>
      <c r="AN240" s="115">
        <v>0</v>
      </c>
      <c r="AO240" s="115">
        <v>0</v>
      </c>
      <c r="AP240" s="115">
        <v>0</v>
      </c>
      <c r="AQ240" s="115">
        <v>0</v>
      </c>
      <c r="AR240" s="115">
        <v>0</v>
      </c>
      <c r="AS240" s="115">
        <v>0</v>
      </c>
      <c r="AT240" s="115">
        <v>0</v>
      </c>
      <c r="AU240" s="115">
        <v>0</v>
      </c>
      <c r="AV240" s="115">
        <v>0</v>
      </c>
      <c r="AW240" s="115">
        <v>0</v>
      </c>
      <c r="AX240" s="115">
        <v>0</v>
      </c>
      <c r="AY240" s="115">
        <v>0</v>
      </c>
    </row>
    <row r="241" spans="1:51" x14ac:dyDescent="0.2">
      <c r="A241" s="114"/>
      <c r="B241" s="132">
        <v>33</v>
      </c>
      <c r="C241" s="111"/>
      <c r="D241" s="115">
        <v>0</v>
      </c>
      <c r="E241" s="115">
        <v>0</v>
      </c>
      <c r="F241" s="115">
        <v>0</v>
      </c>
      <c r="G241" s="115">
        <v>0</v>
      </c>
      <c r="H241" s="115">
        <v>0</v>
      </c>
      <c r="I241" s="115">
        <v>0</v>
      </c>
      <c r="J241" s="115">
        <v>0</v>
      </c>
      <c r="K241" s="115">
        <v>0</v>
      </c>
      <c r="L241" s="115">
        <v>0</v>
      </c>
      <c r="M241" s="115">
        <v>0</v>
      </c>
      <c r="N241" s="115">
        <v>0</v>
      </c>
      <c r="O241" s="115">
        <v>0</v>
      </c>
      <c r="P241" s="115">
        <v>0</v>
      </c>
      <c r="Q241" s="115">
        <v>0</v>
      </c>
      <c r="R241" s="115">
        <v>0</v>
      </c>
      <c r="S241" s="115">
        <v>0</v>
      </c>
      <c r="T241" s="115">
        <v>0</v>
      </c>
      <c r="U241" s="115">
        <v>0</v>
      </c>
      <c r="V241" s="115">
        <v>0</v>
      </c>
      <c r="W241" s="115">
        <v>0</v>
      </c>
      <c r="X241" s="115">
        <v>0</v>
      </c>
      <c r="Y241" s="115">
        <v>0</v>
      </c>
      <c r="Z241" s="115">
        <v>0</v>
      </c>
      <c r="AA241" s="115">
        <v>0</v>
      </c>
      <c r="AB241" s="115">
        <v>0</v>
      </c>
      <c r="AC241" s="115">
        <v>0</v>
      </c>
      <c r="AD241" s="115">
        <v>0</v>
      </c>
      <c r="AE241" s="115">
        <v>0</v>
      </c>
      <c r="AF241" s="115">
        <v>0</v>
      </c>
      <c r="AG241" s="115">
        <v>0</v>
      </c>
      <c r="AH241" s="115">
        <v>0</v>
      </c>
      <c r="AI241" s="115">
        <v>0</v>
      </c>
      <c r="AJ241" s="115">
        <v>0</v>
      </c>
      <c r="AK241" s="115">
        <v>0</v>
      </c>
      <c r="AL241" s="115">
        <v>0</v>
      </c>
      <c r="AM241" s="115">
        <v>0</v>
      </c>
      <c r="AN241" s="115">
        <v>0</v>
      </c>
      <c r="AO241" s="115">
        <v>0</v>
      </c>
      <c r="AP241" s="115">
        <v>0</v>
      </c>
      <c r="AQ241" s="115">
        <v>0</v>
      </c>
      <c r="AR241" s="115">
        <v>0</v>
      </c>
      <c r="AS241" s="115">
        <v>0</v>
      </c>
      <c r="AT241" s="115">
        <v>0</v>
      </c>
      <c r="AU241" s="115">
        <v>0</v>
      </c>
      <c r="AV241" s="115">
        <v>0</v>
      </c>
      <c r="AW241" s="115">
        <v>0</v>
      </c>
      <c r="AX241" s="115">
        <v>0</v>
      </c>
      <c r="AY241" s="115">
        <v>0</v>
      </c>
    </row>
    <row r="242" spans="1:51" x14ac:dyDescent="0.2">
      <c r="A242" s="114"/>
      <c r="B242" s="132">
        <v>34</v>
      </c>
      <c r="C242" s="111"/>
      <c r="D242" s="115">
        <v>0</v>
      </c>
      <c r="E242" s="115">
        <v>0</v>
      </c>
      <c r="F242" s="115">
        <v>0</v>
      </c>
      <c r="G242" s="115">
        <v>0</v>
      </c>
      <c r="H242" s="115">
        <v>0</v>
      </c>
      <c r="I242" s="115">
        <v>0</v>
      </c>
      <c r="J242" s="115">
        <v>0</v>
      </c>
      <c r="K242" s="115">
        <v>0</v>
      </c>
      <c r="L242" s="115">
        <v>0</v>
      </c>
      <c r="M242" s="115">
        <v>0</v>
      </c>
      <c r="N242" s="115">
        <v>0</v>
      </c>
      <c r="O242" s="115">
        <v>0</v>
      </c>
      <c r="P242" s="115">
        <v>0</v>
      </c>
      <c r="Q242" s="115">
        <v>0</v>
      </c>
      <c r="R242" s="115">
        <v>0</v>
      </c>
      <c r="S242" s="115">
        <v>0</v>
      </c>
      <c r="T242" s="115">
        <v>0</v>
      </c>
      <c r="U242" s="115">
        <v>0</v>
      </c>
      <c r="V242" s="115">
        <v>0</v>
      </c>
      <c r="W242" s="115">
        <v>0</v>
      </c>
      <c r="X242" s="115">
        <v>0</v>
      </c>
      <c r="Y242" s="115">
        <v>0</v>
      </c>
      <c r="Z242" s="115">
        <v>0</v>
      </c>
      <c r="AA242" s="115">
        <v>0</v>
      </c>
      <c r="AB242" s="115">
        <v>0</v>
      </c>
      <c r="AC242" s="115">
        <v>0</v>
      </c>
      <c r="AD242" s="115">
        <v>0</v>
      </c>
      <c r="AE242" s="115">
        <v>0</v>
      </c>
      <c r="AF242" s="115">
        <v>0</v>
      </c>
      <c r="AG242" s="115">
        <v>0</v>
      </c>
      <c r="AH242" s="115">
        <v>0</v>
      </c>
      <c r="AI242" s="115">
        <v>0</v>
      </c>
      <c r="AJ242" s="115">
        <v>0</v>
      </c>
      <c r="AK242" s="115">
        <v>0</v>
      </c>
      <c r="AL242" s="115">
        <v>0</v>
      </c>
      <c r="AM242" s="115">
        <v>0</v>
      </c>
      <c r="AN242" s="115">
        <v>0</v>
      </c>
      <c r="AO242" s="115">
        <v>0</v>
      </c>
      <c r="AP242" s="115">
        <v>0</v>
      </c>
      <c r="AQ242" s="115">
        <v>0</v>
      </c>
      <c r="AR242" s="115">
        <v>0</v>
      </c>
      <c r="AS242" s="115">
        <v>0</v>
      </c>
      <c r="AT242" s="115">
        <v>0</v>
      </c>
      <c r="AU242" s="115">
        <v>0</v>
      </c>
      <c r="AV242" s="115">
        <v>0</v>
      </c>
      <c r="AW242" s="115">
        <v>0</v>
      </c>
      <c r="AX242" s="115">
        <v>0</v>
      </c>
      <c r="AY242" s="115">
        <v>0</v>
      </c>
    </row>
    <row r="243" spans="1:51" x14ac:dyDescent="0.2">
      <c r="A243" s="114"/>
      <c r="B243" s="132">
        <v>35</v>
      </c>
      <c r="C243" s="111"/>
      <c r="D243" s="115">
        <v>0</v>
      </c>
      <c r="E243" s="115">
        <v>0</v>
      </c>
      <c r="F243" s="115">
        <v>0</v>
      </c>
      <c r="G243" s="115">
        <v>0</v>
      </c>
      <c r="H243" s="115">
        <v>0</v>
      </c>
      <c r="I243" s="115">
        <v>0</v>
      </c>
      <c r="J243" s="115">
        <v>0</v>
      </c>
      <c r="K243" s="115">
        <v>0</v>
      </c>
      <c r="L243" s="115">
        <v>0</v>
      </c>
      <c r="M243" s="115">
        <v>0</v>
      </c>
      <c r="N243" s="115">
        <v>0</v>
      </c>
      <c r="O243" s="115">
        <v>0</v>
      </c>
      <c r="P243" s="115">
        <v>0</v>
      </c>
      <c r="Q243" s="115">
        <v>0</v>
      </c>
      <c r="R243" s="115">
        <v>0</v>
      </c>
      <c r="S243" s="115">
        <v>0</v>
      </c>
      <c r="T243" s="115">
        <v>0</v>
      </c>
      <c r="U243" s="115">
        <v>0</v>
      </c>
      <c r="V243" s="115">
        <v>0</v>
      </c>
      <c r="W243" s="115">
        <v>0</v>
      </c>
      <c r="X243" s="115">
        <v>0</v>
      </c>
      <c r="Y243" s="115">
        <v>0</v>
      </c>
      <c r="Z243" s="115">
        <v>0</v>
      </c>
      <c r="AA243" s="115">
        <v>0</v>
      </c>
      <c r="AB243" s="115">
        <v>0</v>
      </c>
      <c r="AC243" s="115">
        <v>0</v>
      </c>
      <c r="AD243" s="115">
        <v>0</v>
      </c>
      <c r="AE243" s="115">
        <v>0</v>
      </c>
      <c r="AF243" s="115">
        <v>0</v>
      </c>
      <c r="AG243" s="115">
        <v>0</v>
      </c>
      <c r="AH243" s="115">
        <v>0</v>
      </c>
      <c r="AI243" s="115">
        <v>0</v>
      </c>
      <c r="AJ243" s="115">
        <v>0</v>
      </c>
      <c r="AK243" s="115">
        <v>0</v>
      </c>
      <c r="AL243" s="115">
        <v>0</v>
      </c>
      <c r="AM243" s="115">
        <v>0</v>
      </c>
      <c r="AN243" s="115">
        <v>0</v>
      </c>
      <c r="AO243" s="115">
        <v>0</v>
      </c>
      <c r="AP243" s="115">
        <v>0</v>
      </c>
      <c r="AQ243" s="115">
        <v>0</v>
      </c>
      <c r="AR243" s="115">
        <v>0</v>
      </c>
      <c r="AS243" s="115">
        <v>0</v>
      </c>
      <c r="AT243" s="115">
        <v>0</v>
      </c>
      <c r="AU243" s="115">
        <v>0</v>
      </c>
      <c r="AV243" s="115">
        <v>0</v>
      </c>
      <c r="AW243" s="115">
        <v>0</v>
      </c>
      <c r="AX243" s="115">
        <v>0</v>
      </c>
      <c r="AY243" s="115">
        <v>0</v>
      </c>
    </row>
    <row r="244" spans="1:51" x14ac:dyDescent="0.2">
      <c r="A244" s="114"/>
      <c r="B244" s="132">
        <v>36</v>
      </c>
      <c r="C244" s="111"/>
      <c r="D244" s="115">
        <v>0</v>
      </c>
      <c r="E244" s="115">
        <v>0</v>
      </c>
      <c r="F244" s="115">
        <v>0</v>
      </c>
      <c r="G244" s="115">
        <v>0</v>
      </c>
      <c r="H244" s="115">
        <v>0</v>
      </c>
      <c r="I244" s="115">
        <v>0</v>
      </c>
      <c r="J244" s="115">
        <v>0</v>
      </c>
      <c r="K244" s="115">
        <v>0</v>
      </c>
      <c r="L244" s="115">
        <v>0</v>
      </c>
      <c r="M244" s="115">
        <v>0</v>
      </c>
      <c r="N244" s="115">
        <v>0</v>
      </c>
      <c r="O244" s="115">
        <v>0</v>
      </c>
      <c r="P244" s="115">
        <v>0</v>
      </c>
      <c r="Q244" s="115">
        <v>0</v>
      </c>
      <c r="R244" s="115">
        <v>0</v>
      </c>
      <c r="S244" s="115">
        <v>0</v>
      </c>
      <c r="T244" s="115">
        <v>0</v>
      </c>
      <c r="U244" s="115">
        <v>0</v>
      </c>
      <c r="V244" s="115">
        <v>0</v>
      </c>
      <c r="W244" s="115">
        <v>0</v>
      </c>
      <c r="X244" s="115">
        <v>0</v>
      </c>
      <c r="Y244" s="115">
        <v>0</v>
      </c>
      <c r="Z244" s="115">
        <v>0</v>
      </c>
      <c r="AA244" s="115">
        <v>0</v>
      </c>
      <c r="AB244" s="115">
        <v>0</v>
      </c>
      <c r="AC244" s="115">
        <v>0</v>
      </c>
      <c r="AD244" s="115">
        <v>0</v>
      </c>
      <c r="AE244" s="115">
        <v>0</v>
      </c>
      <c r="AF244" s="115">
        <v>0</v>
      </c>
      <c r="AG244" s="115">
        <v>0</v>
      </c>
      <c r="AH244" s="115">
        <v>0</v>
      </c>
      <c r="AI244" s="115">
        <v>0</v>
      </c>
      <c r="AJ244" s="115">
        <v>0</v>
      </c>
      <c r="AK244" s="115">
        <v>0</v>
      </c>
      <c r="AL244" s="115">
        <v>0</v>
      </c>
      <c r="AM244" s="115">
        <v>0</v>
      </c>
      <c r="AN244" s="115">
        <v>0</v>
      </c>
      <c r="AO244" s="115">
        <v>0</v>
      </c>
      <c r="AP244" s="115">
        <v>0</v>
      </c>
      <c r="AQ244" s="115">
        <v>0</v>
      </c>
      <c r="AR244" s="115">
        <v>0</v>
      </c>
      <c r="AS244" s="115">
        <v>0</v>
      </c>
      <c r="AT244" s="115">
        <v>0</v>
      </c>
      <c r="AU244" s="115">
        <v>0</v>
      </c>
      <c r="AV244" s="115">
        <v>0</v>
      </c>
      <c r="AW244" s="115">
        <v>0</v>
      </c>
      <c r="AX244" s="115">
        <v>0</v>
      </c>
      <c r="AY244" s="115">
        <v>0</v>
      </c>
    </row>
    <row r="245" spans="1:51" x14ac:dyDescent="0.2">
      <c r="A245" s="114"/>
      <c r="B245" s="135">
        <v>37</v>
      </c>
      <c r="C245" s="111"/>
      <c r="D245" s="115">
        <v>0</v>
      </c>
      <c r="E245" s="115">
        <v>0</v>
      </c>
      <c r="F245" s="115">
        <v>0</v>
      </c>
      <c r="G245" s="115">
        <v>0</v>
      </c>
      <c r="H245" s="115">
        <v>0</v>
      </c>
      <c r="I245" s="115">
        <v>0</v>
      </c>
      <c r="J245" s="115">
        <v>0</v>
      </c>
      <c r="K245" s="115">
        <v>0</v>
      </c>
      <c r="L245" s="115">
        <v>0</v>
      </c>
      <c r="M245" s="115">
        <v>0</v>
      </c>
      <c r="N245" s="115">
        <v>0</v>
      </c>
      <c r="O245" s="115">
        <v>0</v>
      </c>
      <c r="P245" s="115">
        <v>0</v>
      </c>
      <c r="Q245" s="115">
        <v>0</v>
      </c>
      <c r="R245" s="115">
        <v>0</v>
      </c>
      <c r="S245" s="115">
        <v>0</v>
      </c>
      <c r="T245" s="115">
        <v>0</v>
      </c>
      <c r="U245" s="115">
        <v>0</v>
      </c>
      <c r="V245" s="115">
        <v>0</v>
      </c>
      <c r="W245" s="115">
        <v>0</v>
      </c>
      <c r="X245" s="115">
        <v>0</v>
      </c>
      <c r="Y245" s="115">
        <v>0</v>
      </c>
      <c r="Z245" s="115">
        <v>0</v>
      </c>
      <c r="AA245" s="115">
        <v>0</v>
      </c>
      <c r="AB245" s="115">
        <v>0</v>
      </c>
      <c r="AC245" s="115">
        <v>0</v>
      </c>
      <c r="AD245" s="115">
        <v>0</v>
      </c>
      <c r="AE245" s="115">
        <v>0</v>
      </c>
      <c r="AF245" s="115">
        <v>0</v>
      </c>
      <c r="AG245" s="115">
        <v>0</v>
      </c>
      <c r="AH245" s="115">
        <v>0</v>
      </c>
      <c r="AI245" s="115">
        <v>0</v>
      </c>
      <c r="AJ245" s="115">
        <v>0</v>
      </c>
      <c r="AK245" s="115">
        <v>0</v>
      </c>
      <c r="AL245" s="115">
        <v>0</v>
      </c>
      <c r="AM245" s="115">
        <v>0</v>
      </c>
      <c r="AN245" s="115">
        <v>0</v>
      </c>
      <c r="AO245" s="115">
        <v>0</v>
      </c>
      <c r="AP245" s="115">
        <v>0</v>
      </c>
      <c r="AQ245" s="115">
        <v>0</v>
      </c>
      <c r="AR245" s="115">
        <v>0</v>
      </c>
      <c r="AS245" s="115">
        <v>0</v>
      </c>
      <c r="AT245" s="115">
        <v>0</v>
      </c>
      <c r="AU245" s="115">
        <v>0</v>
      </c>
      <c r="AV245" s="115">
        <v>0</v>
      </c>
      <c r="AW245" s="115">
        <v>0</v>
      </c>
      <c r="AX245" s="115">
        <v>0</v>
      </c>
      <c r="AY245" s="115">
        <v>0</v>
      </c>
    </row>
    <row r="246" spans="1:51" x14ac:dyDescent="0.2">
      <c r="A246" s="114"/>
      <c r="B246" s="135">
        <v>38</v>
      </c>
      <c r="C246" s="111"/>
      <c r="D246" s="115">
        <v>0</v>
      </c>
      <c r="E246" s="115">
        <v>0</v>
      </c>
      <c r="F246" s="115">
        <v>0</v>
      </c>
      <c r="G246" s="115">
        <v>0</v>
      </c>
      <c r="H246" s="115">
        <v>0</v>
      </c>
      <c r="I246" s="115">
        <v>0</v>
      </c>
      <c r="J246" s="115">
        <v>0</v>
      </c>
      <c r="K246" s="115">
        <v>0</v>
      </c>
      <c r="L246" s="115">
        <v>0</v>
      </c>
      <c r="M246" s="115">
        <v>0</v>
      </c>
      <c r="N246" s="115">
        <v>0</v>
      </c>
      <c r="O246" s="115">
        <v>0</v>
      </c>
      <c r="P246" s="115">
        <v>0</v>
      </c>
      <c r="Q246" s="115">
        <v>0</v>
      </c>
      <c r="R246" s="115">
        <v>0</v>
      </c>
      <c r="S246" s="115">
        <v>0</v>
      </c>
      <c r="T246" s="115">
        <v>0</v>
      </c>
      <c r="U246" s="115">
        <v>0</v>
      </c>
      <c r="V246" s="115">
        <v>0</v>
      </c>
      <c r="W246" s="115">
        <v>0</v>
      </c>
      <c r="X246" s="115">
        <v>0</v>
      </c>
      <c r="Y246" s="115">
        <v>0</v>
      </c>
      <c r="Z246" s="115">
        <v>0</v>
      </c>
      <c r="AA246" s="115">
        <v>0</v>
      </c>
      <c r="AB246" s="115">
        <v>0</v>
      </c>
      <c r="AC246" s="115">
        <v>0</v>
      </c>
      <c r="AD246" s="115">
        <v>0</v>
      </c>
      <c r="AE246" s="115">
        <v>0</v>
      </c>
      <c r="AF246" s="115">
        <v>0</v>
      </c>
      <c r="AG246" s="115">
        <v>0</v>
      </c>
      <c r="AH246" s="115">
        <v>0</v>
      </c>
      <c r="AI246" s="115">
        <v>0</v>
      </c>
      <c r="AJ246" s="115">
        <v>0</v>
      </c>
      <c r="AK246" s="115">
        <v>0</v>
      </c>
      <c r="AL246" s="115">
        <v>0</v>
      </c>
      <c r="AM246" s="115">
        <v>0</v>
      </c>
      <c r="AN246" s="115">
        <v>0</v>
      </c>
      <c r="AO246" s="115">
        <v>0</v>
      </c>
      <c r="AP246" s="115">
        <v>0</v>
      </c>
      <c r="AQ246" s="115">
        <v>0</v>
      </c>
      <c r="AR246" s="115">
        <v>0</v>
      </c>
      <c r="AS246" s="115">
        <v>0</v>
      </c>
      <c r="AT246" s="115">
        <v>0</v>
      </c>
      <c r="AU246" s="115">
        <v>0</v>
      </c>
      <c r="AV246" s="115">
        <v>0</v>
      </c>
      <c r="AW246" s="115">
        <v>0</v>
      </c>
      <c r="AX246" s="115">
        <v>0</v>
      </c>
      <c r="AY246" s="115">
        <v>0</v>
      </c>
    </row>
    <row r="247" spans="1:51" x14ac:dyDescent="0.2">
      <c r="A247" s="114"/>
      <c r="B247" s="135">
        <v>39</v>
      </c>
      <c r="C247" s="111"/>
      <c r="D247" s="115">
        <v>0</v>
      </c>
      <c r="E247" s="115">
        <v>0</v>
      </c>
      <c r="F247" s="115">
        <v>0</v>
      </c>
      <c r="G247" s="115">
        <v>0</v>
      </c>
      <c r="H247" s="115">
        <v>0</v>
      </c>
      <c r="I247" s="115">
        <v>0</v>
      </c>
      <c r="J247" s="115">
        <v>0</v>
      </c>
      <c r="K247" s="115">
        <v>0</v>
      </c>
      <c r="L247" s="115">
        <v>0</v>
      </c>
      <c r="M247" s="115">
        <v>0</v>
      </c>
      <c r="N247" s="115">
        <v>0</v>
      </c>
      <c r="O247" s="115">
        <v>0</v>
      </c>
      <c r="P247" s="115">
        <v>0</v>
      </c>
      <c r="Q247" s="115">
        <v>0</v>
      </c>
      <c r="R247" s="115">
        <v>0</v>
      </c>
      <c r="S247" s="115">
        <v>0</v>
      </c>
      <c r="T247" s="115">
        <v>0</v>
      </c>
      <c r="U247" s="115">
        <v>0</v>
      </c>
      <c r="V247" s="115">
        <v>0</v>
      </c>
      <c r="W247" s="115">
        <v>0</v>
      </c>
      <c r="X247" s="115">
        <v>0</v>
      </c>
      <c r="Y247" s="115">
        <v>0</v>
      </c>
      <c r="Z247" s="115">
        <v>0</v>
      </c>
      <c r="AA247" s="115">
        <v>0</v>
      </c>
      <c r="AB247" s="115">
        <v>0</v>
      </c>
      <c r="AC247" s="115">
        <v>0</v>
      </c>
      <c r="AD247" s="115">
        <v>0</v>
      </c>
      <c r="AE247" s="115">
        <v>0</v>
      </c>
      <c r="AF247" s="115">
        <v>0</v>
      </c>
      <c r="AG247" s="115">
        <v>0</v>
      </c>
      <c r="AH247" s="115">
        <v>0</v>
      </c>
      <c r="AI247" s="115">
        <v>0</v>
      </c>
      <c r="AJ247" s="115">
        <v>0</v>
      </c>
      <c r="AK247" s="115">
        <v>0</v>
      </c>
      <c r="AL247" s="115">
        <v>0</v>
      </c>
      <c r="AM247" s="115">
        <v>0</v>
      </c>
      <c r="AN247" s="115">
        <v>0</v>
      </c>
      <c r="AO247" s="115">
        <v>0</v>
      </c>
      <c r="AP247" s="115">
        <v>0</v>
      </c>
      <c r="AQ247" s="115">
        <v>0</v>
      </c>
      <c r="AR247" s="115">
        <v>0</v>
      </c>
      <c r="AS247" s="115">
        <v>0</v>
      </c>
      <c r="AT247" s="115">
        <v>0</v>
      </c>
      <c r="AU247" s="115">
        <v>0</v>
      </c>
      <c r="AV247" s="115">
        <v>0</v>
      </c>
      <c r="AW247" s="115">
        <v>0</v>
      </c>
      <c r="AX247" s="115">
        <v>0</v>
      </c>
      <c r="AY247" s="115">
        <v>0</v>
      </c>
    </row>
    <row r="248" spans="1:51" x14ac:dyDescent="0.2">
      <c r="A248" s="114"/>
      <c r="B248" s="135">
        <v>40</v>
      </c>
      <c r="C248" s="111"/>
      <c r="D248" s="115">
        <v>0</v>
      </c>
      <c r="E248" s="115">
        <v>0</v>
      </c>
      <c r="F248" s="115">
        <v>0</v>
      </c>
      <c r="G248" s="115">
        <v>0</v>
      </c>
      <c r="H248" s="115">
        <v>0</v>
      </c>
      <c r="I248" s="115">
        <v>0</v>
      </c>
      <c r="J248" s="115">
        <v>0</v>
      </c>
      <c r="K248" s="115">
        <v>0</v>
      </c>
      <c r="L248" s="115">
        <v>0</v>
      </c>
      <c r="M248" s="115">
        <v>0</v>
      </c>
      <c r="N248" s="115">
        <v>0</v>
      </c>
      <c r="O248" s="115">
        <v>0</v>
      </c>
      <c r="P248" s="115">
        <v>0</v>
      </c>
      <c r="Q248" s="115">
        <v>0</v>
      </c>
      <c r="R248" s="115">
        <v>0</v>
      </c>
      <c r="S248" s="115">
        <v>0</v>
      </c>
      <c r="T248" s="115">
        <v>0</v>
      </c>
      <c r="U248" s="115">
        <v>0</v>
      </c>
      <c r="V248" s="115">
        <v>0</v>
      </c>
      <c r="W248" s="115">
        <v>0</v>
      </c>
      <c r="X248" s="115">
        <v>0</v>
      </c>
      <c r="Y248" s="115">
        <v>0</v>
      </c>
      <c r="Z248" s="115">
        <v>0</v>
      </c>
      <c r="AA248" s="115">
        <v>0</v>
      </c>
      <c r="AB248" s="115">
        <v>0</v>
      </c>
      <c r="AC248" s="115">
        <v>0</v>
      </c>
      <c r="AD248" s="115">
        <v>0</v>
      </c>
      <c r="AE248" s="115">
        <v>0</v>
      </c>
      <c r="AF248" s="115">
        <v>0</v>
      </c>
      <c r="AG248" s="115">
        <v>0</v>
      </c>
      <c r="AH248" s="115">
        <v>0</v>
      </c>
      <c r="AI248" s="115">
        <v>0</v>
      </c>
      <c r="AJ248" s="115">
        <v>0</v>
      </c>
      <c r="AK248" s="115">
        <v>0</v>
      </c>
      <c r="AL248" s="115">
        <v>0</v>
      </c>
      <c r="AM248" s="115">
        <v>0</v>
      </c>
      <c r="AN248" s="115">
        <v>0</v>
      </c>
      <c r="AO248" s="115">
        <v>0</v>
      </c>
      <c r="AP248" s="115">
        <v>0</v>
      </c>
      <c r="AQ248" s="115">
        <v>0</v>
      </c>
      <c r="AR248" s="115">
        <v>0</v>
      </c>
      <c r="AS248" s="115">
        <v>0</v>
      </c>
      <c r="AT248" s="115">
        <v>0</v>
      </c>
      <c r="AU248" s="115">
        <v>0</v>
      </c>
      <c r="AV248" s="115">
        <v>0</v>
      </c>
      <c r="AW248" s="115">
        <v>0</v>
      </c>
      <c r="AX248" s="115">
        <v>0</v>
      </c>
      <c r="AY248" s="115">
        <v>0</v>
      </c>
    </row>
    <row r="249" spans="1:51" x14ac:dyDescent="0.2">
      <c r="A249" s="114"/>
      <c r="B249" s="135">
        <v>41</v>
      </c>
      <c r="C249" s="111"/>
      <c r="D249" s="115">
        <v>0</v>
      </c>
      <c r="E249" s="115">
        <v>0</v>
      </c>
      <c r="F249" s="115">
        <v>0</v>
      </c>
      <c r="G249" s="115">
        <v>0</v>
      </c>
      <c r="H249" s="115">
        <v>0</v>
      </c>
      <c r="I249" s="115">
        <v>0</v>
      </c>
      <c r="J249" s="115">
        <v>0</v>
      </c>
      <c r="K249" s="115">
        <v>0</v>
      </c>
      <c r="L249" s="115">
        <v>0</v>
      </c>
      <c r="M249" s="115">
        <v>0</v>
      </c>
      <c r="N249" s="115">
        <v>0</v>
      </c>
      <c r="O249" s="115">
        <v>0</v>
      </c>
      <c r="P249" s="115">
        <v>0</v>
      </c>
      <c r="Q249" s="115">
        <v>0</v>
      </c>
      <c r="R249" s="115">
        <v>0</v>
      </c>
      <c r="S249" s="115">
        <v>0</v>
      </c>
      <c r="T249" s="115">
        <v>0</v>
      </c>
      <c r="U249" s="115">
        <v>0</v>
      </c>
      <c r="V249" s="115">
        <v>0</v>
      </c>
      <c r="W249" s="115">
        <v>0</v>
      </c>
      <c r="X249" s="115">
        <v>0</v>
      </c>
      <c r="Y249" s="115">
        <v>0</v>
      </c>
      <c r="Z249" s="115">
        <v>0</v>
      </c>
      <c r="AA249" s="115">
        <v>0</v>
      </c>
      <c r="AB249" s="115">
        <v>0</v>
      </c>
      <c r="AC249" s="115">
        <v>0</v>
      </c>
      <c r="AD249" s="115">
        <v>0</v>
      </c>
      <c r="AE249" s="115">
        <v>0</v>
      </c>
      <c r="AF249" s="115">
        <v>0</v>
      </c>
      <c r="AG249" s="115">
        <v>0</v>
      </c>
      <c r="AH249" s="115">
        <v>0</v>
      </c>
      <c r="AI249" s="115">
        <v>0</v>
      </c>
      <c r="AJ249" s="115">
        <v>0</v>
      </c>
      <c r="AK249" s="115">
        <v>0</v>
      </c>
      <c r="AL249" s="115">
        <v>0</v>
      </c>
      <c r="AM249" s="115">
        <v>0</v>
      </c>
      <c r="AN249" s="115">
        <v>0</v>
      </c>
      <c r="AO249" s="115">
        <v>0</v>
      </c>
      <c r="AP249" s="115">
        <v>0</v>
      </c>
      <c r="AQ249" s="115">
        <v>0</v>
      </c>
      <c r="AR249" s="115">
        <v>0</v>
      </c>
      <c r="AS249" s="115">
        <v>0</v>
      </c>
      <c r="AT249" s="115">
        <v>0</v>
      </c>
      <c r="AU249" s="115">
        <v>0</v>
      </c>
      <c r="AV249" s="115">
        <v>0</v>
      </c>
      <c r="AW249" s="115">
        <v>0</v>
      </c>
      <c r="AX249" s="115">
        <v>0</v>
      </c>
      <c r="AY249" s="115">
        <v>0</v>
      </c>
    </row>
    <row r="250" spans="1:51" x14ac:dyDescent="0.2">
      <c r="A250" s="114"/>
      <c r="B250" s="135">
        <v>42</v>
      </c>
      <c r="C250" s="111"/>
      <c r="D250" s="115">
        <v>0</v>
      </c>
      <c r="E250" s="115">
        <v>0</v>
      </c>
      <c r="F250" s="115">
        <v>0</v>
      </c>
      <c r="G250" s="115">
        <v>0</v>
      </c>
      <c r="H250" s="115">
        <v>0</v>
      </c>
      <c r="I250" s="115">
        <v>0</v>
      </c>
      <c r="J250" s="115">
        <v>0</v>
      </c>
      <c r="K250" s="115">
        <v>0</v>
      </c>
      <c r="L250" s="115">
        <v>0</v>
      </c>
      <c r="M250" s="115">
        <v>0</v>
      </c>
      <c r="N250" s="115">
        <v>0</v>
      </c>
      <c r="O250" s="115">
        <v>0</v>
      </c>
      <c r="P250" s="115">
        <v>0</v>
      </c>
      <c r="Q250" s="115">
        <v>0</v>
      </c>
      <c r="R250" s="115">
        <v>0</v>
      </c>
      <c r="S250" s="115">
        <v>0</v>
      </c>
      <c r="T250" s="115">
        <v>0</v>
      </c>
      <c r="U250" s="115">
        <v>0</v>
      </c>
      <c r="V250" s="115">
        <v>0</v>
      </c>
      <c r="W250" s="115">
        <v>0</v>
      </c>
      <c r="X250" s="115">
        <v>0</v>
      </c>
      <c r="Y250" s="115">
        <v>0</v>
      </c>
      <c r="Z250" s="115">
        <v>0</v>
      </c>
      <c r="AA250" s="115">
        <v>0</v>
      </c>
      <c r="AB250" s="115">
        <v>0</v>
      </c>
      <c r="AC250" s="115">
        <v>0</v>
      </c>
      <c r="AD250" s="115">
        <v>0</v>
      </c>
      <c r="AE250" s="115">
        <v>0</v>
      </c>
      <c r="AF250" s="115">
        <v>0</v>
      </c>
      <c r="AG250" s="115">
        <v>0</v>
      </c>
      <c r="AH250" s="115">
        <v>0</v>
      </c>
      <c r="AI250" s="115">
        <v>0</v>
      </c>
      <c r="AJ250" s="115">
        <v>0</v>
      </c>
      <c r="AK250" s="115">
        <v>0</v>
      </c>
      <c r="AL250" s="115">
        <v>0</v>
      </c>
      <c r="AM250" s="115">
        <v>0</v>
      </c>
      <c r="AN250" s="115">
        <v>0</v>
      </c>
      <c r="AO250" s="115">
        <v>0</v>
      </c>
      <c r="AP250" s="115">
        <v>0</v>
      </c>
      <c r="AQ250" s="115">
        <v>0</v>
      </c>
      <c r="AR250" s="115">
        <v>0</v>
      </c>
      <c r="AS250" s="115">
        <v>0</v>
      </c>
      <c r="AT250" s="115">
        <v>0</v>
      </c>
      <c r="AU250" s="115">
        <v>0</v>
      </c>
      <c r="AV250" s="115">
        <v>0</v>
      </c>
      <c r="AW250" s="115">
        <v>0</v>
      </c>
      <c r="AX250" s="115">
        <v>0</v>
      </c>
      <c r="AY250" s="115">
        <v>0</v>
      </c>
    </row>
    <row r="251" spans="1:51" x14ac:dyDescent="0.2">
      <c r="A251" s="114"/>
      <c r="B251" s="135">
        <v>43</v>
      </c>
      <c r="C251" s="111"/>
      <c r="D251" s="115">
        <v>0</v>
      </c>
      <c r="E251" s="115">
        <v>0</v>
      </c>
      <c r="F251" s="115">
        <v>0</v>
      </c>
      <c r="G251" s="115">
        <v>0</v>
      </c>
      <c r="H251" s="115">
        <v>0</v>
      </c>
      <c r="I251" s="115">
        <v>0</v>
      </c>
      <c r="J251" s="115">
        <v>0</v>
      </c>
      <c r="K251" s="115">
        <v>0</v>
      </c>
      <c r="L251" s="115">
        <v>0</v>
      </c>
      <c r="M251" s="115">
        <v>0</v>
      </c>
      <c r="N251" s="115">
        <v>0</v>
      </c>
      <c r="O251" s="115">
        <v>0</v>
      </c>
      <c r="P251" s="115">
        <v>0</v>
      </c>
      <c r="Q251" s="115">
        <v>0</v>
      </c>
      <c r="R251" s="115">
        <v>0</v>
      </c>
      <c r="S251" s="115">
        <v>0</v>
      </c>
      <c r="T251" s="115">
        <v>0</v>
      </c>
      <c r="U251" s="115">
        <v>0</v>
      </c>
      <c r="V251" s="115">
        <v>0</v>
      </c>
      <c r="W251" s="115">
        <v>0</v>
      </c>
      <c r="X251" s="115">
        <v>0</v>
      </c>
      <c r="Y251" s="115">
        <v>0</v>
      </c>
      <c r="Z251" s="115">
        <v>0</v>
      </c>
      <c r="AA251" s="115">
        <v>0</v>
      </c>
      <c r="AB251" s="115">
        <v>0</v>
      </c>
      <c r="AC251" s="115">
        <v>0</v>
      </c>
      <c r="AD251" s="115">
        <v>0</v>
      </c>
      <c r="AE251" s="115">
        <v>0</v>
      </c>
      <c r="AF251" s="115">
        <v>0</v>
      </c>
      <c r="AG251" s="115">
        <v>0</v>
      </c>
      <c r="AH251" s="115">
        <v>0</v>
      </c>
      <c r="AI251" s="115">
        <v>0</v>
      </c>
      <c r="AJ251" s="115">
        <v>0</v>
      </c>
      <c r="AK251" s="115">
        <v>0</v>
      </c>
      <c r="AL251" s="115">
        <v>0</v>
      </c>
      <c r="AM251" s="115">
        <v>0</v>
      </c>
      <c r="AN251" s="115">
        <v>0</v>
      </c>
      <c r="AO251" s="115">
        <v>0</v>
      </c>
      <c r="AP251" s="115">
        <v>0</v>
      </c>
      <c r="AQ251" s="115">
        <v>0</v>
      </c>
      <c r="AR251" s="115">
        <v>0</v>
      </c>
      <c r="AS251" s="115">
        <v>0</v>
      </c>
      <c r="AT251" s="115">
        <v>0</v>
      </c>
      <c r="AU251" s="115">
        <v>0</v>
      </c>
      <c r="AV251" s="115">
        <v>0</v>
      </c>
      <c r="AW251" s="115">
        <v>0</v>
      </c>
      <c r="AX251" s="115">
        <v>0</v>
      </c>
      <c r="AY251" s="115">
        <v>0</v>
      </c>
    </row>
    <row r="252" spans="1:51" x14ac:dyDescent="0.2">
      <c r="A252" s="114"/>
      <c r="B252" s="135">
        <v>44</v>
      </c>
      <c r="C252" s="111"/>
      <c r="D252" s="115">
        <v>0</v>
      </c>
      <c r="E252" s="115">
        <v>0</v>
      </c>
      <c r="F252" s="115">
        <v>0</v>
      </c>
      <c r="G252" s="115">
        <v>0</v>
      </c>
      <c r="H252" s="115">
        <v>0</v>
      </c>
      <c r="I252" s="115">
        <v>0</v>
      </c>
      <c r="J252" s="115">
        <v>0</v>
      </c>
      <c r="K252" s="115">
        <v>0</v>
      </c>
      <c r="L252" s="115">
        <v>0</v>
      </c>
      <c r="M252" s="115">
        <v>0</v>
      </c>
      <c r="N252" s="115">
        <v>0</v>
      </c>
      <c r="O252" s="115">
        <v>0</v>
      </c>
      <c r="P252" s="115">
        <v>0</v>
      </c>
      <c r="Q252" s="115">
        <v>0</v>
      </c>
      <c r="R252" s="115">
        <v>0</v>
      </c>
      <c r="S252" s="115">
        <v>0</v>
      </c>
      <c r="T252" s="115">
        <v>0</v>
      </c>
      <c r="U252" s="115">
        <v>0</v>
      </c>
      <c r="V252" s="115">
        <v>0</v>
      </c>
      <c r="W252" s="115">
        <v>0</v>
      </c>
      <c r="X252" s="115">
        <v>0</v>
      </c>
      <c r="Y252" s="115">
        <v>0</v>
      </c>
      <c r="Z252" s="115">
        <v>0</v>
      </c>
      <c r="AA252" s="115">
        <v>0</v>
      </c>
      <c r="AB252" s="115">
        <v>0</v>
      </c>
      <c r="AC252" s="115">
        <v>0</v>
      </c>
      <c r="AD252" s="115">
        <v>0</v>
      </c>
      <c r="AE252" s="115">
        <v>0</v>
      </c>
      <c r="AF252" s="115">
        <v>0</v>
      </c>
      <c r="AG252" s="115">
        <v>0</v>
      </c>
      <c r="AH252" s="115">
        <v>0</v>
      </c>
      <c r="AI252" s="115">
        <v>0</v>
      </c>
      <c r="AJ252" s="115">
        <v>0</v>
      </c>
      <c r="AK252" s="115">
        <v>0</v>
      </c>
      <c r="AL252" s="115">
        <v>0</v>
      </c>
      <c r="AM252" s="115">
        <v>0</v>
      </c>
      <c r="AN252" s="115">
        <v>0</v>
      </c>
      <c r="AO252" s="115">
        <v>0</v>
      </c>
      <c r="AP252" s="115">
        <v>0</v>
      </c>
      <c r="AQ252" s="115">
        <v>0</v>
      </c>
      <c r="AR252" s="115">
        <v>0</v>
      </c>
      <c r="AS252" s="115">
        <v>0</v>
      </c>
      <c r="AT252" s="115">
        <v>0</v>
      </c>
      <c r="AU252" s="115">
        <v>0</v>
      </c>
      <c r="AV252" s="115">
        <v>0</v>
      </c>
      <c r="AW252" s="115">
        <v>0</v>
      </c>
      <c r="AX252" s="115">
        <v>0</v>
      </c>
      <c r="AY252" s="115">
        <v>0</v>
      </c>
    </row>
    <row r="253" spans="1:51" x14ac:dyDescent="0.2">
      <c r="A253" s="114"/>
      <c r="B253" s="135">
        <v>45</v>
      </c>
      <c r="C253" s="111"/>
      <c r="D253" s="115">
        <v>0</v>
      </c>
      <c r="E253" s="115">
        <v>0</v>
      </c>
      <c r="F253" s="115">
        <v>0</v>
      </c>
      <c r="G253" s="115">
        <v>0</v>
      </c>
      <c r="H253" s="115">
        <v>0</v>
      </c>
      <c r="I253" s="115">
        <v>0</v>
      </c>
      <c r="J253" s="115">
        <v>0</v>
      </c>
      <c r="K253" s="115">
        <v>0</v>
      </c>
      <c r="L253" s="115">
        <v>0</v>
      </c>
      <c r="M253" s="115">
        <v>0</v>
      </c>
      <c r="N253" s="115">
        <v>0</v>
      </c>
      <c r="O253" s="115">
        <v>0</v>
      </c>
      <c r="P253" s="115">
        <v>0</v>
      </c>
      <c r="Q253" s="115">
        <v>0</v>
      </c>
      <c r="R253" s="115">
        <v>0</v>
      </c>
      <c r="S253" s="115">
        <v>0</v>
      </c>
      <c r="T253" s="115">
        <v>0</v>
      </c>
      <c r="U253" s="115">
        <v>0</v>
      </c>
      <c r="V253" s="115">
        <v>0</v>
      </c>
      <c r="W253" s="115">
        <v>0</v>
      </c>
      <c r="X253" s="115">
        <v>0</v>
      </c>
      <c r="Y253" s="115">
        <v>0</v>
      </c>
      <c r="Z253" s="115">
        <v>0</v>
      </c>
      <c r="AA253" s="115">
        <v>0</v>
      </c>
      <c r="AB253" s="115">
        <v>0</v>
      </c>
      <c r="AC253" s="115">
        <v>0</v>
      </c>
      <c r="AD253" s="115">
        <v>0</v>
      </c>
      <c r="AE253" s="115">
        <v>0</v>
      </c>
      <c r="AF253" s="115">
        <v>0</v>
      </c>
      <c r="AG253" s="115">
        <v>0</v>
      </c>
      <c r="AH253" s="115">
        <v>0</v>
      </c>
      <c r="AI253" s="115">
        <v>0</v>
      </c>
      <c r="AJ253" s="115">
        <v>0</v>
      </c>
      <c r="AK253" s="115">
        <v>0</v>
      </c>
      <c r="AL253" s="115">
        <v>0</v>
      </c>
      <c r="AM253" s="115">
        <v>0</v>
      </c>
      <c r="AN253" s="115">
        <v>0</v>
      </c>
      <c r="AO253" s="115">
        <v>0</v>
      </c>
      <c r="AP253" s="115">
        <v>0</v>
      </c>
      <c r="AQ253" s="115">
        <v>0</v>
      </c>
      <c r="AR253" s="115">
        <v>0</v>
      </c>
      <c r="AS253" s="115">
        <v>0</v>
      </c>
      <c r="AT253" s="115">
        <v>0</v>
      </c>
      <c r="AU253" s="115">
        <v>0</v>
      </c>
      <c r="AV253" s="115">
        <v>0</v>
      </c>
      <c r="AW253" s="115">
        <v>0</v>
      </c>
      <c r="AX253" s="115">
        <v>0</v>
      </c>
      <c r="AY253" s="115">
        <v>0</v>
      </c>
    </row>
    <row r="254" spans="1:51" x14ac:dyDescent="0.2">
      <c r="A254" s="114"/>
      <c r="B254" s="135">
        <v>46</v>
      </c>
      <c r="C254" s="111"/>
      <c r="D254" s="115">
        <v>0</v>
      </c>
      <c r="E254" s="115">
        <v>0</v>
      </c>
      <c r="F254" s="115">
        <v>0</v>
      </c>
      <c r="G254" s="115">
        <v>0</v>
      </c>
      <c r="H254" s="115">
        <v>0</v>
      </c>
      <c r="I254" s="115">
        <v>0</v>
      </c>
      <c r="J254" s="115">
        <v>0</v>
      </c>
      <c r="K254" s="115">
        <v>0</v>
      </c>
      <c r="L254" s="115">
        <v>0</v>
      </c>
      <c r="M254" s="115">
        <v>0</v>
      </c>
      <c r="N254" s="115">
        <v>0</v>
      </c>
      <c r="O254" s="115">
        <v>0</v>
      </c>
      <c r="P254" s="115">
        <v>0</v>
      </c>
      <c r="Q254" s="115">
        <v>0</v>
      </c>
      <c r="R254" s="115">
        <v>0</v>
      </c>
      <c r="S254" s="115">
        <v>0</v>
      </c>
      <c r="T254" s="115">
        <v>0</v>
      </c>
      <c r="U254" s="115">
        <v>0</v>
      </c>
      <c r="V254" s="115">
        <v>0</v>
      </c>
      <c r="W254" s="115">
        <v>0</v>
      </c>
      <c r="X254" s="115">
        <v>0</v>
      </c>
      <c r="Y254" s="115">
        <v>0</v>
      </c>
      <c r="Z254" s="115">
        <v>0</v>
      </c>
      <c r="AA254" s="115">
        <v>0</v>
      </c>
      <c r="AB254" s="115">
        <v>0</v>
      </c>
      <c r="AC254" s="115">
        <v>0</v>
      </c>
      <c r="AD254" s="115">
        <v>0</v>
      </c>
      <c r="AE254" s="115">
        <v>0</v>
      </c>
      <c r="AF254" s="115">
        <v>0</v>
      </c>
      <c r="AG254" s="115">
        <v>0</v>
      </c>
      <c r="AH254" s="115">
        <v>0</v>
      </c>
      <c r="AI254" s="115">
        <v>0</v>
      </c>
      <c r="AJ254" s="115">
        <v>0</v>
      </c>
      <c r="AK254" s="115">
        <v>0</v>
      </c>
      <c r="AL254" s="115">
        <v>0</v>
      </c>
      <c r="AM254" s="115">
        <v>0</v>
      </c>
      <c r="AN254" s="115">
        <v>0</v>
      </c>
      <c r="AO254" s="115">
        <v>0</v>
      </c>
      <c r="AP254" s="115">
        <v>0</v>
      </c>
      <c r="AQ254" s="115">
        <v>0</v>
      </c>
      <c r="AR254" s="115">
        <v>0</v>
      </c>
      <c r="AS254" s="115">
        <v>0</v>
      </c>
      <c r="AT254" s="115">
        <v>0</v>
      </c>
      <c r="AU254" s="115">
        <v>0</v>
      </c>
      <c r="AV254" s="115">
        <v>0</v>
      </c>
      <c r="AW254" s="115">
        <v>0</v>
      </c>
      <c r="AX254" s="115">
        <v>0</v>
      </c>
      <c r="AY254" s="115">
        <v>0</v>
      </c>
    </row>
    <row r="255" spans="1:51" x14ac:dyDescent="0.2">
      <c r="A255" s="114"/>
      <c r="B255" s="135">
        <v>47</v>
      </c>
      <c r="C255" s="111"/>
      <c r="D255" s="115">
        <v>0</v>
      </c>
      <c r="E255" s="115">
        <v>0</v>
      </c>
      <c r="F255" s="115">
        <v>0</v>
      </c>
      <c r="G255" s="115">
        <v>0</v>
      </c>
      <c r="H255" s="115">
        <v>0</v>
      </c>
      <c r="I255" s="115">
        <v>0</v>
      </c>
      <c r="J255" s="115">
        <v>0</v>
      </c>
      <c r="K255" s="115">
        <v>0</v>
      </c>
      <c r="L255" s="115">
        <v>0</v>
      </c>
      <c r="M255" s="115">
        <v>0</v>
      </c>
      <c r="N255" s="115">
        <v>0</v>
      </c>
      <c r="O255" s="115">
        <v>0</v>
      </c>
      <c r="P255" s="115">
        <v>0</v>
      </c>
      <c r="Q255" s="115">
        <v>0</v>
      </c>
      <c r="R255" s="115">
        <v>0</v>
      </c>
      <c r="S255" s="115">
        <v>0</v>
      </c>
      <c r="T255" s="115">
        <v>0</v>
      </c>
      <c r="U255" s="115">
        <v>0</v>
      </c>
      <c r="V255" s="115">
        <v>0</v>
      </c>
      <c r="W255" s="115">
        <v>0</v>
      </c>
      <c r="X255" s="115">
        <v>0</v>
      </c>
      <c r="Y255" s="115">
        <v>0</v>
      </c>
      <c r="Z255" s="115">
        <v>0</v>
      </c>
      <c r="AA255" s="115">
        <v>0</v>
      </c>
      <c r="AB255" s="115">
        <v>0</v>
      </c>
      <c r="AC255" s="115">
        <v>0</v>
      </c>
      <c r="AD255" s="115">
        <v>0</v>
      </c>
      <c r="AE255" s="115">
        <v>0</v>
      </c>
      <c r="AF255" s="115">
        <v>0</v>
      </c>
      <c r="AG255" s="115">
        <v>0</v>
      </c>
      <c r="AH255" s="115">
        <v>0</v>
      </c>
      <c r="AI255" s="115">
        <v>0</v>
      </c>
      <c r="AJ255" s="115">
        <v>0</v>
      </c>
      <c r="AK255" s="115">
        <v>0</v>
      </c>
      <c r="AL255" s="115">
        <v>0</v>
      </c>
      <c r="AM255" s="115">
        <v>0</v>
      </c>
      <c r="AN255" s="115">
        <v>0</v>
      </c>
      <c r="AO255" s="115">
        <v>0</v>
      </c>
      <c r="AP255" s="115">
        <v>0</v>
      </c>
      <c r="AQ255" s="115">
        <v>0</v>
      </c>
      <c r="AR255" s="115">
        <v>0</v>
      </c>
      <c r="AS255" s="115">
        <v>0</v>
      </c>
      <c r="AT255" s="115">
        <v>0</v>
      </c>
      <c r="AU255" s="115">
        <v>0</v>
      </c>
      <c r="AV255" s="115">
        <v>0</v>
      </c>
      <c r="AW255" s="115">
        <v>0</v>
      </c>
      <c r="AX255" s="115">
        <v>0</v>
      </c>
      <c r="AY255" s="115">
        <v>0</v>
      </c>
    </row>
    <row r="256" spans="1:51" x14ac:dyDescent="0.2">
      <c r="A256" s="133"/>
      <c r="B256" s="134">
        <v>48</v>
      </c>
      <c r="C256" s="119"/>
      <c r="D256" s="130">
        <v>0</v>
      </c>
      <c r="E256" s="130">
        <v>0</v>
      </c>
      <c r="F256" s="130">
        <v>0</v>
      </c>
      <c r="G256" s="130">
        <v>0</v>
      </c>
      <c r="H256" s="130">
        <v>0</v>
      </c>
      <c r="I256" s="130">
        <v>0</v>
      </c>
      <c r="J256" s="130">
        <v>0</v>
      </c>
      <c r="K256" s="130">
        <v>0</v>
      </c>
      <c r="L256" s="130">
        <v>0</v>
      </c>
      <c r="M256" s="130">
        <v>0</v>
      </c>
      <c r="N256" s="130">
        <v>0</v>
      </c>
      <c r="O256" s="130">
        <v>0</v>
      </c>
      <c r="P256" s="130">
        <v>0</v>
      </c>
      <c r="Q256" s="130">
        <v>0</v>
      </c>
      <c r="R256" s="130">
        <v>0</v>
      </c>
      <c r="S256" s="130">
        <v>0</v>
      </c>
      <c r="T256" s="130">
        <v>0</v>
      </c>
      <c r="U256" s="130">
        <v>0</v>
      </c>
      <c r="V256" s="130">
        <v>0</v>
      </c>
      <c r="W256" s="130">
        <v>0</v>
      </c>
      <c r="X256" s="130">
        <v>0</v>
      </c>
      <c r="Y256" s="130">
        <v>0</v>
      </c>
      <c r="Z256" s="130">
        <v>0</v>
      </c>
      <c r="AA256" s="130">
        <v>0</v>
      </c>
      <c r="AB256" s="130">
        <v>0</v>
      </c>
      <c r="AC256" s="130">
        <v>0</v>
      </c>
      <c r="AD256" s="130">
        <v>0</v>
      </c>
      <c r="AE256" s="130">
        <v>0</v>
      </c>
      <c r="AF256" s="130">
        <v>0</v>
      </c>
      <c r="AG256" s="130">
        <v>0</v>
      </c>
      <c r="AH256" s="130">
        <v>0</v>
      </c>
      <c r="AI256" s="130">
        <v>0</v>
      </c>
      <c r="AJ256" s="130">
        <v>0</v>
      </c>
      <c r="AK256" s="130">
        <v>0</v>
      </c>
      <c r="AL256" s="130">
        <v>0</v>
      </c>
      <c r="AM256" s="130">
        <v>0</v>
      </c>
      <c r="AN256" s="130">
        <v>0</v>
      </c>
      <c r="AO256" s="130">
        <v>0</v>
      </c>
      <c r="AP256" s="130">
        <v>0</v>
      </c>
      <c r="AQ256" s="130">
        <v>0</v>
      </c>
      <c r="AR256" s="130">
        <v>0</v>
      </c>
      <c r="AS256" s="130">
        <v>0</v>
      </c>
      <c r="AT256" s="130">
        <v>0</v>
      </c>
      <c r="AU256" s="130">
        <v>0</v>
      </c>
      <c r="AV256" s="130">
        <v>0</v>
      </c>
      <c r="AW256" s="130">
        <v>0</v>
      </c>
      <c r="AX256" s="130">
        <v>0</v>
      </c>
      <c r="AY256" s="130">
        <v>0</v>
      </c>
    </row>
    <row r="258" spans="1:52" x14ac:dyDescent="0.2">
      <c r="A258" s="107" t="s">
        <v>303</v>
      </c>
    </row>
    <row r="259" spans="1:52" x14ac:dyDescent="0.2">
      <c r="A259" s="142" t="s">
        <v>124</v>
      </c>
      <c r="B259" s="143">
        <v>650</v>
      </c>
      <c r="C259" s="129" t="s">
        <v>295</v>
      </c>
      <c r="D259" s="129">
        <f>E$14*$B$259</f>
        <v>43133.039070749735</v>
      </c>
      <c r="E259" s="129">
        <f t="shared" ref="E259:AX259" si="5">F$14*$B$259</f>
        <v>75402.164753809862</v>
      </c>
      <c r="F259" s="129">
        <f t="shared" si="5"/>
        <v>72211.821944917552</v>
      </c>
      <c r="G259" s="129">
        <f t="shared" si="5"/>
        <v>74591.891968336247</v>
      </c>
      <c r="H259" s="129">
        <f t="shared" si="5"/>
        <v>76574.045886368651</v>
      </c>
      <c r="I259" s="129">
        <f t="shared" si="5"/>
        <v>70326.304403253598</v>
      </c>
      <c r="J259" s="129">
        <f t="shared" si="5"/>
        <v>72392.543461255002</v>
      </c>
      <c r="K259" s="129">
        <f t="shared" si="5"/>
        <v>76375.547535916077</v>
      </c>
      <c r="L259" s="129">
        <f t="shared" si="5"/>
        <v>82133.460673405119</v>
      </c>
      <c r="M259" s="129">
        <f t="shared" si="5"/>
        <v>88211.553789271682</v>
      </c>
      <c r="N259" s="129">
        <f t="shared" si="5"/>
        <v>91568.610488488936</v>
      </c>
      <c r="O259" s="129">
        <f t="shared" si="5"/>
        <v>81296.544146886226</v>
      </c>
      <c r="P259" s="129">
        <f t="shared" si="5"/>
        <v>66211.05306385213</v>
      </c>
      <c r="Q259" s="129">
        <f t="shared" si="5"/>
        <v>70442.224929915872</v>
      </c>
      <c r="R259" s="129">
        <f t="shared" si="5"/>
        <v>59475.302266784973</v>
      </c>
      <c r="S259" s="129">
        <f t="shared" si="5"/>
        <v>58057.271816174158</v>
      </c>
      <c r="T259" s="129">
        <f t="shared" si="5"/>
        <v>44781.138369203836</v>
      </c>
      <c r="U259" s="129">
        <f t="shared" si="5"/>
        <v>66604.539070749757</v>
      </c>
      <c r="V259" s="129">
        <f t="shared" si="5"/>
        <v>74161.28415522704</v>
      </c>
      <c r="W259" s="129">
        <f t="shared" si="5"/>
        <v>78335.477870274568</v>
      </c>
      <c r="X259" s="129">
        <f t="shared" si="5"/>
        <v>87828.607030861138</v>
      </c>
      <c r="Y259" s="129">
        <f t="shared" si="5"/>
        <v>77347.816484512819</v>
      </c>
      <c r="Z259" s="129">
        <f t="shared" si="5"/>
        <v>77350.607763824592</v>
      </c>
      <c r="AA259" s="129">
        <f t="shared" si="5"/>
        <v>70625.25704889468</v>
      </c>
      <c r="AB259" s="129">
        <f t="shared" si="5"/>
        <v>70529.736998398628</v>
      </c>
      <c r="AC259" s="129">
        <f t="shared" si="5"/>
        <v>65373.186559516682</v>
      </c>
      <c r="AD259" s="129">
        <f t="shared" si="5"/>
        <v>56618.642721577591</v>
      </c>
      <c r="AE259" s="129">
        <f t="shared" si="5"/>
        <v>63930.643966364485</v>
      </c>
      <c r="AF259" s="129">
        <f t="shared" si="5"/>
        <v>60291.884924850383</v>
      </c>
      <c r="AG259" s="129">
        <f t="shared" si="5"/>
        <v>62274.040462884528</v>
      </c>
      <c r="AH259" s="129">
        <f t="shared" si="5"/>
        <v>70378.300227170825</v>
      </c>
      <c r="AI259" s="129">
        <f t="shared" si="5"/>
        <v>72432.58024567127</v>
      </c>
      <c r="AJ259" s="129">
        <f t="shared" si="5"/>
        <v>76406.375859916618</v>
      </c>
      <c r="AK259" s="129">
        <f t="shared" si="5"/>
        <v>66310.19848288552</v>
      </c>
      <c r="AL259" s="129">
        <f t="shared" si="5"/>
        <v>72716.216902571599</v>
      </c>
      <c r="AM259" s="129">
        <f t="shared" si="5"/>
        <v>72416.351085729868</v>
      </c>
      <c r="AN259" s="129">
        <f t="shared" si="5"/>
        <v>80579.555779517817</v>
      </c>
      <c r="AO259" s="129">
        <f t="shared" si="5"/>
        <v>76101.22339373453</v>
      </c>
      <c r="AP259" s="129">
        <f t="shared" si="5"/>
        <v>68638.832456681412</v>
      </c>
      <c r="AQ259" s="129">
        <f t="shared" si="5"/>
        <v>73806.291435150502</v>
      </c>
      <c r="AR259" s="129">
        <f t="shared" si="5"/>
        <v>73449.734848571708</v>
      </c>
      <c r="AS259" s="129">
        <f t="shared" si="5"/>
        <v>71231.686276906024</v>
      </c>
      <c r="AT259" s="129">
        <f t="shared" si="5"/>
        <v>71444.863876723452</v>
      </c>
      <c r="AU259" s="129">
        <f t="shared" si="5"/>
        <v>66675.510628582881</v>
      </c>
      <c r="AV259" s="129">
        <f t="shared" si="5"/>
        <v>56042.364070749747</v>
      </c>
      <c r="AW259" s="129">
        <f t="shared" si="5"/>
        <v>56042.36407074974</v>
      </c>
      <c r="AX259" s="129">
        <f t="shared" si="5"/>
        <v>60197.90940522703</v>
      </c>
      <c r="AY259" s="129">
        <f>AZ$14*$B$259</f>
        <v>61005.679312774548</v>
      </c>
      <c r="AZ259" s="144">
        <f>SUM($D259:$AY259)</f>
        <v>3360332.2819858412</v>
      </c>
    </row>
    <row r="260" spans="1:52" x14ac:dyDescent="0.2">
      <c r="A260" s="145" t="s">
        <v>304</v>
      </c>
      <c r="B260" s="119">
        <v>60</v>
      </c>
      <c r="C260" s="130" t="s">
        <v>295</v>
      </c>
      <c r="D260" s="130">
        <f>(D$175-D$176+D$177-D$178+D$179-D$180+D$181-D$182)*$B$260</f>
        <v>2409.493670886076</v>
      </c>
      <c r="E260" s="130">
        <f t="shared" ref="E260:AY260" si="6">(E$175-E$176+E$177-E$178+E$179-E$180+E$181-E$182)*$B$260</f>
        <v>24028.582201079582</v>
      </c>
      <c r="F260" s="130">
        <f t="shared" si="6"/>
        <v>29513.99407404078</v>
      </c>
      <c r="G260" s="130">
        <f t="shared" si="6"/>
        <v>35265.213993250181</v>
      </c>
      <c r="H260" s="130">
        <f t="shared" si="6"/>
        <v>40753.164629879866</v>
      </c>
      <c r="I260" s="130">
        <f t="shared" si="6"/>
        <v>49640.797918923148</v>
      </c>
      <c r="J260" s="130">
        <f t="shared" si="6"/>
        <v>53080.986850324924</v>
      </c>
      <c r="K260" s="130">
        <f t="shared" si="6"/>
        <v>60064.243626342715</v>
      </c>
      <c r="L260" s="130">
        <f t="shared" si="6"/>
        <v>66270.713275626258</v>
      </c>
      <c r="M260" s="130">
        <f t="shared" si="6"/>
        <v>72087.627849982644</v>
      </c>
      <c r="N260" s="130">
        <f t="shared" si="6"/>
        <v>72564.664383733718</v>
      </c>
      <c r="O260" s="130">
        <f t="shared" si="6"/>
        <v>72859.773813560474</v>
      </c>
      <c r="P260" s="130">
        <f t="shared" si="6"/>
        <v>78232.148740454155</v>
      </c>
      <c r="Q260" s="130">
        <f t="shared" si="6"/>
        <v>77732.409112747526</v>
      </c>
      <c r="R260" s="130">
        <f t="shared" si="6"/>
        <v>77999.114822302523</v>
      </c>
      <c r="S260" s="130">
        <f t="shared" si="6"/>
        <v>81464.384327624852</v>
      </c>
      <c r="T260" s="130">
        <f t="shared" si="6"/>
        <v>75842.072576159699</v>
      </c>
      <c r="U260" s="130">
        <f t="shared" si="6"/>
        <v>88959.536167923667</v>
      </c>
      <c r="V260" s="130">
        <f t="shared" si="6"/>
        <v>93503.415487533901</v>
      </c>
      <c r="W260" s="130">
        <f t="shared" si="6"/>
        <v>99679.530318168399</v>
      </c>
      <c r="X260" s="130">
        <f t="shared" si="6"/>
        <v>97744.666492291639</v>
      </c>
      <c r="Y260" s="130">
        <f t="shared" si="6"/>
        <v>104073.54910090115</v>
      </c>
      <c r="Z260" s="130">
        <f t="shared" si="6"/>
        <v>104574.7164640651</v>
      </c>
      <c r="AA260" s="130">
        <f t="shared" si="6"/>
        <v>107016.94308823602</v>
      </c>
      <c r="AB260" s="130">
        <f t="shared" si="6"/>
        <v>108667.18534338225</v>
      </c>
      <c r="AC260" s="130">
        <f t="shared" si="6"/>
        <v>106164.5996343795</v>
      </c>
      <c r="AD260" s="130">
        <f t="shared" si="6"/>
        <v>111674.13639298198</v>
      </c>
      <c r="AE260" s="130">
        <f t="shared" si="6"/>
        <v>113180.60745164056</v>
      </c>
      <c r="AF260" s="130">
        <f t="shared" si="6"/>
        <v>116597.91792134228</v>
      </c>
      <c r="AG260" s="130">
        <f t="shared" si="6"/>
        <v>121416.37473754727</v>
      </c>
      <c r="AH260" s="130">
        <f t="shared" si="6"/>
        <v>121709.71424055976</v>
      </c>
      <c r="AI260" s="130">
        <f t="shared" si="6"/>
        <v>127961.51341241397</v>
      </c>
      <c r="AJ260" s="130">
        <f t="shared" si="6"/>
        <v>126969.07589636503</v>
      </c>
      <c r="AK260" s="130">
        <f t="shared" si="6"/>
        <v>131835.40511797232</v>
      </c>
      <c r="AL260" s="130">
        <f t="shared" si="6"/>
        <v>134769.50536048634</v>
      </c>
      <c r="AM260" s="130">
        <f t="shared" si="6"/>
        <v>140722.61030175677</v>
      </c>
      <c r="AN260" s="130">
        <f t="shared" si="6"/>
        <v>144104.7045235158</v>
      </c>
      <c r="AO260" s="130">
        <f t="shared" si="6"/>
        <v>142656.04819173846</v>
      </c>
      <c r="AP260" s="130">
        <f t="shared" si="6"/>
        <v>144347.78205690999</v>
      </c>
      <c r="AQ260" s="130">
        <f t="shared" si="6"/>
        <v>144721.79536107377</v>
      </c>
      <c r="AR260" s="130">
        <f t="shared" si="6"/>
        <v>146696.66256743891</v>
      </c>
      <c r="AS260" s="130">
        <f t="shared" si="6"/>
        <v>150799.24525318257</v>
      </c>
      <c r="AT260" s="130">
        <f t="shared" si="6"/>
        <v>149765.48949095912</v>
      </c>
      <c r="AU260" s="130">
        <f t="shared" si="6"/>
        <v>150888.32806794374</v>
      </c>
      <c r="AV260" s="130">
        <f t="shared" si="6"/>
        <v>149848.16896724142</v>
      </c>
      <c r="AW260" s="130">
        <f t="shared" si="6"/>
        <v>149794.24205753169</v>
      </c>
      <c r="AX260" s="130">
        <f t="shared" si="6"/>
        <v>147837.68118251915</v>
      </c>
      <c r="AY260" s="130">
        <f t="shared" si="6"/>
        <v>147458.8209543291</v>
      </c>
      <c r="AZ260" s="146">
        <f>SUM($D260:$AY260)</f>
        <v>4895949.3574712528</v>
      </c>
    </row>
  </sheetData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14.7109375" style="105" customWidth="1"/>
    <col min="2" max="2" width="12.7109375" style="105" customWidth="1"/>
    <col min="3" max="16384" width="9.140625" style="105"/>
  </cols>
  <sheetData>
    <row r="1" spans="1:53" x14ac:dyDescent="0.2">
      <c r="A1" s="107" t="s">
        <v>286</v>
      </c>
    </row>
    <row r="2" spans="1:53" x14ac:dyDescent="0.2">
      <c r="A2" s="105" t="s">
        <v>287</v>
      </c>
      <c r="B2" s="112" t="s">
        <v>70</v>
      </c>
    </row>
    <row r="3" spans="1:53" x14ac:dyDescent="0.2">
      <c r="A3" s="105" t="s">
        <v>288</v>
      </c>
      <c r="B3" s="113">
        <v>4000</v>
      </c>
      <c r="C3" s="114"/>
    </row>
    <row r="4" spans="1:53" x14ac:dyDescent="0.2">
      <c r="B4" s="115"/>
      <c r="C4" s="115"/>
    </row>
    <row r="5" spans="1:53" x14ac:dyDescent="0.2">
      <c r="C5" s="116" t="s">
        <v>289</v>
      </c>
    </row>
    <row r="6" spans="1:53" x14ac:dyDescent="0.2">
      <c r="C6" s="117">
        <v>0</v>
      </c>
      <c r="D6" s="117">
        <v>1</v>
      </c>
      <c r="E6" s="117">
        <v>2</v>
      </c>
      <c r="F6" s="117">
        <v>3</v>
      </c>
      <c r="G6" s="117">
        <v>4</v>
      </c>
      <c r="H6" s="117">
        <v>5</v>
      </c>
      <c r="I6" s="117">
        <v>6</v>
      </c>
      <c r="J6" s="117">
        <v>7</v>
      </c>
      <c r="K6" s="117">
        <v>8</v>
      </c>
      <c r="L6" s="117">
        <v>9</v>
      </c>
      <c r="M6" s="117">
        <v>10</v>
      </c>
      <c r="N6" s="117">
        <v>11</v>
      </c>
      <c r="O6" s="117">
        <v>12</v>
      </c>
      <c r="P6" s="117">
        <v>13</v>
      </c>
      <c r="Q6" s="117">
        <v>14</v>
      </c>
      <c r="R6" s="117">
        <v>15</v>
      </c>
      <c r="S6" s="117">
        <v>16</v>
      </c>
      <c r="T6" s="117">
        <v>17</v>
      </c>
      <c r="U6" s="117">
        <v>18</v>
      </c>
      <c r="V6" s="117">
        <v>19</v>
      </c>
      <c r="W6" s="117">
        <v>20</v>
      </c>
      <c r="X6" s="117">
        <v>21</v>
      </c>
      <c r="Y6" s="117">
        <v>22</v>
      </c>
      <c r="Z6" s="117">
        <v>23</v>
      </c>
      <c r="AA6" s="117">
        <v>24</v>
      </c>
      <c r="AB6" s="117">
        <v>25</v>
      </c>
      <c r="AC6" s="117">
        <v>26</v>
      </c>
      <c r="AD6" s="117">
        <v>27</v>
      </c>
      <c r="AE6" s="117">
        <v>28</v>
      </c>
      <c r="AF6" s="117">
        <v>29</v>
      </c>
      <c r="AG6" s="117">
        <v>30</v>
      </c>
      <c r="AH6" s="117">
        <v>31</v>
      </c>
      <c r="AI6" s="117">
        <v>32</v>
      </c>
      <c r="AJ6" s="117">
        <v>33</v>
      </c>
      <c r="AK6" s="117">
        <v>34</v>
      </c>
      <c r="AL6" s="117">
        <v>35</v>
      </c>
      <c r="AM6" s="117">
        <v>36</v>
      </c>
      <c r="AN6" s="117">
        <v>37</v>
      </c>
      <c r="AO6" s="117">
        <v>38</v>
      </c>
      <c r="AP6" s="117">
        <v>39</v>
      </c>
      <c r="AQ6" s="117">
        <v>40</v>
      </c>
      <c r="AR6" s="117">
        <v>41</v>
      </c>
      <c r="AS6" s="117">
        <v>42</v>
      </c>
      <c r="AT6" s="117">
        <v>43</v>
      </c>
      <c r="AU6" s="117">
        <v>44</v>
      </c>
      <c r="AV6" s="117">
        <v>45</v>
      </c>
      <c r="AW6" s="117">
        <v>46</v>
      </c>
      <c r="AX6" s="117">
        <v>47</v>
      </c>
      <c r="AY6" s="117">
        <v>48</v>
      </c>
    </row>
    <row r="7" spans="1:53" x14ac:dyDescent="0.2">
      <c r="B7" s="115"/>
      <c r="C7" s="118" t="s">
        <v>290</v>
      </c>
      <c r="D7" s="117" t="s">
        <v>291</v>
      </c>
      <c r="E7" s="117" t="s">
        <v>291</v>
      </c>
      <c r="F7" s="117" t="s">
        <v>291</v>
      </c>
      <c r="G7" s="117" t="s">
        <v>291</v>
      </c>
      <c r="H7" s="117" t="s">
        <v>291</v>
      </c>
      <c r="I7" s="117" t="s">
        <v>291</v>
      </c>
      <c r="J7" s="117" t="s">
        <v>291</v>
      </c>
      <c r="K7" s="117" t="s">
        <v>291</v>
      </c>
      <c r="L7" s="117" t="s">
        <v>291</v>
      </c>
      <c r="M7" s="117" t="s">
        <v>291</v>
      </c>
      <c r="N7" s="117" t="s">
        <v>291</v>
      </c>
      <c r="O7" s="117" t="s">
        <v>291</v>
      </c>
      <c r="P7" s="117" t="s">
        <v>291</v>
      </c>
      <c r="Q7" s="117" t="s">
        <v>291</v>
      </c>
      <c r="R7" s="117" t="s">
        <v>291</v>
      </c>
      <c r="S7" s="117" t="s">
        <v>291</v>
      </c>
      <c r="T7" s="117" t="s">
        <v>291</v>
      </c>
      <c r="U7" s="117" t="s">
        <v>291</v>
      </c>
      <c r="V7" s="117" t="s">
        <v>291</v>
      </c>
      <c r="W7" s="117" t="s">
        <v>291</v>
      </c>
      <c r="X7" s="117" t="s">
        <v>291</v>
      </c>
      <c r="Y7" s="117" t="s">
        <v>291</v>
      </c>
      <c r="Z7" s="117" t="s">
        <v>291</v>
      </c>
      <c r="AA7" s="117" t="s">
        <v>291</v>
      </c>
      <c r="AB7" s="117" t="s">
        <v>291</v>
      </c>
      <c r="AC7" s="117" t="s">
        <v>291</v>
      </c>
      <c r="AD7" s="117" t="s">
        <v>291</v>
      </c>
      <c r="AE7" s="117" t="s">
        <v>291</v>
      </c>
      <c r="AF7" s="117" t="s">
        <v>291</v>
      </c>
      <c r="AG7" s="117" t="s">
        <v>291</v>
      </c>
      <c r="AH7" s="117" t="s">
        <v>291</v>
      </c>
      <c r="AI7" s="117" t="s">
        <v>291</v>
      </c>
      <c r="AJ7" s="117" t="s">
        <v>291</v>
      </c>
      <c r="AK7" s="117" t="s">
        <v>291</v>
      </c>
      <c r="AL7" s="117" t="s">
        <v>291</v>
      </c>
      <c r="AM7" s="117" t="s">
        <v>291</v>
      </c>
      <c r="AN7" s="117" t="s">
        <v>291</v>
      </c>
      <c r="AO7" s="117" t="s">
        <v>291</v>
      </c>
      <c r="AP7" s="117" t="s">
        <v>291</v>
      </c>
      <c r="AQ7" s="117" t="s">
        <v>291</v>
      </c>
      <c r="AR7" s="117" t="s">
        <v>291</v>
      </c>
      <c r="AS7" s="117" t="s">
        <v>291</v>
      </c>
      <c r="AT7" s="117" t="s">
        <v>291</v>
      </c>
      <c r="AU7" s="117" t="s">
        <v>291</v>
      </c>
      <c r="AV7" s="117" t="s">
        <v>291</v>
      </c>
      <c r="AW7" s="117" t="s">
        <v>291</v>
      </c>
      <c r="AX7" s="117" t="s">
        <v>291</v>
      </c>
      <c r="AY7" s="116" t="s">
        <v>292</v>
      </c>
      <c r="AZ7" s="116" t="s">
        <v>293</v>
      </c>
    </row>
    <row r="8" spans="1:53" x14ac:dyDescent="0.2">
      <c r="A8" s="107" t="s">
        <v>294</v>
      </c>
      <c r="B8" s="119"/>
      <c r="AY8" s="115"/>
    </row>
    <row r="9" spans="1:53" x14ac:dyDescent="0.2">
      <c r="A9" s="120" t="s">
        <v>125</v>
      </c>
      <c r="B9" s="121">
        <v>1</v>
      </c>
      <c r="C9" s="122" t="s">
        <v>295</v>
      </c>
      <c r="D9" s="122">
        <v>300.54370894391104</v>
      </c>
      <c r="E9" s="122">
        <v>300.54370894391104</v>
      </c>
      <c r="F9" s="122">
        <v>300.54370894391104</v>
      </c>
      <c r="G9" s="122">
        <v>300.54370894391104</v>
      </c>
      <c r="H9" s="122">
        <v>330.59807983830223</v>
      </c>
      <c r="I9" s="122">
        <v>330.59807983830223</v>
      </c>
      <c r="J9" s="122">
        <v>330.59807983830223</v>
      </c>
      <c r="K9" s="122">
        <v>330.59807983830223</v>
      </c>
      <c r="L9" s="122">
        <v>330.59807983830223</v>
      </c>
      <c r="M9" s="122">
        <v>330.59807983830223</v>
      </c>
      <c r="N9" s="122">
        <v>330.59807983830223</v>
      </c>
      <c r="O9" s="122">
        <v>330.59807983830223</v>
      </c>
      <c r="P9" s="122">
        <v>300.54370894391104</v>
      </c>
      <c r="Q9" s="122">
        <v>300.54370894391104</v>
      </c>
      <c r="R9" s="122">
        <v>300.54370894391104</v>
      </c>
      <c r="S9" s="122">
        <v>300.54370894391104</v>
      </c>
      <c r="T9" s="122">
        <v>270.48933804951997</v>
      </c>
      <c r="U9" s="122">
        <v>270.48933804951997</v>
      </c>
      <c r="V9" s="122">
        <v>270.48933804951997</v>
      </c>
      <c r="W9" s="122">
        <v>270.48933804951997</v>
      </c>
      <c r="X9" s="122">
        <v>270.48933804951997</v>
      </c>
      <c r="Y9" s="122">
        <v>270.48933804951997</v>
      </c>
      <c r="Z9" s="122">
        <v>270.48933804951997</v>
      </c>
      <c r="AA9" s="122">
        <v>270.48933804951997</v>
      </c>
      <c r="AB9" s="122">
        <v>270.48933804951997</v>
      </c>
      <c r="AC9" s="122">
        <v>270.48933804951997</v>
      </c>
      <c r="AD9" s="122">
        <v>270.48933804951997</v>
      </c>
      <c r="AE9" s="122">
        <v>270.48933804951997</v>
      </c>
      <c r="AF9" s="122">
        <v>330.59807983830223</v>
      </c>
      <c r="AG9" s="122">
        <v>330.59807983830223</v>
      </c>
      <c r="AH9" s="122">
        <v>330.59807983830223</v>
      </c>
      <c r="AI9" s="122">
        <v>330.59807983830223</v>
      </c>
      <c r="AJ9" s="122">
        <v>330.59807983830223</v>
      </c>
      <c r="AK9" s="122">
        <v>330.59807983830223</v>
      </c>
      <c r="AL9" s="122">
        <v>330.59807983830223</v>
      </c>
      <c r="AM9" s="122">
        <v>330.59807983830223</v>
      </c>
      <c r="AN9" s="122">
        <v>330.59807983830223</v>
      </c>
      <c r="AO9" s="122">
        <v>330.59807983830223</v>
      </c>
      <c r="AP9" s="122">
        <v>330.59807983830223</v>
      </c>
      <c r="AQ9" s="122">
        <v>330.59807983830223</v>
      </c>
      <c r="AR9" s="122">
        <v>300.54370894391104</v>
      </c>
      <c r="AS9" s="122">
        <v>300.54370894391104</v>
      </c>
      <c r="AT9" s="122">
        <v>300.54370894391104</v>
      </c>
      <c r="AU9" s="122">
        <v>300.54370894391104</v>
      </c>
      <c r="AV9" s="122">
        <v>270.48933804951997</v>
      </c>
      <c r="AW9" s="122">
        <v>270.48933804951997</v>
      </c>
      <c r="AX9" s="122">
        <v>270.48933804951997</v>
      </c>
      <c r="AY9" s="122">
        <v>270.48933804951997</v>
      </c>
    </row>
    <row r="10" spans="1:53" x14ac:dyDescent="0.2">
      <c r="A10" s="123" t="s">
        <v>133</v>
      </c>
      <c r="B10" s="124">
        <v>1</v>
      </c>
      <c r="C10" s="111" t="s">
        <v>295</v>
      </c>
      <c r="E10" s="105">
        <v>0</v>
      </c>
      <c r="F10" s="105">
        <v>108.23677181837871</v>
      </c>
      <c r="G10" s="105">
        <v>108.23677181837871</v>
      </c>
      <c r="H10" s="105">
        <v>108.23677181837871</v>
      </c>
      <c r="I10" s="105">
        <v>108.23677181837871</v>
      </c>
      <c r="J10" s="105">
        <v>119.06044900021661</v>
      </c>
      <c r="K10" s="105">
        <v>119.06044900021661</v>
      </c>
      <c r="L10" s="105">
        <v>119.06044900021661</v>
      </c>
      <c r="M10" s="105">
        <v>0</v>
      </c>
      <c r="N10" s="105">
        <v>238.12089800043316</v>
      </c>
      <c r="O10" s="105">
        <v>119.06044900021661</v>
      </c>
      <c r="P10" s="105">
        <v>119.06044900021661</v>
      </c>
      <c r="Q10" s="105">
        <v>119.06044900021661</v>
      </c>
      <c r="R10" s="105">
        <v>108.23677181837871</v>
      </c>
      <c r="S10" s="105">
        <v>108.23677181837871</v>
      </c>
      <c r="T10" s="105">
        <v>108.23677181837871</v>
      </c>
      <c r="U10" s="105">
        <v>108.23677181837871</v>
      </c>
      <c r="V10" s="105">
        <v>97.413094636540833</v>
      </c>
      <c r="W10" s="105">
        <v>97.413094636540833</v>
      </c>
      <c r="X10" s="105">
        <v>97.413094636540833</v>
      </c>
      <c r="Y10" s="105">
        <v>97.413094636540833</v>
      </c>
      <c r="Z10" s="105">
        <v>97.413094636540833</v>
      </c>
      <c r="AA10" s="105">
        <v>97.413094636540833</v>
      </c>
      <c r="AB10" s="105">
        <v>97.413094636540833</v>
      </c>
      <c r="AC10" s="105">
        <v>97.413094636540833</v>
      </c>
      <c r="AD10" s="105">
        <v>97.413094636540833</v>
      </c>
      <c r="AE10" s="105">
        <v>97.413094636540833</v>
      </c>
      <c r="AF10" s="105">
        <v>0</v>
      </c>
      <c r="AG10" s="105">
        <v>194.82618927308167</v>
      </c>
      <c r="AH10" s="105">
        <v>119.06044900021661</v>
      </c>
      <c r="AI10" s="105">
        <v>119.06044900021661</v>
      </c>
      <c r="AJ10" s="105">
        <v>119.06044900021661</v>
      </c>
      <c r="AK10" s="105">
        <v>119.06044900021661</v>
      </c>
      <c r="AL10" s="105">
        <v>119.06044900021661</v>
      </c>
      <c r="AM10" s="105">
        <v>119.06044900021661</v>
      </c>
      <c r="AN10" s="105">
        <v>119.06044900021661</v>
      </c>
      <c r="AO10" s="105">
        <v>119.06044900021661</v>
      </c>
      <c r="AP10" s="105">
        <v>119.06044900021661</v>
      </c>
      <c r="AQ10" s="105">
        <v>119.06044900021661</v>
      </c>
      <c r="AR10" s="105">
        <v>119.06044900021661</v>
      </c>
      <c r="AS10" s="105">
        <v>119.06044900021661</v>
      </c>
      <c r="AT10" s="105">
        <v>0</v>
      </c>
      <c r="AU10" s="105">
        <v>216.4735436367574</v>
      </c>
      <c r="AV10" s="105">
        <v>108.23677181837871</v>
      </c>
      <c r="AW10" s="105">
        <v>108.23677181837871</v>
      </c>
      <c r="AX10" s="105">
        <v>97.413094636540833</v>
      </c>
      <c r="AY10" s="105">
        <v>97.413094636540833</v>
      </c>
      <c r="AZ10" s="105">
        <v>97.413094636540833</v>
      </c>
    </row>
    <row r="11" spans="1:53" x14ac:dyDescent="0.2">
      <c r="B11" s="124">
        <v>2</v>
      </c>
      <c r="C11" s="111" t="s">
        <v>295</v>
      </c>
      <c r="F11" s="105">
        <v>0</v>
      </c>
      <c r="H11" s="105">
        <v>0</v>
      </c>
      <c r="I11" s="105">
        <v>0</v>
      </c>
      <c r="J11" s="105">
        <v>0</v>
      </c>
      <c r="K11" s="105">
        <v>0</v>
      </c>
      <c r="L11" s="105">
        <v>0</v>
      </c>
      <c r="M11" s="105">
        <v>0</v>
      </c>
      <c r="N11" s="105">
        <v>0</v>
      </c>
      <c r="O11" s="105">
        <v>0</v>
      </c>
      <c r="P11" s="105">
        <v>0</v>
      </c>
      <c r="R11" s="105">
        <v>0</v>
      </c>
      <c r="S11" s="105">
        <v>0</v>
      </c>
      <c r="T11" s="105">
        <v>0</v>
      </c>
      <c r="U11" s="105">
        <v>0</v>
      </c>
      <c r="W11" s="105">
        <v>0</v>
      </c>
      <c r="X11" s="105">
        <v>0</v>
      </c>
      <c r="Y11" s="105">
        <v>0</v>
      </c>
      <c r="Z11" s="105">
        <v>0</v>
      </c>
      <c r="AC11" s="105">
        <v>0</v>
      </c>
      <c r="AD11" s="105">
        <v>0</v>
      </c>
      <c r="AF11" s="105">
        <v>0</v>
      </c>
      <c r="AG11" s="105">
        <v>0</v>
      </c>
      <c r="AH11" s="105">
        <v>0</v>
      </c>
      <c r="AI11" s="105">
        <v>0</v>
      </c>
      <c r="AJ11" s="105">
        <v>0</v>
      </c>
      <c r="AK11" s="105">
        <v>0</v>
      </c>
      <c r="AM11" s="105">
        <v>0</v>
      </c>
      <c r="AN11" s="105">
        <v>0</v>
      </c>
      <c r="AO11" s="105">
        <v>0</v>
      </c>
      <c r="AP11" s="105">
        <v>0</v>
      </c>
      <c r="AQ11" s="105">
        <v>0</v>
      </c>
      <c r="AR11" s="105">
        <v>0</v>
      </c>
      <c r="AS11" s="105">
        <v>0</v>
      </c>
      <c r="AT11" s="105">
        <v>0</v>
      </c>
      <c r="AU11" s="105">
        <v>0</v>
      </c>
      <c r="AV11" s="105">
        <v>0</v>
      </c>
      <c r="AY11" s="105">
        <v>0</v>
      </c>
      <c r="BA11" s="105">
        <v>0</v>
      </c>
    </row>
    <row r="12" spans="1:53" x14ac:dyDescent="0.2">
      <c r="B12" s="125">
        <v>3</v>
      </c>
      <c r="C12" s="111" t="s">
        <v>295</v>
      </c>
      <c r="J12" s="105">
        <v>0</v>
      </c>
      <c r="L12" s="105">
        <v>0</v>
      </c>
      <c r="O12" s="105">
        <v>0</v>
      </c>
      <c r="R12" s="105">
        <v>0</v>
      </c>
      <c r="W12" s="105">
        <v>0</v>
      </c>
      <c r="AC12" s="105">
        <v>0</v>
      </c>
      <c r="AD12" s="105">
        <v>0</v>
      </c>
      <c r="AE12" s="105">
        <v>0</v>
      </c>
      <c r="AL12" s="105">
        <v>0</v>
      </c>
      <c r="AN12" s="105">
        <v>0</v>
      </c>
      <c r="AO12" s="105">
        <v>0</v>
      </c>
      <c r="AS12" s="105">
        <v>0</v>
      </c>
      <c r="AU12" s="105">
        <v>0</v>
      </c>
      <c r="AW12" s="105">
        <v>0</v>
      </c>
      <c r="AY12" s="105">
        <v>0</v>
      </c>
    </row>
    <row r="13" spans="1:53" x14ac:dyDescent="0.2">
      <c r="B13" s="125">
        <v>4</v>
      </c>
      <c r="C13" s="111" t="s">
        <v>295</v>
      </c>
    </row>
    <row r="14" spans="1:53" x14ac:dyDescent="0.2">
      <c r="A14" s="120" t="s">
        <v>134</v>
      </c>
      <c r="B14" s="126">
        <v>1</v>
      </c>
      <c r="C14" s="122" t="s">
        <v>295</v>
      </c>
      <c r="D14" s="122"/>
      <c r="E14" s="122">
        <f t="shared" ref="E14:AZ14" si="0">D$172*SUM(D$122:D$169)</f>
        <v>73.797113692361847</v>
      </c>
      <c r="F14" s="122">
        <f t="shared" si="0"/>
        <v>86.814516015487527</v>
      </c>
      <c r="G14" s="122">
        <f t="shared" si="0"/>
        <v>101.77906282441222</v>
      </c>
      <c r="H14" s="122">
        <f t="shared" si="0"/>
        <v>98.547154952444458</v>
      </c>
      <c r="I14" s="122">
        <f t="shared" si="0"/>
        <v>108.73843786767348</v>
      </c>
      <c r="J14" s="122">
        <f t="shared" si="0"/>
        <v>120.91059249137957</v>
      </c>
      <c r="K14" s="122">
        <f t="shared" si="0"/>
        <v>115.59042012452625</v>
      </c>
      <c r="L14" s="122">
        <f t="shared" si="0"/>
        <v>124.40226499435822</v>
      </c>
      <c r="M14" s="122">
        <f t="shared" si="0"/>
        <v>147.23292537720701</v>
      </c>
      <c r="N14" s="122">
        <f t="shared" si="0"/>
        <v>134.90674653184814</v>
      </c>
      <c r="O14" s="122">
        <f t="shared" si="0"/>
        <v>151.7967802463221</v>
      </c>
      <c r="P14" s="122">
        <f t="shared" si="0"/>
        <v>160.6879891039745</v>
      </c>
      <c r="Q14" s="122">
        <f t="shared" si="0"/>
        <v>150.69007707586167</v>
      </c>
      <c r="R14" s="122">
        <f t="shared" si="0"/>
        <v>170.59195625056012</v>
      </c>
      <c r="S14" s="122">
        <f t="shared" si="0"/>
        <v>170.87875903597757</v>
      </c>
      <c r="T14" s="122">
        <f t="shared" si="0"/>
        <v>179.43688154285326</v>
      </c>
      <c r="U14" s="122">
        <f t="shared" si="0"/>
        <v>189.23919179904138</v>
      </c>
      <c r="V14" s="122">
        <f t="shared" si="0"/>
        <v>174.86127102961072</v>
      </c>
      <c r="W14" s="122">
        <f t="shared" si="0"/>
        <v>165.49625386531193</v>
      </c>
      <c r="X14" s="122">
        <f t="shared" si="0"/>
        <v>153.36773841744306</v>
      </c>
      <c r="Y14" s="122">
        <f t="shared" si="0"/>
        <v>140.45207451436104</v>
      </c>
      <c r="Z14" s="122">
        <f t="shared" si="0"/>
        <v>134.62797700158723</v>
      </c>
      <c r="AA14" s="122">
        <f t="shared" si="0"/>
        <v>132.28628924009078</v>
      </c>
      <c r="AB14" s="122">
        <f t="shared" si="0"/>
        <v>130.078770254744</v>
      </c>
      <c r="AC14" s="122">
        <f t="shared" si="0"/>
        <v>137.8920031679319</v>
      </c>
      <c r="AD14" s="122">
        <f t="shared" si="0"/>
        <v>127.72391278980099</v>
      </c>
      <c r="AE14" s="122">
        <f t="shared" si="0"/>
        <v>142.87263144948321</v>
      </c>
      <c r="AF14" s="122">
        <f t="shared" si="0"/>
        <v>124.24769316085309</v>
      </c>
      <c r="AG14" s="122">
        <f t="shared" si="0"/>
        <v>111.60786374899668</v>
      </c>
      <c r="AH14" s="122">
        <f t="shared" si="0"/>
        <v>134.79218355905974</v>
      </c>
      <c r="AI14" s="122">
        <f t="shared" si="0"/>
        <v>123.68385208543839</v>
      </c>
      <c r="AJ14" s="122">
        <f t="shared" si="0"/>
        <v>107.48635375917917</v>
      </c>
      <c r="AK14" s="122">
        <f t="shared" si="0"/>
        <v>115.20860526554584</v>
      </c>
      <c r="AL14" s="122">
        <f t="shared" si="0"/>
        <v>112.65863162127587</v>
      </c>
      <c r="AM14" s="122">
        <f t="shared" si="0"/>
        <v>129.36365534143292</v>
      </c>
      <c r="AN14" s="122">
        <f t="shared" si="0"/>
        <v>148.79817668957421</v>
      </c>
      <c r="AO14" s="122">
        <f t="shared" si="0"/>
        <v>139.98896431191233</v>
      </c>
      <c r="AP14" s="122">
        <f t="shared" si="0"/>
        <v>142.96067317201661</v>
      </c>
      <c r="AQ14" s="122">
        <f t="shared" si="0"/>
        <v>161.43521114611048</v>
      </c>
      <c r="AR14" s="122">
        <f t="shared" si="0"/>
        <v>181.16229532279496</v>
      </c>
      <c r="AS14" s="122">
        <f t="shared" si="0"/>
        <v>176.91667108181096</v>
      </c>
      <c r="AT14" s="122">
        <f t="shared" si="0"/>
        <v>188.19560926492537</v>
      </c>
      <c r="AU14" s="122">
        <f t="shared" si="0"/>
        <v>198.1728804398056</v>
      </c>
      <c r="AV14" s="122">
        <f t="shared" si="0"/>
        <v>222.49469261978913</v>
      </c>
      <c r="AW14" s="122">
        <f t="shared" si="0"/>
        <v>220.59122176828362</v>
      </c>
      <c r="AX14" s="122">
        <f t="shared" si="0"/>
        <v>224.57809800192874</v>
      </c>
      <c r="AY14" s="122">
        <f t="shared" si="0"/>
        <v>220.84139814039816</v>
      </c>
      <c r="AZ14" s="115">
        <f t="shared" si="0"/>
        <v>222.57836826502069</v>
      </c>
      <c r="BA14" s="112">
        <f>SUM($E14:$AZ14)</f>
        <v>7133.4628904228066</v>
      </c>
    </row>
    <row r="15" spans="1:53" x14ac:dyDescent="0.2">
      <c r="A15" s="127" t="s">
        <v>123</v>
      </c>
      <c r="B15" s="128">
        <v>1</v>
      </c>
      <c r="C15" s="129" t="s">
        <v>295</v>
      </c>
      <c r="D15" s="129">
        <v>737.97113692361847</v>
      </c>
      <c r="E15" s="129">
        <v>737.97113692361847</v>
      </c>
      <c r="F15" s="129">
        <v>810.45998410473453</v>
      </c>
      <c r="G15" s="129">
        <v>810.45998410473453</v>
      </c>
      <c r="H15" s="129">
        <v>810.45998410473453</v>
      </c>
      <c r="I15" s="129">
        <v>810.45998410473453</v>
      </c>
      <c r="J15" s="129">
        <v>817.70886882284606</v>
      </c>
      <c r="K15" s="129">
        <v>817.70886882284606</v>
      </c>
      <c r="L15" s="129">
        <v>817.70886882284606</v>
      </c>
      <c r="M15" s="129">
        <v>737.97113692361847</v>
      </c>
      <c r="N15" s="129">
        <v>897.44660072207375</v>
      </c>
      <c r="O15" s="129">
        <v>817.70886882284606</v>
      </c>
      <c r="P15" s="129">
        <v>817.70886882284606</v>
      </c>
      <c r="Q15" s="129">
        <v>817.70886882284606</v>
      </c>
      <c r="R15" s="129">
        <v>810.45998410473453</v>
      </c>
      <c r="S15" s="129">
        <v>810.45998410473453</v>
      </c>
      <c r="T15" s="129">
        <v>810.45998410473453</v>
      </c>
      <c r="U15" s="129">
        <v>810.45998410473453</v>
      </c>
      <c r="V15" s="129">
        <v>803.21109938662289</v>
      </c>
      <c r="W15" s="129">
        <v>803.21109938662289</v>
      </c>
      <c r="X15" s="129">
        <v>803.21109938662289</v>
      </c>
      <c r="Y15" s="129">
        <v>803.21109938662289</v>
      </c>
      <c r="Z15" s="129">
        <v>803.21109938662289</v>
      </c>
      <c r="AA15" s="129">
        <v>803.21109938662289</v>
      </c>
      <c r="AB15" s="129">
        <v>803.21109938662289</v>
      </c>
      <c r="AC15" s="129">
        <v>803.21109938662289</v>
      </c>
      <c r="AD15" s="129">
        <v>803.21109938662289</v>
      </c>
      <c r="AE15" s="129">
        <v>803.21109938662289</v>
      </c>
      <c r="AF15" s="129">
        <v>737.97113692361847</v>
      </c>
      <c r="AG15" s="129">
        <v>868.45106184962731</v>
      </c>
      <c r="AH15" s="129">
        <v>817.70886882284606</v>
      </c>
      <c r="AI15" s="129">
        <v>817.70886882284606</v>
      </c>
      <c r="AJ15" s="129">
        <v>817.70886882284606</v>
      </c>
      <c r="AK15" s="129">
        <v>817.70886882284606</v>
      </c>
      <c r="AL15" s="129">
        <v>817.70886882284606</v>
      </c>
      <c r="AM15" s="129">
        <v>817.70886882284606</v>
      </c>
      <c r="AN15" s="129">
        <v>889.7060529129551</v>
      </c>
      <c r="AO15" s="129">
        <v>889.7060529129551</v>
      </c>
      <c r="AP15" s="129">
        <v>889.7060529129551</v>
      </c>
      <c r="AQ15" s="129">
        <v>889.7060529129551</v>
      </c>
      <c r="AR15" s="129">
        <v>889.7060529129551</v>
      </c>
      <c r="AS15" s="129">
        <v>889.7060529129551</v>
      </c>
      <c r="AT15" s="129">
        <v>809.96832101372752</v>
      </c>
      <c r="AU15" s="129">
        <v>954.94601537595952</v>
      </c>
      <c r="AV15" s="129">
        <v>810.45998410473453</v>
      </c>
      <c r="AW15" s="129">
        <v>810.45998410473453</v>
      </c>
      <c r="AX15" s="129">
        <v>803.21109938662289</v>
      </c>
      <c r="AY15" s="129">
        <v>803.21109938662289</v>
      </c>
      <c r="AZ15" s="105">
        <v>65.239962463004417</v>
      </c>
    </row>
    <row r="16" spans="1:53" x14ac:dyDescent="0.2">
      <c r="A16" s="115"/>
      <c r="B16" s="124">
        <v>2</v>
      </c>
      <c r="C16" s="114" t="s">
        <v>295</v>
      </c>
      <c r="D16" s="111"/>
      <c r="E16" s="115"/>
      <c r="F16" s="115">
        <v>0</v>
      </c>
      <c r="G16" s="115"/>
      <c r="H16" s="115">
        <v>0</v>
      </c>
      <c r="I16" s="115">
        <v>0</v>
      </c>
      <c r="J16" s="115">
        <v>0</v>
      </c>
      <c r="K16" s="115">
        <v>0</v>
      </c>
      <c r="L16" s="115">
        <v>0</v>
      </c>
      <c r="M16" s="115">
        <v>0</v>
      </c>
      <c r="N16" s="115">
        <v>0</v>
      </c>
      <c r="O16" s="115">
        <v>0</v>
      </c>
      <c r="P16" s="115">
        <v>0</v>
      </c>
      <c r="Q16" s="115"/>
      <c r="R16" s="115">
        <v>0</v>
      </c>
      <c r="S16" s="115">
        <v>0</v>
      </c>
      <c r="T16" s="115">
        <v>0</v>
      </c>
      <c r="U16" s="115">
        <v>0</v>
      </c>
      <c r="V16" s="115"/>
      <c r="W16" s="115">
        <v>0</v>
      </c>
      <c r="X16" s="115">
        <v>0</v>
      </c>
      <c r="Y16" s="115">
        <v>0</v>
      </c>
      <c r="Z16" s="115">
        <v>0</v>
      </c>
      <c r="AA16" s="115"/>
      <c r="AB16" s="115"/>
      <c r="AC16" s="115">
        <v>0</v>
      </c>
      <c r="AD16" s="115">
        <v>0</v>
      </c>
      <c r="AE16" s="115"/>
      <c r="AF16" s="115">
        <v>0</v>
      </c>
      <c r="AG16" s="115">
        <v>0</v>
      </c>
      <c r="AH16" s="115">
        <v>0</v>
      </c>
      <c r="AI16" s="115">
        <v>0</v>
      </c>
      <c r="AJ16" s="115">
        <v>0</v>
      </c>
      <c r="AK16" s="115">
        <v>0</v>
      </c>
      <c r="AL16" s="115"/>
      <c r="AM16" s="115">
        <v>0</v>
      </c>
      <c r="AN16" s="115">
        <v>0</v>
      </c>
      <c r="AO16" s="115">
        <v>0</v>
      </c>
      <c r="AP16" s="115">
        <v>0</v>
      </c>
      <c r="AQ16" s="115">
        <v>0</v>
      </c>
      <c r="AR16" s="115">
        <v>0</v>
      </c>
      <c r="AS16" s="115">
        <v>0</v>
      </c>
      <c r="AT16" s="115">
        <v>0</v>
      </c>
      <c r="AU16" s="115">
        <v>0</v>
      </c>
      <c r="AV16" s="115">
        <v>0</v>
      </c>
      <c r="AW16" s="115"/>
      <c r="AX16" s="115"/>
      <c r="AY16" s="115">
        <v>0</v>
      </c>
      <c r="BA16" s="105">
        <v>0</v>
      </c>
    </row>
    <row r="17" spans="1:51" x14ac:dyDescent="0.2">
      <c r="A17" s="115"/>
      <c r="B17" s="124">
        <v>3</v>
      </c>
      <c r="C17" s="114" t="s">
        <v>295</v>
      </c>
      <c r="D17" s="111"/>
      <c r="E17" s="115"/>
      <c r="F17" s="115"/>
      <c r="G17" s="115"/>
      <c r="H17" s="115"/>
      <c r="I17" s="115"/>
      <c r="J17" s="115">
        <v>0</v>
      </c>
      <c r="K17" s="115"/>
      <c r="L17" s="115">
        <v>0</v>
      </c>
      <c r="M17" s="115"/>
      <c r="N17" s="115"/>
      <c r="O17" s="115">
        <v>0</v>
      </c>
      <c r="P17" s="115"/>
      <c r="Q17" s="115"/>
      <c r="R17" s="115">
        <v>0</v>
      </c>
      <c r="S17" s="115"/>
      <c r="T17" s="115"/>
      <c r="U17" s="115"/>
      <c r="V17" s="115"/>
      <c r="W17" s="115">
        <v>0</v>
      </c>
      <c r="X17" s="115"/>
      <c r="Y17" s="115"/>
      <c r="Z17" s="115"/>
      <c r="AA17" s="115"/>
      <c r="AB17" s="115"/>
      <c r="AC17" s="115">
        <v>0</v>
      </c>
      <c r="AD17" s="115">
        <v>0</v>
      </c>
      <c r="AE17" s="115">
        <v>0</v>
      </c>
      <c r="AF17" s="115"/>
      <c r="AG17" s="115"/>
      <c r="AH17" s="115"/>
      <c r="AI17" s="115"/>
      <c r="AJ17" s="115"/>
      <c r="AK17" s="115"/>
      <c r="AL17" s="115">
        <v>0</v>
      </c>
      <c r="AM17" s="115"/>
      <c r="AN17" s="115">
        <v>0</v>
      </c>
      <c r="AO17" s="115">
        <v>0</v>
      </c>
      <c r="AP17" s="115"/>
      <c r="AQ17" s="115"/>
      <c r="AR17" s="115"/>
      <c r="AS17" s="115">
        <v>0</v>
      </c>
      <c r="AT17" s="115"/>
      <c r="AU17" s="115">
        <v>0</v>
      </c>
      <c r="AV17" s="115"/>
      <c r="AW17" s="115">
        <v>0</v>
      </c>
      <c r="AX17" s="115"/>
      <c r="AY17" s="115">
        <v>0</v>
      </c>
    </row>
    <row r="18" spans="1:51" x14ac:dyDescent="0.2">
      <c r="A18" s="130"/>
      <c r="B18" s="121">
        <v>4</v>
      </c>
      <c r="C18" s="130" t="s">
        <v>295</v>
      </c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0"/>
      <c r="AC18" s="130"/>
      <c r="AD18" s="130"/>
      <c r="AE18" s="130"/>
      <c r="AF18" s="130"/>
      <c r="AG18" s="130"/>
      <c r="AH18" s="130"/>
      <c r="AI18" s="130"/>
      <c r="AJ18" s="130"/>
      <c r="AK18" s="130"/>
      <c r="AL18" s="130"/>
      <c r="AM18" s="130"/>
      <c r="AN18" s="130"/>
      <c r="AO18" s="130"/>
      <c r="AP18" s="130"/>
      <c r="AQ18" s="130"/>
      <c r="AR18" s="130"/>
      <c r="AS18" s="130"/>
      <c r="AT18" s="130"/>
      <c r="AU18" s="130"/>
      <c r="AV18" s="130"/>
      <c r="AW18" s="130"/>
      <c r="AX18" s="130"/>
      <c r="AY18" s="130"/>
    </row>
    <row r="20" spans="1:51" x14ac:dyDescent="0.2">
      <c r="A20" s="107" t="s">
        <v>296</v>
      </c>
    </row>
    <row r="21" spans="1:51" x14ac:dyDescent="0.2">
      <c r="A21" s="131" t="s">
        <v>125</v>
      </c>
      <c r="B21" s="128">
        <v>1</v>
      </c>
      <c r="C21" s="129" t="s">
        <v>295</v>
      </c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29"/>
      <c r="AE21" s="129"/>
      <c r="AF21" s="129"/>
      <c r="AG21" s="129"/>
      <c r="AH21" s="129"/>
      <c r="AI21" s="129"/>
      <c r="AJ21" s="129"/>
      <c r="AK21" s="129"/>
      <c r="AL21" s="129"/>
      <c r="AM21" s="129"/>
      <c r="AN21" s="129"/>
      <c r="AO21" s="129"/>
      <c r="AP21" s="129"/>
      <c r="AQ21" s="129"/>
      <c r="AR21" s="129"/>
      <c r="AS21" s="129"/>
      <c r="AT21" s="129"/>
      <c r="AU21" s="129">
        <v>146.08055685240171</v>
      </c>
      <c r="AV21" s="129">
        <v>153.60278359383176</v>
      </c>
      <c r="AW21" s="129">
        <v>232.06277532652058</v>
      </c>
      <c r="AX21" s="129">
        <v>232.27048544934354</v>
      </c>
      <c r="AY21" s="129">
        <v>270.48933804951997</v>
      </c>
    </row>
    <row r="22" spans="1:51" x14ac:dyDescent="0.2">
      <c r="A22" s="114"/>
      <c r="B22" s="125">
        <v>2</v>
      </c>
      <c r="C22" s="115" t="s">
        <v>295</v>
      </c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15"/>
      <c r="AS22" s="115">
        <v>70.397416510510112</v>
      </c>
      <c r="AT22" s="115">
        <v>116.62773680883673</v>
      </c>
      <c r="AU22" s="115">
        <v>207.45968107898534</v>
      </c>
      <c r="AV22" s="115">
        <v>0</v>
      </c>
      <c r="AW22" s="115">
        <v>0</v>
      </c>
      <c r="AX22" s="115">
        <v>0</v>
      </c>
      <c r="AY22" s="115">
        <v>0</v>
      </c>
    </row>
    <row r="23" spans="1:51" x14ac:dyDescent="0.2">
      <c r="A23" s="114"/>
      <c r="B23" s="132">
        <v>3</v>
      </c>
      <c r="C23" s="115" t="s">
        <v>295</v>
      </c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115"/>
      <c r="AK23" s="115"/>
      <c r="AL23" s="115"/>
      <c r="AM23" s="115">
        <v>51.162477025576493</v>
      </c>
      <c r="AN23" s="115">
        <v>10.370294422923648</v>
      </c>
      <c r="AO23" s="115">
        <v>31.015553721729372</v>
      </c>
      <c r="AP23" s="115">
        <v>155.77047834483471</v>
      </c>
      <c r="AQ23" s="115">
        <v>223.77077907466065</v>
      </c>
      <c r="AR23" s="115">
        <v>72.056996964290377</v>
      </c>
      <c r="AS23" s="115">
        <v>100.79406496942318</v>
      </c>
      <c r="AT23" s="115">
        <v>21.14629243340093</v>
      </c>
      <c r="AU23" s="115">
        <v>0</v>
      </c>
      <c r="AV23" s="115">
        <v>0</v>
      </c>
      <c r="AW23" s="115">
        <v>0</v>
      </c>
      <c r="AX23" s="115">
        <v>0</v>
      </c>
      <c r="AY23" s="115">
        <v>0</v>
      </c>
    </row>
    <row r="24" spans="1:51" x14ac:dyDescent="0.2">
      <c r="A24" s="133"/>
      <c r="B24" s="134">
        <v>4</v>
      </c>
      <c r="C24" s="133" t="s">
        <v>295</v>
      </c>
      <c r="D24" s="130">
        <v>0</v>
      </c>
      <c r="E24" s="130">
        <v>0</v>
      </c>
      <c r="F24" s="130">
        <v>0</v>
      </c>
      <c r="G24" s="130">
        <v>0</v>
      </c>
      <c r="H24" s="130">
        <v>0</v>
      </c>
      <c r="I24" s="130">
        <v>0</v>
      </c>
      <c r="J24" s="130">
        <v>0</v>
      </c>
      <c r="K24" s="130">
        <v>0</v>
      </c>
      <c r="L24" s="130">
        <v>0</v>
      </c>
      <c r="M24" s="130">
        <v>0</v>
      </c>
      <c r="N24" s="130">
        <v>0</v>
      </c>
      <c r="O24" s="130">
        <v>0</v>
      </c>
      <c r="P24" s="130">
        <v>0</v>
      </c>
      <c r="Q24" s="130">
        <v>0</v>
      </c>
      <c r="R24" s="130">
        <v>0</v>
      </c>
      <c r="S24" s="130">
        <v>66.044719380925471</v>
      </c>
      <c r="T24" s="130">
        <v>177.18609397263299</v>
      </c>
      <c r="U24" s="130">
        <v>1.1860939726334436</v>
      </c>
      <c r="V24" s="130">
        <v>0</v>
      </c>
      <c r="W24" s="130">
        <v>0</v>
      </c>
      <c r="X24" s="130">
        <v>0</v>
      </c>
      <c r="Y24" s="130">
        <v>0</v>
      </c>
      <c r="Z24" s="130">
        <v>1.3417177654068837</v>
      </c>
      <c r="AA24" s="130">
        <v>2.9659117885703381</v>
      </c>
      <c r="AB24" s="130">
        <v>59.113532072683483</v>
      </c>
      <c r="AC24" s="130">
        <v>4.1135320726839382</v>
      </c>
      <c r="AD24" s="130">
        <v>237.83849385806207</v>
      </c>
      <c r="AE24" s="130">
        <v>0</v>
      </c>
      <c r="AF24" s="130">
        <v>0</v>
      </c>
      <c r="AG24" s="130">
        <v>129.03619439920976</v>
      </c>
      <c r="AH24" s="130">
        <v>20.556929924865265</v>
      </c>
      <c r="AI24" s="130">
        <v>5.2744084252493888</v>
      </c>
      <c r="AJ24" s="130">
        <v>73.622385327396458</v>
      </c>
      <c r="AK24" s="130">
        <v>12.977159662040551</v>
      </c>
      <c r="AL24" s="130">
        <v>165.86690673385127</v>
      </c>
      <c r="AM24" s="130">
        <v>179.26461110843624</v>
      </c>
      <c r="AN24" s="130">
        <v>77.435602812725733</v>
      </c>
      <c r="AO24" s="130">
        <v>72.227785415378605</v>
      </c>
      <c r="AP24" s="130">
        <v>9.5825261165728648</v>
      </c>
      <c r="AQ24" s="130">
        <v>0</v>
      </c>
      <c r="AR24" s="130">
        <v>0</v>
      </c>
      <c r="AS24" s="130">
        <v>0</v>
      </c>
      <c r="AT24" s="130">
        <v>0</v>
      </c>
      <c r="AU24" s="130">
        <v>0</v>
      </c>
      <c r="AV24" s="130">
        <v>0</v>
      </c>
      <c r="AW24" s="130">
        <v>0</v>
      </c>
      <c r="AX24" s="130">
        <v>0</v>
      </c>
      <c r="AY24" s="130">
        <v>0</v>
      </c>
    </row>
    <row r="25" spans="1:51" x14ac:dyDescent="0.2">
      <c r="A25" s="131" t="s">
        <v>133</v>
      </c>
      <c r="B25" s="128">
        <v>1</v>
      </c>
      <c r="C25" s="114" t="s">
        <v>295</v>
      </c>
      <c r="D25" s="115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  <c r="AU25" s="115"/>
      <c r="AV25" s="115"/>
      <c r="AW25" s="115"/>
      <c r="AX25" s="115"/>
      <c r="AY25" s="115"/>
    </row>
    <row r="26" spans="1:51" x14ac:dyDescent="0.2">
      <c r="A26" s="114"/>
      <c r="B26" s="124">
        <v>2</v>
      </c>
      <c r="C26" s="114" t="s">
        <v>295</v>
      </c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5"/>
      <c r="AF26" s="115"/>
      <c r="AG26" s="115"/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115"/>
      <c r="AU26" s="115"/>
      <c r="AV26" s="115"/>
      <c r="AW26" s="115"/>
      <c r="AX26" s="115"/>
      <c r="AY26" s="115"/>
    </row>
    <row r="27" spans="1:51" x14ac:dyDescent="0.2">
      <c r="A27" s="114"/>
      <c r="B27" s="125">
        <v>3</v>
      </c>
      <c r="C27" s="114" t="s">
        <v>295</v>
      </c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</row>
    <row r="28" spans="1:51" x14ac:dyDescent="0.2">
      <c r="A28" s="114"/>
      <c r="B28" s="125">
        <v>4</v>
      </c>
      <c r="C28" s="114" t="s">
        <v>295</v>
      </c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115"/>
      <c r="AU28" s="115"/>
      <c r="AV28" s="115"/>
      <c r="AW28" s="115"/>
      <c r="AX28" s="115"/>
      <c r="AY28" s="115">
        <v>0</v>
      </c>
    </row>
    <row r="29" spans="1:51" x14ac:dyDescent="0.2">
      <c r="A29" s="114"/>
      <c r="B29" s="132">
        <v>5</v>
      </c>
      <c r="C29" s="114" t="s">
        <v>295</v>
      </c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5"/>
      <c r="AN29" s="115"/>
      <c r="AO29" s="115"/>
      <c r="AP29" s="115"/>
      <c r="AQ29" s="115"/>
      <c r="AR29" s="115"/>
      <c r="AS29" s="115"/>
      <c r="AT29" s="115"/>
      <c r="AU29" s="115">
        <v>0</v>
      </c>
      <c r="AV29" s="115">
        <v>0</v>
      </c>
      <c r="AW29" s="115">
        <v>0</v>
      </c>
      <c r="AX29" s="115">
        <v>0</v>
      </c>
      <c r="AY29" s="115">
        <v>0</v>
      </c>
    </row>
    <row r="30" spans="1:51" x14ac:dyDescent="0.2">
      <c r="A30" s="114"/>
      <c r="B30" s="132">
        <v>6</v>
      </c>
      <c r="C30" s="114" t="s">
        <v>295</v>
      </c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5"/>
      <c r="AF30" s="115"/>
      <c r="AG30" s="115"/>
      <c r="AH30" s="115"/>
      <c r="AI30" s="115"/>
      <c r="AJ30" s="115"/>
      <c r="AK30" s="115"/>
      <c r="AL30" s="115"/>
      <c r="AM30" s="115"/>
      <c r="AN30" s="115"/>
      <c r="AO30" s="115"/>
      <c r="AP30" s="115"/>
      <c r="AQ30" s="115"/>
      <c r="AR30" s="115"/>
      <c r="AS30" s="115">
        <v>0</v>
      </c>
      <c r="AT30" s="115">
        <v>0</v>
      </c>
      <c r="AU30" s="115">
        <v>0</v>
      </c>
      <c r="AV30" s="115">
        <v>0</v>
      </c>
      <c r="AW30" s="115">
        <v>0</v>
      </c>
      <c r="AX30" s="115">
        <v>0</v>
      </c>
      <c r="AY30" s="115">
        <v>0</v>
      </c>
    </row>
    <row r="31" spans="1:51" x14ac:dyDescent="0.2">
      <c r="A31" s="114"/>
      <c r="B31" s="135">
        <v>7</v>
      </c>
      <c r="C31" s="114" t="s">
        <v>295</v>
      </c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5"/>
      <c r="AF31" s="115"/>
      <c r="AG31" s="115"/>
      <c r="AH31" s="115"/>
      <c r="AI31" s="115"/>
      <c r="AJ31" s="115"/>
      <c r="AK31" s="115"/>
      <c r="AL31" s="115"/>
      <c r="AM31" s="115">
        <v>0</v>
      </c>
      <c r="AN31" s="115">
        <v>0</v>
      </c>
      <c r="AO31" s="115">
        <v>0</v>
      </c>
      <c r="AP31" s="115">
        <v>0</v>
      </c>
      <c r="AQ31" s="115">
        <v>0</v>
      </c>
      <c r="AR31" s="115">
        <v>0</v>
      </c>
      <c r="AS31" s="115">
        <v>0</v>
      </c>
      <c r="AT31" s="115">
        <v>0</v>
      </c>
      <c r="AU31" s="115">
        <v>0</v>
      </c>
      <c r="AV31" s="115">
        <v>0</v>
      </c>
      <c r="AW31" s="115">
        <v>0</v>
      </c>
      <c r="AX31" s="115">
        <v>0</v>
      </c>
      <c r="AY31" s="115">
        <v>0</v>
      </c>
    </row>
    <row r="32" spans="1:51" x14ac:dyDescent="0.2">
      <c r="A32" s="133"/>
      <c r="B32" s="134">
        <v>8</v>
      </c>
      <c r="C32" s="133" t="s">
        <v>295</v>
      </c>
      <c r="D32" s="130">
        <v>0</v>
      </c>
      <c r="E32" s="130">
        <v>0</v>
      </c>
      <c r="F32" s="130">
        <v>0</v>
      </c>
      <c r="G32" s="130">
        <v>0</v>
      </c>
      <c r="H32" s="130">
        <v>0</v>
      </c>
      <c r="I32" s="130">
        <v>0</v>
      </c>
      <c r="J32" s="130">
        <v>0</v>
      </c>
      <c r="K32" s="130">
        <v>0</v>
      </c>
      <c r="L32" s="130">
        <v>0</v>
      </c>
      <c r="M32" s="130">
        <v>0</v>
      </c>
      <c r="N32" s="130">
        <v>0</v>
      </c>
      <c r="O32" s="130">
        <v>0</v>
      </c>
      <c r="P32" s="130">
        <v>0</v>
      </c>
      <c r="Q32" s="130">
        <v>0</v>
      </c>
      <c r="R32" s="130">
        <v>0</v>
      </c>
      <c r="S32" s="130">
        <v>0</v>
      </c>
      <c r="T32" s="130">
        <v>0</v>
      </c>
      <c r="U32" s="130">
        <v>0</v>
      </c>
      <c r="V32" s="130">
        <v>0</v>
      </c>
      <c r="W32" s="130">
        <v>0</v>
      </c>
      <c r="X32" s="130">
        <v>0</v>
      </c>
      <c r="Y32" s="130">
        <v>0</v>
      </c>
      <c r="Z32" s="130">
        <v>0</v>
      </c>
      <c r="AA32" s="130">
        <v>0</v>
      </c>
      <c r="AB32" s="130">
        <v>0</v>
      </c>
      <c r="AC32" s="130">
        <v>0</v>
      </c>
      <c r="AD32" s="130">
        <v>0</v>
      </c>
      <c r="AE32" s="130">
        <v>0</v>
      </c>
      <c r="AF32" s="130">
        <v>0</v>
      </c>
      <c r="AG32" s="130">
        <v>0</v>
      </c>
      <c r="AH32" s="130">
        <v>0</v>
      </c>
      <c r="AI32" s="130">
        <v>0</v>
      </c>
      <c r="AJ32" s="130">
        <v>0</v>
      </c>
      <c r="AK32" s="130">
        <v>0</v>
      </c>
      <c r="AL32" s="130">
        <v>0</v>
      </c>
      <c r="AM32" s="130">
        <v>0</v>
      </c>
      <c r="AN32" s="130">
        <v>0</v>
      </c>
      <c r="AO32" s="130">
        <v>0</v>
      </c>
      <c r="AP32" s="130">
        <v>0</v>
      </c>
      <c r="AQ32" s="130">
        <v>0</v>
      </c>
      <c r="AR32" s="130">
        <v>0</v>
      </c>
      <c r="AS32" s="130">
        <v>0</v>
      </c>
      <c r="AT32" s="130">
        <v>0</v>
      </c>
      <c r="AU32" s="130">
        <v>0</v>
      </c>
      <c r="AV32" s="130">
        <v>0</v>
      </c>
      <c r="AW32" s="130">
        <v>0</v>
      </c>
      <c r="AX32" s="130">
        <v>0</v>
      </c>
      <c r="AY32" s="130">
        <v>0</v>
      </c>
    </row>
    <row r="33" spans="1:51" x14ac:dyDescent="0.2">
      <c r="A33" s="136" t="s">
        <v>134</v>
      </c>
      <c r="B33" s="124">
        <v>1</v>
      </c>
      <c r="C33" s="114" t="s">
        <v>295</v>
      </c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  <c r="AW33" s="111"/>
      <c r="AX33" s="111"/>
      <c r="AY33" s="111"/>
    </row>
    <row r="34" spans="1:51" x14ac:dyDescent="0.2">
      <c r="A34" s="114"/>
      <c r="B34" s="124">
        <v>2</v>
      </c>
      <c r="C34" s="114" t="s">
        <v>295</v>
      </c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  <c r="AU34" s="111"/>
      <c r="AV34" s="111"/>
      <c r="AW34" s="111"/>
      <c r="AX34" s="111"/>
      <c r="AY34" s="111"/>
    </row>
    <row r="35" spans="1:51" x14ac:dyDescent="0.2">
      <c r="A35" s="114"/>
      <c r="B35" s="124">
        <v>3</v>
      </c>
      <c r="C35" s="114" t="s">
        <v>295</v>
      </c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1"/>
      <c r="AL35" s="111"/>
      <c r="AM35" s="111"/>
      <c r="AN35" s="111"/>
      <c r="AO35" s="111"/>
      <c r="AP35" s="111"/>
      <c r="AQ35" s="111"/>
      <c r="AR35" s="111"/>
      <c r="AS35" s="111"/>
      <c r="AT35" s="111"/>
      <c r="AU35" s="111"/>
      <c r="AV35" s="111"/>
      <c r="AW35" s="111"/>
      <c r="AX35" s="111"/>
      <c r="AY35" s="111"/>
    </row>
    <row r="36" spans="1:51" x14ac:dyDescent="0.2">
      <c r="A36" s="114"/>
      <c r="B36" s="125">
        <v>4</v>
      </c>
      <c r="C36" s="114" t="s">
        <v>295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  <c r="AL36" s="111"/>
      <c r="AM36" s="111"/>
      <c r="AN36" s="111"/>
      <c r="AO36" s="111"/>
      <c r="AP36" s="111"/>
      <c r="AQ36" s="111"/>
      <c r="AR36" s="111"/>
      <c r="AS36" s="111"/>
      <c r="AT36" s="111"/>
      <c r="AU36" s="111"/>
      <c r="AV36" s="111"/>
      <c r="AW36" s="111"/>
      <c r="AX36" s="111"/>
      <c r="AY36" s="111"/>
    </row>
    <row r="37" spans="1:51" x14ac:dyDescent="0.2">
      <c r="A37" s="114"/>
      <c r="B37" s="125">
        <v>5</v>
      </c>
      <c r="C37" s="114" t="s">
        <v>295</v>
      </c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  <c r="AH37" s="111"/>
      <c r="AI37" s="111"/>
      <c r="AJ37" s="111"/>
      <c r="AK37" s="111"/>
      <c r="AL37" s="111"/>
      <c r="AM37" s="111"/>
      <c r="AN37" s="111"/>
      <c r="AO37" s="111"/>
      <c r="AP37" s="111"/>
      <c r="AQ37" s="111"/>
      <c r="AR37" s="111"/>
      <c r="AS37" s="111"/>
      <c r="AT37" s="111"/>
      <c r="AU37" s="111"/>
      <c r="AV37" s="111"/>
      <c r="AW37" s="111"/>
      <c r="AX37" s="111"/>
      <c r="AY37" s="111"/>
    </row>
    <row r="38" spans="1:51" x14ac:dyDescent="0.2">
      <c r="A38" s="114"/>
      <c r="B38" s="125">
        <v>6</v>
      </c>
      <c r="C38" s="114" t="s">
        <v>295</v>
      </c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  <c r="AL38" s="111"/>
      <c r="AM38" s="111"/>
      <c r="AN38" s="111"/>
      <c r="AO38" s="111"/>
      <c r="AP38" s="111"/>
      <c r="AQ38" s="111"/>
      <c r="AR38" s="111"/>
      <c r="AS38" s="111"/>
      <c r="AT38" s="111"/>
      <c r="AU38" s="111"/>
      <c r="AV38" s="111"/>
      <c r="AW38" s="111"/>
      <c r="AX38" s="111"/>
      <c r="AY38" s="111"/>
    </row>
    <row r="39" spans="1:51" x14ac:dyDescent="0.2">
      <c r="A39" s="114"/>
      <c r="B39" s="132">
        <v>7</v>
      </c>
      <c r="C39" s="114" t="s">
        <v>295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  <c r="AU39" s="111"/>
      <c r="AV39" s="111"/>
      <c r="AW39" s="111"/>
      <c r="AX39" s="111"/>
      <c r="AY39" s="111"/>
    </row>
    <row r="40" spans="1:51" x14ac:dyDescent="0.2">
      <c r="A40" s="114"/>
      <c r="B40" s="132">
        <v>8</v>
      </c>
      <c r="C40" s="114" t="s">
        <v>295</v>
      </c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  <c r="AU40" s="111"/>
      <c r="AV40" s="111"/>
      <c r="AW40" s="111"/>
      <c r="AX40" s="111"/>
      <c r="AY40" s="111">
        <v>26.509825836539775</v>
      </c>
    </row>
    <row r="41" spans="1:51" x14ac:dyDescent="0.2">
      <c r="A41" s="114"/>
      <c r="B41" s="132">
        <v>9</v>
      </c>
      <c r="C41" s="114" t="s">
        <v>295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  <c r="AU41" s="111">
        <v>62.877758696541001</v>
      </c>
      <c r="AV41" s="111">
        <v>75.120158287291233</v>
      </c>
      <c r="AW41" s="111">
        <v>114.23676419042495</v>
      </c>
      <c r="AX41" s="111">
        <v>51.41648390034112</v>
      </c>
      <c r="AY41" s="111">
        <v>62.895515586448212</v>
      </c>
    </row>
    <row r="42" spans="1:51" x14ac:dyDescent="0.2">
      <c r="A42" s="114"/>
      <c r="B42" s="135">
        <v>10</v>
      </c>
      <c r="C42" s="114" t="s">
        <v>295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>
        <v>25.176909013900257</v>
      </c>
      <c r="AT42" s="111">
        <v>34.738000715400673</v>
      </c>
      <c r="AU42" s="111">
        <v>111.88366778038103</v>
      </c>
      <c r="AV42" s="111">
        <v>0</v>
      </c>
      <c r="AW42" s="111">
        <v>0</v>
      </c>
      <c r="AX42" s="111">
        <v>0</v>
      </c>
      <c r="AY42" s="111">
        <v>0</v>
      </c>
    </row>
    <row r="43" spans="1:51" x14ac:dyDescent="0.2">
      <c r="A43" s="114"/>
      <c r="B43" s="135">
        <v>11</v>
      </c>
      <c r="C43" s="114" t="s">
        <v>295</v>
      </c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  <c r="AB43" s="111"/>
      <c r="AC43" s="111"/>
      <c r="AD43" s="111"/>
      <c r="AE43" s="111"/>
      <c r="AF43" s="111"/>
      <c r="AG43" s="111"/>
      <c r="AH43" s="111"/>
      <c r="AI43" s="111"/>
      <c r="AJ43" s="111"/>
      <c r="AK43" s="111"/>
      <c r="AL43" s="111"/>
      <c r="AM43" s="111">
        <v>21.339798608451186</v>
      </c>
      <c r="AN43" s="111">
        <v>4.0064799563442666</v>
      </c>
      <c r="AO43" s="111">
        <v>13.403809780908752</v>
      </c>
      <c r="AP43" s="111">
        <v>58.542755621492319</v>
      </c>
      <c r="AQ43" s="111">
        <v>107.59380267681372</v>
      </c>
      <c r="AR43" s="111">
        <v>30.253213892792509</v>
      </c>
      <c r="AS43" s="111">
        <v>49.941820363249349</v>
      </c>
      <c r="AT43" s="111">
        <v>0</v>
      </c>
      <c r="AU43" s="111">
        <v>0</v>
      </c>
      <c r="AV43" s="111">
        <v>0</v>
      </c>
      <c r="AW43" s="111">
        <v>0</v>
      </c>
      <c r="AX43" s="111">
        <v>0</v>
      </c>
      <c r="AY43" s="111">
        <v>0</v>
      </c>
    </row>
    <row r="44" spans="1:51" x14ac:dyDescent="0.2">
      <c r="A44" s="114"/>
      <c r="B44" s="135">
        <v>12</v>
      </c>
      <c r="C44" s="133" t="s">
        <v>295</v>
      </c>
      <c r="D44" s="111">
        <v>0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0</v>
      </c>
      <c r="K44" s="111">
        <v>0</v>
      </c>
      <c r="L44" s="111">
        <v>0</v>
      </c>
      <c r="M44" s="111">
        <v>0</v>
      </c>
      <c r="N44" s="111">
        <v>0</v>
      </c>
      <c r="O44" s="111">
        <v>0</v>
      </c>
      <c r="P44" s="111">
        <v>0</v>
      </c>
      <c r="Q44" s="111">
        <v>0</v>
      </c>
      <c r="R44" s="111">
        <v>0</v>
      </c>
      <c r="S44" s="111">
        <v>0</v>
      </c>
      <c r="T44" s="111">
        <v>0</v>
      </c>
      <c r="U44" s="111">
        <v>0</v>
      </c>
      <c r="V44" s="111">
        <v>0</v>
      </c>
      <c r="W44" s="111">
        <v>0</v>
      </c>
      <c r="X44" s="111">
        <v>0</v>
      </c>
      <c r="Y44" s="111">
        <v>0</v>
      </c>
      <c r="Z44" s="111">
        <v>0</v>
      </c>
      <c r="AA44" s="111">
        <v>0</v>
      </c>
      <c r="AB44" s="111">
        <v>0</v>
      </c>
      <c r="AC44" s="111">
        <v>0</v>
      </c>
      <c r="AD44" s="111">
        <v>0</v>
      </c>
      <c r="AE44" s="111">
        <v>0</v>
      </c>
      <c r="AF44" s="111">
        <v>0</v>
      </c>
      <c r="AG44" s="111">
        <v>161.03066517082561</v>
      </c>
      <c r="AH44" s="111">
        <v>46.810467736500165</v>
      </c>
      <c r="AI44" s="111">
        <v>6.0929892361155868</v>
      </c>
      <c r="AJ44" s="111">
        <v>50.953871165044276</v>
      </c>
      <c r="AK44" s="111">
        <v>11.892034650007414</v>
      </c>
      <c r="AL44" s="111">
        <v>92.764548575934185</v>
      </c>
      <c r="AM44" s="111">
        <v>70.600510918900596</v>
      </c>
      <c r="AN44" s="111">
        <v>50.552204559480714</v>
      </c>
      <c r="AO44" s="111">
        <v>35.717432833456726</v>
      </c>
      <c r="AP44" s="111">
        <v>45.468821668574464</v>
      </c>
      <c r="AQ44" s="111">
        <v>0</v>
      </c>
      <c r="AR44" s="111">
        <v>0</v>
      </c>
      <c r="AS44" s="111">
        <v>0</v>
      </c>
      <c r="AT44" s="111">
        <v>0</v>
      </c>
      <c r="AU44" s="111">
        <v>0</v>
      </c>
      <c r="AV44" s="111">
        <v>0</v>
      </c>
      <c r="AW44" s="111">
        <v>0</v>
      </c>
      <c r="AX44" s="111">
        <v>0</v>
      </c>
      <c r="AY44" s="111">
        <v>0</v>
      </c>
    </row>
    <row r="45" spans="1:51" x14ac:dyDescent="0.2">
      <c r="A45" s="131" t="s">
        <v>123</v>
      </c>
      <c r="B45" s="128">
        <v>1</v>
      </c>
      <c r="C45" s="114" t="s">
        <v>295</v>
      </c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</row>
    <row r="46" spans="1:51" x14ac:dyDescent="0.2">
      <c r="A46" s="114"/>
      <c r="B46" s="124">
        <v>2</v>
      </c>
      <c r="C46" s="114" t="s">
        <v>295</v>
      </c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</row>
    <row r="47" spans="1:51" x14ac:dyDescent="0.2">
      <c r="A47" s="114"/>
      <c r="B47" s="124">
        <v>3</v>
      </c>
      <c r="C47" s="114" t="s">
        <v>295</v>
      </c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</row>
    <row r="48" spans="1:51" x14ac:dyDescent="0.2">
      <c r="A48" s="114"/>
      <c r="B48" s="124">
        <v>4</v>
      </c>
      <c r="C48" s="114" t="s">
        <v>295</v>
      </c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</row>
    <row r="49" spans="1:51" x14ac:dyDescent="0.2">
      <c r="A49" s="114"/>
      <c r="B49" s="124">
        <v>5</v>
      </c>
      <c r="C49" s="114" t="s">
        <v>295</v>
      </c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</row>
    <row r="50" spans="1:51" x14ac:dyDescent="0.2">
      <c r="A50" s="114"/>
      <c r="B50" s="124">
        <v>6</v>
      </c>
      <c r="C50" s="114" t="s">
        <v>295</v>
      </c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</row>
    <row r="51" spans="1:51" x14ac:dyDescent="0.2">
      <c r="A51" s="114"/>
      <c r="B51" s="124">
        <v>7</v>
      </c>
      <c r="C51" s="114" t="s">
        <v>295</v>
      </c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  <c r="AH51" s="115"/>
      <c r="AI51" s="115"/>
      <c r="AJ51" s="115"/>
      <c r="AK51" s="115"/>
      <c r="AL51" s="115"/>
      <c r="AM51" s="115"/>
      <c r="AN51" s="115"/>
      <c r="AO51" s="115"/>
      <c r="AP51" s="115"/>
      <c r="AQ51" s="115"/>
      <c r="AR51" s="115"/>
      <c r="AS51" s="115"/>
      <c r="AT51" s="115"/>
      <c r="AU51" s="115"/>
      <c r="AV51" s="115"/>
      <c r="AW51" s="115"/>
      <c r="AX51" s="115"/>
      <c r="AY51" s="115"/>
    </row>
    <row r="52" spans="1:51" x14ac:dyDescent="0.2">
      <c r="A52" s="114"/>
      <c r="B52" s="124">
        <v>8</v>
      </c>
      <c r="C52" s="114" t="s">
        <v>295</v>
      </c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5"/>
    </row>
    <row r="53" spans="1:51" x14ac:dyDescent="0.2">
      <c r="A53" s="114"/>
      <c r="B53" s="124">
        <v>9</v>
      </c>
      <c r="C53" s="114" t="s">
        <v>295</v>
      </c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</row>
    <row r="54" spans="1:51" x14ac:dyDescent="0.2">
      <c r="A54" s="114"/>
      <c r="B54" s="124">
        <v>10</v>
      </c>
      <c r="C54" s="114" t="s">
        <v>295</v>
      </c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</row>
    <row r="55" spans="1:51" x14ac:dyDescent="0.2">
      <c r="A55" s="114"/>
      <c r="B55" s="124">
        <v>11</v>
      </c>
      <c r="C55" s="114" t="s">
        <v>295</v>
      </c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115"/>
      <c r="AQ55" s="115"/>
      <c r="AR55" s="115"/>
      <c r="AS55" s="115"/>
      <c r="AT55" s="115"/>
      <c r="AU55" s="115"/>
      <c r="AV55" s="115"/>
      <c r="AW55" s="115"/>
      <c r="AX55" s="115"/>
      <c r="AY55" s="115"/>
    </row>
    <row r="56" spans="1:51" x14ac:dyDescent="0.2">
      <c r="A56" s="114"/>
      <c r="B56" s="124">
        <v>12</v>
      </c>
      <c r="C56" s="114" t="s">
        <v>295</v>
      </c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5"/>
      <c r="AP56" s="115"/>
      <c r="AQ56" s="115"/>
      <c r="AR56" s="115"/>
      <c r="AS56" s="115"/>
      <c r="AT56" s="115"/>
      <c r="AU56" s="115"/>
      <c r="AV56" s="115"/>
      <c r="AW56" s="115"/>
      <c r="AX56" s="115"/>
      <c r="AY56" s="115"/>
    </row>
    <row r="57" spans="1:51" x14ac:dyDescent="0.2">
      <c r="A57" s="114"/>
      <c r="B57" s="125">
        <v>13</v>
      </c>
      <c r="C57" s="114" t="s">
        <v>295</v>
      </c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  <c r="AY57" s="115"/>
    </row>
    <row r="58" spans="1:51" x14ac:dyDescent="0.2">
      <c r="A58" s="114"/>
      <c r="B58" s="125">
        <v>14</v>
      </c>
      <c r="C58" s="114" t="s">
        <v>295</v>
      </c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</row>
    <row r="59" spans="1:51" x14ac:dyDescent="0.2">
      <c r="A59" s="114"/>
      <c r="B59" s="125">
        <v>15</v>
      </c>
      <c r="C59" s="114" t="s">
        <v>295</v>
      </c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</row>
    <row r="60" spans="1:51" x14ac:dyDescent="0.2">
      <c r="A60" s="114"/>
      <c r="B60" s="125">
        <v>16</v>
      </c>
      <c r="C60" s="114" t="s">
        <v>295</v>
      </c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</row>
    <row r="61" spans="1:51" x14ac:dyDescent="0.2">
      <c r="A61" s="114"/>
      <c r="B61" s="125">
        <v>17</v>
      </c>
      <c r="C61" s="114" t="s">
        <v>295</v>
      </c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  <c r="AH61" s="115"/>
      <c r="AI61" s="115"/>
      <c r="AJ61" s="115"/>
      <c r="AK61" s="115"/>
      <c r="AL61" s="115"/>
      <c r="AM61" s="115"/>
      <c r="AN61" s="115"/>
      <c r="AO61" s="115"/>
      <c r="AP61" s="115"/>
      <c r="AQ61" s="115"/>
      <c r="AR61" s="115"/>
      <c r="AS61" s="115"/>
      <c r="AT61" s="115"/>
      <c r="AU61" s="115"/>
      <c r="AV61" s="115"/>
      <c r="AW61" s="115"/>
      <c r="AX61" s="115"/>
      <c r="AY61" s="115"/>
    </row>
    <row r="62" spans="1:51" x14ac:dyDescent="0.2">
      <c r="A62" s="114"/>
      <c r="B62" s="125">
        <v>18</v>
      </c>
      <c r="C62" s="114" t="s">
        <v>295</v>
      </c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5"/>
      <c r="AM62" s="115"/>
      <c r="AN62" s="115"/>
      <c r="AO62" s="115"/>
      <c r="AP62" s="115"/>
      <c r="AQ62" s="115"/>
      <c r="AR62" s="115"/>
      <c r="AS62" s="115"/>
      <c r="AT62" s="115"/>
      <c r="AU62" s="115"/>
      <c r="AV62" s="115"/>
      <c r="AW62" s="115"/>
      <c r="AX62" s="115"/>
      <c r="AY62" s="115"/>
    </row>
    <row r="63" spans="1:51" x14ac:dyDescent="0.2">
      <c r="A63" s="114"/>
      <c r="B63" s="125">
        <v>19</v>
      </c>
      <c r="C63" s="114" t="s">
        <v>295</v>
      </c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</row>
    <row r="64" spans="1:51" x14ac:dyDescent="0.2">
      <c r="A64" s="114"/>
      <c r="B64" s="125">
        <v>20</v>
      </c>
      <c r="C64" s="114" t="s">
        <v>295</v>
      </c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</row>
    <row r="65" spans="1:51" x14ac:dyDescent="0.2">
      <c r="A65" s="114"/>
      <c r="B65" s="125">
        <v>21</v>
      </c>
      <c r="C65" s="114" t="s">
        <v>295</v>
      </c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  <c r="AH65" s="115"/>
      <c r="AI65" s="115"/>
      <c r="AJ65" s="115"/>
      <c r="AK65" s="115"/>
      <c r="AL65" s="115"/>
      <c r="AM65" s="115"/>
      <c r="AN65" s="115"/>
      <c r="AO65" s="115"/>
      <c r="AP65" s="115"/>
      <c r="AQ65" s="115"/>
      <c r="AR65" s="115"/>
      <c r="AS65" s="115"/>
      <c r="AT65" s="115"/>
      <c r="AU65" s="115"/>
      <c r="AV65" s="115"/>
      <c r="AW65" s="115"/>
      <c r="AX65" s="115"/>
      <c r="AY65" s="115"/>
    </row>
    <row r="66" spans="1:51" x14ac:dyDescent="0.2">
      <c r="A66" s="114"/>
      <c r="B66" s="125">
        <v>22</v>
      </c>
      <c r="C66" s="114" t="s">
        <v>295</v>
      </c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  <c r="AH66" s="115"/>
      <c r="AI66" s="115"/>
      <c r="AJ66" s="115"/>
      <c r="AK66" s="115"/>
      <c r="AL66" s="115"/>
      <c r="AM66" s="115"/>
      <c r="AN66" s="115"/>
      <c r="AO66" s="115"/>
      <c r="AP66" s="115"/>
      <c r="AQ66" s="115"/>
      <c r="AR66" s="115"/>
      <c r="AS66" s="115"/>
      <c r="AT66" s="115"/>
      <c r="AU66" s="115"/>
      <c r="AV66" s="115"/>
      <c r="AW66" s="115"/>
      <c r="AX66" s="115"/>
      <c r="AY66" s="115"/>
    </row>
    <row r="67" spans="1:51" x14ac:dyDescent="0.2">
      <c r="A67" s="114"/>
      <c r="B67" s="125">
        <v>23</v>
      </c>
      <c r="C67" s="114" t="s">
        <v>295</v>
      </c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</row>
    <row r="68" spans="1:51" x14ac:dyDescent="0.2">
      <c r="A68" s="114"/>
      <c r="B68" s="125">
        <v>24</v>
      </c>
      <c r="C68" s="114" t="s">
        <v>295</v>
      </c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5"/>
      <c r="AI68" s="115"/>
      <c r="AJ68" s="115"/>
      <c r="AK68" s="115"/>
      <c r="AL68" s="115"/>
      <c r="AM68" s="115"/>
      <c r="AN68" s="115"/>
      <c r="AO68" s="115"/>
      <c r="AP68" s="115"/>
      <c r="AQ68" s="115"/>
      <c r="AR68" s="115"/>
      <c r="AS68" s="115"/>
      <c r="AT68" s="115"/>
      <c r="AU68" s="115"/>
      <c r="AV68" s="115"/>
      <c r="AW68" s="115"/>
      <c r="AX68" s="115"/>
      <c r="AY68" s="115"/>
    </row>
    <row r="69" spans="1:51" x14ac:dyDescent="0.2">
      <c r="A69" s="114"/>
      <c r="B69" s="132">
        <v>25</v>
      </c>
      <c r="C69" s="114" t="s">
        <v>295</v>
      </c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</row>
    <row r="70" spans="1:51" x14ac:dyDescent="0.2">
      <c r="A70" s="114"/>
      <c r="B70" s="132">
        <v>26</v>
      </c>
      <c r="C70" s="114" t="s">
        <v>295</v>
      </c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</row>
    <row r="71" spans="1:51" x14ac:dyDescent="0.2">
      <c r="A71" s="114"/>
      <c r="B71" s="132">
        <v>27</v>
      </c>
      <c r="C71" s="114" t="s">
        <v>295</v>
      </c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</row>
    <row r="72" spans="1:51" x14ac:dyDescent="0.2">
      <c r="A72" s="114"/>
      <c r="B72" s="132">
        <v>28</v>
      </c>
      <c r="C72" s="114" t="s">
        <v>295</v>
      </c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  <c r="AY72" s="115"/>
    </row>
    <row r="73" spans="1:51" x14ac:dyDescent="0.2">
      <c r="A73" s="114"/>
      <c r="B73" s="132">
        <v>29</v>
      </c>
      <c r="C73" s="114" t="s">
        <v>295</v>
      </c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  <c r="AY73" s="115"/>
    </row>
    <row r="74" spans="1:51" x14ac:dyDescent="0.2">
      <c r="A74" s="114"/>
      <c r="B74" s="132">
        <v>30</v>
      </c>
      <c r="C74" s="114" t="s">
        <v>295</v>
      </c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  <c r="AY74" s="115"/>
    </row>
    <row r="75" spans="1:51" x14ac:dyDescent="0.2">
      <c r="A75" s="114"/>
      <c r="B75" s="132">
        <v>31</v>
      </c>
      <c r="C75" s="114" t="s">
        <v>295</v>
      </c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  <c r="AY75" s="115"/>
    </row>
    <row r="76" spans="1:51" x14ac:dyDescent="0.2">
      <c r="A76" s="114"/>
      <c r="B76" s="132">
        <v>32</v>
      </c>
      <c r="C76" s="114" t="s">
        <v>295</v>
      </c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</row>
    <row r="77" spans="1:51" x14ac:dyDescent="0.2">
      <c r="A77" s="114"/>
      <c r="B77" s="132">
        <v>33</v>
      </c>
      <c r="C77" s="114" t="s">
        <v>295</v>
      </c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</row>
    <row r="78" spans="1:51" x14ac:dyDescent="0.2">
      <c r="A78" s="114"/>
      <c r="B78" s="132">
        <v>34</v>
      </c>
      <c r="C78" s="114" t="s">
        <v>295</v>
      </c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</row>
    <row r="79" spans="1:51" x14ac:dyDescent="0.2">
      <c r="A79" s="114"/>
      <c r="B79" s="132">
        <v>35</v>
      </c>
      <c r="C79" s="114" t="s">
        <v>295</v>
      </c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  <c r="AY79" s="115"/>
    </row>
    <row r="80" spans="1:51" x14ac:dyDescent="0.2">
      <c r="A80" s="114"/>
      <c r="B80" s="132">
        <v>36</v>
      </c>
      <c r="C80" s="114" t="s">
        <v>295</v>
      </c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</row>
    <row r="81" spans="1:52" x14ac:dyDescent="0.2">
      <c r="A81" s="114"/>
      <c r="B81" s="135">
        <v>37</v>
      </c>
      <c r="C81" s="114" t="s">
        <v>295</v>
      </c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</row>
    <row r="82" spans="1:52" x14ac:dyDescent="0.2">
      <c r="A82" s="114"/>
      <c r="B82" s="135">
        <v>38</v>
      </c>
      <c r="C82" s="114" t="s">
        <v>295</v>
      </c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</row>
    <row r="83" spans="1:52" x14ac:dyDescent="0.2">
      <c r="A83" s="114"/>
      <c r="B83" s="135">
        <v>39</v>
      </c>
      <c r="C83" s="114" t="s">
        <v>295</v>
      </c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</row>
    <row r="84" spans="1:52" x14ac:dyDescent="0.2">
      <c r="A84" s="114"/>
      <c r="B84" s="135">
        <v>40</v>
      </c>
      <c r="C84" s="114" t="s">
        <v>295</v>
      </c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  <c r="AY84" s="115"/>
    </row>
    <row r="85" spans="1:52" x14ac:dyDescent="0.2">
      <c r="A85" s="114"/>
      <c r="B85" s="135">
        <v>41</v>
      </c>
      <c r="C85" s="114" t="s">
        <v>295</v>
      </c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  <c r="AR85" s="115"/>
      <c r="AS85" s="115"/>
      <c r="AT85" s="115"/>
      <c r="AU85" s="115"/>
      <c r="AV85" s="115"/>
      <c r="AW85" s="115"/>
      <c r="AX85" s="115"/>
      <c r="AY85" s="115"/>
    </row>
    <row r="86" spans="1:52" x14ac:dyDescent="0.2">
      <c r="A86" s="114"/>
      <c r="B86" s="135">
        <v>42</v>
      </c>
      <c r="C86" s="114" t="s">
        <v>295</v>
      </c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  <c r="AR86" s="115"/>
      <c r="AS86" s="115"/>
      <c r="AT86" s="115"/>
      <c r="AU86" s="115"/>
      <c r="AV86" s="115"/>
      <c r="AW86" s="115"/>
      <c r="AX86" s="115"/>
      <c r="AY86" s="115"/>
    </row>
    <row r="87" spans="1:52" x14ac:dyDescent="0.2">
      <c r="A87" s="114"/>
      <c r="B87" s="135">
        <v>43</v>
      </c>
      <c r="C87" s="114" t="s">
        <v>295</v>
      </c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</row>
    <row r="88" spans="1:52" x14ac:dyDescent="0.2">
      <c r="A88" s="114"/>
      <c r="B88" s="135">
        <v>44</v>
      </c>
      <c r="C88" s="114" t="s">
        <v>295</v>
      </c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  <c r="AY88" s="115">
        <v>0</v>
      </c>
    </row>
    <row r="89" spans="1:52" x14ac:dyDescent="0.2">
      <c r="A89" s="114"/>
      <c r="B89" s="135">
        <v>45</v>
      </c>
      <c r="C89" s="114" t="s">
        <v>295</v>
      </c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  <c r="AH89" s="115"/>
      <c r="AI89" s="115"/>
      <c r="AJ89" s="115"/>
      <c r="AK89" s="115"/>
      <c r="AL89" s="115"/>
      <c r="AM89" s="115"/>
      <c r="AN89" s="115"/>
      <c r="AO89" s="115"/>
      <c r="AP89" s="115"/>
      <c r="AQ89" s="115"/>
      <c r="AR89" s="115"/>
      <c r="AS89" s="115"/>
      <c r="AT89" s="115"/>
      <c r="AU89" s="115">
        <v>0</v>
      </c>
      <c r="AV89" s="115">
        <v>0</v>
      </c>
      <c r="AW89" s="115">
        <v>0</v>
      </c>
      <c r="AX89" s="115">
        <v>0</v>
      </c>
      <c r="AY89" s="115">
        <v>0</v>
      </c>
    </row>
    <row r="90" spans="1:52" x14ac:dyDescent="0.2">
      <c r="A90" s="114"/>
      <c r="B90" s="135">
        <v>46</v>
      </c>
      <c r="C90" s="114" t="s">
        <v>295</v>
      </c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  <c r="AR90" s="115"/>
      <c r="AS90" s="115">
        <v>0</v>
      </c>
      <c r="AT90" s="115">
        <v>0</v>
      </c>
      <c r="AU90" s="115">
        <v>0</v>
      </c>
      <c r="AV90" s="115">
        <v>0</v>
      </c>
      <c r="AW90" s="115">
        <v>0</v>
      </c>
      <c r="AX90" s="115">
        <v>0</v>
      </c>
      <c r="AY90" s="115">
        <v>0</v>
      </c>
    </row>
    <row r="91" spans="1:52" x14ac:dyDescent="0.2">
      <c r="A91" s="114"/>
      <c r="B91" s="135">
        <v>47</v>
      </c>
      <c r="C91" s="114" t="s">
        <v>295</v>
      </c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>
        <v>0</v>
      </c>
      <c r="AN91" s="115">
        <v>0</v>
      </c>
      <c r="AO91" s="115">
        <v>0</v>
      </c>
      <c r="AP91" s="115">
        <v>0</v>
      </c>
      <c r="AQ91" s="115">
        <v>0</v>
      </c>
      <c r="AR91" s="115">
        <v>0</v>
      </c>
      <c r="AS91" s="115">
        <v>0</v>
      </c>
      <c r="AT91" s="115">
        <v>0</v>
      </c>
      <c r="AU91" s="115">
        <v>0</v>
      </c>
      <c r="AV91" s="115">
        <v>0</v>
      </c>
      <c r="AW91" s="115">
        <v>0</v>
      </c>
      <c r="AX91" s="115">
        <v>0</v>
      </c>
      <c r="AY91" s="115">
        <v>0</v>
      </c>
    </row>
    <row r="92" spans="1:52" x14ac:dyDescent="0.2">
      <c r="A92" s="133"/>
      <c r="B92" s="134">
        <v>48</v>
      </c>
      <c r="C92" s="133" t="s">
        <v>295</v>
      </c>
      <c r="D92" s="130">
        <v>0</v>
      </c>
      <c r="E92" s="130">
        <v>0</v>
      </c>
      <c r="F92" s="130">
        <v>0</v>
      </c>
      <c r="G92" s="130">
        <v>0</v>
      </c>
      <c r="H92" s="130">
        <v>0</v>
      </c>
      <c r="I92" s="130">
        <v>0</v>
      </c>
      <c r="J92" s="130">
        <v>0</v>
      </c>
      <c r="K92" s="130">
        <v>0</v>
      </c>
      <c r="L92" s="130">
        <v>0</v>
      </c>
      <c r="M92" s="130">
        <v>0</v>
      </c>
      <c r="N92" s="130">
        <v>0</v>
      </c>
      <c r="O92" s="130">
        <v>0</v>
      </c>
      <c r="P92" s="130">
        <v>0</v>
      </c>
      <c r="Q92" s="130">
        <v>0</v>
      </c>
      <c r="R92" s="130">
        <v>0</v>
      </c>
      <c r="S92" s="130">
        <v>0</v>
      </c>
      <c r="T92" s="130">
        <v>0</v>
      </c>
      <c r="U92" s="130">
        <v>0</v>
      </c>
      <c r="V92" s="130">
        <v>0</v>
      </c>
      <c r="W92" s="130">
        <v>0</v>
      </c>
      <c r="X92" s="130">
        <v>0</v>
      </c>
      <c r="Y92" s="130">
        <v>0</v>
      </c>
      <c r="Z92" s="130">
        <v>0</v>
      </c>
      <c r="AA92" s="130">
        <v>0</v>
      </c>
      <c r="AB92" s="130">
        <v>0</v>
      </c>
      <c r="AC92" s="130">
        <v>0</v>
      </c>
      <c r="AD92" s="130">
        <v>0</v>
      </c>
      <c r="AE92" s="130">
        <v>0</v>
      </c>
      <c r="AF92" s="130">
        <v>0</v>
      </c>
      <c r="AG92" s="130">
        <v>0</v>
      </c>
      <c r="AH92" s="130">
        <v>0</v>
      </c>
      <c r="AI92" s="130">
        <v>0</v>
      </c>
      <c r="AJ92" s="130">
        <v>0</v>
      </c>
      <c r="AK92" s="130">
        <v>0</v>
      </c>
      <c r="AL92" s="130">
        <v>0</v>
      </c>
      <c r="AM92" s="130">
        <v>0</v>
      </c>
      <c r="AN92" s="130">
        <v>0</v>
      </c>
      <c r="AO92" s="130">
        <v>0</v>
      </c>
      <c r="AP92" s="130">
        <v>0</v>
      </c>
      <c r="AQ92" s="130">
        <v>0</v>
      </c>
      <c r="AR92" s="130">
        <v>0</v>
      </c>
      <c r="AS92" s="130">
        <v>0</v>
      </c>
      <c r="AT92" s="130">
        <v>0</v>
      </c>
      <c r="AU92" s="130">
        <v>0</v>
      </c>
      <c r="AV92" s="130">
        <v>0</v>
      </c>
      <c r="AW92" s="130">
        <v>0</v>
      </c>
      <c r="AX92" s="130">
        <v>0</v>
      </c>
      <c r="AY92" s="130">
        <v>0</v>
      </c>
      <c r="AZ92" s="112">
        <f>SUM(D21:AY92)</f>
        <v>4812.5326268582739</v>
      </c>
    </row>
    <row r="94" spans="1:52" x14ac:dyDescent="0.2">
      <c r="A94" s="107" t="s">
        <v>297</v>
      </c>
      <c r="B94" s="111"/>
      <c r="C94" s="111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19"/>
      <c r="AQ94" s="119"/>
      <c r="AR94" s="119"/>
      <c r="AS94" s="119"/>
      <c r="AT94" s="119"/>
      <c r="AU94" s="119"/>
      <c r="AV94" s="119"/>
      <c r="AW94" s="119"/>
      <c r="AX94" s="119"/>
      <c r="AY94" s="119"/>
    </row>
    <row r="95" spans="1:52" x14ac:dyDescent="0.2">
      <c r="A95" s="131" t="s">
        <v>125</v>
      </c>
      <c r="B95" s="128">
        <v>1</v>
      </c>
      <c r="C95" s="129"/>
      <c r="D95" s="115">
        <v>300.54370894391104</v>
      </c>
      <c r="E95" s="115">
        <v>300.54370894391104</v>
      </c>
      <c r="F95" s="115">
        <v>300.54370894391104</v>
      </c>
      <c r="G95" s="115">
        <v>300.54370894391104</v>
      </c>
      <c r="H95" s="115">
        <v>330.59807983830223</v>
      </c>
      <c r="I95" s="115">
        <v>330.59807983830223</v>
      </c>
      <c r="J95" s="115">
        <v>330.59807983830223</v>
      </c>
      <c r="K95" s="115">
        <v>330.59807983830223</v>
      </c>
      <c r="L95" s="115">
        <v>330.59807983830223</v>
      </c>
      <c r="M95" s="115">
        <v>330.59807983830223</v>
      </c>
      <c r="N95" s="115">
        <v>330.59807983830223</v>
      </c>
      <c r="O95" s="115">
        <v>330.59807983830223</v>
      </c>
      <c r="P95" s="115">
        <v>300.54370894391104</v>
      </c>
      <c r="Q95" s="115">
        <v>300.54370894391104</v>
      </c>
      <c r="R95" s="115">
        <v>300.54370894391104</v>
      </c>
      <c r="S95" s="115">
        <v>300.54370894391104</v>
      </c>
      <c r="T95" s="115">
        <v>270.48933804951997</v>
      </c>
      <c r="U95" s="115">
        <v>270.48933804951997</v>
      </c>
      <c r="V95" s="115">
        <v>270.48933804951997</v>
      </c>
      <c r="W95" s="115">
        <v>270.48933804951997</v>
      </c>
      <c r="X95" s="115">
        <v>270.48933804951997</v>
      </c>
      <c r="Y95" s="115">
        <v>270.48933804951997</v>
      </c>
      <c r="Z95" s="115">
        <v>270.48933804951997</v>
      </c>
      <c r="AA95" s="115">
        <v>270.48933804951997</v>
      </c>
      <c r="AB95" s="115">
        <v>270.48933804951997</v>
      </c>
      <c r="AC95" s="115">
        <v>270.48933804951997</v>
      </c>
      <c r="AD95" s="115">
        <v>270.48933804951997</v>
      </c>
      <c r="AE95" s="115">
        <v>270.48933804951997</v>
      </c>
      <c r="AF95" s="115">
        <v>330.59807983830223</v>
      </c>
      <c r="AG95" s="115">
        <v>330.59807983830223</v>
      </c>
      <c r="AH95" s="115">
        <v>330.59807983830223</v>
      </c>
      <c r="AI95" s="115">
        <v>330.59807983830223</v>
      </c>
      <c r="AJ95" s="115">
        <v>330.59807983830223</v>
      </c>
      <c r="AK95" s="115">
        <v>330.59807983830223</v>
      </c>
      <c r="AL95" s="115">
        <v>330.59807983830223</v>
      </c>
      <c r="AM95" s="115">
        <v>330.59807983830223</v>
      </c>
      <c r="AN95" s="115">
        <v>330.59807983830223</v>
      </c>
      <c r="AO95" s="115">
        <v>330.59807983830223</v>
      </c>
      <c r="AP95" s="115">
        <v>330.59807983830223</v>
      </c>
      <c r="AQ95" s="115">
        <v>330.59807983830223</v>
      </c>
      <c r="AR95" s="115">
        <v>300.54370894391104</v>
      </c>
      <c r="AS95" s="115">
        <v>300.54370894391104</v>
      </c>
      <c r="AT95" s="115">
        <v>300.54370894391104</v>
      </c>
      <c r="AU95" s="115">
        <v>154.46315209150933</v>
      </c>
      <c r="AV95" s="115">
        <v>116.88655445568821</v>
      </c>
      <c r="AW95" s="115">
        <v>38.426562722999392</v>
      </c>
      <c r="AX95" s="115">
        <v>38.218852600176433</v>
      </c>
      <c r="AY95" s="115">
        <v>0</v>
      </c>
    </row>
    <row r="96" spans="1:52" x14ac:dyDescent="0.2">
      <c r="A96" s="114"/>
      <c r="B96" s="125">
        <v>2</v>
      </c>
      <c r="C96" s="115"/>
      <c r="D96" s="115">
        <v>0</v>
      </c>
      <c r="E96" s="115">
        <v>108.54370894391104</v>
      </c>
      <c r="F96" s="115">
        <v>120.08741788782208</v>
      </c>
      <c r="G96" s="115">
        <v>203.63112683173313</v>
      </c>
      <c r="H96" s="115">
        <v>216.17483577564417</v>
      </c>
      <c r="I96" s="115">
        <v>272.7729156139464</v>
      </c>
      <c r="J96" s="115">
        <v>330.59807983830223</v>
      </c>
      <c r="K96" s="115">
        <v>330.59807983830223</v>
      </c>
      <c r="L96" s="115">
        <v>330.59807983830223</v>
      </c>
      <c r="M96" s="115">
        <v>330.59807983830223</v>
      </c>
      <c r="N96" s="115">
        <v>330.59807983830223</v>
      </c>
      <c r="O96" s="115">
        <v>330.59807983830223</v>
      </c>
      <c r="P96" s="115">
        <v>330.59807983830223</v>
      </c>
      <c r="Q96" s="115">
        <v>300.54370894391104</v>
      </c>
      <c r="R96" s="115">
        <v>300.54370894391104</v>
      </c>
      <c r="S96" s="115">
        <v>300.54370894391104</v>
      </c>
      <c r="T96" s="115">
        <v>300.54370894391104</v>
      </c>
      <c r="U96" s="115">
        <v>270.48933804951997</v>
      </c>
      <c r="V96" s="115">
        <v>270.48933804951997</v>
      </c>
      <c r="W96" s="115">
        <v>270.48933804951997</v>
      </c>
      <c r="X96" s="115">
        <v>270.48933804951997</v>
      </c>
      <c r="Y96" s="115">
        <v>270.48933804951997</v>
      </c>
      <c r="Z96" s="115">
        <v>270.48933804951997</v>
      </c>
      <c r="AA96" s="115">
        <v>270.48933804951997</v>
      </c>
      <c r="AB96" s="115">
        <v>270.48933804951997</v>
      </c>
      <c r="AC96" s="115">
        <v>270.48933804951997</v>
      </c>
      <c r="AD96" s="115">
        <v>270.48933804951997</v>
      </c>
      <c r="AE96" s="115">
        <v>270.48933804951997</v>
      </c>
      <c r="AF96" s="115">
        <v>270.48933804951997</v>
      </c>
      <c r="AG96" s="115">
        <v>330.59807983830223</v>
      </c>
      <c r="AH96" s="115">
        <v>330.59807983830223</v>
      </c>
      <c r="AI96" s="115">
        <v>330.59807983830223</v>
      </c>
      <c r="AJ96" s="115">
        <v>330.59807983830223</v>
      </c>
      <c r="AK96" s="115">
        <v>330.59807983830223</v>
      </c>
      <c r="AL96" s="115">
        <v>330.59807983830223</v>
      </c>
      <c r="AM96" s="115">
        <v>330.59807983830223</v>
      </c>
      <c r="AN96" s="115">
        <v>330.59807983830223</v>
      </c>
      <c r="AO96" s="115">
        <v>330.59807983830223</v>
      </c>
      <c r="AP96" s="115">
        <v>330.59807983830223</v>
      </c>
      <c r="AQ96" s="115">
        <v>330.59807983830223</v>
      </c>
      <c r="AR96" s="115">
        <v>330.59807983830223</v>
      </c>
      <c r="AS96" s="115">
        <v>230.14629243340093</v>
      </c>
      <c r="AT96" s="115">
        <v>183.9159721350743</v>
      </c>
      <c r="AU96" s="115">
        <v>0</v>
      </c>
      <c r="AV96" s="115">
        <v>0</v>
      </c>
      <c r="AW96" s="115">
        <v>0</v>
      </c>
      <c r="AX96" s="115">
        <v>0</v>
      </c>
      <c r="AY96" s="115">
        <v>0</v>
      </c>
    </row>
    <row r="97" spans="1:52" x14ac:dyDescent="0.2">
      <c r="A97" s="114"/>
      <c r="B97" s="132">
        <v>3</v>
      </c>
      <c r="C97" s="115"/>
      <c r="D97" s="115">
        <v>0</v>
      </c>
      <c r="E97" s="115">
        <v>0</v>
      </c>
      <c r="F97" s="115">
        <v>0</v>
      </c>
      <c r="G97" s="115">
        <v>0</v>
      </c>
      <c r="H97" s="115">
        <v>0</v>
      </c>
      <c r="I97" s="115">
        <v>0</v>
      </c>
      <c r="J97" s="115">
        <v>20.772915613946395</v>
      </c>
      <c r="K97" s="115">
        <v>121.37099545224862</v>
      </c>
      <c r="L97" s="115">
        <v>199.96907529055085</v>
      </c>
      <c r="M97" s="115">
        <v>267.56715512885307</v>
      </c>
      <c r="N97" s="115">
        <v>330.59807983830223</v>
      </c>
      <c r="O97" s="115">
        <v>330.59807983830223</v>
      </c>
      <c r="P97" s="115">
        <v>330.59807983830223</v>
      </c>
      <c r="Q97" s="115">
        <v>330.59807983830223</v>
      </c>
      <c r="R97" s="115">
        <v>300.54370894391104</v>
      </c>
      <c r="S97" s="115">
        <v>300.54370894391104</v>
      </c>
      <c r="T97" s="115">
        <v>300.54370894391104</v>
      </c>
      <c r="U97" s="115">
        <v>300.54370894391104</v>
      </c>
      <c r="V97" s="115">
        <v>270.48933804951997</v>
      </c>
      <c r="W97" s="115">
        <v>270.48933804951997</v>
      </c>
      <c r="X97" s="115">
        <v>270.48933804951997</v>
      </c>
      <c r="Y97" s="115">
        <v>270.48933804951997</v>
      </c>
      <c r="Z97" s="115">
        <v>270.48933804951997</v>
      </c>
      <c r="AA97" s="115">
        <v>270.48933804951997</v>
      </c>
      <c r="AB97" s="115">
        <v>270.48933804951997</v>
      </c>
      <c r="AC97" s="115">
        <v>270.48933804951997</v>
      </c>
      <c r="AD97" s="115">
        <v>270.48933804951997</v>
      </c>
      <c r="AE97" s="115">
        <v>270.48933804951997</v>
      </c>
      <c r="AF97" s="115">
        <v>270.48933804951997</v>
      </c>
      <c r="AG97" s="115">
        <v>270.48933804951997</v>
      </c>
      <c r="AH97" s="115">
        <v>330.59807983830223</v>
      </c>
      <c r="AI97" s="115">
        <v>330.59807983830223</v>
      </c>
      <c r="AJ97" s="115">
        <v>330.59807983830223</v>
      </c>
      <c r="AK97" s="115">
        <v>330.59807983830223</v>
      </c>
      <c r="AL97" s="115">
        <v>330.59807983830223</v>
      </c>
      <c r="AM97" s="115">
        <v>279.43560281272573</v>
      </c>
      <c r="AN97" s="115">
        <v>320.22778541537861</v>
      </c>
      <c r="AO97" s="115">
        <v>299.58252611657286</v>
      </c>
      <c r="AP97" s="115">
        <v>174.82760149346751</v>
      </c>
      <c r="AQ97" s="115">
        <v>5.6549022571090859</v>
      </c>
      <c r="AR97" s="115">
        <v>29.195985131120935</v>
      </c>
      <c r="AS97" s="115">
        <v>0</v>
      </c>
      <c r="AT97" s="115">
        <v>0</v>
      </c>
      <c r="AU97" s="115">
        <v>0</v>
      </c>
      <c r="AV97" s="115">
        <v>0</v>
      </c>
      <c r="AW97" s="115">
        <v>0</v>
      </c>
      <c r="AX97" s="115">
        <v>0</v>
      </c>
      <c r="AY97" s="115">
        <v>0</v>
      </c>
    </row>
    <row r="98" spans="1:52" x14ac:dyDescent="0.2">
      <c r="A98" s="114"/>
      <c r="B98" s="135">
        <v>4</v>
      </c>
      <c r="C98" s="111"/>
      <c r="D98" s="115">
        <v>0</v>
      </c>
      <c r="E98" s="115">
        <v>0</v>
      </c>
      <c r="F98" s="115">
        <v>0</v>
      </c>
      <c r="G98" s="115">
        <v>0</v>
      </c>
      <c r="H98" s="115">
        <v>0</v>
      </c>
      <c r="I98" s="115">
        <v>0</v>
      </c>
      <c r="J98" s="115">
        <v>0</v>
      </c>
      <c r="K98" s="115">
        <v>0</v>
      </c>
      <c r="L98" s="115">
        <v>0</v>
      </c>
      <c r="M98" s="115">
        <v>0</v>
      </c>
      <c r="N98" s="115">
        <v>38.567155128853074</v>
      </c>
      <c r="O98" s="115">
        <v>132.1652349671553</v>
      </c>
      <c r="P98" s="115">
        <v>241.76331480545753</v>
      </c>
      <c r="Q98" s="115">
        <v>327.36139464375975</v>
      </c>
      <c r="R98" s="115">
        <v>330.59807983830223</v>
      </c>
      <c r="S98" s="115">
        <v>234.49898956298557</v>
      </c>
      <c r="T98" s="115">
        <v>61.856604534263624</v>
      </c>
      <c r="U98" s="115">
        <v>116.21421950554122</v>
      </c>
      <c r="V98" s="115">
        <v>121.75792844945227</v>
      </c>
      <c r="W98" s="115">
        <v>147.24726649897224</v>
      </c>
      <c r="X98" s="115">
        <v>190.73660454849221</v>
      </c>
      <c r="Y98" s="115">
        <v>246.22594259801218</v>
      </c>
      <c r="Z98" s="115">
        <v>269.14762028411309</v>
      </c>
      <c r="AA98" s="115">
        <v>267.52342626094963</v>
      </c>
      <c r="AB98" s="115">
        <v>202.89923223778612</v>
      </c>
      <c r="AC98" s="115">
        <v>230.27503821462216</v>
      </c>
      <c r="AD98" s="115">
        <v>32.650844191457907</v>
      </c>
      <c r="AE98" s="115">
        <v>72.140182240977879</v>
      </c>
      <c r="AF98" s="115">
        <v>125.62952029049785</v>
      </c>
      <c r="AG98" s="115">
        <v>11.082663940808061</v>
      </c>
      <c r="AH98" s="115">
        <v>27.015072065462768</v>
      </c>
      <c r="AI98" s="115">
        <v>125.3387434785156</v>
      </c>
      <c r="AJ98" s="115">
        <v>129.31443798942138</v>
      </c>
      <c r="AK98" s="115">
        <v>133.93535816568306</v>
      </c>
      <c r="AL98" s="115">
        <v>70.666531270134016</v>
      </c>
      <c r="AM98" s="115">
        <v>0</v>
      </c>
      <c r="AN98" s="115">
        <v>0</v>
      </c>
      <c r="AO98" s="115">
        <v>0</v>
      </c>
      <c r="AP98" s="115">
        <v>0</v>
      </c>
      <c r="AQ98" s="115">
        <v>0</v>
      </c>
      <c r="AR98" s="115">
        <v>0</v>
      </c>
      <c r="AS98" s="115">
        <v>0</v>
      </c>
      <c r="AT98" s="115">
        <v>0</v>
      </c>
      <c r="AU98" s="115">
        <v>0</v>
      </c>
      <c r="AV98" s="115">
        <v>0</v>
      </c>
      <c r="AW98" s="115">
        <v>0</v>
      </c>
      <c r="AX98" s="115">
        <v>0</v>
      </c>
      <c r="AY98" s="115">
        <v>0</v>
      </c>
    </row>
    <row r="99" spans="1:52" x14ac:dyDescent="0.2">
      <c r="A99" s="133"/>
      <c r="B99" s="137" t="s">
        <v>298</v>
      </c>
      <c r="C99" s="130"/>
      <c r="D99" s="130">
        <v>0</v>
      </c>
      <c r="E99" s="130">
        <v>0</v>
      </c>
      <c r="F99" s="130">
        <v>0</v>
      </c>
      <c r="G99" s="130">
        <v>0</v>
      </c>
      <c r="H99" s="130">
        <v>0</v>
      </c>
      <c r="I99" s="130">
        <v>0</v>
      </c>
      <c r="J99" s="130">
        <v>0</v>
      </c>
      <c r="K99" s="130">
        <v>0</v>
      </c>
      <c r="L99" s="130">
        <v>0</v>
      </c>
      <c r="M99" s="130">
        <v>0</v>
      </c>
      <c r="N99" s="130">
        <v>0</v>
      </c>
      <c r="O99" s="130">
        <v>0</v>
      </c>
      <c r="P99" s="130">
        <v>0</v>
      </c>
      <c r="Q99" s="130">
        <v>0</v>
      </c>
      <c r="R99" s="130">
        <v>83.361394643759752</v>
      </c>
      <c r="S99" s="130">
        <v>41.598079838302226</v>
      </c>
      <c r="T99" s="130">
        <v>0</v>
      </c>
      <c r="U99" s="130">
        <v>0</v>
      </c>
      <c r="V99" s="130">
        <v>0</v>
      </c>
      <c r="W99" s="130">
        <v>0</v>
      </c>
      <c r="X99" s="130">
        <v>0</v>
      </c>
      <c r="Y99" s="130">
        <v>0</v>
      </c>
      <c r="Z99" s="130">
        <v>17.225942598012182</v>
      </c>
      <c r="AA99" s="130">
        <v>32.147620284113088</v>
      </c>
      <c r="AB99" s="130">
        <v>0</v>
      </c>
      <c r="AC99" s="130">
        <v>0</v>
      </c>
      <c r="AD99" s="130">
        <v>21.275038214622157</v>
      </c>
      <c r="AE99" s="130">
        <v>0</v>
      </c>
      <c r="AF99" s="130">
        <v>0</v>
      </c>
      <c r="AG99" s="130">
        <v>0</v>
      </c>
      <c r="AH99" s="130">
        <v>0</v>
      </c>
      <c r="AI99" s="130">
        <v>0</v>
      </c>
      <c r="AJ99" s="130">
        <v>0</v>
      </c>
      <c r="AK99" s="130">
        <v>0</v>
      </c>
      <c r="AL99" s="130">
        <v>0</v>
      </c>
      <c r="AM99" s="130">
        <v>0</v>
      </c>
      <c r="AN99" s="130">
        <v>0</v>
      </c>
      <c r="AO99" s="130">
        <v>0</v>
      </c>
      <c r="AP99" s="130">
        <v>0</v>
      </c>
      <c r="AQ99" s="130">
        <v>0</v>
      </c>
      <c r="AR99" s="130">
        <v>0</v>
      </c>
      <c r="AS99" s="130">
        <v>0</v>
      </c>
      <c r="AT99" s="130">
        <v>0</v>
      </c>
      <c r="AU99" s="130">
        <v>0</v>
      </c>
      <c r="AV99" s="130">
        <v>0</v>
      </c>
      <c r="AW99" s="130">
        <v>0</v>
      </c>
      <c r="AX99" s="130">
        <v>0</v>
      </c>
      <c r="AY99" s="130">
        <v>0</v>
      </c>
      <c r="AZ99" s="112">
        <f>SUM($D99:$AY99)</f>
        <v>195.60807557880941</v>
      </c>
    </row>
    <row r="100" spans="1:52" x14ac:dyDescent="0.2">
      <c r="A100" s="136" t="s">
        <v>133</v>
      </c>
      <c r="B100" s="124">
        <v>1</v>
      </c>
      <c r="C100" s="111"/>
      <c r="D100" s="111">
        <v>0</v>
      </c>
      <c r="E100" s="111">
        <v>0</v>
      </c>
      <c r="F100" s="111">
        <v>108.23677181837871</v>
      </c>
      <c r="G100" s="111">
        <v>108.23677181837871</v>
      </c>
      <c r="H100" s="111">
        <v>108.23677181837871</v>
      </c>
      <c r="I100" s="111">
        <v>108.23677181837871</v>
      </c>
      <c r="J100" s="111">
        <v>119.06044900021661</v>
      </c>
      <c r="K100" s="111">
        <v>119.06044900021661</v>
      </c>
      <c r="L100" s="111">
        <v>119.06044900021661</v>
      </c>
      <c r="M100" s="111">
        <v>0</v>
      </c>
      <c r="N100" s="111">
        <v>238.12089800043316</v>
      </c>
      <c r="O100" s="111">
        <v>119.06044900021661</v>
      </c>
      <c r="P100" s="111">
        <v>119.06044900021661</v>
      </c>
      <c r="Q100" s="111">
        <v>119.06044900021661</v>
      </c>
      <c r="R100" s="111">
        <v>108.23677181837871</v>
      </c>
      <c r="S100" s="111">
        <v>108.23677181837871</v>
      </c>
      <c r="T100" s="111">
        <v>108.23677181837871</v>
      </c>
      <c r="U100" s="111">
        <v>108.23677181837871</v>
      </c>
      <c r="V100" s="111">
        <v>97.413094636540833</v>
      </c>
      <c r="W100" s="111">
        <v>97.413094636540833</v>
      </c>
      <c r="X100" s="111">
        <v>97.413094636540833</v>
      </c>
      <c r="Y100" s="111">
        <v>97.413094636540833</v>
      </c>
      <c r="Z100" s="111">
        <v>97.413094636540833</v>
      </c>
      <c r="AA100" s="111">
        <v>97.413094636540833</v>
      </c>
      <c r="AB100" s="111">
        <v>97.413094636540833</v>
      </c>
      <c r="AC100" s="111">
        <v>97.413094636540833</v>
      </c>
      <c r="AD100" s="111">
        <v>97.413094636540833</v>
      </c>
      <c r="AE100" s="111">
        <v>97.413094636540833</v>
      </c>
      <c r="AF100" s="111">
        <v>0</v>
      </c>
      <c r="AG100" s="111">
        <v>194.82618927308167</v>
      </c>
      <c r="AH100" s="111">
        <v>119.06044900021661</v>
      </c>
      <c r="AI100" s="111">
        <v>119.06044900021661</v>
      </c>
      <c r="AJ100" s="111">
        <v>119.06044900021661</v>
      </c>
      <c r="AK100" s="111">
        <v>119.06044900021661</v>
      </c>
      <c r="AL100" s="111">
        <v>119.06044900021661</v>
      </c>
      <c r="AM100" s="111">
        <v>119.06044900021661</v>
      </c>
      <c r="AN100" s="111">
        <v>119.06044900021661</v>
      </c>
      <c r="AO100" s="111">
        <v>119.06044900021661</v>
      </c>
      <c r="AP100" s="111">
        <v>119.06044900021661</v>
      </c>
      <c r="AQ100" s="111">
        <v>119.06044900021661</v>
      </c>
      <c r="AR100" s="111">
        <v>119.06044900021661</v>
      </c>
      <c r="AS100" s="111">
        <v>119.06044900021661</v>
      </c>
      <c r="AT100" s="111">
        <v>0</v>
      </c>
      <c r="AU100" s="111">
        <v>216.4735436367574</v>
      </c>
      <c r="AV100" s="111">
        <v>108.23677181837871</v>
      </c>
      <c r="AW100" s="111">
        <v>108.23677181837871</v>
      </c>
      <c r="AX100" s="111">
        <v>97.413094636540833</v>
      </c>
      <c r="AY100" s="111">
        <v>97.413094636540833</v>
      </c>
    </row>
    <row r="101" spans="1:52" x14ac:dyDescent="0.2">
      <c r="A101" s="114"/>
      <c r="B101" s="124">
        <v>2</v>
      </c>
      <c r="C101" s="111"/>
      <c r="D101" s="111">
        <v>0</v>
      </c>
      <c r="E101" s="111">
        <v>0</v>
      </c>
      <c r="F101" s="111">
        <v>0</v>
      </c>
      <c r="G101" s="111">
        <v>16.236771818378713</v>
      </c>
      <c r="H101" s="111">
        <v>24.473543636757427</v>
      </c>
      <c r="I101" s="111">
        <v>41.71031545513614</v>
      </c>
      <c r="J101" s="111">
        <v>33.947087273514853</v>
      </c>
      <c r="K101" s="111">
        <v>23.007536273731461</v>
      </c>
      <c r="L101" s="111">
        <v>32.067985273948068</v>
      </c>
      <c r="M101" s="111">
        <v>51.128434274164675</v>
      </c>
      <c r="N101" s="111">
        <v>0</v>
      </c>
      <c r="O101" s="111">
        <v>115.12089800043316</v>
      </c>
      <c r="P101" s="111">
        <v>112.18134700064977</v>
      </c>
      <c r="Q101" s="111">
        <v>119.06044900021661</v>
      </c>
      <c r="R101" s="111">
        <v>119.06044900021661</v>
      </c>
      <c r="S101" s="111">
        <v>94.539016819461693</v>
      </c>
      <c r="T101" s="111">
        <v>81.775788637840407</v>
      </c>
      <c r="U101" s="111">
        <v>98.01256045621912</v>
      </c>
      <c r="V101" s="111">
        <v>108.23677181837871</v>
      </c>
      <c r="W101" s="111">
        <v>97.413094636540833</v>
      </c>
      <c r="X101" s="111">
        <v>97.413094636540833</v>
      </c>
      <c r="Y101" s="111">
        <v>93.488616184220334</v>
      </c>
      <c r="Z101" s="111">
        <v>80.901710820761167</v>
      </c>
      <c r="AA101" s="111">
        <v>57.314805457302</v>
      </c>
      <c r="AB101" s="111">
        <v>18.727900093842834</v>
      </c>
      <c r="AC101" s="111">
        <v>19.140994730383667</v>
      </c>
      <c r="AD101" s="111">
        <v>24.554089366924501</v>
      </c>
      <c r="AE101" s="111">
        <v>0</v>
      </c>
      <c r="AF101" s="111">
        <v>0</v>
      </c>
      <c r="AG101" s="111">
        <v>0</v>
      </c>
      <c r="AH101" s="111">
        <v>93.826189273081667</v>
      </c>
      <c r="AI101" s="111">
        <v>103.88663827329827</v>
      </c>
      <c r="AJ101" s="111">
        <v>110.94708727351488</v>
      </c>
      <c r="AK101" s="111">
        <v>118.00753627373149</v>
      </c>
      <c r="AL101" s="111">
        <v>117.0679852739481</v>
      </c>
      <c r="AM101" s="111">
        <v>106.1284342741647</v>
      </c>
      <c r="AN101" s="111">
        <v>119.06044900021661</v>
      </c>
      <c r="AO101" s="111">
        <v>113.24933227459792</v>
      </c>
      <c r="AP101" s="111">
        <v>98.309781274814526</v>
      </c>
      <c r="AQ101" s="111">
        <v>83.370230275031133</v>
      </c>
      <c r="AR101" s="111">
        <v>76.430679275247741</v>
      </c>
      <c r="AS101" s="111">
        <v>77.491128275464348</v>
      </c>
      <c r="AT101" s="111">
        <v>97.551577275680955</v>
      </c>
      <c r="AU101" s="111">
        <v>0</v>
      </c>
      <c r="AV101" s="111">
        <v>100.4735436367574</v>
      </c>
      <c r="AW101" s="111">
        <v>96.710315455136111</v>
      </c>
      <c r="AX101" s="111">
        <v>73.947087273514825</v>
      </c>
      <c r="AY101" s="111">
        <v>70.360181910055658</v>
      </c>
    </row>
    <row r="102" spans="1:52" x14ac:dyDescent="0.2">
      <c r="A102" s="114"/>
      <c r="B102" s="125">
        <v>3</v>
      </c>
      <c r="C102" s="111"/>
      <c r="D102" s="111">
        <v>0</v>
      </c>
      <c r="E102" s="111">
        <v>0</v>
      </c>
      <c r="F102" s="111">
        <v>0</v>
      </c>
      <c r="G102" s="111">
        <v>0</v>
      </c>
      <c r="H102" s="111">
        <v>0</v>
      </c>
      <c r="I102" s="111">
        <v>0</v>
      </c>
      <c r="J102" s="111">
        <v>0</v>
      </c>
      <c r="K102" s="111">
        <v>0</v>
      </c>
      <c r="L102" s="111">
        <v>0</v>
      </c>
      <c r="M102" s="111">
        <v>0</v>
      </c>
      <c r="N102" s="111">
        <v>0</v>
      </c>
      <c r="O102" s="111">
        <v>0</v>
      </c>
      <c r="P102" s="111">
        <v>0</v>
      </c>
      <c r="Q102" s="111">
        <v>1.1813470006497653</v>
      </c>
      <c r="R102" s="111">
        <v>2.2417960008663727</v>
      </c>
      <c r="S102" s="111">
        <v>0</v>
      </c>
      <c r="T102" s="111">
        <v>0</v>
      </c>
      <c r="U102" s="111">
        <v>0</v>
      </c>
      <c r="V102" s="111">
        <v>5.0125604562191199</v>
      </c>
      <c r="W102" s="111">
        <v>10.249332274597833</v>
      </c>
      <c r="X102" s="111">
        <v>0.6624269111386667</v>
      </c>
      <c r="Y102" s="111">
        <v>0</v>
      </c>
      <c r="Z102" s="111">
        <v>0</v>
      </c>
      <c r="AA102" s="111">
        <v>0</v>
      </c>
      <c r="AB102" s="111">
        <v>0</v>
      </c>
      <c r="AC102" s="111">
        <v>0</v>
      </c>
      <c r="AD102" s="111">
        <v>0</v>
      </c>
      <c r="AE102" s="111">
        <v>0</v>
      </c>
      <c r="AF102" s="111">
        <v>0</v>
      </c>
      <c r="AG102" s="111">
        <v>0</v>
      </c>
      <c r="AH102" s="111">
        <v>0</v>
      </c>
      <c r="AI102" s="111">
        <v>0</v>
      </c>
      <c r="AJ102" s="111">
        <v>0</v>
      </c>
      <c r="AK102" s="111">
        <v>0</v>
      </c>
      <c r="AL102" s="111">
        <v>0</v>
      </c>
      <c r="AM102" s="111">
        <v>0</v>
      </c>
      <c r="AN102" s="111">
        <v>6.1284342741647038</v>
      </c>
      <c r="AO102" s="111">
        <v>0</v>
      </c>
      <c r="AP102" s="111">
        <v>0</v>
      </c>
      <c r="AQ102" s="111">
        <v>0</v>
      </c>
      <c r="AR102" s="111">
        <v>0</v>
      </c>
      <c r="AS102" s="111">
        <v>0</v>
      </c>
      <c r="AT102" s="111">
        <v>0</v>
      </c>
      <c r="AU102" s="111">
        <v>0</v>
      </c>
      <c r="AV102" s="111">
        <v>0</v>
      </c>
      <c r="AW102" s="111">
        <v>0</v>
      </c>
      <c r="AX102" s="111">
        <v>0</v>
      </c>
      <c r="AY102" s="111">
        <v>0</v>
      </c>
    </row>
    <row r="103" spans="1:52" x14ac:dyDescent="0.2">
      <c r="A103" s="114"/>
      <c r="B103" s="125">
        <v>4</v>
      </c>
      <c r="C103" s="111"/>
      <c r="D103" s="111">
        <v>0</v>
      </c>
      <c r="E103" s="111">
        <v>0</v>
      </c>
      <c r="F103" s="111">
        <v>0</v>
      </c>
      <c r="G103" s="111">
        <v>0</v>
      </c>
      <c r="H103" s="111">
        <v>0</v>
      </c>
      <c r="I103" s="111">
        <v>0</v>
      </c>
      <c r="J103" s="111">
        <v>0</v>
      </c>
      <c r="K103" s="111">
        <v>0</v>
      </c>
      <c r="L103" s="111">
        <v>0</v>
      </c>
      <c r="M103" s="111">
        <v>0</v>
      </c>
      <c r="N103" s="111">
        <v>0</v>
      </c>
      <c r="O103" s="111">
        <v>0</v>
      </c>
      <c r="P103" s="111">
        <v>0</v>
      </c>
      <c r="Q103" s="111">
        <v>0</v>
      </c>
      <c r="R103" s="111">
        <v>0</v>
      </c>
      <c r="S103" s="111">
        <v>0</v>
      </c>
      <c r="T103" s="111">
        <v>0</v>
      </c>
      <c r="U103" s="111">
        <v>0</v>
      </c>
      <c r="V103" s="111">
        <v>0</v>
      </c>
      <c r="W103" s="111">
        <v>0</v>
      </c>
      <c r="X103" s="111">
        <v>0</v>
      </c>
      <c r="Y103" s="111">
        <v>0</v>
      </c>
      <c r="Z103" s="111">
        <v>0</v>
      </c>
      <c r="AA103" s="111">
        <v>0</v>
      </c>
      <c r="AB103" s="111">
        <v>0</v>
      </c>
      <c r="AC103" s="111">
        <v>0</v>
      </c>
      <c r="AD103" s="111">
        <v>0</v>
      </c>
      <c r="AE103" s="111">
        <v>0</v>
      </c>
      <c r="AF103" s="111">
        <v>0</v>
      </c>
      <c r="AG103" s="111">
        <v>0</v>
      </c>
      <c r="AH103" s="111">
        <v>0</v>
      </c>
      <c r="AI103" s="111">
        <v>0</v>
      </c>
      <c r="AJ103" s="111">
        <v>0</v>
      </c>
      <c r="AK103" s="111">
        <v>0</v>
      </c>
      <c r="AL103" s="111">
        <v>0</v>
      </c>
      <c r="AM103" s="111">
        <v>0</v>
      </c>
      <c r="AN103" s="111">
        <v>0</v>
      </c>
      <c r="AO103" s="111">
        <v>0</v>
      </c>
      <c r="AP103" s="111">
        <v>0</v>
      </c>
      <c r="AQ103" s="111">
        <v>0</v>
      </c>
      <c r="AR103" s="111">
        <v>0</v>
      </c>
      <c r="AS103" s="111">
        <v>0</v>
      </c>
      <c r="AT103" s="111">
        <v>0</v>
      </c>
      <c r="AU103" s="111">
        <v>0</v>
      </c>
      <c r="AV103" s="111">
        <v>0</v>
      </c>
      <c r="AW103" s="111">
        <v>0</v>
      </c>
      <c r="AX103" s="111">
        <v>0</v>
      </c>
      <c r="AY103" s="111">
        <v>0</v>
      </c>
    </row>
    <row r="104" spans="1:52" x14ac:dyDescent="0.2">
      <c r="A104" s="114"/>
      <c r="B104" s="132">
        <v>5</v>
      </c>
      <c r="C104" s="111"/>
      <c r="D104" s="111">
        <v>0</v>
      </c>
      <c r="E104" s="111">
        <v>0</v>
      </c>
      <c r="F104" s="111">
        <v>0</v>
      </c>
      <c r="G104" s="111">
        <v>0</v>
      </c>
      <c r="H104" s="111">
        <v>0</v>
      </c>
      <c r="I104" s="111">
        <v>0</v>
      </c>
      <c r="J104" s="111">
        <v>0</v>
      </c>
      <c r="K104" s="111">
        <v>0</v>
      </c>
      <c r="L104" s="111">
        <v>0</v>
      </c>
      <c r="M104" s="111">
        <v>0</v>
      </c>
      <c r="N104" s="111">
        <v>0</v>
      </c>
      <c r="O104" s="111">
        <v>0</v>
      </c>
      <c r="P104" s="111">
        <v>0</v>
      </c>
      <c r="Q104" s="111">
        <v>0</v>
      </c>
      <c r="R104" s="111">
        <v>0</v>
      </c>
      <c r="S104" s="111">
        <v>0</v>
      </c>
      <c r="T104" s="111">
        <v>0</v>
      </c>
      <c r="U104" s="111">
        <v>0</v>
      </c>
      <c r="V104" s="111">
        <v>0</v>
      </c>
      <c r="W104" s="111">
        <v>0</v>
      </c>
      <c r="X104" s="111">
        <v>0</v>
      </c>
      <c r="Y104" s="111">
        <v>0</v>
      </c>
      <c r="Z104" s="111">
        <v>0</v>
      </c>
      <c r="AA104" s="111">
        <v>0</v>
      </c>
      <c r="AB104" s="111">
        <v>0</v>
      </c>
      <c r="AC104" s="111">
        <v>0</v>
      </c>
      <c r="AD104" s="111">
        <v>0</v>
      </c>
      <c r="AE104" s="111">
        <v>0</v>
      </c>
      <c r="AF104" s="111">
        <v>0</v>
      </c>
      <c r="AG104" s="111">
        <v>0</v>
      </c>
      <c r="AH104" s="111">
        <v>0</v>
      </c>
      <c r="AI104" s="111">
        <v>0</v>
      </c>
      <c r="AJ104" s="111">
        <v>0</v>
      </c>
      <c r="AK104" s="111">
        <v>0</v>
      </c>
      <c r="AL104" s="111">
        <v>0</v>
      </c>
      <c r="AM104" s="111">
        <v>0</v>
      </c>
      <c r="AN104" s="111">
        <v>0</v>
      </c>
      <c r="AO104" s="111">
        <v>0</v>
      </c>
      <c r="AP104" s="111">
        <v>0</v>
      </c>
      <c r="AQ104" s="111">
        <v>0</v>
      </c>
      <c r="AR104" s="111">
        <v>0</v>
      </c>
      <c r="AS104" s="111">
        <v>0</v>
      </c>
      <c r="AT104" s="111">
        <v>0</v>
      </c>
      <c r="AU104" s="111">
        <v>0</v>
      </c>
      <c r="AV104" s="111">
        <v>0</v>
      </c>
      <c r="AW104" s="111">
        <v>0</v>
      </c>
      <c r="AX104" s="111">
        <v>0</v>
      </c>
      <c r="AY104" s="111">
        <v>0</v>
      </c>
    </row>
    <row r="105" spans="1:52" x14ac:dyDescent="0.2">
      <c r="A105" s="114"/>
      <c r="B105" s="132">
        <v>6</v>
      </c>
      <c r="C105" s="111"/>
      <c r="D105" s="111">
        <v>0</v>
      </c>
      <c r="E105" s="111">
        <v>0</v>
      </c>
      <c r="F105" s="111">
        <v>0</v>
      </c>
      <c r="G105" s="111">
        <v>0</v>
      </c>
      <c r="H105" s="111">
        <v>0</v>
      </c>
      <c r="I105" s="111">
        <v>0</v>
      </c>
      <c r="J105" s="111">
        <v>0</v>
      </c>
      <c r="K105" s="111">
        <v>0</v>
      </c>
      <c r="L105" s="111">
        <v>0</v>
      </c>
      <c r="M105" s="111">
        <v>0</v>
      </c>
      <c r="N105" s="111">
        <v>0</v>
      </c>
      <c r="O105" s="111">
        <v>0</v>
      </c>
      <c r="P105" s="111">
        <v>0</v>
      </c>
      <c r="Q105" s="111">
        <v>0</v>
      </c>
      <c r="R105" s="111">
        <v>0</v>
      </c>
      <c r="S105" s="111">
        <v>0</v>
      </c>
      <c r="T105" s="111">
        <v>0</v>
      </c>
      <c r="U105" s="111">
        <v>0</v>
      </c>
      <c r="V105" s="111">
        <v>0</v>
      </c>
      <c r="W105" s="111">
        <v>0</v>
      </c>
      <c r="X105" s="111">
        <v>0</v>
      </c>
      <c r="Y105" s="111">
        <v>0</v>
      </c>
      <c r="Z105" s="111">
        <v>0</v>
      </c>
      <c r="AA105" s="111">
        <v>0</v>
      </c>
      <c r="AB105" s="111">
        <v>0</v>
      </c>
      <c r="AC105" s="111">
        <v>0</v>
      </c>
      <c r="AD105" s="111">
        <v>0</v>
      </c>
      <c r="AE105" s="111">
        <v>0</v>
      </c>
      <c r="AF105" s="111">
        <v>0</v>
      </c>
      <c r="AG105" s="111">
        <v>0</v>
      </c>
      <c r="AH105" s="111">
        <v>0</v>
      </c>
      <c r="AI105" s="111">
        <v>0</v>
      </c>
      <c r="AJ105" s="111">
        <v>0</v>
      </c>
      <c r="AK105" s="111">
        <v>0</v>
      </c>
      <c r="AL105" s="111">
        <v>0</v>
      </c>
      <c r="AM105" s="111">
        <v>0</v>
      </c>
      <c r="AN105" s="111">
        <v>0</v>
      </c>
      <c r="AO105" s="111">
        <v>0</v>
      </c>
      <c r="AP105" s="111">
        <v>0</v>
      </c>
      <c r="AQ105" s="111">
        <v>0</v>
      </c>
      <c r="AR105" s="111">
        <v>0</v>
      </c>
      <c r="AS105" s="111">
        <v>0</v>
      </c>
      <c r="AT105" s="111">
        <v>0</v>
      </c>
      <c r="AU105" s="111">
        <v>0</v>
      </c>
      <c r="AV105" s="111">
        <v>0</v>
      </c>
      <c r="AW105" s="111">
        <v>0</v>
      </c>
      <c r="AX105" s="111">
        <v>0</v>
      </c>
      <c r="AY105" s="111">
        <v>0</v>
      </c>
    </row>
    <row r="106" spans="1:52" x14ac:dyDescent="0.2">
      <c r="A106" s="114"/>
      <c r="B106" s="135">
        <v>7</v>
      </c>
      <c r="C106" s="111"/>
      <c r="D106" s="111">
        <v>0</v>
      </c>
      <c r="E106" s="111">
        <v>0</v>
      </c>
      <c r="F106" s="111">
        <v>0</v>
      </c>
      <c r="G106" s="111">
        <v>0</v>
      </c>
      <c r="H106" s="111">
        <v>0</v>
      </c>
      <c r="I106" s="111">
        <v>0</v>
      </c>
      <c r="J106" s="111">
        <v>0</v>
      </c>
      <c r="K106" s="111">
        <v>0</v>
      </c>
      <c r="L106" s="111">
        <v>0</v>
      </c>
      <c r="M106" s="111">
        <v>0</v>
      </c>
      <c r="N106" s="111">
        <v>0</v>
      </c>
      <c r="O106" s="111">
        <v>0</v>
      </c>
      <c r="P106" s="111">
        <v>0</v>
      </c>
      <c r="Q106" s="111">
        <v>0</v>
      </c>
      <c r="R106" s="111">
        <v>0</v>
      </c>
      <c r="S106" s="111">
        <v>0</v>
      </c>
      <c r="T106" s="111">
        <v>0</v>
      </c>
      <c r="U106" s="111">
        <v>0</v>
      </c>
      <c r="V106" s="111">
        <v>0</v>
      </c>
      <c r="W106" s="111">
        <v>0</v>
      </c>
      <c r="X106" s="111">
        <v>0</v>
      </c>
      <c r="Y106" s="111">
        <v>0</v>
      </c>
      <c r="Z106" s="111">
        <v>0</v>
      </c>
      <c r="AA106" s="111">
        <v>0</v>
      </c>
      <c r="AB106" s="111">
        <v>0</v>
      </c>
      <c r="AC106" s="111">
        <v>0</v>
      </c>
      <c r="AD106" s="111">
        <v>0</v>
      </c>
      <c r="AE106" s="111">
        <v>0</v>
      </c>
      <c r="AF106" s="111">
        <v>0</v>
      </c>
      <c r="AG106" s="111">
        <v>0</v>
      </c>
      <c r="AH106" s="111">
        <v>0</v>
      </c>
      <c r="AI106" s="111">
        <v>0</v>
      </c>
      <c r="AJ106" s="111">
        <v>0</v>
      </c>
      <c r="AK106" s="111">
        <v>0</v>
      </c>
      <c r="AL106" s="111">
        <v>0</v>
      </c>
      <c r="AM106" s="111">
        <v>0</v>
      </c>
      <c r="AN106" s="111">
        <v>0</v>
      </c>
      <c r="AO106" s="111">
        <v>0</v>
      </c>
      <c r="AP106" s="111">
        <v>0</v>
      </c>
      <c r="AQ106" s="111">
        <v>0</v>
      </c>
      <c r="AR106" s="111">
        <v>0</v>
      </c>
      <c r="AS106" s="111">
        <v>0</v>
      </c>
      <c r="AT106" s="111">
        <v>0</v>
      </c>
      <c r="AU106" s="111">
        <v>0</v>
      </c>
      <c r="AV106" s="111">
        <v>0</v>
      </c>
      <c r="AW106" s="111">
        <v>0</v>
      </c>
      <c r="AX106" s="111">
        <v>0</v>
      </c>
      <c r="AY106" s="111">
        <v>0</v>
      </c>
    </row>
    <row r="107" spans="1:52" x14ac:dyDescent="0.2">
      <c r="A107" s="114"/>
      <c r="B107" s="135">
        <v>8</v>
      </c>
      <c r="C107" s="111"/>
      <c r="D107" s="111">
        <v>0</v>
      </c>
      <c r="E107" s="111">
        <v>0</v>
      </c>
      <c r="F107" s="111">
        <v>0</v>
      </c>
      <c r="G107" s="111">
        <v>0</v>
      </c>
      <c r="H107" s="111">
        <v>0</v>
      </c>
      <c r="I107" s="111">
        <v>0</v>
      </c>
      <c r="J107" s="111">
        <v>0</v>
      </c>
      <c r="K107" s="111">
        <v>0</v>
      </c>
      <c r="L107" s="111">
        <v>0</v>
      </c>
      <c r="M107" s="111">
        <v>0</v>
      </c>
      <c r="N107" s="111">
        <v>0</v>
      </c>
      <c r="O107" s="111">
        <v>0</v>
      </c>
      <c r="P107" s="111">
        <v>0</v>
      </c>
      <c r="Q107" s="111">
        <v>0</v>
      </c>
      <c r="R107" s="111">
        <v>0</v>
      </c>
      <c r="S107" s="111">
        <v>0</v>
      </c>
      <c r="T107" s="111">
        <v>0</v>
      </c>
      <c r="U107" s="111">
        <v>0</v>
      </c>
      <c r="V107" s="111">
        <v>0</v>
      </c>
      <c r="W107" s="111">
        <v>0</v>
      </c>
      <c r="X107" s="111">
        <v>0</v>
      </c>
      <c r="Y107" s="111">
        <v>0</v>
      </c>
      <c r="Z107" s="111">
        <v>0</v>
      </c>
      <c r="AA107" s="111">
        <v>0</v>
      </c>
      <c r="AB107" s="111">
        <v>0</v>
      </c>
      <c r="AC107" s="111">
        <v>0</v>
      </c>
      <c r="AD107" s="111">
        <v>0</v>
      </c>
      <c r="AE107" s="111">
        <v>0</v>
      </c>
      <c r="AF107" s="111">
        <v>0</v>
      </c>
      <c r="AG107" s="111">
        <v>0</v>
      </c>
      <c r="AH107" s="111">
        <v>0</v>
      </c>
      <c r="AI107" s="111">
        <v>0</v>
      </c>
      <c r="AJ107" s="111">
        <v>0</v>
      </c>
      <c r="AK107" s="111">
        <v>0</v>
      </c>
      <c r="AL107" s="111">
        <v>0</v>
      </c>
      <c r="AM107" s="111">
        <v>0</v>
      </c>
      <c r="AN107" s="111">
        <v>0</v>
      </c>
      <c r="AO107" s="111">
        <v>0</v>
      </c>
      <c r="AP107" s="111">
        <v>0</v>
      </c>
      <c r="AQ107" s="111">
        <v>0</v>
      </c>
      <c r="AR107" s="111">
        <v>0</v>
      </c>
      <c r="AS107" s="111">
        <v>0</v>
      </c>
      <c r="AT107" s="111">
        <v>0</v>
      </c>
      <c r="AU107" s="111">
        <v>0</v>
      </c>
      <c r="AV107" s="111">
        <v>0</v>
      </c>
      <c r="AW107" s="111">
        <v>0</v>
      </c>
      <c r="AX107" s="111">
        <v>0</v>
      </c>
      <c r="AY107" s="111">
        <v>0</v>
      </c>
    </row>
    <row r="108" spans="1:52" x14ac:dyDescent="0.2">
      <c r="A108" s="133"/>
      <c r="B108" s="137" t="s">
        <v>298</v>
      </c>
      <c r="C108" s="119"/>
      <c r="D108" s="130">
        <v>0</v>
      </c>
      <c r="E108" s="130">
        <v>0</v>
      </c>
      <c r="F108" s="130">
        <v>0</v>
      </c>
      <c r="G108" s="130">
        <v>0</v>
      </c>
      <c r="H108" s="130">
        <v>0</v>
      </c>
      <c r="I108" s="130">
        <v>0</v>
      </c>
      <c r="J108" s="130">
        <v>0</v>
      </c>
      <c r="K108" s="130">
        <v>0</v>
      </c>
      <c r="L108" s="130">
        <v>0</v>
      </c>
      <c r="M108" s="130">
        <v>0</v>
      </c>
      <c r="N108" s="130">
        <v>0</v>
      </c>
      <c r="O108" s="130">
        <v>0</v>
      </c>
      <c r="P108" s="130">
        <v>0</v>
      </c>
      <c r="Q108" s="130">
        <v>0</v>
      </c>
      <c r="R108" s="130">
        <v>0</v>
      </c>
      <c r="S108" s="130">
        <v>0</v>
      </c>
      <c r="T108" s="130">
        <v>0</v>
      </c>
      <c r="U108" s="130">
        <v>0</v>
      </c>
      <c r="V108" s="130">
        <v>0</v>
      </c>
      <c r="W108" s="130">
        <v>0</v>
      </c>
      <c r="X108" s="130">
        <v>0</v>
      </c>
      <c r="Y108" s="130">
        <v>0</v>
      </c>
      <c r="Z108" s="130">
        <v>0</v>
      </c>
      <c r="AA108" s="130">
        <v>0</v>
      </c>
      <c r="AB108" s="130">
        <v>0</v>
      </c>
      <c r="AC108" s="130">
        <v>0</v>
      </c>
      <c r="AD108" s="130">
        <v>0</v>
      </c>
      <c r="AE108" s="130">
        <v>0</v>
      </c>
      <c r="AF108" s="130">
        <v>0</v>
      </c>
      <c r="AG108" s="130">
        <v>0</v>
      </c>
      <c r="AH108" s="130">
        <v>0</v>
      </c>
      <c r="AI108" s="130">
        <v>0</v>
      </c>
      <c r="AJ108" s="130">
        <v>0</v>
      </c>
      <c r="AK108" s="130">
        <v>0</v>
      </c>
      <c r="AL108" s="130">
        <v>0</v>
      </c>
      <c r="AM108" s="130">
        <v>0</v>
      </c>
      <c r="AN108" s="130">
        <v>0</v>
      </c>
      <c r="AO108" s="130">
        <v>0</v>
      </c>
      <c r="AP108" s="130">
        <v>0</v>
      </c>
      <c r="AQ108" s="130">
        <v>0</v>
      </c>
      <c r="AR108" s="130">
        <v>0</v>
      </c>
      <c r="AS108" s="130">
        <v>0</v>
      </c>
      <c r="AT108" s="130">
        <v>0</v>
      </c>
      <c r="AU108" s="130">
        <v>0</v>
      </c>
      <c r="AV108" s="130">
        <v>0</v>
      </c>
      <c r="AW108" s="130">
        <v>0</v>
      </c>
      <c r="AX108" s="130">
        <v>0</v>
      </c>
      <c r="AY108" s="130">
        <v>0</v>
      </c>
      <c r="AZ108" s="112">
        <f>SUM($D108:$AY108)</f>
        <v>0</v>
      </c>
    </row>
    <row r="109" spans="1:52" x14ac:dyDescent="0.2">
      <c r="A109" s="136" t="s">
        <v>134</v>
      </c>
      <c r="B109" s="124">
        <v>1</v>
      </c>
      <c r="C109" s="111"/>
      <c r="D109" s="111">
        <v>0</v>
      </c>
      <c r="E109" s="111">
        <v>73.797113692361847</v>
      </c>
      <c r="F109" s="111">
        <v>86.814516015487527</v>
      </c>
      <c r="G109" s="111">
        <v>101.77906282441222</v>
      </c>
      <c r="H109" s="111">
        <v>98.547154952444458</v>
      </c>
      <c r="I109" s="111">
        <v>108.73843786767348</v>
      </c>
      <c r="J109" s="111">
        <v>120.91059249137957</v>
      </c>
      <c r="K109" s="111">
        <v>115.59042012452625</v>
      </c>
      <c r="L109" s="111">
        <v>124.40226499435822</v>
      </c>
      <c r="M109" s="111">
        <v>147.23292537720701</v>
      </c>
      <c r="N109" s="111">
        <v>134.90674653184814</v>
      </c>
      <c r="O109" s="111">
        <v>151.7967802463221</v>
      </c>
      <c r="P109" s="111">
        <v>160.6879891039745</v>
      </c>
      <c r="Q109" s="111">
        <v>150.69007707586167</v>
      </c>
      <c r="R109" s="111">
        <v>170.59195625056012</v>
      </c>
      <c r="S109" s="111">
        <v>170.87875903597757</v>
      </c>
      <c r="T109" s="111">
        <v>179.43688154285326</v>
      </c>
      <c r="U109" s="111">
        <v>189.23919179904138</v>
      </c>
      <c r="V109" s="111">
        <v>174.86127102961072</v>
      </c>
      <c r="W109" s="111">
        <v>165.49625386531193</v>
      </c>
      <c r="X109" s="111">
        <v>153.36773841744306</v>
      </c>
      <c r="Y109" s="111">
        <v>140.45207451436104</v>
      </c>
      <c r="Z109" s="111">
        <v>134.62797700158723</v>
      </c>
      <c r="AA109" s="111">
        <v>132.28628924009078</v>
      </c>
      <c r="AB109" s="111">
        <v>130.078770254744</v>
      </c>
      <c r="AC109" s="111">
        <v>137.8920031679319</v>
      </c>
      <c r="AD109" s="111">
        <v>127.72391278980099</v>
      </c>
      <c r="AE109" s="111">
        <v>142.87263144948321</v>
      </c>
      <c r="AF109" s="111">
        <v>124.24769316085309</v>
      </c>
      <c r="AG109" s="111">
        <v>111.60786374899668</v>
      </c>
      <c r="AH109" s="111">
        <v>134.79218355905974</v>
      </c>
      <c r="AI109" s="111">
        <v>123.68385208543839</v>
      </c>
      <c r="AJ109" s="111">
        <v>107.48635375917917</v>
      </c>
      <c r="AK109" s="111">
        <v>115.20860526554584</v>
      </c>
      <c r="AL109" s="111">
        <v>112.65863162127587</v>
      </c>
      <c r="AM109" s="111">
        <v>129.36365534143292</v>
      </c>
      <c r="AN109" s="111">
        <v>148.79817668957421</v>
      </c>
      <c r="AO109" s="111">
        <v>139.98896431191233</v>
      </c>
      <c r="AP109" s="111">
        <v>142.96067317201661</v>
      </c>
      <c r="AQ109" s="111">
        <v>161.43521114611048</v>
      </c>
      <c r="AR109" s="111">
        <v>181.16229532279496</v>
      </c>
      <c r="AS109" s="111">
        <v>176.91667108181096</v>
      </c>
      <c r="AT109" s="111">
        <v>188.19560926492537</v>
      </c>
      <c r="AU109" s="111">
        <v>198.1728804398056</v>
      </c>
      <c r="AV109" s="111">
        <v>222.49469261978913</v>
      </c>
      <c r="AW109" s="111">
        <v>220.59122176828362</v>
      </c>
      <c r="AX109" s="111">
        <v>224.57809800192874</v>
      </c>
      <c r="AY109" s="111">
        <v>220.84139814039816</v>
      </c>
    </row>
    <row r="110" spans="1:52" x14ac:dyDescent="0.2">
      <c r="A110" s="114"/>
      <c r="B110" s="124">
        <v>2</v>
      </c>
      <c r="C110" s="111"/>
      <c r="D110" s="111">
        <v>0</v>
      </c>
      <c r="E110" s="111">
        <v>0</v>
      </c>
      <c r="F110" s="111">
        <v>16.797113692361847</v>
      </c>
      <c r="G110" s="111">
        <v>27.611629707849374</v>
      </c>
      <c r="H110" s="111">
        <v>50.390692532261596</v>
      </c>
      <c r="I110" s="111">
        <v>71.937847484706055</v>
      </c>
      <c r="J110" s="111">
        <v>108.73843786767348</v>
      </c>
      <c r="K110" s="111">
        <v>120.91059249137957</v>
      </c>
      <c r="L110" s="111">
        <v>115.59042012452625</v>
      </c>
      <c r="M110" s="111">
        <v>124.40226499435822</v>
      </c>
      <c r="N110" s="111">
        <v>147.23292537720701</v>
      </c>
      <c r="O110" s="111">
        <v>134.90674653184814</v>
      </c>
      <c r="P110" s="111">
        <v>151.7967802463221</v>
      </c>
      <c r="Q110" s="111">
        <v>160.6879891039745</v>
      </c>
      <c r="R110" s="111">
        <v>150.69007707586167</v>
      </c>
      <c r="S110" s="111">
        <v>170.59195625056012</v>
      </c>
      <c r="T110" s="111">
        <v>170.87875903597757</v>
      </c>
      <c r="U110" s="111">
        <v>179.43688154285326</v>
      </c>
      <c r="V110" s="111">
        <v>189.23919179904138</v>
      </c>
      <c r="W110" s="111">
        <v>174.86127102961072</v>
      </c>
      <c r="X110" s="111">
        <v>165.49625386531193</v>
      </c>
      <c r="Y110" s="111">
        <v>153.36773841744306</v>
      </c>
      <c r="Z110" s="111">
        <v>140.45207451436104</v>
      </c>
      <c r="AA110" s="111">
        <v>134.62797700158723</v>
      </c>
      <c r="AB110" s="111">
        <v>132.28628924009078</v>
      </c>
      <c r="AC110" s="111">
        <v>130.078770254744</v>
      </c>
      <c r="AD110" s="111">
        <v>137.8920031679319</v>
      </c>
      <c r="AE110" s="111">
        <v>127.72391278980099</v>
      </c>
      <c r="AF110" s="111">
        <v>142.87263144948321</v>
      </c>
      <c r="AG110" s="111">
        <v>124.24769316085309</v>
      </c>
      <c r="AH110" s="111">
        <v>111.60786374899668</v>
      </c>
      <c r="AI110" s="111">
        <v>134.79218355905974</v>
      </c>
      <c r="AJ110" s="111">
        <v>123.68385208543839</v>
      </c>
      <c r="AK110" s="111">
        <v>107.48635375917917</v>
      </c>
      <c r="AL110" s="111">
        <v>115.20860526554584</v>
      </c>
      <c r="AM110" s="111">
        <v>112.65863162127587</v>
      </c>
      <c r="AN110" s="111">
        <v>129.36365534143292</v>
      </c>
      <c r="AO110" s="111">
        <v>148.79817668957421</v>
      </c>
      <c r="AP110" s="111">
        <v>139.98896431191233</v>
      </c>
      <c r="AQ110" s="111">
        <v>142.96067317201661</v>
      </c>
      <c r="AR110" s="111">
        <v>161.43521114611048</v>
      </c>
      <c r="AS110" s="111">
        <v>181.16229532279496</v>
      </c>
      <c r="AT110" s="111">
        <v>176.91667108181096</v>
      </c>
      <c r="AU110" s="111">
        <v>188.19560926492537</v>
      </c>
      <c r="AV110" s="111">
        <v>198.1728804398056</v>
      </c>
      <c r="AW110" s="111">
        <v>222.49469261978913</v>
      </c>
      <c r="AX110" s="111">
        <v>220.59122176828362</v>
      </c>
      <c r="AY110" s="111">
        <v>224.57809800192874</v>
      </c>
    </row>
    <row r="111" spans="1:52" x14ac:dyDescent="0.2">
      <c r="A111" s="114"/>
      <c r="B111" s="124">
        <v>3</v>
      </c>
      <c r="C111" s="111"/>
      <c r="D111" s="111">
        <v>0</v>
      </c>
      <c r="E111" s="111">
        <v>0</v>
      </c>
      <c r="F111" s="111">
        <v>0</v>
      </c>
      <c r="G111" s="111">
        <v>0</v>
      </c>
      <c r="H111" s="111">
        <v>0</v>
      </c>
      <c r="I111" s="111">
        <v>0</v>
      </c>
      <c r="J111" s="111">
        <v>2.9378474847060545</v>
      </c>
      <c r="K111" s="111">
        <v>32.676285352379537</v>
      </c>
      <c r="L111" s="111">
        <v>65.586877843759112</v>
      </c>
      <c r="M111" s="111">
        <v>94.177297968285359</v>
      </c>
      <c r="N111" s="111">
        <v>124.40226499435822</v>
      </c>
      <c r="O111" s="111">
        <v>147.23292537720701</v>
      </c>
      <c r="P111" s="111">
        <v>134.90674653184814</v>
      </c>
      <c r="Q111" s="111">
        <v>151.7967802463221</v>
      </c>
      <c r="R111" s="111">
        <v>160.6879891039745</v>
      </c>
      <c r="S111" s="111">
        <v>150.69007707586167</v>
      </c>
      <c r="T111" s="111">
        <v>170.59195625056012</v>
      </c>
      <c r="U111" s="111">
        <v>170.87875903597757</v>
      </c>
      <c r="V111" s="111">
        <v>179.43688154285326</v>
      </c>
      <c r="W111" s="111">
        <v>189.23919179904138</v>
      </c>
      <c r="X111" s="111">
        <v>174.86127102961072</v>
      </c>
      <c r="Y111" s="111">
        <v>165.49625386531193</v>
      </c>
      <c r="Z111" s="111">
        <v>153.36773841744306</v>
      </c>
      <c r="AA111" s="111">
        <v>140.45207451436104</v>
      </c>
      <c r="AB111" s="111">
        <v>134.62797700158723</v>
      </c>
      <c r="AC111" s="111">
        <v>132.28628924009078</v>
      </c>
      <c r="AD111" s="111">
        <v>130.078770254744</v>
      </c>
      <c r="AE111" s="111">
        <v>137.8920031679319</v>
      </c>
      <c r="AF111" s="111">
        <v>127.72391278980099</v>
      </c>
      <c r="AG111" s="111">
        <v>142.87263144948321</v>
      </c>
      <c r="AH111" s="111">
        <v>124.24769316085309</v>
      </c>
      <c r="AI111" s="111">
        <v>111.60786374899668</v>
      </c>
      <c r="AJ111" s="111">
        <v>134.79218355905974</v>
      </c>
      <c r="AK111" s="111">
        <v>123.68385208543839</v>
      </c>
      <c r="AL111" s="111">
        <v>107.48635375917917</v>
      </c>
      <c r="AM111" s="111">
        <v>115.20860526554584</v>
      </c>
      <c r="AN111" s="111">
        <v>112.65863162127587</v>
      </c>
      <c r="AO111" s="111">
        <v>129.36365534143292</v>
      </c>
      <c r="AP111" s="111">
        <v>148.79817668957421</v>
      </c>
      <c r="AQ111" s="111">
        <v>139.98896431191233</v>
      </c>
      <c r="AR111" s="111">
        <v>142.96067317201661</v>
      </c>
      <c r="AS111" s="111">
        <v>161.43521114611048</v>
      </c>
      <c r="AT111" s="111">
        <v>181.16229532279496</v>
      </c>
      <c r="AU111" s="111">
        <v>176.91667108181096</v>
      </c>
      <c r="AV111" s="111">
        <v>188.19560926492537</v>
      </c>
      <c r="AW111" s="111">
        <v>198.1728804398056</v>
      </c>
      <c r="AX111" s="111">
        <v>222.49469261978913</v>
      </c>
      <c r="AY111" s="111">
        <v>220.59122176828362</v>
      </c>
    </row>
    <row r="112" spans="1:52" x14ac:dyDescent="0.2">
      <c r="A112" s="114"/>
      <c r="B112" s="125">
        <v>4</v>
      </c>
      <c r="C112" s="111"/>
      <c r="D112" s="111">
        <v>0</v>
      </c>
      <c r="E112" s="111">
        <v>0</v>
      </c>
      <c r="F112" s="111">
        <v>0</v>
      </c>
      <c r="G112" s="111">
        <v>0</v>
      </c>
      <c r="H112" s="111">
        <v>0</v>
      </c>
      <c r="I112" s="111">
        <v>0</v>
      </c>
      <c r="J112" s="111">
        <v>0</v>
      </c>
      <c r="K112" s="111">
        <v>0</v>
      </c>
      <c r="L112" s="111">
        <v>0</v>
      </c>
      <c r="M112" s="111">
        <v>0</v>
      </c>
      <c r="N112" s="111">
        <v>12.537780922799044</v>
      </c>
      <c r="O112" s="111">
        <v>73.940045917157263</v>
      </c>
      <c r="P112" s="111">
        <v>147.23292537720701</v>
      </c>
      <c r="Q112" s="111">
        <v>134.90674653184814</v>
      </c>
      <c r="R112" s="111">
        <v>151.7967802463221</v>
      </c>
      <c r="S112" s="111">
        <v>160.6879891039745</v>
      </c>
      <c r="T112" s="111">
        <v>150.69007707586167</v>
      </c>
      <c r="U112" s="111">
        <v>170.59195625056012</v>
      </c>
      <c r="V112" s="111">
        <v>170.87875903597757</v>
      </c>
      <c r="W112" s="111">
        <v>179.43688154285326</v>
      </c>
      <c r="X112" s="111">
        <v>189.23919179904138</v>
      </c>
      <c r="Y112" s="111">
        <v>174.86127102961072</v>
      </c>
      <c r="Z112" s="111">
        <v>165.49625386531193</v>
      </c>
      <c r="AA112" s="111">
        <v>153.36773841744306</v>
      </c>
      <c r="AB112" s="111">
        <v>140.45207451436104</v>
      </c>
      <c r="AC112" s="111">
        <v>134.62797700158723</v>
      </c>
      <c r="AD112" s="111">
        <v>132.28628924009078</v>
      </c>
      <c r="AE112" s="111">
        <v>130.078770254744</v>
      </c>
      <c r="AF112" s="111">
        <v>137.8920031679319</v>
      </c>
      <c r="AG112" s="111">
        <v>127.72391278980099</v>
      </c>
      <c r="AH112" s="111">
        <v>142.87263144948321</v>
      </c>
      <c r="AI112" s="111">
        <v>124.24769316085309</v>
      </c>
      <c r="AJ112" s="111">
        <v>111.60786374899668</v>
      </c>
      <c r="AK112" s="111">
        <v>134.79218355905974</v>
      </c>
      <c r="AL112" s="111">
        <v>123.68385208543839</v>
      </c>
      <c r="AM112" s="111">
        <v>107.48635375917917</v>
      </c>
      <c r="AN112" s="111">
        <v>115.20860526554584</v>
      </c>
      <c r="AO112" s="111">
        <v>112.65863162127587</v>
      </c>
      <c r="AP112" s="111">
        <v>129.36365534143292</v>
      </c>
      <c r="AQ112" s="111">
        <v>148.79817668957421</v>
      </c>
      <c r="AR112" s="111">
        <v>139.98896431191233</v>
      </c>
      <c r="AS112" s="111">
        <v>142.96067317201661</v>
      </c>
      <c r="AT112" s="111">
        <v>161.43521114611048</v>
      </c>
      <c r="AU112" s="111">
        <v>181.16229532279496</v>
      </c>
      <c r="AV112" s="111">
        <v>176.91667108181096</v>
      </c>
      <c r="AW112" s="111">
        <v>188.19560926492537</v>
      </c>
      <c r="AX112" s="111">
        <v>198.1728804398056</v>
      </c>
      <c r="AY112" s="111">
        <v>222.49469261978913</v>
      </c>
    </row>
    <row r="113" spans="1:52" x14ac:dyDescent="0.2">
      <c r="A113" s="114"/>
      <c r="B113" s="125">
        <v>5</v>
      </c>
      <c r="C113" s="111"/>
      <c r="D113" s="111">
        <v>0</v>
      </c>
      <c r="E113" s="111">
        <v>0</v>
      </c>
      <c r="F113" s="111">
        <v>0</v>
      </c>
      <c r="G113" s="111">
        <v>0</v>
      </c>
      <c r="H113" s="111">
        <v>0</v>
      </c>
      <c r="I113" s="111">
        <v>0</v>
      </c>
      <c r="J113" s="111">
        <v>0</v>
      </c>
      <c r="K113" s="111">
        <v>0</v>
      </c>
      <c r="L113" s="111">
        <v>0</v>
      </c>
      <c r="M113" s="111">
        <v>0</v>
      </c>
      <c r="N113" s="111">
        <v>0</v>
      </c>
      <c r="O113" s="111">
        <v>0</v>
      </c>
      <c r="P113" s="111">
        <v>2.9400459171572635</v>
      </c>
      <c r="Q113" s="111">
        <v>74.172971294364274</v>
      </c>
      <c r="R113" s="111">
        <v>120.07971782621242</v>
      </c>
      <c r="S113" s="111">
        <v>151.7967802463221</v>
      </c>
      <c r="T113" s="111">
        <v>160.6879891039745</v>
      </c>
      <c r="U113" s="111">
        <v>150.69007707586167</v>
      </c>
      <c r="V113" s="111">
        <v>170.59195625056012</v>
      </c>
      <c r="W113" s="111">
        <v>170.87875903597757</v>
      </c>
      <c r="X113" s="111">
        <v>179.43688154285326</v>
      </c>
      <c r="Y113" s="111">
        <v>189.23919179904138</v>
      </c>
      <c r="Z113" s="111">
        <v>174.86127102961072</v>
      </c>
      <c r="AA113" s="111">
        <v>165.49625386531193</v>
      </c>
      <c r="AB113" s="111">
        <v>153.36773841744306</v>
      </c>
      <c r="AC113" s="111">
        <v>140.45207451436104</v>
      </c>
      <c r="AD113" s="111">
        <v>134.62797700158723</v>
      </c>
      <c r="AE113" s="111">
        <v>132.28628924009078</v>
      </c>
      <c r="AF113" s="111">
        <v>130.078770254744</v>
      </c>
      <c r="AG113" s="111">
        <v>137.8920031679319</v>
      </c>
      <c r="AH113" s="111">
        <v>127.72391278980099</v>
      </c>
      <c r="AI113" s="111">
        <v>142.87263144948321</v>
      </c>
      <c r="AJ113" s="111">
        <v>124.24769316085309</v>
      </c>
      <c r="AK113" s="111">
        <v>111.60786374899668</v>
      </c>
      <c r="AL113" s="111">
        <v>134.79218355905974</v>
      </c>
      <c r="AM113" s="111">
        <v>123.68385208543839</v>
      </c>
      <c r="AN113" s="111">
        <v>107.48635375917917</v>
      </c>
      <c r="AO113" s="111">
        <v>115.20860526554584</v>
      </c>
      <c r="AP113" s="111">
        <v>112.65863162127587</v>
      </c>
      <c r="AQ113" s="111">
        <v>129.36365534143292</v>
      </c>
      <c r="AR113" s="111">
        <v>148.79817668957421</v>
      </c>
      <c r="AS113" s="111">
        <v>139.98896431191233</v>
      </c>
      <c r="AT113" s="111">
        <v>142.96067317201661</v>
      </c>
      <c r="AU113" s="111">
        <v>161.43521114611048</v>
      </c>
      <c r="AV113" s="111">
        <v>181.16229532279496</v>
      </c>
      <c r="AW113" s="111">
        <v>176.91667108181096</v>
      </c>
      <c r="AX113" s="111">
        <v>188.19560926492537</v>
      </c>
      <c r="AY113" s="111">
        <v>198.1728804398056</v>
      </c>
    </row>
    <row r="114" spans="1:52" x14ac:dyDescent="0.2">
      <c r="A114" s="114"/>
      <c r="B114" s="125">
        <v>6</v>
      </c>
      <c r="C114" s="111"/>
      <c r="D114" s="111">
        <v>0</v>
      </c>
      <c r="E114" s="111">
        <v>0</v>
      </c>
      <c r="F114" s="111">
        <v>0</v>
      </c>
      <c r="G114" s="111">
        <v>0</v>
      </c>
      <c r="H114" s="111">
        <v>0</v>
      </c>
      <c r="I114" s="111">
        <v>0</v>
      </c>
      <c r="J114" s="111">
        <v>0</v>
      </c>
      <c r="K114" s="111">
        <v>0</v>
      </c>
      <c r="L114" s="111">
        <v>0</v>
      </c>
      <c r="M114" s="111">
        <v>0</v>
      </c>
      <c r="N114" s="111">
        <v>0</v>
      </c>
      <c r="O114" s="111">
        <v>0</v>
      </c>
      <c r="P114" s="111">
        <v>0</v>
      </c>
      <c r="Q114" s="111">
        <v>0</v>
      </c>
      <c r="R114" s="111">
        <v>0</v>
      </c>
      <c r="S114" s="111">
        <v>62.079717826212416</v>
      </c>
      <c r="T114" s="111">
        <v>151.7967802463221</v>
      </c>
      <c r="U114" s="111">
        <v>160.6879891039745</v>
      </c>
      <c r="V114" s="111">
        <v>150.69007707586167</v>
      </c>
      <c r="W114" s="111">
        <v>170.59195625056012</v>
      </c>
      <c r="X114" s="111">
        <v>170.87875903597757</v>
      </c>
      <c r="Y114" s="111">
        <v>179.43688154285326</v>
      </c>
      <c r="Z114" s="111">
        <v>189.23919179904138</v>
      </c>
      <c r="AA114" s="111">
        <v>174.86127102961072</v>
      </c>
      <c r="AB114" s="111">
        <v>165.49625386531193</v>
      </c>
      <c r="AC114" s="111">
        <v>153.36773841744306</v>
      </c>
      <c r="AD114" s="111">
        <v>140.45207451436104</v>
      </c>
      <c r="AE114" s="111">
        <v>134.62797700158723</v>
      </c>
      <c r="AF114" s="111">
        <v>132.28628924009078</v>
      </c>
      <c r="AG114" s="111">
        <v>130.078770254744</v>
      </c>
      <c r="AH114" s="111">
        <v>137.8920031679319</v>
      </c>
      <c r="AI114" s="111">
        <v>127.72391278980099</v>
      </c>
      <c r="AJ114" s="111">
        <v>142.87263144948321</v>
      </c>
      <c r="AK114" s="111">
        <v>124.24769316085309</v>
      </c>
      <c r="AL114" s="111">
        <v>111.60786374899668</v>
      </c>
      <c r="AM114" s="111">
        <v>134.79218355905974</v>
      </c>
      <c r="AN114" s="111">
        <v>123.68385208543839</v>
      </c>
      <c r="AO114" s="111">
        <v>107.48635375917917</v>
      </c>
      <c r="AP114" s="111">
        <v>115.20860526554584</v>
      </c>
      <c r="AQ114" s="111">
        <v>112.65863162127587</v>
      </c>
      <c r="AR114" s="111">
        <v>129.36365534143292</v>
      </c>
      <c r="AS114" s="111">
        <v>148.79817668957421</v>
      </c>
      <c r="AT114" s="111">
        <v>139.98896431191233</v>
      </c>
      <c r="AU114" s="111">
        <v>142.96067317201661</v>
      </c>
      <c r="AV114" s="111">
        <v>161.43521114611048</v>
      </c>
      <c r="AW114" s="111">
        <v>181.16229532279496</v>
      </c>
      <c r="AX114" s="111">
        <v>176.91667108181096</v>
      </c>
      <c r="AY114" s="111">
        <v>188.19560926492537</v>
      </c>
    </row>
    <row r="115" spans="1:52" x14ac:dyDescent="0.2">
      <c r="A115" s="114"/>
      <c r="B115" s="132">
        <v>7</v>
      </c>
      <c r="C115" s="111"/>
      <c r="D115" s="111">
        <v>0</v>
      </c>
      <c r="E115" s="111">
        <v>0</v>
      </c>
      <c r="F115" s="111">
        <v>0</v>
      </c>
      <c r="G115" s="111">
        <v>0</v>
      </c>
      <c r="H115" s="111">
        <v>0</v>
      </c>
      <c r="I115" s="111">
        <v>0</v>
      </c>
      <c r="J115" s="111">
        <v>0</v>
      </c>
      <c r="K115" s="111">
        <v>0</v>
      </c>
      <c r="L115" s="111">
        <v>0</v>
      </c>
      <c r="M115" s="111">
        <v>0</v>
      </c>
      <c r="N115" s="111">
        <v>0</v>
      </c>
      <c r="O115" s="111">
        <v>0</v>
      </c>
      <c r="P115" s="111">
        <v>0</v>
      </c>
      <c r="Q115" s="111">
        <v>0</v>
      </c>
      <c r="R115" s="111">
        <v>0</v>
      </c>
      <c r="S115" s="111">
        <v>0</v>
      </c>
      <c r="T115" s="111">
        <v>7.9717826212416298E-2</v>
      </c>
      <c r="U115" s="111">
        <v>65.876498072534517</v>
      </c>
      <c r="V115" s="111">
        <v>133.56448717650903</v>
      </c>
      <c r="W115" s="111">
        <v>150.69007707586167</v>
      </c>
      <c r="X115" s="111">
        <v>170.59195625056012</v>
      </c>
      <c r="Y115" s="111">
        <v>170.87875903597757</v>
      </c>
      <c r="Z115" s="111">
        <v>179.43688154285326</v>
      </c>
      <c r="AA115" s="111">
        <v>189.23919179904138</v>
      </c>
      <c r="AB115" s="111">
        <v>174.86127102961072</v>
      </c>
      <c r="AC115" s="111">
        <v>165.49625386531193</v>
      </c>
      <c r="AD115" s="111">
        <v>153.36773841744306</v>
      </c>
      <c r="AE115" s="111">
        <v>140.45207451436104</v>
      </c>
      <c r="AF115" s="111">
        <v>134.62797700158723</v>
      </c>
      <c r="AG115" s="111">
        <v>132.28628924009078</v>
      </c>
      <c r="AH115" s="111">
        <v>130.078770254744</v>
      </c>
      <c r="AI115" s="111">
        <v>137.8920031679319</v>
      </c>
      <c r="AJ115" s="111">
        <v>127.72391278980099</v>
      </c>
      <c r="AK115" s="111">
        <v>142.87263144948321</v>
      </c>
      <c r="AL115" s="111">
        <v>124.24769316085309</v>
      </c>
      <c r="AM115" s="111">
        <v>111.60786374899668</v>
      </c>
      <c r="AN115" s="111">
        <v>134.79218355905974</v>
      </c>
      <c r="AO115" s="111">
        <v>123.68385208543839</v>
      </c>
      <c r="AP115" s="111">
        <v>107.48635375917917</v>
      </c>
      <c r="AQ115" s="111">
        <v>115.20860526554584</v>
      </c>
      <c r="AR115" s="111">
        <v>112.65863162127587</v>
      </c>
      <c r="AS115" s="111">
        <v>129.36365534143292</v>
      </c>
      <c r="AT115" s="111">
        <v>148.79817668957421</v>
      </c>
      <c r="AU115" s="111">
        <v>139.98896431191233</v>
      </c>
      <c r="AV115" s="111">
        <v>142.96067317201661</v>
      </c>
      <c r="AW115" s="111">
        <v>161.43521114611048</v>
      </c>
      <c r="AX115" s="111">
        <v>181.16229532279496</v>
      </c>
      <c r="AY115" s="111">
        <v>176.91667108181096</v>
      </c>
    </row>
    <row r="116" spans="1:52" x14ac:dyDescent="0.2">
      <c r="A116" s="114"/>
      <c r="B116" s="132">
        <v>8</v>
      </c>
      <c r="C116" s="111"/>
      <c r="D116" s="111">
        <v>0</v>
      </c>
      <c r="E116" s="111">
        <v>0</v>
      </c>
      <c r="F116" s="111">
        <v>0</v>
      </c>
      <c r="G116" s="111">
        <v>0</v>
      </c>
      <c r="H116" s="111">
        <v>0</v>
      </c>
      <c r="I116" s="111">
        <v>0</v>
      </c>
      <c r="J116" s="111">
        <v>0</v>
      </c>
      <c r="K116" s="111">
        <v>0</v>
      </c>
      <c r="L116" s="111">
        <v>0</v>
      </c>
      <c r="M116" s="111">
        <v>0</v>
      </c>
      <c r="N116" s="111">
        <v>0</v>
      </c>
      <c r="O116" s="111">
        <v>0</v>
      </c>
      <c r="P116" s="111">
        <v>0</v>
      </c>
      <c r="Q116" s="111">
        <v>0</v>
      </c>
      <c r="R116" s="111">
        <v>0</v>
      </c>
      <c r="S116" s="111">
        <v>0</v>
      </c>
      <c r="T116" s="111">
        <v>0</v>
      </c>
      <c r="U116" s="111">
        <v>0</v>
      </c>
      <c r="V116" s="111">
        <v>0</v>
      </c>
      <c r="W116" s="111">
        <v>71.564487176509033</v>
      </c>
      <c r="X116" s="111">
        <v>107.2545642523707</v>
      </c>
      <c r="Y116" s="111">
        <v>170.59195625056012</v>
      </c>
      <c r="Z116" s="111">
        <v>170.87875903597757</v>
      </c>
      <c r="AA116" s="111">
        <v>179.43688154285326</v>
      </c>
      <c r="AB116" s="111">
        <v>189.23919179904138</v>
      </c>
      <c r="AC116" s="111">
        <v>174.86127102961072</v>
      </c>
      <c r="AD116" s="111">
        <v>165.49625386531193</v>
      </c>
      <c r="AE116" s="111">
        <v>153.36773841744306</v>
      </c>
      <c r="AF116" s="111">
        <v>140.45207451436104</v>
      </c>
      <c r="AG116" s="111">
        <v>134.62797700158723</v>
      </c>
      <c r="AH116" s="111">
        <v>132.28628924009078</v>
      </c>
      <c r="AI116" s="111">
        <v>130.078770254744</v>
      </c>
      <c r="AJ116" s="111">
        <v>137.8920031679319</v>
      </c>
      <c r="AK116" s="111">
        <v>127.72391278980099</v>
      </c>
      <c r="AL116" s="111">
        <v>142.87263144948321</v>
      </c>
      <c r="AM116" s="111">
        <v>124.24769316085309</v>
      </c>
      <c r="AN116" s="111">
        <v>111.60786374899668</v>
      </c>
      <c r="AO116" s="111">
        <v>134.79218355905974</v>
      </c>
      <c r="AP116" s="111">
        <v>123.68385208543839</v>
      </c>
      <c r="AQ116" s="111">
        <v>107.48635375917917</v>
      </c>
      <c r="AR116" s="111">
        <v>115.20860526554584</v>
      </c>
      <c r="AS116" s="111">
        <v>112.65863162127587</v>
      </c>
      <c r="AT116" s="111">
        <v>129.36365534143292</v>
      </c>
      <c r="AU116" s="111">
        <v>148.79817668957421</v>
      </c>
      <c r="AV116" s="111">
        <v>139.98896431191233</v>
      </c>
      <c r="AW116" s="111">
        <v>142.96067317201661</v>
      </c>
      <c r="AX116" s="111">
        <v>161.43521114611048</v>
      </c>
      <c r="AY116" s="111">
        <v>154.6524694862552</v>
      </c>
    </row>
    <row r="117" spans="1:52" x14ac:dyDescent="0.2">
      <c r="A117" s="114"/>
      <c r="B117" s="132">
        <v>9</v>
      </c>
      <c r="C117" s="111"/>
      <c r="D117" s="111">
        <v>0</v>
      </c>
      <c r="E117" s="111">
        <v>0</v>
      </c>
      <c r="F117" s="111">
        <v>0</v>
      </c>
      <c r="G117" s="111">
        <v>0</v>
      </c>
      <c r="H117" s="111">
        <v>0</v>
      </c>
      <c r="I117" s="111">
        <v>0</v>
      </c>
      <c r="J117" s="111">
        <v>0</v>
      </c>
      <c r="K117" s="111">
        <v>0</v>
      </c>
      <c r="L117" s="111">
        <v>0</v>
      </c>
      <c r="M117" s="111">
        <v>0</v>
      </c>
      <c r="N117" s="111">
        <v>0</v>
      </c>
      <c r="O117" s="111">
        <v>0</v>
      </c>
      <c r="P117" s="111">
        <v>0</v>
      </c>
      <c r="Q117" s="111">
        <v>0</v>
      </c>
      <c r="R117" s="111">
        <v>0</v>
      </c>
      <c r="S117" s="111">
        <v>0</v>
      </c>
      <c r="T117" s="111">
        <v>0</v>
      </c>
      <c r="U117" s="111">
        <v>0</v>
      </c>
      <c r="V117" s="111">
        <v>0</v>
      </c>
      <c r="W117" s="111">
        <v>0</v>
      </c>
      <c r="X117" s="111">
        <v>0</v>
      </c>
      <c r="Y117" s="111">
        <v>35.254564252370699</v>
      </c>
      <c r="Z117" s="111">
        <v>109.84652050293082</v>
      </c>
      <c r="AA117" s="111">
        <v>170.87875903597757</v>
      </c>
      <c r="AB117" s="111">
        <v>179.43688154285326</v>
      </c>
      <c r="AC117" s="111">
        <v>189.23919179904138</v>
      </c>
      <c r="AD117" s="111">
        <v>174.86127102961072</v>
      </c>
      <c r="AE117" s="111">
        <v>165.49625386531193</v>
      </c>
      <c r="AF117" s="111">
        <v>153.36773841744306</v>
      </c>
      <c r="AG117" s="111">
        <v>140.45207451436104</v>
      </c>
      <c r="AH117" s="111">
        <v>134.62797700158723</v>
      </c>
      <c r="AI117" s="111">
        <v>132.28628924009078</v>
      </c>
      <c r="AJ117" s="111">
        <v>130.078770254744</v>
      </c>
      <c r="AK117" s="111">
        <v>137.8920031679319</v>
      </c>
      <c r="AL117" s="111">
        <v>127.72391278980099</v>
      </c>
      <c r="AM117" s="111">
        <v>142.87263144948321</v>
      </c>
      <c r="AN117" s="111">
        <v>124.24769316085309</v>
      </c>
      <c r="AO117" s="111">
        <v>111.60786374899668</v>
      </c>
      <c r="AP117" s="111">
        <v>134.79218355905974</v>
      </c>
      <c r="AQ117" s="111">
        <v>123.68385208543839</v>
      </c>
      <c r="AR117" s="111">
        <v>107.48635375917917</v>
      </c>
      <c r="AS117" s="111">
        <v>115.20860526554584</v>
      </c>
      <c r="AT117" s="111">
        <v>112.65863162127587</v>
      </c>
      <c r="AU117" s="111">
        <v>66.485896644891909</v>
      </c>
      <c r="AV117" s="111">
        <v>57.163915047174882</v>
      </c>
      <c r="AW117" s="111">
        <v>18.916115168662245</v>
      </c>
      <c r="AX117" s="111">
        <v>8.4603044403377368</v>
      </c>
      <c r="AY117" s="111">
        <v>0</v>
      </c>
    </row>
    <row r="118" spans="1:52" x14ac:dyDescent="0.2">
      <c r="A118" s="114"/>
      <c r="B118" s="135">
        <v>10</v>
      </c>
      <c r="C118" s="111"/>
      <c r="D118" s="111">
        <v>0</v>
      </c>
      <c r="E118" s="111">
        <v>0</v>
      </c>
      <c r="F118" s="111">
        <v>0</v>
      </c>
      <c r="G118" s="111">
        <v>0</v>
      </c>
      <c r="H118" s="111">
        <v>0</v>
      </c>
      <c r="I118" s="111">
        <v>0</v>
      </c>
      <c r="J118" s="111">
        <v>0</v>
      </c>
      <c r="K118" s="111">
        <v>0</v>
      </c>
      <c r="L118" s="111">
        <v>0</v>
      </c>
      <c r="M118" s="111">
        <v>0</v>
      </c>
      <c r="N118" s="111">
        <v>0</v>
      </c>
      <c r="O118" s="111">
        <v>0</v>
      </c>
      <c r="P118" s="111">
        <v>0</v>
      </c>
      <c r="Q118" s="111">
        <v>0</v>
      </c>
      <c r="R118" s="111">
        <v>0</v>
      </c>
      <c r="S118" s="111">
        <v>0</v>
      </c>
      <c r="T118" s="111">
        <v>0</v>
      </c>
      <c r="U118" s="111">
        <v>0</v>
      </c>
      <c r="V118" s="111">
        <v>0</v>
      </c>
      <c r="W118" s="111">
        <v>0</v>
      </c>
      <c r="X118" s="111">
        <v>0</v>
      </c>
      <c r="Y118" s="111">
        <v>0</v>
      </c>
      <c r="Z118" s="111">
        <v>0</v>
      </c>
      <c r="AA118" s="111">
        <v>24.846520502930815</v>
      </c>
      <c r="AB118" s="111">
        <v>90.725279538908381</v>
      </c>
      <c r="AC118" s="111">
        <v>179.43688154285326</v>
      </c>
      <c r="AD118" s="111">
        <v>189.23919179904138</v>
      </c>
      <c r="AE118" s="111">
        <v>174.86127102961072</v>
      </c>
      <c r="AF118" s="111">
        <v>165.49625386531193</v>
      </c>
      <c r="AG118" s="111">
        <v>153.36773841744306</v>
      </c>
      <c r="AH118" s="111">
        <v>140.45207451436104</v>
      </c>
      <c r="AI118" s="111">
        <v>134.62797700158723</v>
      </c>
      <c r="AJ118" s="111">
        <v>132.28628924009078</v>
      </c>
      <c r="AK118" s="111">
        <v>130.078770254744</v>
      </c>
      <c r="AL118" s="111">
        <v>137.8920031679319</v>
      </c>
      <c r="AM118" s="111">
        <v>127.72391278980099</v>
      </c>
      <c r="AN118" s="111">
        <v>142.87263144948321</v>
      </c>
      <c r="AO118" s="111">
        <v>124.24769316085309</v>
      </c>
      <c r="AP118" s="111">
        <v>111.60786374899668</v>
      </c>
      <c r="AQ118" s="111">
        <v>134.79218355905974</v>
      </c>
      <c r="AR118" s="111">
        <v>123.68385208543839</v>
      </c>
      <c r="AS118" s="111">
        <v>82.30944474527891</v>
      </c>
      <c r="AT118" s="111">
        <v>54.780049295424078</v>
      </c>
      <c r="AU118" s="111">
        <v>0</v>
      </c>
      <c r="AV118" s="111">
        <v>0</v>
      </c>
      <c r="AW118" s="111">
        <v>0</v>
      </c>
      <c r="AX118" s="111">
        <v>0</v>
      </c>
      <c r="AY118" s="111">
        <v>0</v>
      </c>
    </row>
    <row r="119" spans="1:52" x14ac:dyDescent="0.2">
      <c r="A119" s="114"/>
      <c r="B119" s="135">
        <v>11</v>
      </c>
      <c r="C119" s="111"/>
      <c r="D119" s="111">
        <v>0</v>
      </c>
      <c r="E119" s="111">
        <v>0</v>
      </c>
      <c r="F119" s="111">
        <v>0</v>
      </c>
      <c r="G119" s="111">
        <v>0</v>
      </c>
      <c r="H119" s="111">
        <v>0</v>
      </c>
      <c r="I119" s="111">
        <v>0</v>
      </c>
      <c r="J119" s="111">
        <v>0</v>
      </c>
      <c r="K119" s="111">
        <v>0</v>
      </c>
      <c r="L119" s="111">
        <v>0</v>
      </c>
      <c r="M119" s="111">
        <v>0</v>
      </c>
      <c r="N119" s="111">
        <v>0</v>
      </c>
      <c r="O119" s="111">
        <v>0</v>
      </c>
      <c r="P119" s="111">
        <v>0</v>
      </c>
      <c r="Q119" s="111">
        <v>0</v>
      </c>
      <c r="R119" s="111">
        <v>0</v>
      </c>
      <c r="S119" s="111">
        <v>0</v>
      </c>
      <c r="T119" s="111">
        <v>0</v>
      </c>
      <c r="U119" s="111">
        <v>0</v>
      </c>
      <c r="V119" s="111">
        <v>0</v>
      </c>
      <c r="W119" s="111">
        <v>0</v>
      </c>
      <c r="X119" s="111">
        <v>0</v>
      </c>
      <c r="Y119" s="111">
        <v>0</v>
      </c>
      <c r="Z119" s="111">
        <v>0</v>
      </c>
      <c r="AA119" s="111">
        <v>0</v>
      </c>
      <c r="AB119" s="111">
        <v>0</v>
      </c>
      <c r="AC119" s="111">
        <v>26.725279538908381</v>
      </c>
      <c r="AD119" s="111">
        <v>119.16216108176164</v>
      </c>
      <c r="AE119" s="111">
        <v>189.23919179904138</v>
      </c>
      <c r="AF119" s="111">
        <v>174.86127102961072</v>
      </c>
      <c r="AG119" s="111">
        <v>165.49625386531193</v>
      </c>
      <c r="AH119" s="111">
        <v>153.36773841744306</v>
      </c>
      <c r="AI119" s="111">
        <v>140.45207451436104</v>
      </c>
      <c r="AJ119" s="111">
        <v>134.62797700158723</v>
      </c>
      <c r="AK119" s="111">
        <v>132.28628924009078</v>
      </c>
      <c r="AL119" s="111">
        <v>130.078770254744</v>
      </c>
      <c r="AM119" s="111">
        <v>116.55220455948071</v>
      </c>
      <c r="AN119" s="111">
        <v>123.71743283345673</v>
      </c>
      <c r="AO119" s="111">
        <v>129.46882166857446</v>
      </c>
      <c r="AP119" s="111">
        <v>65.70493753936077</v>
      </c>
      <c r="AQ119" s="111">
        <v>2.718998611543725</v>
      </c>
      <c r="AR119" s="111">
        <v>12.257968277810953</v>
      </c>
      <c r="AS119" s="111">
        <v>0</v>
      </c>
      <c r="AT119" s="111">
        <v>0</v>
      </c>
      <c r="AU119" s="111">
        <v>0</v>
      </c>
      <c r="AV119" s="111">
        <v>0</v>
      </c>
      <c r="AW119" s="111">
        <v>0</v>
      </c>
      <c r="AX119" s="111">
        <v>0</v>
      </c>
      <c r="AY119" s="111">
        <v>0</v>
      </c>
    </row>
    <row r="120" spans="1:52" x14ac:dyDescent="0.2">
      <c r="A120" s="114"/>
      <c r="B120" s="135">
        <v>12</v>
      </c>
      <c r="C120" s="111"/>
      <c r="D120" s="111">
        <v>0</v>
      </c>
      <c r="E120" s="111">
        <v>0</v>
      </c>
      <c r="F120" s="111">
        <v>0</v>
      </c>
      <c r="G120" s="111">
        <v>0</v>
      </c>
      <c r="H120" s="111">
        <v>0</v>
      </c>
      <c r="I120" s="111">
        <v>0</v>
      </c>
      <c r="J120" s="111">
        <v>0</v>
      </c>
      <c r="K120" s="111">
        <v>0</v>
      </c>
      <c r="L120" s="111">
        <v>0</v>
      </c>
      <c r="M120" s="111">
        <v>0</v>
      </c>
      <c r="N120" s="111">
        <v>0</v>
      </c>
      <c r="O120" s="111">
        <v>0</v>
      </c>
      <c r="P120" s="111">
        <v>0</v>
      </c>
      <c r="Q120" s="111">
        <v>0</v>
      </c>
      <c r="R120" s="111">
        <v>0</v>
      </c>
      <c r="S120" s="111">
        <v>0</v>
      </c>
      <c r="T120" s="111">
        <v>0</v>
      </c>
      <c r="U120" s="111">
        <v>0</v>
      </c>
      <c r="V120" s="111">
        <v>0</v>
      </c>
      <c r="W120" s="111">
        <v>0</v>
      </c>
      <c r="X120" s="111">
        <v>0</v>
      </c>
      <c r="Y120" s="111">
        <v>0</v>
      </c>
      <c r="Z120" s="111">
        <v>0</v>
      </c>
      <c r="AA120" s="111">
        <v>0</v>
      </c>
      <c r="AB120" s="111">
        <v>0</v>
      </c>
      <c r="AC120" s="111">
        <v>0</v>
      </c>
      <c r="AD120" s="111">
        <v>0</v>
      </c>
      <c r="AE120" s="111">
        <v>36.574310258320551</v>
      </c>
      <c r="AF120" s="111">
        <v>134.69176417603251</v>
      </c>
      <c r="AG120" s="111">
        <v>13.830605858785106</v>
      </c>
      <c r="AH120" s="111">
        <v>61.516391987596869</v>
      </c>
      <c r="AI120" s="111">
        <v>144.79114116892436</v>
      </c>
      <c r="AJ120" s="111">
        <v>89.498203349316768</v>
      </c>
      <c r="AK120" s="111">
        <v>122.73594235157981</v>
      </c>
      <c r="AL120" s="111">
        <v>39.521740664156596</v>
      </c>
      <c r="AM120" s="111">
        <v>0</v>
      </c>
      <c r="AN120" s="111">
        <v>0</v>
      </c>
      <c r="AO120" s="111">
        <v>0</v>
      </c>
      <c r="AP120" s="111">
        <v>0</v>
      </c>
      <c r="AQ120" s="111">
        <v>0</v>
      </c>
      <c r="AR120" s="111">
        <v>0</v>
      </c>
      <c r="AS120" s="111">
        <v>0</v>
      </c>
      <c r="AT120" s="111">
        <v>0</v>
      </c>
      <c r="AU120" s="111">
        <v>0</v>
      </c>
      <c r="AV120" s="111">
        <v>0</v>
      </c>
      <c r="AW120" s="111">
        <v>0</v>
      </c>
      <c r="AX120" s="111">
        <v>0</v>
      </c>
      <c r="AY120" s="111">
        <v>0</v>
      </c>
    </row>
    <row r="121" spans="1:52" x14ac:dyDescent="0.2">
      <c r="A121" s="133"/>
      <c r="B121" s="137" t="s">
        <v>298</v>
      </c>
      <c r="C121" s="119"/>
      <c r="D121" s="130">
        <v>0</v>
      </c>
      <c r="E121" s="130">
        <v>0</v>
      </c>
      <c r="F121" s="130">
        <v>0</v>
      </c>
      <c r="G121" s="130">
        <v>0</v>
      </c>
      <c r="H121" s="130">
        <v>0</v>
      </c>
      <c r="I121" s="130">
        <v>0</v>
      </c>
      <c r="J121" s="130">
        <v>0</v>
      </c>
      <c r="K121" s="130">
        <v>0</v>
      </c>
      <c r="L121" s="130">
        <v>0</v>
      </c>
      <c r="M121" s="130">
        <v>0</v>
      </c>
      <c r="N121" s="130">
        <v>0</v>
      </c>
      <c r="O121" s="130">
        <v>0</v>
      </c>
      <c r="P121" s="130">
        <v>0</v>
      </c>
      <c r="Q121" s="130">
        <v>0</v>
      </c>
      <c r="R121" s="130">
        <v>0</v>
      </c>
      <c r="S121" s="130">
        <v>0</v>
      </c>
      <c r="T121" s="130">
        <v>0</v>
      </c>
      <c r="U121" s="130">
        <v>0</v>
      </c>
      <c r="V121" s="130">
        <v>0</v>
      </c>
      <c r="W121" s="130">
        <v>0</v>
      </c>
      <c r="X121" s="130">
        <v>0</v>
      </c>
      <c r="Y121" s="130">
        <v>0</v>
      </c>
      <c r="Z121" s="130">
        <v>0</v>
      </c>
      <c r="AA121" s="130">
        <v>0</v>
      </c>
      <c r="AB121" s="130">
        <v>0</v>
      </c>
      <c r="AC121" s="130">
        <v>0</v>
      </c>
      <c r="AD121" s="130">
        <v>0</v>
      </c>
      <c r="AE121" s="130">
        <v>0</v>
      </c>
      <c r="AF121" s="130">
        <v>0</v>
      </c>
      <c r="AG121" s="130">
        <v>40.691764176032507</v>
      </c>
      <c r="AH121" s="130">
        <v>0</v>
      </c>
      <c r="AI121" s="130">
        <v>0</v>
      </c>
      <c r="AJ121" s="130">
        <v>66.791141168924355</v>
      </c>
      <c r="AK121" s="130">
        <v>7.4982033493167677</v>
      </c>
      <c r="AL121" s="130">
        <v>18.735942351579808</v>
      </c>
      <c r="AM121" s="130">
        <v>0</v>
      </c>
      <c r="AN121" s="130">
        <v>0</v>
      </c>
      <c r="AO121" s="130">
        <v>0</v>
      </c>
      <c r="AP121" s="130">
        <v>0</v>
      </c>
      <c r="AQ121" s="130">
        <v>0</v>
      </c>
      <c r="AR121" s="130">
        <v>0</v>
      </c>
      <c r="AS121" s="130">
        <v>0</v>
      </c>
      <c r="AT121" s="130">
        <v>0</v>
      </c>
      <c r="AU121" s="130">
        <v>0</v>
      </c>
      <c r="AV121" s="130">
        <v>0</v>
      </c>
      <c r="AW121" s="130">
        <v>0</v>
      </c>
      <c r="AX121" s="130">
        <v>0</v>
      </c>
      <c r="AY121" s="130">
        <v>0</v>
      </c>
      <c r="AZ121" s="112">
        <f>SUM($D121:$AY121)</f>
        <v>133.71705104585345</v>
      </c>
    </row>
    <row r="122" spans="1:52" x14ac:dyDescent="0.2">
      <c r="A122" s="136" t="s">
        <v>123</v>
      </c>
      <c r="B122" s="124">
        <v>1</v>
      </c>
      <c r="C122" s="111"/>
      <c r="D122" s="111">
        <v>737.97113692361847</v>
      </c>
      <c r="E122" s="111">
        <v>737.97113692361847</v>
      </c>
      <c r="F122" s="111">
        <v>810.45998410473453</v>
      </c>
      <c r="G122" s="111">
        <v>810.45998410473453</v>
      </c>
      <c r="H122" s="111">
        <v>810.45998410473453</v>
      </c>
      <c r="I122" s="111">
        <v>810.45998410473453</v>
      </c>
      <c r="J122" s="111">
        <v>817.70886882284606</v>
      </c>
      <c r="K122" s="111">
        <v>817.70886882284606</v>
      </c>
      <c r="L122" s="111">
        <v>817.70886882284606</v>
      </c>
      <c r="M122" s="111">
        <v>737.97113692361847</v>
      </c>
      <c r="N122" s="111">
        <v>897.44660072207375</v>
      </c>
      <c r="O122" s="111">
        <v>817.70886882284606</v>
      </c>
      <c r="P122" s="111">
        <v>817.70886882284606</v>
      </c>
      <c r="Q122" s="111">
        <v>817.70886882284606</v>
      </c>
      <c r="R122" s="111">
        <v>810.45998410473453</v>
      </c>
      <c r="S122" s="111">
        <v>810.45998410473453</v>
      </c>
      <c r="T122" s="111">
        <v>810.45998410473453</v>
      </c>
      <c r="U122" s="111">
        <v>810.45998410473453</v>
      </c>
      <c r="V122" s="111">
        <v>803.21109938662289</v>
      </c>
      <c r="W122" s="111">
        <v>803.21109938662289</v>
      </c>
      <c r="X122" s="111">
        <v>803.21109938662289</v>
      </c>
      <c r="Y122" s="111">
        <v>803.21109938662289</v>
      </c>
      <c r="Z122" s="111">
        <v>803.21109938662289</v>
      </c>
      <c r="AA122" s="111">
        <v>803.21109938662289</v>
      </c>
      <c r="AB122" s="111">
        <v>803.21109938662289</v>
      </c>
      <c r="AC122" s="111">
        <v>803.21109938662289</v>
      </c>
      <c r="AD122" s="111">
        <v>803.21109938662289</v>
      </c>
      <c r="AE122" s="111">
        <v>803.21109938662289</v>
      </c>
      <c r="AF122" s="111">
        <v>737.97113692361847</v>
      </c>
      <c r="AG122" s="111">
        <v>868.45106184962731</v>
      </c>
      <c r="AH122" s="111">
        <v>817.70886882284606</v>
      </c>
      <c r="AI122" s="111">
        <v>817.70886882284606</v>
      </c>
      <c r="AJ122" s="111">
        <v>817.70886882284606</v>
      </c>
      <c r="AK122" s="111">
        <v>817.70886882284606</v>
      </c>
      <c r="AL122" s="111">
        <v>817.70886882284606</v>
      </c>
      <c r="AM122" s="111">
        <v>817.70886882284606</v>
      </c>
      <c r="AN122" s="111">
        <v>889.7060529129551</v>
      </c>
      <c r="AO122" s="111">
        <v>889.7060529129551</v>
      </c>
      <c r="AP122" s="111">
        <v>889.7060529129551</v>
      </c>
      <c r="AQ122" s="111">
        <v>889.7060529129551</v>
      </c>
      <c r="AR122" s="111">
        <v>889.7060529129551</v>
      </c>
      <c r="AS122" s="111">
        <v>889.7060529129551</v>
      </c>
      <c r="AT122" s="111">
        <v>809.96832101372752</v>
      </c>
      <c r="AU122" s="111">
        <v>954.94601537595952</v>
      </c>
      <c r="AV122" s="111">
        <v>810.45998410473453</v>
      </c>
      <c r="AW122" s="111">
        <v>810.45998410473453</v>
      </c>
      <c r="AX122" s="111">
        <v>803.21109938662289</v>
      </c>
      <c r="AY122" s="111">
        <v>803.21109938662289</v>
      </c>
    </row>
    <row r="123" spans="1:52" x14ac:dyDescent="0.2">
      <c r="A123" s="114"/>
      <c r="B123" s="124">
        <v>2</v>
      </c>
      <c r="C123" s="111"/>
      <c r="D123" s="111">
        <v>0</v>
      </c>
      <c r="E123" s="111">
        <v>130.17402323125668</v>
      </c>
      <c r="F123" s="111">
        <v>207.33064413938769</v>
      </c>
      <c r="G123" s="111">
        <v>175.01156541971</v>
      </c>
      <c r="H123" s="111">
        <v>276.9243945720001</v>
      </c>
      <c r="I123" s="111">
        <v>398.64594080906119</v>
      </c>
      <c r="J123" s="111">
        <v>338.19533242241619</v>
      </c>
      <c r="K123" s="111">
        <v>426.31378112073605</v>
      </c>
      <c r="L123" s="111">
        <v>654.62038494922399</v>
      </c>
      <c r="M123" s="111">
        <v>611.09632839486312</v>
      </c>
      <c r="N123" s="111">
        <v>620.52120174114725</v>
      </c>
      <c r="O123" s="111">
        <v>789.1710222168989</v>
      </c>
      <c r="P123" s="111">
        <v>689.19190193577049</v>
      </c>
      <c r="Q123" s="111">
        <v>735.93798194056149</v>
      </c>
      <c r="R123" s="111">
        <v>735.93798194056149</v>
      </c>
      <c r="S123" s="111">
        <v>729.4139856942611</v>
      </c>
      <c r="T123" s="111">
        <v>729.4139856942611</v>
      </c>
      <c r="U123" s="111">
        <v>729.4139856942611</v>
      </c>
      <c r="V123" s="111">
        <v>729.4139856942611</v>
      </c>
      <c r="W123" s="111">
        <v>722.8899894479606</v>
      </c>
      <c r="X123" s="111">
        <v>601.30964575698749</v>
      </c>
      <c r="Y123" s="111">
        <v>543.06867062924937</v>
      </c>
      <c r="Z123" s="111">
        <v>519.65179301428498</v>
      </c>
      <c r="AA123" s="111">
        <v>497.57660316081711</v>
      </c>
      <c r="AB123" s="111">
        <v>575.70893229269609</v>
      </c>
      <c r="AC123" s="111">
        <v>474.02802851138711</v>
      </c>
      <c r="AD123" s="111">
        <v>625.51521510820908</v>
      </c>
      <c r="AE123" s="111">
        <v>439.26583222190777</v>
      </c>
      <c r="AF123" s="111">
        <v>378.10750056634822</v>
      </c>
      <c r="AG123" s="111">
        <v>479.47077374097012</v>
      </c>
      <c r="AH123" s="111">
        <v>419.12965203153777</v>
      </c>
      <c r="AI123" s="111">
        <v>257.1546687689455</v>
      </c>
      <c r="AJ123" s="111">
        <v>334.37718383261245</v>
      </c>
      <c r="AK123" s="111">
        <v>308.87744738991267</v>
      </c>
      <c r="AL123" s="111">
        <v>475.92768459148289</v>
      </c>
      <c r="AM123" s="111">
        <v>670.27289807289617</v>
      </c>
      <c r="AN123" s="111">
        <v>510.18359020616811</v>
      </c>
      <c r="AO123" s="111">
        <v>539.90067880721097</v>
      </c>
      <c r="AP123" s="111">
        <v>724.64605854814954</v>
      </c>
      <c r="AQ123" s="111">
        <v>800.73544762165966</v>
      </c>
      <c r="AR123" s="111">
        <v>800.73544762165966</v>
      </c>
      <c r="AS123" s="111">
        <v>800.73544762165966</v>
      </c>
      <c r="AT123" s="111">
        <v>800.73544762165966</v>
      </c>
      <c r="AU123" s="111">
        <v>728.97148891235474</v>
      </c>
      <c r="AV123" s="111">
        <v>859.45141383836358</v>
      </c>
      <c r="AW123" s="111">
        <v>729.4139856942611</v>
      </c>
      <c r="AX123" s="111">
        <v>729.4139856942611</v>
      </c>
      <c r="AY123" s="111">
        <v>722.8899894479606</v>
      </c>
    </row>
    <row r="124" spans="1:52" x14ac:dyDescent="0.2">
      <c r="A124" s="114"/>
      <c r="B124" s="124">
        <v>3</v>
      </c>
      <c r="C124" s="111"/>
      <c r="D124" s="111">
        <v>0</v>
      </c>
      <c r="E124" s="111">
        <v>0</v>
      </c>
      <c r="F124" s="111">
        <v>0</v>
      </c>
      <c r="G124" s="111">
        <v>0</v>
      </c>
      <c r="H124" s="111">
        <v>0</v>
      </c>
      <c r="I124" s="111">
        <v>0</v>
      </c>
      <c r="J124" s="111">
        <v>0</v>
      </c>
      <c r="K124" s="111">
        <v>0</v>
      </c>
      <c r="L124" s="111">
        <v>0</v>
      </c>
      <c r="M124" s="111">
        <v>0</v>
      </c>
      <c r="N124" s="111">
        <v>0</v>
      </c>
      <c r="O124" s="111">
        <v>0</v>
      </c>
      <c r="P124" s="111">
        <v>0</v>
      </c>
      <c r="Q124" s="111">
        <v>152.27271174219345</v>
      </c>
      <c r="R124" s="111">
        <v>162.38962431447942</v>
      </c>
      <c r="S124" s="111">
        <v>254.49484562953683</v>
      </c>
      <c r="T124" s="111">
        <v>352.51794819141821</v>
      </c>
      <c r="U124" s="111">
        <v>208.73874049711145</v>
      </c>
      <c r="V124" s="111">
        <v>122.3374535722354</v>
      </c>
      <c r="W124" s="111">
        <v>7.576295339846979</v>
      </c>
      <c r="X124" s="111">
        <v>0</v>
      </c>
      <c r="Y124" s="111">
        <v>0</v>
      </c>
      <c r="Z124" s="111">
        <v>0</v>
      </c>
      <c r="AA124" s="111">
        <v>0</v>
      </c>
      <c r="AB124" s="111">
        <v>0</v>
      </c>
      <c r="AC124" s="111">
        <v>0</v>
      </c>
      <c r="AD124" s="111">
        <v>0</v>
      </c>
      <c r="AE124" s="111">
        <v>0</v>
      </c>
      <c r="AF124" s="111">
        <v>0</v>
      </c>
      <c r="AG124" s="111">
        <v>0</v>
      </c>
      <c r="AH124" s="111">
        <v>0</v>
      </c>
      <c r="AI124" s="111">
        <v>0</v>
      </c>
      <c r="AJ124" s="111">
        <v>0</v>
      </c>
      <c r="AK124" s="111">
        <v>0</v>
      </c>
      <c r="AL124" s="111">
        <v>0</v>
      </c>
      <c r="AM124" s="111">
        <v>0</v>
      </c>
      <c r="AN124" s="111">
        <v>0</v>
      </c>
      <c r="AO124" s="111">
        <v>0</v>
      </c>
      <c r="AP124" s="111">
        <v>0</v>
      </c>
      <c r="AQ124" s="111">
        <v>121.18145269333456</v>
      </c>
      <c r="AR124" s="111">
        <v>78.725210283494789</v>
      </c>
      <c r="AS124" s="111">
        <v>191.51459211463896</v>
      </c>
      <c r="AT124" s="111">
        <v>371.02503576266872</v>
      </c>
      <c r="AU124" s="111">
        <v>541.02942190957651</v>
      </c>
      <c r="AV124" s="111">
        <v>536.00081973973806</v>
      </c>
      <c r="AW124" s="111">
        <v>705.90701022029157</v>
      </c>
      <c r="AX124" s="111">
        <v>656.47258712483506</v>
      </c>
      <c r="AY124" s="111">
        <v>656.47258712483506</v>
      </c>
    </row>
    <row r="125" spans="1:52" x14ac:dyDescent="0.2">
      <c r="A125" s="114"/>
      <c r="B125" s="124">
        <v>4</v>
      </c>
      <c r="C125" s="111"/>
      <c r="D125" s="111">
        <v>0</v>
      </c>
      <c r="E125" s="111">
        <v>0</v>
      </c>
      <c r="F125" s="111">
        <v>0</v>
      </c>
      <c r="G125" s="111">
        <v>0</v>
      </c>
      <c r="H125" s="111">
        <v>0</v>
      </c>
      <c r="I125" s="111">
        <v>0</v>
      </c>
      <c r="J125" s="111">
        <v>0</v>
      </c>
      <c r="K125" s="111">
        <v>0</v>
      </c>
      <c r="L125" s="111">
        <v>0</v>
      </c>
      <c r="M125" s="111">
        <v>0</v>
      </c>
      <c r="N125" s="111">
        <v>0</v>
      </c>
      <c r="O125" s="111">
        <v>0</v>
      </c>
      <c r="P125" s="111">
        <v>0</v>
      </c>
      <c r="Q125" s="111">
        <v>0</v>
      </c>
      <c r="R125" s="111">
        <v>0</v>
      </c>
      <c r="S125" s="111">
        <v>0</v>
      </c>
      <c r="T125" s="111">
        <v>0</v>
      </c>
      <c r="U125" s="111">
        <v>0</v>
      </c>
      <c r="V125" s="111">
        <v>0</v>
      </c>
      <c r="W125" s="111">
        <v>0</v>
      </c>
      <c r="X125" s="111">
        <v>0</v>
      </c>
      <c r="Y125" s="111">
        <v>0</v>
      </c>
      <c r="Z125" s="111">
        <v>0</v>
      </c>
      <c r="AA125" s="111">
        <v>0</v>
      </c>
      <c r="AB125" s="111">
        <v>0</v>
      </c>
      <c r="AC125" s="111">
        <v>0</v>
      </c>
      <c r="AD125" s="111">
        <v>0</v>
      </c>
      <c r="AE125" s="111">
        <v>0</v>
      </c>
      <c r="AF125" s="111">
        <v>0</v>
      </c>
      <c r="AG125" s="111">
        <v>0</v>
      </c>
      <c r="AH125" s="111">
        <v>0</v>
      </c>
      <c r="AI125" s="111">
        <v>0</v>
      </c>
      <c r="AJ125" s="111">
        <v>0</v>
      </c>
      <c r="AK125" s="111">
        <v>0</v>
      </c>
      <c r="AL125" s="111">
        <v>0</v>
      </c>
      <c r="AM125" s="111">
        <v>0</v>
      </c>
      <c r="AN125" s="111">
        <v>0</v>
      </c>
      <c r="AO125" s="111">
        <v>0</v>
      </c>
      <c r="AP125" s="111">
        <v>0</v>
      </c>
      <c r="AQ125" s="111">
        <v>0</v>
      </c>
      <c r="AR125" s="111">
        <v>0</v>
      </c>
      <c r="AS125" s="111">
        <v>0</v>
      </c>
      <c r="AT125" s="111">
        <v>0</v>
      </c>
      <c r="AU125" s="111">
        <v>0</v>
      </c>
      <c r="AV125" s="111">
        <v>0</v>
      </c>
      <c r="AW125" s="111">
        <v>0</v>
      </c>
      <c r="AX125" s="111">
        <v>19.316309198262388</v>
      </c>
      <c r="AY125" s="111">
        <v>43.210006690787736</v>
      </c>
    </row>
    <row r="126" spans="1:52" x14ac:dyDescent="0.2">
      <c r="A126" s="114"/>
      <c r="B126" s="124">
        <v>5</v>
      </c>
      <c r="C126" s="111"/>
      <c r="D126" s="111">
        <v>0</v>
      </c>
      <c r="E126" s="111">
        <v>0</v>
      </c>
      <c r="F126" s="111">
        <v>0</v>
      </c>
      <c r="G126" s="111">
        <v>0</v>
      </c>
      <c r="H126" s="111">
        <v>0</v>
      </c>
      <c r="I126" s="111">
        <v>0</v>
      </c>
      <c r="J126" s="111">
        <v>0</v>
      </c>
      <c r="K126" s="111">
        <v>0</v>
      </c>
      <c r="L126" s="111">
        <v>0</v>
      </c>
      <c r="M126" s="111">
        <v>0</v>
      </c>
      <c r="N126" s="111">
        <v>0</v>
      </c>
      <c r="O126" s="111">
        <v>0</v>
      </c>
      <c r="P126" s="111">
        <v>0</v>
      </c>
      <c r="Q126" s="111">
        <v>0</v>
      </c>
      <c r="R126" s="111">
        <v>0</v>
      </c>
      <c r="S126" s="111">
        <v>0</v>
      </c>
      <c r="T126" s="111">
        <v>0</v>
      </c>
      <c r="U126" s="111">
        <v>0</v>
      </c>
      <c r="V126" s="111">
        <v>0</v>
      </c>
      <c r="W126" s="111">
        <v>0</v>
      </c>
      <c r="X126" s="111">
        <v>0</v>
      </c>
      <c r="Y126" s="111">
        <v>0</v>
      </c>
      <c r="Z126" s="111">
        <v>0</v>
      </c>
      <c r="AA126" s="111">
        <v>0</v>
      </c>
      <c r="AB126" s="111">
        <v>0</v>
      </c>
      <c r="AC126" s="111">
        <v>0</v>
      </c>
      <c r="AD126" s="111">
        <v>0</v>
      </c>
      <c r="AE126" s="111">
        <v>0</v>
      </c>
      <c r="AF126" s="111">
        <v>0</v>
      </c>
      <c r="AG126" s="111">
        <v>0</v>
      </c>
      <c r="AH126" s="111">
        <v>0</v>
      </c>
      <c r="AI126" s="111">
        <v>0</v>
      </c>
      <c r="AJ126" s="111">
        <v>0</v>
      </c>
      <c r="AK126" s="111">
        <v>0</v>
      </c>
      <c r="AL126" s="111">
        <v>0</v>
      </c>
      <c r="AM126" s="111">
        <v>0</v>
      </c>
      <c r="AN126" s="111">
        <v>0</v>
      </c>
      <c r="AO126" s="111">
        <v>0</v>
      </c>
      <c r="AP126" s="111">
        <v>0</v>
      </c>
      <c r="AQ126" s="111">
        <v>0</v>
      </c>
      <c r="AR126" s="111">
        <v>0</v>
      </c>
      <c r="AS126" s="111">
        <v>0</v>
      </c>
      <c r="AT126" s="111">
        <v>0</v>
      </c>
      <c r="AU126" s="111">
        <v>0</v>
      </c>
      <c r="AV126" s="111">
        <v>0</v>
      </c>
      <c r="AW126" s="111">
        <v>0</v>
      </c>
      <c r="AX126" s="111">
        <v>0</v>
      </c>
      <c r="AY126" s="111">
        <v>0</v>
      </c>
    </row>
    <row r="127" spans="1:52" x14ac:dyDescent="0.2">
      <c r="A127" s="114"/>
      <c r="B127" s="124">
        <v>6</v>
      </c>
      <c r="C127" s="111"/>
      <c r="D127" s="111">
        <v>0</v>
      </c>
      <c r="E127" s="111">
        <v>0</v>
      </c>
      <c r="F127" s="111">
        <v>0</v>
      </c>
      <c r="G127" s="111">
        <v>0</v>
      </c>
      <c r="H127" s="111">
        <v>0</v>
      </c>
      <c r="I127" s="111">
        <v>0</v>
      </c>
      <c r="J127" s="111">
        <v>0</v>
      </c>
      <c r="K127" s="111">
        <v>0</v>
      </c>
      <c r="L127" s="111">
        <v>0</v>
      </c>
      <c r="M127" s="111">
        <v>0</v>
      </c>
      <c r="N127" s="111">
        <v>0</v>
      </c>
      <c r="O127" s="111">
        <v>0</v>
      </c>
      <c r="P127" s="111">
        <v>0</v>
      </c>
      <c r="Q127" s="111">
        <v>0</v>
      </c>
      <c r="R127" s="111">
        <v>0</v>
      </c>
      <c r="S127" s="111">
        <v>0</v>
      </c>
      <c r="T127" s="111">
        <v>0</v>
      </c>
      <c r="U127" s="111">
        <v>0</v>
      </c>
      <c r="V127" s="111">
        <v>0</v>
      </c>
      <c r="W127" s="111">
        <v>0</v>
      </c>
      <c r="X127" s="111">
        <v>0</v>
      </c>
      <c r="Y127" s="111">
        <v>0</v>
      </c>
      <c r="Z127" s="111">
        <v>0</v>
      </c>
      <c r="AA127" s="111">
        <v>0</v>
      </c>
      <c r="AB127" s="111">
        <v>0</v>
      </c>
      <c r="AC127" s="111">
        <v>0</v>
      </c>
      <c r="AD127" s="111">
        <v>0</v>
      </c>
      <c r="AE127" s="111">
        <v>0</v>
      </c>
      <c r="AF127" s="111">
        <v>0</v>
      </c>
      <c r="AG127" s="111">
        <v>0</v>
      </c>
      <c r="AH127" s="111">
        <v>0</v>
      </c>
      <c r="AI127" s="111">
        <v>0</v>
      </c>
      <c r="AJ127" s="111">
        <v>0</v>
      </c>
      <c r="AK127" s="111">
        <v>0</v>
      </c>
      <c r="AL127" s="111">
        <v>0</v>
      </c>
      <c r="AM127" s="111">
        <v>0</v>
      </c>
      <c r="AN127" s="111">
        <v>0</v>
      </c>
      <c r="AO127" s="111">
        <v>0</v>
      </c>
      <c r="AP127" s="111">
        <v>0</v>
      </c>
      <c r="AQ127" s="111">
        <v>0</v>
      </c>
      <c r="AR127" s="111">
        <v>0</v>
      </c>
      <c r="AS127" s="111">
        <v>0</v>
      </c>
      <c r="AT127" s="111">
        <v>0</v>
      </c>
      <c r="AU127" s="111">
        <v>0</v>
      </c>
      <c r="AV127" s="111">
        <v>0</v>
      </c>
      <c r="AW127" s="111">
        <v>0</v>
      </c>
      <c r="AX127" s="111">
        <v>0</v>
      </c>
      <c r="AY127" s="111">
        <v>0</v>
      </c>
    </row>
    <row r="128" spans="1:52" x14ac:dyDescent="0.2">
      <c r="A128" s="114"/>
      <c r="B128" s="124">
        <v>7</v>
      </c>
      <c r="C128" s="111"/>
      <c r="D128" s="111">
        <v>0</v>
      </c>
      <c r="E128" s="111">
        <v>0</v>
      </c>
      <c r="F128" s="111">
        <v>0</v>
      </c>
      <c r="G128" s="111">
        <v>0</v>
      </c>
      <c r="H128" s="111">
        <v>0</v>
      </c>
      <c r="I128" s="111">
        <v>0</v>
      </c>
      <c r="J128" s="111">
        <v>0</v>
      </c>
      <c r="K128" s="111">
        <v>0</v>
      </c>
      <c r="L128" s="111">
        <v>0</v>
      </c>
      <c r="M128" s="111">
        <v>0</v>
      </c>
      <c r="N128" s="111">
        <v>0</v>
      </c>
      <c r="O128" s="111">
        <v>0</v>
      </c>
      <c r="P128" s="111">
        <v>0</v>
      </c>
      <c r="Q128" s="111">
        <v>0</v>
      </c>
      <c r="R128" s="111">
        <v>0</v>
      </c>
      <c r="S128" s="111">
        <v>0</v>
      </c>
      <c r="T128" s="111">
        <v>0</v>
      </c>
      <c r="U128" s="111">
        <v>0</v>
      </c>
      <c r="V128" s="111">
        <v>0</v>
      </c>
      <c r="W128" s="111">
        <v>0</v>
      </c>
      <c r="X128" s="111">
        <v>0</v>
      </c>
      <c r="Y128" s="111">
        <v>0</v>
      </c>
      <c r="Z128" s="111">
        <v>0</v>
      </c>
      <c r="AA128" s="111">
        <v>0</v>
      </c>
      <c r="AB128" s="111">
        <v>0</v>
      </c>
      <c r="AC128" s="111">
        <v>0</v>
      </c>
      <c r="AD128" s="111">
        <v>0</v>
      </c>
      <c r="AE128" s="111">
        <v>0</v>
      </c>
      <c r="AF128" s="111">
        <v>0</v>
      </c>
      <c r="AG128" s="111">
        <v>0</v>
      </c>
      <c r="AH128" s="111">
        <v>0</v>
      </c>
      <c r="AI128" s="111">
        <v>0</v>
      </c>
      <c r="AJ128" s="111">
        <v>0</v>
      </c>
      <c r="AK128" s="111">
        <v>0</v>
      </c>
      <c r="AL128" s="111">
        <v>0</v>
      </c>
      <c r="AM128" s="111">
        <v>0</v>
      </c>
      <c r="AN128" s="111">
        <v>0</v>
      </c>
      <c r="AO128" s="111">
        <v>0</v>
      </c>
      <c r="AP128" s="111">
        <v>0</v>
      </c>
      <c r="AQ128" s="111">
        <v>0</v>
      </c>
      <c r="AR128" s="111">
        <v>0</v>
      </c>
      <c r="AS128" s="111">
        <v>0</v>
      </c>
      <c r="AT128" s="111">
        <v>0</v>
      </c>
      <c r="AU128" s="111">
        <v>0</v>
      </c>
      <c r="AV128" s="111">
        <v>0</v>
      </c>
      <c r="AW128" s="111">
        <v>0</v>
      </c>
      <c r="AX128" s="111">
        <v>0</v>
      </c>
      <c r="AY128" s="111">
        <v>0</v>
      </c>
    </row>
    <row r="129" spans="1:51" x14ac:dyDescent="0.2">
      <c r="A129" s="114"/>
      <c r="B129" s="124">
        <v>8</v>
      </c>
      <c r="C129" s="111"/>
      <c r="D129" s="111">
        <v>0</v>
      </c>
      <c r="E129" s="111">
        <v>0</v>
      </c>
      <c r="F129" s="111">
        <v>0</v>
      </c>
      <c r="G129" s="111">
        <v>0</v>
      </c>
      <c r="H129" s="111">
        <v>0</v>
      </c>
      <c r="I129" s="111">
        <v>0</v>
      </c>
      <c r="J129" s="111">
        <v>0</v>
      </c>
      <c r="K129" s="111">
        <v>0</v>
      </c>
      <c r="L129" s="111">
        <v>0</v>
      </c>
      <c r="M129" s="111">
        <v>0</v>
      </c>
      <c r="N129" s="111">
        <v>0</v>
      </c>
      <c r="O129" s="111">
        <v>0</v>
      </c>
      <c r="P129" s="111">
        <v>0</v>
      </c>
      <c r="Q129" s="111">
        <v>0</v>
      </c>
      <c r="R129" s="111">
        <v>0</v>
      </c>
      <c r="S129" s="111">
        <v>0</v>
      </c>
      <c r="T129" s="111">
        <v>0</v>
      </c>
      <c r="U129" s="111">
        <v>0</v>
      </c>
      <c r="V129" s="111">
        <v>0</v>
      </c>
      <c r="W129" s="111">
        <v>0</v>
      </c>
      <c r="X129" s="111">
        <v>0</v>
      </c>
      <c r="Y129" s="111">
        <v>0</v>
      </c>
      <c r="Z129" s="111">
        <v>0</v>
      </c>
      <c r="AA129" s="111">
        <v>0</v>
      </c>
      <c r="AB129" s="111">
        <v>0</v>
      </c>
      <c r="AC129" s="111">
        <v>0</v>
      </c>
      <c r="AD129" s="111">
        <v>0</v>
      </c>
      <c r="AE129" s="111">
        <v>0</v>
      </c>
      <c r="AF129" s="111">
        <v>0</v>
      </c>
      <c r="AG129" s="111">
        <v>0</v>
      </c>
      <c r="AH129" s="111">
        <v>0</v>
      </c>
      <c r="AI129" s="111">
        <v>0</v>
      </c>
      <c r="AJ129" s="111">
        <v>0</v>
      </c>
      <c r="AK129" s="111">
        <v>0</v>
      </c>
      <c r="AL129" s="111">
        <v>0</v>
      </c>
      <c r="AM129" s="111">
        <v>0</v>
      </c>
      <c r="AN129" s="111">
        <v>0</v>
      </c>
      <c r="AO129" s="111">
        <v>0</v>
      </c>
      <c r="AP129" s="111">
        <v>0</v>
      </c>
      <c r="AQ129" s="111">
        <v>0</v>
      </c>
      <c r="AR129" s="111">
        <v>0</v>
      </c>
      <c r="AS129" s="111">
        <v>0</v>
      </c>
      <c r="AT129" s="111">
        <v>0</v>
      </c>
      <c r="AU129" s="111">
        <v>0</v>
      </c>
      <c r="AV129" s="111">
        <v>0</v>
      </c>
      <c r="AW129" s="111">
        <v>0</v>
      </c>
      <c r="AX129" s="111">
        <v>0</v>
      </c>
      <c r="AY129" s="111">
        <v>0</v>
      </c>
    </row>
    <row r="130" spans="1:51" x14ac:dyDescent="0.2">
      <c r="A130" s="114"/>
      <c r="B130" s="124">
        <v>9</v>
      </c>
      <c r="C130" s="111"/>
      <c r="D130" s="111">
        <v>0</v>
      </c>
      <c r="E130" s="111">
        <v>0</v>
      </c>
      <c r="F130" s="111">
        <v>0</v>
      </c>
      <c r="G130" s="111">
        <v>0</v>
      </c>
      <c r="H130" s="111">
        <v>0</v>
      </c>
      <c r="I130" s="111">
        <v>0</v>
      </c>
      <c r="J130" s="111">
        <v>0</v>
      </c>
      <c r="K130" s="111">
        <v>0</v>
      </c>
      <c r="L130" s="111">
        <v>0</v>
      </c>
      <c r="M130" s="111">
        <v>0</v>
      </c>
      <c r="N130" s="111">
        <v>0</v>
      </c>
      <c r="O130" s="111">
        <v>0</v>
      </c>
      <c r="P130" s="111">
        <v>0</v>
      </c>
      <c r="Q130" s="111">
        <v>0</v>
      </c>
      <c r="R130" s="111">
        <v>0</v>
      </c>
      <c r="S130" s="111">
        <v>0</v>
      </c>
      <c r="T130" s="111">
        <v>0</v>
      </c>
      <c r="U130" s="111">
        <v>0</v>
      </c>
      <c r="V130" s="111">
        <v>0</v>
      </c>
      <c r="W130" s="111">
        <v>0</v>
      </c>
      <c r="X130" s="111">
        <v>0</v>
      </c>
      <c r="Y130" s="111">
        <v>0</v>
      </c>
      <c r="Z130" s="111">
        <v>0</v>
      </c>
      <c r="AA130" s="111">
        <v>0</v>
      </c>
      <c r="AB130" s="111">
        <v>0</v>
      </c>
      <c r="AC130" s="111">
        <v>0</v>
      </c>
      <c r="AD130" s="111">
        <v>0</v>
      </c>
      <c r="AE130" s="111">
        <v>0</v>
      </c>
      <c r="AF130" s="111">
        <v>0</v>
      </c>
      <c r="AG130" s="111">
        <v>0</v>
      </c>
      <c r="AH130" s="111">
        <v>0</v>
      </c>
      <c r="AI130" s="111">
        <v>0</v>
      </c>
      <c r="AJ130" s="111">
        <v>0</v>
      </c>
      <c r="AK130" s="111">
        <v>0</v>
      </c>
      <c r="AL130" s="111">
        <v>0</v>
      </c>
      <c r="AM130" s="111">
        <v>0</v>
      </c>
      <c r="AN130" s="111">
        <v>0</v>
      </c>
      <c r="AO130" s="111">
        <v>0</v>
      </c>
      <c r="AP130" s="111">
        <v>0</v>
      </c>
      <c r="AQ130" s="111">
        <v>0</v>
      </c>
      <c r="AR130" s="111">
        <v>0</v>
      </c>
      <c r="AS130" s="111">
        <v>0</v>
      </c>
      <c r="AT130" s="111">
        <v>0</v>
      </c>
      <c r="AU130" s="111">
        <v>0</v>
      </c>
      <c r="AV130" s="111">
        <v>0</v>
      </c>
      <c r="AW130" s="111">
        <v>0</v>
      </c>
      <c r="AX130" s="111">
        <v>0</v>
      </c>
      <c r="AY130" s="111">
        <v>0</v>
      </c>
    </row>
    <row r="131" spans="1:51" x14ac:dyDescent="0.2">
      <c r="A131" s="114"/>
      <c r="B131" s="124">
        <v>10</v>
      </c>
      <c r="C131" s="111"/>
      <c r="D131" s="111">
        <v>0</v>
      </c>
      <c r="E131" s="111">
        <v>0</v>
      </c>
      <c r="F131" s="111">
        <v>0</v>
      </c>
      <c r="G131" s="111">
        <v>0</v>
      </c>
      <c r="H131" s="111">
        <v>0</v>
      </c>
      <c r="I131" s="111">
        <v>0</v>
      </c>
      <c r="J131" s="111">
        <v>0</v>
      </c>
      <c r="K131" s="111">
        <v>0</v>
      </c>
      <c r="L131" s="111">
        <v>0</v>
      </c>
      <c r="M131" s="111">
        <v>0</v>
      </c>
      <c r="N131" s="111">
        <v>0</v>
      </c>
      <c r="O131" s="111">
        <v>0</v>
      </c>
      <c r="P131" s="111">
        <v>0</v>
      </c>
      <c r="Q131" s="111">
        <v>0</v>
      </c>
      <c r="R131" s="111">
        <v>0</v>
      </c>
      <c r="S131" s="111">
        <v>0</v>
      </c>
      <c r="T131" s="111">
        <v>0</v>
      </c>
      <c r="U131" s="111">
        <v>0</v>
      </c>
      <c r="V131" s="111">
        <v>0</v>
      </c>
      <c r="W131" s="111">
        <v>0</v>
      </c>
      <c r="X131" s="111">
        <v>0</v>
      </c>
      <c r="Y131" s="111">
        <v>0</v>
      </c>
      <c r="Z131" s="111">
        <v>0</v>
      </c>
      <c r="AA131" s="111">
        <v>0</v>
      </c>
      <c r="AB131" s="111">
        <v>0</v>
      </c>
      <c r="AC131" s="111">
        <v>0</v>
      </c>
      <c r="AD131" s="111">
        <v>0</v>
      </c>
      <c r="AE131" s="111">
        <v>0</v>
      </c>
      <c r="AF131" s="111">
        <v>0</v>
      </c>
      <c r="AG131" s="111">
        <v>0</v>
      </c>
      <c r="AH131" s="111">
        <v>0</v>
      </c>
      <c r="AI131" s="111">
        <v>0</v>
      </c>
      <c r="AJ131" s="111">
        <v>0</v>
      </c>
      <c r="AK131" s="111">
        <v>0</v>
      </c>
      <c r="AL131" s="111">
        <v>0</v>
      </c>
      <c r="AM131" s="111">
        <v>0</v>
      </c>
      <c r="AN131" s="111">
        <v>0</v>
      </c>
      <c r="AO131" s="111">
        <v>0</v>
      </c>
      <c r="AP131" s="111">
        <v>0</v>
      </c>
      <c r="AQ131" s="111">
        <v>0</v>
      </c>
      <c r="AR131" s="111">
        <v>0</v>
      </c>
      <c r="AS131" s="111">
        <v>0</v>
      </c>
      <c r="AT131" s="111">
        <v>0</v>
      </c>
      <c r="AU131" s="111">
        <v>0</v>
      </c>
      <c r="AV131" s="111">
        <v>0</v>
      </c>
      <c r="AW131" s="111">
        <v>0</v>
      </c>
      <c r="AX131" s="111">
        <v>0</v>
      </c>
      <c r="AY131" s="111">
        <v>0</v>
      </c>
    </row>
    <row r="132" spans="1:51" x14ac:dyDescent="0.2">
      <c r="A132" s="114"/>
      <c r="B132" s="124">
        <v>11</v>
      </c>
      <c r="C132" s="111"/>
      <c r="D132" s="111">
        <v>0</v>
      </c>
      <c r="E132" s="111">
        <v>0</v>
      </c>
      <c r="F132" s="111">
        <v>0</v>
      </c>
      <c r="G132" s="111">
        <v>0</v>
      </c>
      <c r="H132" s="111">
        <v>0</v>
      </c>
      <c r="I132" s="111">
        <v>0</v>
      </c>
      <c r="J132" s="111">
        <v>0</v>
      </c>
      <c r="K132" s="111">
        <v>0</v>
      </c>
      <c r="L132" s="111">
        <v>0</v>
      </c>
      <c r="M132" s="111">
        <v>0</v>
      </c>
      <c r="N132" s="111">
        <v>0</v>
      </c>
      <c r="O132" s="111">
        <v>0</v>
      </c>
      <c r="P132" s="111">
        <v>0</v>
      </c>
      <c r="Q132" s="111">
        <v>0</v>
      </c>
      <c r="R132" s="111">
        <v>0</v>
      </c>
      <c r="S132" s="111">
        <v>0</v>
      </c>
      <c r="T132" s="111">
        <v>0</v>
      </c>
      <c r="U132" s="111">
        <v>0</v>
      </c>
      <c r="V132" s="111">
        <v>0</v>
      </c>
      <c r="W132" s="111">
        <v>0</v>
      </c>
      <c r="X132" s="111">
        <v>0</v>
      </c>
      <c r="Y132" s="111">
        <v>0</v>
      </c>
      <c r="Z132" s="111">
        <v>0</v>
      </c>
      <c r="AA132" s="111">
        <v>0</v>
      </c>
      <c r="AB132" s="111">
        <v>0</v>
      </c>
      <c r="AC132" s="111">
        <v>0</v>
      </c>
      <c r="AD132" s="111">
        <v>0</v>
      </c>
      <c r="AE132" s="111">
        <v>0</v>
      </c>
      <c r="AF132" s="111">
        <v>0</v>
      </c>
      <c r="AG132" s="111">
        <v>0</v>
      </c>
      <c r="AH132" s="111">
        <v>0</v>
      </c>
      <c r="AI132" s="111">
        <v>0</v>
      </c>
      <c r="AJ132" s="111">
        <v>0</v>
      </c>
      <c r="AK132" s="111">
        <v>0</v>
      </c>
      <c r="AL132" s="111">
        <v>0</v>
      </c>
      <c r="AM132" s="111">
        <v>0</v>
      </c>
      <c r="AN132" s="111">
        <v>0</v>
      </c>
      <c r="AO132" s="111">
        <v>0</v>
      </c>
      <c r="AP132" s="111">
        <v>0</v>
      </c>
      <c r="AQ132" s="111">
        <v>0</v>
      </c>
      <c r="AR132" s="111">
        <v>0</v>
      </c>
      <c r="AS132" s="111">
        <v>0</v>
      </c>
      <c r="AT132" s="111">
        <v>0</v>
      </c>
      <c r="AU132" s="111">
        <v>0</v>
      </c>
      <c r="AV132" s="111">
        <v>0</v>
      </c>
      <c r="AW132" s="111">
        <v>0</v>
      </c>
      <c r="AX132" s="111">
        <v>0</v>
      </c>
      <c r="AY132" s="111">
        <v>0</v>
      </c>
    </row>
    <row r="133" spans="1:51" x14ac:dyDescent="0.2">
      <c r="A133" s="114"/>
      <c r="B133" s="124">
        <v>12</v>
      </c>
      <c r="C133" s="111"/>
      <c r="D133" s="111">
        <v>0</v>
      </c>
      <c r="E133" s="111">
        <v>0</v>
      </c>
      <c r="F133" s="111">
        <v>0</v>
      </c>
      <c r="G133" s="111">
        <v>0</v>
      </c>
      <c r="H133" s="111">
        <v>0</v>
      </c>
      <c r="I133" s="111">
        <v>0</v>
      </c>
      <c r="J133" s="111">
        <v>0</v>
      </c>
      <c r="K133" s="111">
        <v>0</v>
      </c>
      <c r="L133" s="111">
        <v>0</v>
      </c>
      <c r="M133" s="111">
        <v>0</v>
      </c>
      <c r="N133" s="111">
        <v>0</v>
      </c>
      <c r="O133" s="111">
        <v>0</v>
      </c>
      <c r="P133" s="111">
        <v>0</v>
      </c>
      <c r="Q133" s="111">
        <v>0</v>
      </c>
      <c r="R133" s="111">
        <v>0</v>
      </c>
      <c r="S133" s="111">
        <v>0</v>
      </c>
      <c r="T133" s="111">
        <v>0</v>
      </c>
      <c r="U133" s="111">
        <v>0</v>
      </c>
      <c r="V133" s="111">
        <v>0</v>
      </c>
      <c r="W133" s="111">
        <v>0</v>
      </c>
      <c r="X133" s="111">
        <v>0</v>
      </c>
      <c r="Y133" s="111">
        <v>0</v>
      </c>
      <c r="Z133" s="111">
        <v>0</v>
      </c>
      <c r="AA133" s="111">
        <v>0</v>
      </c>
      <c r="AB133" s="111">
        <v>0</v>
      </c>
      <c r="AC133" s="111">
        <v>0</v>
      </c>
      <c r="AD133" s="111">
        <v>0</v>
      </c>
      <c r="AE133" s="111">
        <v>0</v>
      </c>
      <c r="AF133" s="111">
        <v>0</v>
      </c>
      <c r="AG133" s="111">
        <v>0</v>
      </c>
      <c r="AH133" s="111">
        <v>0</v>
      </c>
      <c r="AI133" s="111">
        <v>0</v>
      </c>
      <c r="AJ133" s="111">
        <v>0</v>
      </c>
      <c r="AK133" s="111">
        <v>0</v>
      </c>
      <c r="AL133" s="111">
        <v>0</v>
      </c>
      <c r="AM133" s="111">
        <v>0</v>
      </c>
      <c r="AN133" s="111">
        <v>0</v>
      </c>
      <c r="AO133" s="111">
        <v>0</v>
      </c>
      <c r="AP133" s="111">
        <v>0</v>
      </c>
      <c r="AQ133" s="111">
        <v>0</v>
      </c>
      <c r="AR133" s="111">
        <v>0</v>
      </c>
      <c r="AS133" s="111">
        <v>0</v>
      </c>
      <c r="AT133" s="111">
        <v>0</v>
      </c>
      <c r="AU133" s="111">
        <v>0</v>
      </c>
      <c r="AV133" s="111">
        <v>0</v>
      </c>
      <c r="AW133" s="111">
        <v>0</v>
      </c>
      <c r="AX133" s="111">
        <v>0</v>
      </c>
      <c r="AY133" s="111">
        <v>0</v>
      </c>
    </row>
    <row r="134" spans="1:51" x14ac:dyDescent="0.2">
      <c r="A134" s="114"/>
      <c r="B134" s="125">
        <v>13</v>
      </c>
      <c r="C134" s="111"/>
      <c r="D134" s="111">
        <v>0</v>
      </c>
      <c r="E134" s="111">
        <v>0</v>
      </c>
      <c r="F134" s="111">
        <v>0</v>
      </c>
      <c r="G134" s="111">
        <v>0</v>
      </c>
      <c r="H134" s="111">
        <v>0</v>
      </c>
      <c r="I134" s="111">
        <v>0</v>
      </c>
      <c r="J134" s="111">
        <v>0</v>
      </c>
      <c r="K134" s="111">
        <v>0</v>
      </c>
      <c r="L134" s="111">
        <v>0</v>
      </c>
      <c r="M134" s="111">
        <v>0</v>
      </c>
      <c r="N134" s="111">
        <v>0</v>
      </c>
      <c r="O134" s="111">
        <v>0</v>
      </c>
      <c r="P134" s="111">
        <v>0</v>
      </c>
      <c r="Q134" s="111">
        <v>0</v>
      </c>
      <c r="R134" s="111">
        <v>0</v>
      </c>
      <c r="S134" s="111">
        <v>0</v>
      </c>
      <c r="T134" s="111">
        <v>0</v>
      </c>
      <c r="U134" s="111">
        <v>0</v>
      </c>
      <c r="V134" s="111">
        <v>0</v>
      </c>
      <c r="W134" s="111">
        <v>0</v>
      </c>
      <c r="X134" s="111">
        <v>0</v>
      </c>
      <c r="Y134" s="111">
        <v>0</v>
      </c>
      <c r="Z134" s="111">
        <v>0</v>
      </c>
      <c r="AA134" s="111">
        <v>0</v>
      </c>
      <c r="AB134" s="111">
        <v>0</v>
      </c>
      <c r="AC134" s="111">
        <v>0</v>
      </c>
      <c r="AD134" s="111">
        <v>0</v>
      </c>
      <c r="AE134" s="111">
        <v>0</v>
      </c>
      <c r="AF134" s="111">
        <v>0</v>
      </c>
      <c r="AG134" s="111">
        <v>0</v>
      </c>
      <c r="AH134" s="111">
        <v>0</v>
      </c>
      <c r="AI134" s="111">
        <v>0</v>
      </c>
      <c r="AJ134" s="111">
        <v>0</v>
      </c>
      <c r="AK134" s="111">
        <v>0</v>
      </c>
      <c r="AL134" s="111">
        <v>0</v>
      </c>
      <c r="AM134" s="111">
        <v>0</v>
      </c>
      <c r="AN134" s="111">
        <v>0</v>
      </c>
      <c r="AO134" s="111">
        <v>0</v>
      </c>
      <c r="AP134" s="111">
        <v>0</v>
      </c>
      <c r="AQ134" s="111">
        <v>0</v>
      </c>
      <c r="AR134" s="111">
        <v>0</v>
      </c>
      <c r="AS134" s="111">
        <v>0</v>
      </c>
      <c r="AT134" s="111">
        <v>0</v>
      </c>
      <c r="AU134" s="111">
        <v>0</v>
      </c>
      <c r="AV134" s="111">
        <v>0</v>
      </c>
      <c r="AW134" s="111">
        <v>0</v>
      </c>
      <c r="AX134" s="111">
        <v>0</v>
      </c>
      <c r="AY134" s="111">
        <v>0</v>
      </c>
    </row>
    <row r="135" spans="1:51" x14ac:dyDescent="0.2">
      <c r="A135" s="114"/>
      <c r="B135" s="125">
        <v>14</v>
      </c>
      <c r="C135" s="111"/>
      <c r="D135" s="111">
        <v>0</v>
      </c>
      <c r="E135" s="111">
        <v>0</v>
      </c>
      <c r="F135" s="111">
        <v>0</v>
      </c>
      <c r="G135" s="111">
        <v>0</v>
      </c>
      <c r="H135" s="111">
        <v>0</v>
      </c>
      <c r="I135" s="111">
        <v>0</v>
      </c>
      <c r="J135" s="111">
        <v>0</v>
      </c>
      <c r="K135" s="111">
        <v>0</v>
      </c>
      <c r="L135" s="111">
        <v>0</v>
      </c>
      <c r="M135" s="111">
        <v>0</v>
      </c>
      <c r="N135" s="111">
        <v>0</v>
      </c>
      <c r="O135" s="111">
        <v>0</v>
      </c>
      <c r="P135" s="111">
        <v>0</v>
      </c>
      <c r="Q135" s="111">
        <v>0</v>
      </c>
      <c r="R135" s="111">
        <v>0</v>
      </c>
      <c r="S135" s="111">
        <v>0</v>
      </c>
      <c r="T135" s="111">
        <v>0</v>
      </c>
      <c r="U135" s="111">
        <v>0</v>
      </c>
      <c r="V135" s="111">
        <v>0</v>
      </c>
      <c r="W135" s="111">
        <v>0</v>
      </c>
      <c r="X135" s="111">
        <v>0</v>
      </c>
      <c r="Y135" s="111">
        <v>0</v>
      </c>
      <c r="Z135" s="111">
        <v>0</v>
      </c>
      <c r="AA135" s="111">
        <v>0</v>
      </c>
      <c r="AB135" s="111">
        <v>0</v>
      </c>
      <c r="AC135" s="111">
        <v>0</v>
      </c>
      <c r="AD135" s="111">
        <v>0</v>
      </c>
      <c r="AE135" s="111">
        <v>0</v>
      </c>
      <c r="AF135" s="111">
        <v>0</v>
      </c>
      <c r="AG135" s="111">
        <v>0</v>
      </c>
      <c r="AH135" s="111">
        <v>0</v>
      </c>
      <c r="AI135" s="111">
        <v>0</v>
      </c>
      <c r="AJ135" s="111">
        <v>0</v>
      </c>
      <c r="AK135" s="111">
        <v>0</v>
      </c>
      <c r="AL135" s="111">
        <v>0</v>
      </c>
      <c r="AM135" s="111">
        <v>0</v>
      </c>
      <c r="AN135" s="111">
        <v>0</v>
      </c>
      <c r="AO135" s="111">
        <v>0</v>
      </c>
      <c r="AP135" s="111">
        <v>0</v>
      </c>
      <c r="AQ135" s="111">
        <v>0</v>
      </c>
      <c r="AR135" s="111">
        <v>0</v>
      </c>
      <c r="AS135" s="111">
        <v>0</v>
      </c>
      <c r="AT135" s="111">
        <v>0</v>
      </c>
      <c r="AU135" s="111">
        <v>0</v>
      </c>
      <c r="AV135" s="111">
        <v>0</v>
      </c>
      <c r="AW135" s="111">
        <v>0</v>
      </c>
      <c r="AX135" s="111">
        <v>0</v>
      </c>
      <c r="AY135" s="111">
        <v>0</v>
      </c>
    </row>
    <row r="136" spans="1:51" x14ac:dyDescent="0.2">
      <c r="A136" s="114"/>
      <c r="B136" s="125">
        <v>15</v>
      </c>
      <c r="C136" s="111"/>
      <c r="D136" s="111">
        <v>0</v>
      </c>
      <c r="E136" s="111">
        <v>0</v>
      </c>
      <c r="F136" s="111">
        <v>0</v>
      </c>
      <c r="G136" s="111">
        <v>0</v>
      </c>
      <c r="H136" s="111">
        <v>0</v>
      </c>
      <c r="I136" s="111">
        <v>0</v>
      </c>
      <c r="J136" s="111">
        <v>0</v>
      </c>
      <c r="K136" s="111">
        <v>0</v>
      </c>
      <c r="L136" s="111">
        <v>0</v>
      </c>
      <c r="M136" s="111">
        <v>0</v>
      </c>
      <c r="N136" s="111">
        <v>0</v>
      </c>
      <c r="O136" s="111">
        <v>0</v>
      </c>
      <c r="P136" s="111">
        <v>0</v>
      </c>
      <c r="Q136" s="111">
        <v>0</v>
      </c>
      <c r="R136" s="111">
        <v>0</v>
      </c>
      <c r="S136" s="111">
        <v>0</v>
      </c>
      <c r="T136" s="111">
        <v>0</v>
      </c>
      <c r="U136" s="111">
        <v>0</v>
      </c>
      <c r="V136" s="111">
        <v>0</v>
      </c>
      <c r="W136" s="111">
        <v>0</v>
      </c>
      <c r="X136" s="111">
        <v>0</v>
      </c>
      <c r="Y136" s="111">
        <v>0</v>
      </c>
      <c r="Z136" s="111">
        <v>0</v>
      </c>
      <c r="AA136" s="111">
        <v>0</v>
      </c>
      <c r="AB136" s="111">
        <v>0</v>
      </c>
      <c r="AC136" s="111">
        <v>0</v>
      </c>
      <c r="AD136" s="111">
        <v>0</v>
      </c>
      <c r="AE136" s="111">
        <v>0</v>
      </c>
      <c r="AF136" s="111">
        <v>0</v>
      </c>
      <c r="AG136" s="111">
        <v>0</v>
      </c>
      <c r="AH136" s="111">
        <v>0</v>
      </c>
      <c r="AI136" s="111">
        <v>0</v>
      </c>
      <c r="AJ136" s="111">
        <v>0</v>
      </c>
      <c r="AK136" s="111">
        <v>0</v>
      </c>
      <c r="AL136" s="111">
        <v>0</v>
      </c>
      <c r="AM136" s="111">
        <v>0</v>
      </c>
      <c r="AN136" s="111">
        <v>0</v>
      </c>
      <c r="AO136" s="111">
        <v>0</v>
      </c>
      <c r="AP136" s="111">
        <v>0</v>
      </c>
      <c r="AQ136" s="111">
        <v>0</v>
      </c>
      <c r="AR136" s="111">
        <v>0</v>
      </c>
      <c r="AS136" s="111">
        <v>0</v>
      </c>
      <c r="AT136" s="111">
        <v>0</v>
      </c>
      <c r="AU136" s="111">
        <v>0</v>
      </c>
      <c r="AV136" s="111">
        <v>0</v>
      </c>
      <c r="AW136" s="111">
        <v>0</v>
      </c>
      <c r="AX136" s="111">
        <v>0</v>
      </c>
      <c r="AY136" s="111">
        <v>0</v>
      </c>
    </row>
    <row r="137" spans="1:51" x14ac:dyDescent="0.2">
      <c r="A137" s="114"/>
      <c r="B137" s="125">
        <v>16</v>
      </c>
      <c r="C137" s="111"/>
      <c r="D137" s="111">
        <v>0</v>
      </c>
      <c r="E137" s="111">
        <v>0</v>
      </c>
      <c r="F137" s="111">
        <v>0</v>
      </c>
      <c r="G137" s="111">
        <v>0</v>
      </c>
      <c r="H137" s="111">
        <v>0</v>
      </c>
      <c r="I137" s="111">
        <v>0</v>
      </c>
      <c r="J137" s="111">
        <v>0</v>
      </c>
      <c r="K137" s="111">
        <v>0</v>
      </c>
      <c r="L137" s="111">
        <v>0</v>
      </c>
      <c r="M137" s="111">
        <v>0</v>
      </c>
      <c r="N137" s="111">
        <v>0</v>
      </c>
      <c r="O137" s="111">
        <v>0</v>
      </c>
      <c r="P137" s="111">
        <v>0</v>
      </c>
      <c r="Q137" s="111">
        <v>0</v>
      </c>
      <c r="R137" s="111">
        <v>0</v>
      </c>
      <c r="S137" s="111">
        <v>0</v>
      </c>
      <c r="T137" s="111">
        <v>0</v>
      </c>
      <c r="U137" s="111">
        <v>0</v>
      </c>
      <c r="V137" s="111">
        <v>0</v>
      </c>
      <c r="W137" s="111">
        <v>0</v>
      </c>
      <c r="X137" s="111">
        <v>0</v>
      </c>
      <c r="Y137" s="111">
        <v>0</v>
      </c>
      <c r="Z137" s="111">
        <v>0</v>
      </c>
      <c r="AA137" s="111">
        <v>0</v>
      </c>
      <c r="AB137" s="111">
        <v>0</v>
      </c>
      <c r="AC137" s="111">
        <v>0</v>
      </c>
      <c r="AD137" s="111">
        <v>0</v>
      </c>
      <c r="AE137" s="111">
        <v>0</v>
      </c>
      <c r="AF137" s="111">
        <v>0</v>
      </c>
      <c r="AG137" s="111">
        <v>0</v>
      </c>
      <c r="AH137" s="111">
        <v>0</v>
      </c>
      <c r="AI137" s="111">
        <v>0</v>
      </c>
      <c r="AJ137" s="111">
        <v>0</v>
      </c>
      <c r="AK137" s="111">
        <v>0</v>
      </c>
      <c r="AL137" s="111">
        <v>0</v>
      </c>
      <c r="AM137" s="111">
        <v>0</v>
      </c>
      <c r="AN137" s="111">
        <v>0</v>
      </c>
      <c r="AO137" s="111">
        <v>0</v>
      </c>
      <c r="AP137" s="111">
        <v>0</v>
      </c>
      <c r="AQ137" s="111">
        <v>0</v>
      </c>
      <c r="AR137" s="111">
        <v>0</v>
      </c>
      <c r="AS137" s="111">
        <v>0</v>
      </c>
      <c r="AT137" s="111">
        <v>0</v>
      </c>
      <c r="AU137" s="111">
        <v>0</v>
      </c>
      <c r="AV137" s="111">
        <v>0</v>
      </c>
      <c r="AW137" s="111">
        <v>0</v>
      </c>
      <c r="AX137" s="111">
        <v>0</v>
      </c>
      <c r="AY137" s="111">
        <v>0</v>
      </c>
    </row>
    <row r="138" spans="1:51" x14ac:dyDescent="0.2">
      <c r="A138" s="114"/>
      <c r="B138" s="125">
        <v>17</v>
      </c>
      <c r="C138" s="111"/>
      <c r="D138" s="111">
        <v>0</v>
      </c>
      <c r="E138" s="111">
        <v>0</v>
      </c>
      <c r="F138" s="111">
        <v>0</v>
      </c>
      <c r="G138" s="111">
        <v>0</v>
      </c>
      <c r="H138" s="111">
        <v>0</v>
      </c>
      <c r="I138" s="111">
        <v>0</v>
      </c>
      <c r="J138" s="111">
        <v>0</v>
      </c>
      <c r="K138" s="111">
        <v>0</v>
      </c>
      <c r="L138" s="111">
        <v>0</v>
      </c>
      <c r="M138" s="111">
        <v>0</v>
      </c>
      <c r="N138" s="111">
        <v>0</v>
      </c>
      <c r="O138" s="111">
        <v>0</v>
      </c>
      <c r="P138" s="111">
        <v>0</v>
      </c>
      <c r="Q138" s="111">
        <v>0</v>
      </c>
      <c r="R138" s="111">
        <v>0</v>
      </c>
      <c r="S138" s="111">
        <v>0</v>
      </c>
      <c r="T138" s="111">
        <v>0</v>
      </c>
      <c r="U138" s="111">
        <v>0</v>
      </c>
      <c r="V138" s="111">
        <v>0</v>
      </c>
      <c r="W138" s="111">
        <v>0</v>
      </c>
      <c r="X138" s="111">
        <v>0</v>
      </c>
      <c r="Y138" s="111">
        <v>0</v>
      </c>
      <c r="Z138" s="111">
        <v>0</v>
      </c>
      <c r="AA138" s="111">
        <v>0</v>
      </c>
      <c r="AB138" s="111">
        <v>0</v>
      </c>
      <c r="AC138" s="111">
        <v>0</v>
      </c>
      <c r="AD138" s="111">
        <v>0</v>
      </c>
      <c r="AE138" s="111">
        <v>0</v>
      </c>
      <c r="AF138" s="111">
        <v>0</v>
      </c>
      <c r="AG138" s="111">
        <v>0</v>
      </c>
      <c r="AH138" s="111">
        <v>0</v>
      </c>
      <c r="AI138" s="111">
        <v>0</v>
      </c>
      <c r="AJ138" s="111">
        <v>0</v>
      </c>
      <c r="AK138" s="111">
        <v>0</v>
      </c>
      <c r="AL138" s="111">
        <v>0</v>
      </c>
      <c r="AM138" s="111">
        <v>0</v>
      </c>
      <c r="AN138" s="111">
        <v>0</v>
      </c>
      <c r="AO138" s="111">
        <v>0</v>
      </c>
      <c r="AP138" s="111">
        <v>0</v>
      </c>
      <c r="AQ138" s="111">
        <v>0</v>
      </c>
      <c r="AR138" s="111">
        <v>0</v>
      </c>
      <c r="AS138" s="111">
        <v>0</v>
      </c>
      <c r="AT138" s="111">
        <v>0</v>
      </c>
      <c r="AU138" s="111">
        <v>0</v>
      </c>
      <c r="AV138" s="111">
        <v>0</v>
      </c>
      <c r="AW138" s="111">
        <v>0</v>
      </c>
      <c r="AX138" s="111">
        <v>0</v>
      </c>
      <c r="AY138" s="111">
        <v>0</v>
      </c>
    </row>
    <row r="139" spans="1:51" x14ac:dyDescent="0.2">
      <c r="A139" s="114"/>
      <c r="B139" s="125">
        <v>18</v>
      </c>
      <c r="C139" s="111"/>
      <c r="D139" s="111">
        <v>0</v>
      </c>
      <c r="E139" s="111">
        <v>0</v>
      </c>
      <c r="F139" s="111">
        <v>0</v>
      </c>
      <c r="G139" s="111">
        <v>0</v>
      </c>
      <c r="H139" s="111">
        <v>0</v>
      </c>
      <c r="I139" s="111">
        <v>0</v>
      </c>
      <c r="J139" s="111">
        <v>0</v>
      </c>
      <c r="K139" s="111">
        <v>0</v>
      </c>
      <c r="L139" s="111">
        <v>0</v>
      </c>
      <c r="M139" s="111">
        <v>0</v>
      </c>
      <c r="N139" s="111">
        <v>0</v>
      </c>
      <c r="O139" s="111">
        <v>0</v>
      </c>
      <c r="P139" s="111">
        <v>0</v>
      </c>
      <c r="Q139" s="111">
        <v>0</v>
      </c>
      <c r="R139" s="111">
        <v>0</v>
      </c>
      <c r="S139" s="111">
        <v>0</v>
      </c>
      <c r="T139" s="111">
        <v>0</v>
      </c>
      <c r="U139" s="111">
        <v>0</v>
      </c>
      <c r="V139" s="111">
        <v>0</v>
      </c>
      <c r="W139" s="111">
        <v>0</v>
      </c>
      <c r="X139" s="111">
        <v>0</v>
      </c>
      <c r="Y139" s="111">
        <v>0</v>
      </c>
      <c r="Z139" s="111">
        <v>0</v>
      </c>
      <c r="AA139" s="111">
        <v>0</v>
      </c>
      <c r="AB139" s="111">
        <v>0</v>
      </c>
      <c r="AC139" s="111">
        <v>0</v>
      </c>
      <c r="AD139" s="111">
        <v>0</v>
      </c>
      <c r="AE139" s="111">
        <v>0</v>
      </c>
      <c r="AF139" s="111">
        <v>0</v>
      </c>
      <c r="AG139" s="111">
        <v>0</v>
      </c>
      <c r="AH139" s="111">
        <v>0</v>
      </c>
      <c r="AI139" s="111">
        <v>0</v>
      </c>
      <c r="AJ139" s="111">
        <v>0</v>
      </c>
      <c r="AK139" s="111">
        <v>0</v>
      </c>
      <c r="AL139" s="111">
        <v>0</v>
      </c>
      <c r="AM139" s="111">
        <v>0</v>
      </c>
      <c r="AN139" s="111">
        <v>0</v>
      </c>
      <c r="AO139" s="111">
        <v>0</v>
      </c>
      <c r="AP139" s="111">
        <v>0</v>
      </c>
      <c r="AQ139" s="111">
        <v>0</v>
      </c>
      <c r="AR139" s="111">
        <v>0</v>
      </c>
      <c r="AS139" s="111">
        <v>0</v>
      </c>
      <c r="AT139" s="111">
        <v>0</v>
      </c>
      <c r="AU139" s="111">
        <v>0</v>
      </c>
      <c r="AV139" s="111">
        <v>0</v>
      </c>
      <c r="AW139" s="111">
        <v>0</v>
      </c>
      <c r="AX139" s="111">
        <v>0</v>
      </c>
      <c r="AY139" s="111">
        <v>0</v>
      </c>
    </row>
    <row r="140" spans="1:51" x14ac:dyDescent="0.2">
      <c r="A140" s="114"/>
      <c r="B140" s="125">
        <v>19</v>
      </c>
      <c r="C140" s="111"/>
      <c r="D140" s="111">
        <v>0</v>
      </c>
      <c r="E140" s="111">
        <v>0</v>
      </c>
      <c r="F140" s="111">
        <v>0</v>
      </c>
      <c r="G140" s="111">
        <v>0</v>
      </c>
      <c r="H140" s="111">
        <v>0</v>
      </c>
      <c r="I140" s="111">
        <v>0</v>
      </c>
      <c r="J140" s="111">
        <v>0</v>
      </c>
      <c r="K140" s="111">
        <v>0</v>
      </c>
      <c r="L140" s="111">
        <v>0</v>
      </c>
      <c r="M140" s="111">
        <v>0</v>
      </c>
      <c r="N140" s="111">
        <v>0</v>
      </c>
      <c r="O140" s="111">
        <v>0</v>
      </c>
      <c r="P140" s="111">
        <v>0</v>
      </c>
      <c r="Q140" s="111">
        <v>0</v>
      </c>
      <c r="R140" s="111">
        <v>0</v>
      </c>
      <c r="S140" s="111">
        <v>0</v>
      </c>
      <c r="T140" s="111">
        <v>0</v>
      </c>
      <c r="U140" s="111">
        <v>0</v>
      </c>
      <c r="V140" s="111">
        <v>0</v>
      </c>
      <c r="W140" s="111">
        <v>0</v>
      </c>
      <c r="X140" s="111">
        <v>0</v>
      </c>
      <c r="Y140" s="111">
        <v>0</v>
      </c>
      <c r="Z140" s="111">
        <v>0</v>
      </c>
      <c r="AA140" s="111">
        <v>0</v>
      </c>
      <c r="AB140" s="111">
        <v>0</v>
      </c>
      <c r="AC140" s="111">
        <v>0</v>
      </c>
      <c r="AD140" s="111">
        <v>0</v>
      </c>
      <c r="AE140" s="111">
        <v>0</v>
      </c>
      <c r="AF140" s="111">
        <v>0</v>
      </c>
      <c r="AG140" s="111">
        <v>0</v>
      </c>
      <c r="AH140" s="111">
        <v>0</v>
      </c>
      <c r="AI140" s="111">
        <v>0</v>
      </c>
      <c r="AJ140" s="111">
        <v>0</v>
      </c>
      <c r="AK140" s="111">
        <v>0</v>
      </c>
      <c r="AL140" s="111">
        <v>0</v>
      </c>
      <c r="AM140" s="111">
        <v>0</v>
      </c>
      <c r="AN140" s="111">
        <v>0</v>
      </c>
      <c r="AO140" s="111">
        <v>0</v>
      </c>
      <c r="AP140" s="111">
        <v>0</v>
      </c>
      <c r="AQ140" s="111">
        <v>0</v>
      </c>
      <c r="AR140" s="111">
        <v>0</v>
      </c>
      <c r="AS140" s="111">
        <v>0</v>
      </c>
      <c r="AT140" s="111">
        <v>0</v>
      </c>
      <c r="AU140" s="111">
        <v>0</v>
      </c>
      <c r="AV140" s="111">
        <v>0</v>
      </c>
      <c r="AW140" s="111">
        <v>0</v>
      </c>
      <c r="AX140" s="111">
        <v>0</v>
      </c>
      <c r="AY140" s="111">
        <v>0</v>
      </c>
    </row>
    <row r="141" spans="1:51" x14ac:dyDescent="0.2">
      <c r="A141" s="114"/>
      <c r="B141" s="125">
        <v>20</v>
      </c>
      <c r="C141" s="111"/>
      <c r="D141" s="111">
        <v>0</v>
      </c>
      <c r="E141" s="111">
        <v>0</v>
      </c>
      <c r="F141" s="111">
        <v>0</v>
      </c>
      <c r="G141" s="111">
        <v>0</v>
      </c>
      <c r="H141" s="111">
        <v>0</v>
      </c>
      <c r="I141" s="111">
        <v>0</v>
      </c>
      <c r="J141" s="111">
        <v>0</v>
      </c>
      <c r="K141" s="111">
        <v>0</v>
      </c>
      <c r="L141" s="111">
        <v>0</v>
      </c>
      <c r="M141" s="111">
        <v>0</v>
      </c>
      <c r="N141" s="111">
        <v>0</v>
      </c>
      <c r="O141" s="111">
        <v>0</v>
      </c>
      <c r="P141" s="111">
        <v>0</v>
      </c>
      <c r="Q141" s="111">
        <v>0</v>
      </c>
      <c r="R141" s="111">
        <v>0</v>
      </c>
      <c r="S141" s="111">
        <v>0</v>
      </c>
      <c r="T141" s="111">
        <v>0</v>
      </c>
      <c r="U141" s="111">
        <v>0</v>
      </c>
      <c r="V141" s="111">
        <v>0</v>
      </c>
      <c r="W141" s="111">
        <v>0</v>
      </c>
      <c r="X141" s="111">
        <v>0</v>
      </c>
      <c r="Y141" s="111">
        <v>0</v>
      </c>
      <c r="Z141" s="111">
        <v>0</v>
      </c>
      <c r="AA141" s="111">
        <v>0</v>
      </c>
      <c r="AB141" s="111">
        <v>0</v>
      </c>
      <c r="AC141" s="111">
        <v>0</v>
      </c>
      <c r="AD141" s="111">
        <v>0</v>
      </c>
      <c r="AE141" s="111">
        <v>0</v>
      </c>
      <c r="AF141" s="111">
        <v>0</v>
      </c>
      <c r="AG141" s="111">
        <v>0</v>
      </c>
      <c r="AH141" s="111">
        <v>0</v>
      </c>
      <c r="AI141" s="111">
        <v>0</v>
      </c>
      <c r="AJ141" s="111">
        <v>0</v>
      </c>
      <c r="AK141" s="111">
        <v>0</v>
      </c>
      <c r="AL141" s="111">
        <v>0</v>
      </c>
      <c r="AM141" s="111">
        <v>0</v>
      </c>
      <c r="AN141" s="111">
        <v>0</v>
      </c>
      <c r="AO141" s="111">
        <v>0</v>
      </c>
      <c r="AP141" s="111">
        <v>0</v>
      </c>
      <c r="AQ141" s="111">
        <v>0</v>
      </c>
      <c r="AR141" s="111">
        <v>0</v>
      </c>
      <c r="AS141" s="111">
        <v>0</v>
      </c>
      <c r="AT141" s="111">
        <v>0</v>
      </c>
      <c r="AU141" s="111">
        <v>0</v>
      </c>
      <c r="AV141" s="111">
        <v>0</v>
      </c>
      <c r="AW141" s="111">
        <v>0</v>
      </c>
      <c r="AX141" s="111">
        <v>0</v>
      </c>
      <c r="AY141" s="111">
        <v>0</v>
      </c>
    </row>
    <row r="142" spans="1:51" x14ac:dyDescent="0.2">
      <c r="A142" s="114"/>
      <c r="B142" s="125">
        <v>21</v>
      </c>
      <c r="C142" s="111"/>
      <c r="D142" s="111">
        <v>0</v>
      </c>
      <c r="E142" s="111">
        <v>0</v>
      </c>
      <c r="F142" s="111">
        <v>0</v>
      </c>
      <c r="G142" s="111">
        <v>0</v>
      </c>
      <c r="H142" s="111">
        <v>0</v>
      </c>
      <c r="I142" s="111">
        <v>0</v>
      </c>
      <c r="J142" s="111">
        <v>0</v>
      </c>
      <c r="K142" s="111">
        <v>0</v>
      </c>
      <c r="L142" s="111">
        <v>0</v>
      </c>
      <c r="M142" s="111">
        <v>0</v>
      </c>
      <c r="N142" s="111">
        <v>0</v>
      </c>
      <c r="O142" s="111">
        <v>0</v>
      </c>
      <c r="P142" s="111">
        <v>0</v>
      </c>
      <c r="Q142" s="111">
        <v>0</v>
      </c>
      <c r="R142" s="111">
        <v>0</v>
      </c>
      <c r="S142" s="111">
        <v>0</v>
      </c>
      <c r="T142" s="111">
        <v>0</v>
      </c>
      <c r="U142" s="111">
        <v>0</v>
      </c>
      <c r="V142" s="111">
        <v>0</v>
      </c>
      <c r="W142" s="111">
        <v>0</v>
      </c>
      <c r="X142" s="111">
        <v>0</v>
      </c>
      <c r="Y142" s="111">
        <v>0</v>
      </c>
      <c r="Z142" s="111">
        <v>0</v>
      </c>
      <c r="AA142" s="111">
        <v>0</v>
      </c>
      <c r="AB142" s="111">
        <v>0</v>
      </c>
      <c r="AC142" s="111">
        <v>0</v>
      </c>
      <c r="AD142" s="111">
        <v>0</v>
      </c>
      <c r="AE142" s="111">
        <v>0</v>
      </c>
      <c r="AF142" s="111">
        <v>0</v>
      </c>
      <c r="AG142" s="111">
        <v>0</v>
      </c>
      <c r="AH142" s="111">
        <v>0</v>
      </c>
      <c r="AI142" s="111">
        <v>0</v>
      </c>
      <c r="AJ142" s="111">
        <v>0</v>
      </c>
      <c r="AK142" s="111">
        <v>0</v>
      </c>
      <c r="AL142" s="111">
        <v>0</v>
      </c>
      <c r="AM142" s="111">
        <v>0</v>
      </c>
      <c r="AN142" s="111">
        <v>0</v>
      </c>
      <c r="AO142" s="111">
        <v>0</v>
      </c>
      <c r="AP142" s="111">
        <v>0</v>
      </c>
      <c r="AQ142" s="111">
        <v>0</v>
      </c>
      <c r="AR142" s="111">
        <v>0</v>
      </c>
      <c r="AS142" s="111">
        <v>0</v>
      </c>
      <c r="AT142" s="111">
        <v>0</v>
      </c>
      <c r="AU142" s="111">
        <v>0</v>
      </c>
      <c r="AV142" s="111">
        <v>0</v>
      </c>
      <c r="AW142" s="111">
        <v>0</v>
      </c>
      <c r="AX142" s="111">
        <v>0</v>
      </c>
      <c r="AY142" s="111">
        <v>0</v>
      </c>
    </row>
    <row r="143" spans="1:51" x14ac:dyDescent="0.2">
      <c r="A143" s="114"/>
      <c r="B143" s="125">
        <v>22</v>
      </c>
      <c r="C143" s="111"/>
      <c r="D143" s="111">
        <v>0</v>
      </c>
      <c r="E143" s="111">
        <v>0</v>
      </c>
      <c r="F143" s="111">
        <v>0</v>
      </c>
      <c r="G143" s="111">
        <v>0</v>
      </c>
      <c r="H143" s="111">
        <v>0</v>
      </c>
      <c r="I143" s="111">
        <v>0</v>
      </c>
      <c r="J143" s="111">
        <v>0</v>
      </c>
      <c r="K143" s="111">
        <v>0</v>
      </c>
      <c r="L143" s="111">
        <v>0</v>
      </c>
      <c r="M143" s="111">
        <v>0</v>
      </c>
      <c r="N143" s="111">
        <v>0</v>
      </c>
      <c r="O143" s="111">
        <v>0</v>
      </c>
      <c r="P143" s="111">
        <v>0</v>
      </c>
      <c r="Q143" s="111">
        <v>0</v>
      </c>
      <c r="R143" s="111">
        <v>0</v>
      </c>
      <c r="S143" s="111">
        <v>0</v>
      </c>
      <c r="T143" s="111">
        <v>0</v>
      </c>
      <c r="U143" s="111">
        <v>0</v>
      </c>
      <c r="V143" s="111">
        <v>0</v>
      </c>
      <c r="W143" s="111">
        <v>0</v>
      </c>
      <c r="X143" s="111">
        <v>0</v>
      </c>
      <c r="Y143" s="111">
        <v>0</v>
      </c>
      <c r="Z143" s="111">
        <v>0</v>
      </c>
      <c r="AA143" s="111">
        <v>0</v>
      </c>
      <c r="AB143" s="111">
        <v>0</v>
      </c>
      <c r="AC143" s="111">
        <v>0</v>
      </c>
      <c r="AD143" s="111">
        <v>0</v>
      </c>
      <c r="AE143" s="111">
        <v>0</v>
      </c>
      <c r="AF143" s="111">
        <v>0</v>
      </c>
      <c r="AG143" s="111">
        <v>0</v>
      </c>
      <c r="AH143" s="111">
        <v>0</v>
      </c>
      <c r="AI143" s="111">
        <v>0</v>
      </c>
      <c r="AJ143" s="111">
        <v>0</v>
      </c>
      <c r="AK143" s="111">
        <v>0</v>
      </c>
      <c r="AL143" s="111">
        <v>0</v>
      </c>
      <c r="AM143" s="111">
        <v>0</v>
      </c>
      <c r="AN143" s="111">
        <v>0</v>
      </c>
      <c r="AO143" s="111">
        <v>0</v>
      </c>
      <c r="AP143" s="111">
        <v>0</v>
      </c>
      <c r="AQ143" s="111">
        <v>0</v>
      </c>
      <c r="AR143" s="111">
        <v>0</v>
      </c>
      <c r="AS143" s="111">
        <v>0</v>
      </c>
      <c r="AT143" s="111">
        <v>0</v>
      </c>
      <c r="AU143" s="111">
        <v>0</v>
      </c>
      <c r="AV143" s="111">
        <v>0</v>
      </c>
      <c r="AW143" s="111">
        <v>0</v>
      </c>
      <c r="AX143" s="111">
        <v>0</v>
      </c>
      <c r="AY143" s="111">
        <v>0</v>
      </c>
    </row>
    <row r="144" spans="1:51" x14ac:dyDescent="0.2">
      <c r="A144" s="114"/>
      <c r="B144" s="125">
        <v>23</v>
      </c>
      <c r="C144" s="111"/>
      <c r="D144" s="111">
        <v>0</v>
      </c>
      <c r="E144" s="111">
        <v>0</v>
      </c>
      <c r="F144" s="111">
        <v>0</v>
      </c>
      <c r="G144" s="111">
        <v>0</v>
      </c>
      <c r="H144" s="111">
        <v>0</v>
      </c>
      <c r="I144" s="111">
        <v>0</v>
      </c>
      <c r="J144" s="111">
        <v>0</v>
      </c>
      <c r="K144" s="111">
        <v>0</v>
      </c>
      <c r="L144" s="111">
        <v>0</v>
      </c>
      <c r="M144" s="111">
        <v>0</v>
      </c>
      <c r="N144" s="111">
        <v>0</v>
      </c>
      <c r="O144" s="111">
        <v>0</v>
      </c>
      <c r="P144" s="111">
        <v>0</v>
      </c>
      <c r="Q144" s="111">
        <v>0</v>
      </c>
      <c r="R144" s="111">
        <v>0</v>
      </c>
      <c r="S144" s="111">
        <v>0</v>
      </c>
      <c r="T144" s="111">
        <v>0</v>
      </c>
      <c r="U144" s="111">
        <v>0</v>
      </c>
      <c r="V144" s="111">
        <v>0</v>
      </c>
      <c r="W144" s="111">
        <v>0</v>
      </c>
      <c r="X144" s="111">
        <v>0</v>
      </c>
      <c r="Y144" s="111">
        <v>0</v>
      </c>
      <c r="Z144" s="111">
        <v>0</v>
      </c>
      <c r="AA144" s="111">
        <v>0</v>
      </c>
      <c r="AB144" s="111">
        <v>0</v>
      </c>
      <c r="AC144" s="111">
        <v>0</v>
      </c>
      <c r="AD144" s="111">
        <v>0</v>
      </c>
      <c r="AE144" s="111">
        <v>0</v>
      </c>
      <c r="AF144" s="111">
        <v>0</v>
      </c>
      <c r="AG144" s="111">
        <v>0</v>
      </c>
      <c r="AH144" s="111">
        <v>0</v>
      </c>
      <c r="AI144" s="111">
        <v>0</v>
      </c>
      <c r="AJ144" s="111">
        <v>0</v>
      </c>
      <c r="AK144" s="111">
        <v>0</v>
      </c>
      <c r="AL144" s="111">
        <v>0</v>
      </c>
      <c r="AM144" s="111">
        <v>0</v>
      </c>
      <c r="AN144" s="111">
        <v>0</v>
      </c>
      <c r="AO144" s="111">
        <v>0</v>
      </c>
      <c r="AP144" s="111">
        <v>0</v>
      </c>
      <c r="AQ144" s="111">
        <v>0</v>
      </c>
      <c r="AR144" s="111">
        <v>0</v>
      </c>
      <c r="AS144" s="111">
        <v>0</v>
      </c>
      <c r="AT144" s="111">
        <v>0</v>
      </c>
      <c r="AU144" s="111">
        <v>0</v>
      </c>
      <c r="AV144" s="111">
        <v>0</v>
      </c>
      <c r="AW144" s="111">
        <v>0</v>
      </c>
      <c r="AX144" s="111">
        <v>0</v>
      </c>
      <c r="AY144" s="111">
        <v>0</v>
      </c>
    </row>
    <row r="145" spans="1:51" x14ac:dyDescent="0.2">
      <c r="A145" s="114"/>
      <c r="B145" s="125">
        <v>24</v>
      </c>
      <c r="C145" s="111"/>
      <c r="D145" s="111">
        <v>0</v>
      </c>
      <c r="E145" s="111">
        <v>0</v>
      </c>
      <c r="F145" s="111">
        <v>0</v>
      </c>
      <c r="G145" s="111">
        <v>0</v>
      </c>
      <c r="H145" s="111">
        <v>0</v>
      </c>
      <c r="I145" s="111">
        <v>0</v>
      </c>
      <c r="J145" s="111">
        <v>0</v>
      </c>
      <c r="K145" s="111">
        <v>0</v>
      </c>
      <c r="L145" s="111">
        <v>0</v>
      </c>
      <c r="M145" s="111">
        <v>0</v>
      </c>
      <c r="N145" s="111">
        <v>0</v>
      </c>
      <c r="O145" s="111">
        <v>0</v>
      </c>
      <c r="P145" s="111">
        <v>0</v>
      </c>
      <c r="Q145" s="111">
        <v>0</v>
      </c>
      <c r="R145" s="111">
        <v>0</v>
      </c>
      <c r="S145" s="111">
        <v>0</v>
      </c>
      <c r="T145" s="111">
        <v>0</v>
      </c>
      <c r="U145" s="111">
        <v>0</v>
      </c>
      <c r="V145" s="111">
        <v>0</v>
      </c>
      <c r="W145" s="111">
        <v>0</v>
      </c>
      <c r="X145" s="111">
        <v>0</v>
      </c>
      <c r="Y145" s="111">
        <v>0</v>
      </c>
      <c r="Z145" s="111">
        <v>0</v>
      </c>
      <c r="AA145" s="111">
        <v>0</v>
      </c>
      <c r="AB145" s="111">
        <v>0</v>
      </c>
      <c r="AC145" s="111">
        <v>0</v>
      </c>
      <c r="AD145" s="111">
        <v>0</v>
      </c>
      <c r="AE145" s="111">
        <v>0</v>
      </c>
      <c r="AF145" s="111">
        <v>0</v>
      </c>
      <c r="AG145" s="111">
        <v>0</v>
      </c>
      <c r="AH145" s="111">
        <v>0</v>
      </c>
      <c r="AI145" s="111">
        <v>0</v>
      </c>
      <c r="AJ145" s="111">
        <v>0</v>
      </c>
      <c r="AK145" s="111">
        <v>0</v>
      </c>
      <c r="AL145" s="111">
        <v>0</v>
      </c>
      <c r="AM145" s="111">
        <v>0</v>
      </c>
      <c r="AN145" s="111">
        <v>0</v>
      </c>
      <c r="AO145" s="111">
        <v>0</v>
      </c>
      <c r="AP145" s="111">
        <v>0</v>
      </c>
      <c r="AQ145" s="111">
        <v>0</v>
      </c>
      <c r="AR145" s="111">
        <v>0</v>
      </c>
      <c r="AS145" s="111">
        <v>0</v>
      </c>
      <c r="AT145" s="111">
        <v>0</v>
      </c>
      <c r="AU145" s="111">
        <v>0</v>
      </c>
      <c r="AV145" s="111">
        <v>0</v>
      </c>
      <c r="AW145" s="111">
        <v>0</v>
      </c>
      <c r="AX145" s="111">
        <v>0</v>
      </c>
      <c r="AY145" s="111">
        <v>0</v>
      </c>
    </row>
    <row r="146" spans="1:51" x14ac:dyDescent="0.2">
      <c r="A146" s="114"/>
      <c r="B146" s="132">
        <v>25</v>
      </c>
      <c r="C146" s="111"/>
      <c r="D146" s="111">
        <v>0</v>
      </c>
      <c r="E146" s="111">
        <v>0</v>
      </c>
      <c r="F146" s="111">
        <v>0</v>
      </c>
      <c r="G146" s="111">
        <v>0</v>
      </c>
      <c r="H146" s="111">
        <v>0</v>
      </c>
      <c r="I146" s="111">
        <v>0</v>
      </c>
      <c r="J146" s="111">
        <v>0</v>
      </c>
      <c r="K146" s="111">
        <v>0</v>
      </c>
      <c r="L146" s="111">
        <v>0</v>
      </c>
      <c r="M146" s="111">
        <v>0</v>
      </c>
      <c r="N146" s="111">
        <v>0</v>
      </c>
      <c r="O146" s="111">
        <v>0</v>
      </c>
      <c r="P146" s="111">
        <v>0</v>
      </c>
      <c r="Q146" s="111">
        <v>0</v>
      </c>
      <c r="R146" s="111">
        <v>0</v>
      </c>
      <c r="S146" s="111">
        <v>0</v>
      </c>
      <c r="T146" s="111">
        <v>0</v>
      </c>
      <c r="U146" s="111">
        <v>0</v>
      </c>
      <c r="V146" s="111">
        <v>0</v>
      </c>
      <c r="W146" s="111">
        <v>0</v>
      </c>
      <c r="X146" s="111">
        <v>0</v>
      </c>
      <c r="Y146" s="111">
        <v>0</v>
      </c>
      <c r="Z146" s="111">
        <v>0</v>
      </c>
      <c r="AA146" s="111">
        <v>0</v>
      </c>
      <c r="AB146" s="111">
        <v>0</v>
      </c>
      <c r="AC146" s="111">
        <v>0</v>
      </c>
      <c r="AD146" s="111">
        <v>0</v>
      </c>
      <c r="AE146" s="111">
        <v>0</v>
      </c>
      <c r="AF146" s="111">
        <v>0</v>
      </c>
      <c r="AG146" s="111">
        <v>0</v>
      </c>
      <c r="AH146" s="111">
        <v>0</v>
      </c>
      <c r="AI146" s="111">
        <v>0</v>
      </c>
      <c r="AJ146" s="111">
        <v>0</v>
      </c>
      <c r="AK146" s="111">
        <v>0</v>
      </c>
      <c r="AL146" s="111">
        <v>0</v>
      </c>
      <c r="AM146" s="111">
        <v>0</v>
      </c>
      <c r="AN146" s="111">
        <v>0</v>
      </c>
      <c r="AO146" s="111">
        <v>0</v>
      </c>
      <c r="AP146" s="111">
        <v>0</v>
      </c>
      <c r="AQ146" s="111">
        <v>0</v>
      </c>
      <c r="AR146" s="111">
        <v>0</v>
      </c>
      <c r="AS146" s="111">
        <v>0</v>
      </c>
      <c r="AT146" s="111">
        <v>0</v>
      </c>
      <c r="AU146" s="111">
        <v>0</v>
      </c>
      <c r="AV146" s="111">
        <v>0</v>
      </c>
      <c r="AW146" s="111">
        <v>0</v>
      </c>
      <c r="AX146" s="111">
        <v>0</v>
      </c>
      <c r="AY146" s="111">
        <v>0</v>
      </c>
    </row>
    <row r="147" spans="1:51" x14ac:dyDescent="0.2">
      <c r="A147" s="114"/>
      <c r="B147" s="132">
        <v>26</v>
      </c>
      <c r="C147" s="111"/>
      <c r="D147" s="111">
        <v>0</v>
      </c>
      <c r="E147" s="111">
        <v>0</v>
      </c>
      <c r="F147" s="111">
        <v>0</v>
      </c>
      <c r="G147" s="111">
        <v>0</v>
      </c>
      <c r="H147" s="111">
        <v>0</v>
      </c>
      <c r="I147" s="111">
        <v>0</v>
      </c>
      <c r="J147" s="111">
        <v>0</v>
      </c>
      <c r="K147" s="111">
        <v>0</v>
      </c>
      <c r="L147" s="111">
        <v>0</v>
      </c>
      <c r="M147" s="111">
        <v>0</v>
      </c>
      <c r="N147" s="111">
        <v>0</v>
      </c>
      <c r="O147" s="111">
        <v>0</v>
      </c>
      <c r="P147" s="111">
        <v>0</v>
      </c>
      <c r="Q147" s="111">
        <v>0</v>
      </c>
      <c r="R147" s="111">
        <v>0</v>
      </c>
      <c r="S147" s="111">
        <v>0</v>
      </c>
      <c r="T147" s="111">
        <v>0</v>
      </c>
      <c r="U147" s="111">
        <v>0</v>
      </c>
      <c r="V147" s="111">
        <v>0</v>
      </c>
      <c r="W147" s="111">
        <v>0</v>
      </c>
      <c r="X147" s="111">
        <v>0</v>
      </c>
      <c r="Y147" s="111">
        <v>0</v>
      </c>
      <c r="Z147" s="111">
        <v>0</v>
      </c>
      <c r="AA147" s="111">
        <v>0</v>
      </c>
      <c r="AB147" s="111">
        <v>0</v>
      </c>
      <c r="AC147" s="111">
        <v>0</v>
      </c>
      <c r="AD147" s="111">
        <v>0</v>
      </c>
      <c r="AE147" s="111">
        <v>0</v>
      </c>
      <c r="AF147" s="111">
        <v>0</v>
      </c>
      <c r="AG147" s="111">
        <v>0</v>
      </c>
      <c r="AH147" s="111">
        <v>0</v>
      </c>
      <c r="AI147" s="111">
        <v>0</v>
      </c>
      <c r="AJ147" s="111">
        <v>0</v>
      </c>
      <c r="AK147" s="111">
        <v>0</v>
      </c>
      <c r="AL147" s="111">
        <v>0</v>
      </c>
      <c r="AM147" s="111">
        <v>0</v>
      </c>
      <c r="AN147" s="111">
        <v>0</v>
      </c>
      <c r="AO147" s="111">
        <v>0</v>
      </c>
      <c r="AP147" s="111">
        <v>0</v>
      </c>
      <c r="AQ147" s="111">
        <v>0</v>
      </c>
      <c r="AR147" s="111">
        <v>0</v>
      </c>
      <c r="AS147" s="111">
        <v>0</v>
      </c>
      <c r="AT147" s="111">
        <v>0</v>
      </c>
      <c r="AU147" s="111">
        <v>0</v>
      </c>
      <c r="AV147" s="111">
        <v>0</v>
      </c>
      <c r="AW147" s="111">
        <v>0</v>
      </c>
      <c r="AX147" s="111">
        <v>0</v>
      </c>
      <c r="AY147" s="111">
        <v>0</v>
      </c>
    </row>
    <row r="148" spans="1:51" x14ac:dyDescent="0.2">
      <c r="A148" s="114"/>
      <c r="B148" s="132">
        <v>27</v>
      </c>
      <c r="C148" s="111"/>
      <c r="D148" s="111">
        <v>0</v>
      </c>
      <c r="E148" s="111">
        <v>0</v>
      </c>
      <c r="F148" s="111">
        <v>0</v>
      </c>
      <c r="G148" s="111">
        <v>0</v>
      </c>
      <c r="H148" s="111">
        <v>0</v>
      </c>
      <c r="I148" s="111">
        <v>0</v>
      </c>
      <c r="J148" s="111">
        <v>0</v>
      </c>
      <c r="K148" s="111">
        <v>0</v>
      </c>
      <c r="L148" s="111">
        <v>0</v>
      </c>
      <c r="M148" s="111">
        <v>0</v>
      </c>
      <c r="N148" s="111">
        <v>0</v>
      </c>
      <c r="O148" s="111">
        <v>0</v>
      </c>
      <c r="P148" s="111">
        <v>0</v>
      </c>
      <c r="Q148" s="111">
        <v>0</v>
      </c>
      <c r="R148" s="111">
        <v>0</v>
      </c>
      <c r="S148" s="111">
        <v>0</v>
      </c>
      <c r="T148" s="111">
        <v>0</v>
      </c>
      <c r="U148" s="111">
        <v>0</v>
      </c>
      <c r="V148" s="111">
        <v>0</v>
      </c>
      <c r="W148" s="111">
        <v>0</v>
      </c>
      <c r="X148" s="111">
        <v>0</v>
      </c>
      <c r="Y148" s="111">
        <v>0</v>
      </c>
      <c r="Z148" s="111">
        <v>0</v>
      </c>
      <c r="AA148" s="111">
        <v>0</v>
      </c>
      <c r="AB148" s="111">
        <v>0</v>
      </c>
      <c r="AC148" s="111">
        <v>0</v>
      </c>
      <c r="AD148" s="111">
        <v>0</v>
      </c>
      <c r="AE148" s="111">
        <v>0</v>
      </c>
      <c r="AF148" s="111">
        <v>0</v>
      </c>
      <c r="AG148" s="111">
        <v>0</v>
      </c>
      <c r="AH148" s="111">
        <v>0</v>
      </c>
      <c r="AI148" s="111">
        <v>0</v>
      </c>
      <c r="AJ148" s="111">
        <v>0</v>
      </c>
      <c r="AK148" s="111">
        <v>0</v>
      </c>
      <c r="AL148" s="111">
        <v>0</v>
      </c>
      <c r="AM148" s="111">
        <v>0</v>
      </c>
      <c r="AN148" s="111">
        <v>0</v>
      </c>
      <c r="AO148" s="111">
        <v>0</v>
      </c>
      <c r="AP148" s="111">
        <v>0</v>
      </c>
      <c r="AQ148" s="111">
        <v>0</v>
      </c>
      <c r="AR148" s="111">
        <v>0</v>
      </c>
      <c r="AS148" s="111">
        <v>0</v>
      </c>
      <c r="AT148" s="111">
        <v>0</v>
      </c>
      <c r="AU148" s="111">
        <v>0</v>
      </c>
      <c r="AV148" s="111">
        <v>0</v>
      </c>
      <c r="AW148" s="111">
        <v>0</v>
      </c>
      <c r="AX148" s="111">
        <v>0</v>
      </c>
      <c r="AY148" s="111">
        <v>0</v>
      </c>
    </row>
    <row r="149" spans="1:51" x14ac:dyDescent="0.2">
      <c r="A149" s="114"/>
      <c r="B149" s="132">
        <v>28</v>
      </c>
      <c r="C149" s="111"/>
      <c r="D149" s="111">
        <v>0</v>
      </c>
      <c r="E149" s="111">
        <v>0</v>
      </c>
      <c r="F149" s="111">
        <v>0</v>
      </c>
      <c r="G149" s="111">
        <v>0</v>
      </c>
      <c r="H149" s="111">
        <v>0</v>
      </c>
      <c r="I149" s="111">
        <v>0</v>
      </c>
      <c r="J149" s="111">
        <v>0</v>
      </c>
      <c r="K149" s="111">
        <v>0</v>
      </c>
      <c r="L149" s="111">
        <v>0</v>
      </c>
      <c r="M149" s="111">
        <v>0</v>
      </c>
      <c r="N149" s="111">
        <v>0</v>
      </c>
      <c r="O149" s="111">
        <v>0</v>
      </c>
      <c r="P149" s="111">
        <v>0</v>
      </c>
      <c r="Q149" s="111">
        <v>0</v>
      </c>
      <c r="R149" s="111">
        <v>0</v>
      </c>
      <c r="S149" s="111">
        <v>0</v>
      </c>
      <c r="T149" s="111">
        <v>0</v>
      </c>
      <c r="U149" s="111">
        <v>0</v>
      </c>
      <c r="V149" s="111">
        <v>0</v>
      </c>
      <c r="W149" s="111">
        <v>0</v>
      </c>
      <c r="X149" s="111">
        <v>0</v>
      </c>
      <c r="Y149" s="111">
        <v>0</v>
      </c>
      <c r="Z149" s="111">
        <v>0</v>
      </c>
      <c r="AA149" s="111">
        <v>0</v>
      </c>
      <c r="AB149" s="111">
        <v>0</v>
      </c>
      <c r="AC149" s="111">
        <v>0</v>
      </c>
      <c r="AD149" s="111">
        <v>0</v>
      </c>
      <c r="AE149" s="111">
        <v>0</v>
      </c>
      <c r="AF149" s="111">
        <v>0</v>
      </c>
      <c r="AG149" s="111">
        <v>0</v>
      </c>
      <c r="AH149" s="111">
        <v>0</v>
      </c>
      <c r="AI149" s="111">
        <v>0</v>
      </c>
      <c r="AJ149" s="111">
        <v>0</v>
      </c>
      <c r="AK149" s="111">
        <v>0</v>
      </c>
      <c r="AL149" s="111">
        <v>0</v>
      </c>
      <c r="AM149" s="111">
        <v>0</v>
      </c>
      <c r="AN149" s="111">
        <v>0</v>
      </c>
      <c r="AO149" s="111">
        <v>0</v>
      </c>
      <c r="AP149" s="111">
        <v>0</v>
      </c>
      <c r="AQ149" s="111">
        <v>0</v>
      </c>
      <c r="AR149" s="111">
        <v>0</v>
      </c>
      <c r="AS149" s="111">
        <v>0</v>
      </c>
      <c r="AT149" s="111">
        <v>0</v>
      </c>
      <c r="AU149" s="111">
        <v>0</v>
      </c>
      <c r="AV149" s="111">
        <v>0</v>
      </c>
      <c r="AW149" s="111">
        <v>0</v>
      </c>
      <c r="AX149" s="111">
        <v>0</v>
      </c>
      <c r="AY149" s="111">
        <v>0</v>
      </c>
    </row>
    <row r="150" spans="1:51" x14ac:dyDescent="0.2">
      <c r="A150" s="114"/>
      <c r="B150" s="132">
        <v>29</v>
      </c>
      <c r="C150" s="111"/>
      <c r="D150" s="111">
        <v>0</v>
      </c>
      <c r="E150" s="111">
        <v>0</v>
      </c>
      <c r="F150" s="111">
        <v>0</v>
      </c>
      <c r="G150" s="111">
        <v>0</v>
      </c>
      <c r="H150" s="111">
        <v>0</v>
      </c>
      <c r="I150" s="111">
        <v>0</v>
      </c>
      <c r="J150" s="111">
        <v>0</v>
      </c>
      <c r="K150" s="111">
        <v>0</v>
      </c>
      <c r="L150" s="111">
        <v>0</v>
      </c>
      <c r="M150" s="111">
        <v>0</v>
      </c>
      <c r="N150" s="111">
        <v>0</v>
      </c>
      <c r="O150" s="111">
        <v>0</v>
      </c>
      <c r="P150" s="111">
        <v>0</v>
      </c>
      <c r="Q150" s="111">
        <v>0</v>
      </c>
      <c r="R150" s="111">
        <v>0</v>
      </c>
      <c r="S150" s="111">
        <v>0</v>
      </c>
      <c r="T150" s="111">
        <v>0</v>
      </c>
      <c r="U150" s="111">
        <v>0</v>
      </c>
      <c r="V150" s="111">
        <v>0</v>
      </c>
      <c r="W150" s="111">
        <v>0</v>
      </c>
      <c r="X150" s="111">
        <v>0</v>
      </c>
      <c r="Y150" s="111">
        <v>0</v>
      </c>
      <c r="Z150" s="111">
        <v>0</v>
      </c>
      <c r="AA150" s="111">
        <v>0</v>
      </c>
      <c r="AB150" s="111">
        <v>0</v>
      </c>
      <c r="AC150" s="111">
        <v>0</v>
      </c>
      <c r="AD150" s="111">
        <v>0</v>
      </c>
      <c r="AE150" s="111">
        <v>0</v>
      </c>
      <c r="AF150" s="111">
        <v>0</v>
      </c>
      <c r="AG150" s="111">
        <v>0</v>
      </c>
      <c r="AH150" s="111">
        <v>0</v>
      </c>
      <c r="AI150" s="111">
        <v>0</v>
      </c>
      <c r="AJ150" s="111">
        <v>0</v>
      </c>
      <c r="AK150" s="111">
        <v>0</v>
      </c>
      <c r="AL150" s="111">
        <v>0</v>
      </c>
      <c r="AM150" s="111">
        <v>0</v>
      </c>
      <c r="AN150" s="111">
        <v>0</v>
      </c>
      <c r="AO150" s="111">
        <v>0</v>
      </c>
      <c r="AP150" s="111">
        <v>0</v>
      </c>
      <c r="AQ150" s="111">
        <v>0</v>
      </c>
      <c r="AR150" s="111">
        <v>0</v>
      </c>
      <c r="AS150" s="111">
        <v>0</v>
      </c>
      <c r="AT150" s="111">
        <v>0</v>
      </c>
      <c r="AU150" s="111">
        <v>0</v>
      </c>
      <c r="AV150" s="111">
        <v>0</v>
      </c>
      <c r="AW150" s="111">
        <v>0</v>
      </c>
      <c r="AX150" s="111">
        <v>0</v>
      </c>
      <c r="AY150" s="111">
        <v>0</v>
      </c>
    </row>
    <row r="151" spans="1:51" x14ac:dyDescent="0.2">
      <c r="A151" s="114"/>
      <c r="B151" s="132">
        <v>30</v>
      </c>
      <c r="C151" s="111"/>
      <c r="D151" s="111">
        <v>0</v>
      </c>
      <c r="E151" s="111">
        <v>0</v>
      </c>
      <c r="F151" s="111">
        <v>0</v>
      </c>
      <c r="G151" s="111">
        <v>0</v>
      </c>
      <c r="H151" s="111">
        <v>0</v>
      </c>
      <c r="I151" s="111">
        <v>0</v>
      </c>
      <c r="J151" s="111">
        <v>0</v>
      </c>
      <c r="K151" s="111">
        <v>0</v>
      </c>
      <c r="L151" s="111">
        <v>0</v>
      </c>
      <c r="M151" s="111">
        <v>0</v>
      </c>
      <c r="N151" s="111">
        <v>0</v>
      </c>
      <c r="O151" s="111">
        <v>0</v>
      </c>
      <c r="P151" s="111">
        <v>0</v>
      </c>
      <c r="Q151" s="111">
        <v>0</v>
      </c>
      <c r="R151" s="111">
        <v>0</v>
      </c>
      <c r="S151" s="111">
        <v>0</v>
      </c>
      <c r="T151" s="111">
        <v>0</v>
      </c>
      <c r="U151" s="111">
        <v>0</v>
      </c>
      <c r="V151" s="111">
        <v>0</v>
      </c>
      <c r="W151" s="111">
        <v>0</v>
      </c>
      <c r="X151" s="111">
        <v>0</v>
      </c>
      <c r="Y151" s="111">
        <v>0</v>
      </c>
      <c r="Z151" s="111">
        <v>0</v>
      </c>
      <c r="AA151" s="111">
        <v>0</v>
      </c>
      <c r="AB151" s="111">
        <v>0</v>
      </c>
      <c r="AC151" s="111">
        <v>0</v>
      </c>
      <c r="AD151" s="111">
        <v>0</v>
      </c>
      <c r="AE151" s="111">
        <v>0</v>
      </c>
      <c r="AF151" s="111">
        <v>0</v>
      </c>
      <c r="AG151" s="111">
        <v>0</v>
      </c>
      <c r="AH151" s="111">
        <v>0</v>
      </c>
      <c r="AI151" s="111">
        <v>0</v>
      </c>
      <c r="AJ151" s="111">
        <v>0</v>
      </c>
      <c r="AK151" s="111">
        <v>0</v>
      </c>
      <c r="AL151" s="111">
        <v>0</v>
      </c>
      <c r="AM151" s="111">
        <v>0</v>
      </c>
      <c r="AN151" s="111">
        <v>0</v>
      </c>
      <c r="AO151" s="111">
        <v>0</v>
      </c>
      <c r="AP151" s="111">
        <v>0</v>
      </c>
      <c r="AQ151" s="111">
        <v>0</v>
      </c>
      <c r="AR151" s="111">
        <v>0</v>
      </c>
      <c r="AS151" s="111">
        <v>0</v>
      </c>
      <c r="AT151" s="111">
        <v>0</v>
      </c>
      <c r="AU151" s="111">
        <v>0</v>
      </c>
      <c r="AV151" s="111">
        <v>0</v>
      </c>
      <c r="AW151" s="111">
        <v>0</v>
      </c>
      <c r="AX151" s="111">
        <v>0</v>
      </c>
      <c r="AY151" s="111">
        <v>0</v>
      </c>
    </row>
    <row r="152" spans="1:51" x14ac:dyDescent="0.2">
      <c r="A152" s="114"/>
      <c r="B152" s="132">
        <v>31</v>
      </c>
      <c r="C152" s="111"/>
      <c r="D152" s="111">
        <v>0</v>
      </c>
      <c r="E152" s="111">
        <v>0</v>
      </c>
      <c r="F152" s="111">
        <v>0</v>
      </c>
      <c r="G152" s="111">
        <v>0</v>
      </c>
      <c r="H152" s="111">
        <v>0</v>
      </c>
      <c r="I152" s="111">
        <v>0</v>
      </c>
      <c r="J152" s="111">
        <v>0</v>
      </c>
      <c r="K152" s="111">
        <v>0</v>
      </c>
      <c r="L152" s="111">
        <v>0</v>
      </c>
      <c r="M152" s="111">
        <v>0</v>
      </c>
      <c r="N152" s="111">
        <v>0</v>
      </c>
      <c r="O152" s="111">
        <v>0</v>
      </c>
      <c r="P152" s="111">
        <v>0</v>
      </c>
      <c r="Q152" s="111">
        <v>0</v>
      </c>
      <c r="R152" s="111">
        <v>0</v>
      </c>
      <c r="S152" s="111">
        <v>0</v>
      </c>
      <c r="T152" s="111">
        <v>0</v>
      </c>
      <c r="U152" s="111">
        <v>0</v>
      </c>
      <c r="V152" s="111">
        <v>0</v>
      </c>
      <c r="W152" s="111">
        <v>0</v>
      </c>
      <c r="X152" s="111">
        <v>0</v>
      </c>
      <c r="Y152" s="111">
        <v>0</v>
      </c>
      <c r="Z152" s="111">
        <v>0</v>
      </c>
      <c r="AA152" s="111">
        <v>0</v>
      </c>
      <c r="AB152" s="111">
        <v>0</v>
      </c>
      <c r="AC152" s="111">
        <v>0</v>
      </c>
      <c r="AD152" s="111">
        <v>0</v>
      </c>
      <c r="AE152" s="111">
        <v>0</v>
      </c>
      <c r="AF152" s="111">
        <v>0</v>
      </c>
      <c r="AG152" s="111">
        <v>0</v>
      </c>
      <c r="AH152" s="111">
        <v>0</v>
      </c>
      <c r="AI152" s="111">
        <v>0</v>
      </c>
      <c r="AJ152" s="111">
        <v>0</v>
      </c>
      <c r="AK152" s="111">
        <v>0</v>
      </c>
      <c r="AL152" s="111">
        <v>0</v>
      </c>
      <c r="AM152" s="111">
        <v>0</v>
      </c>
      <c r="AN152" s="111">
        <v>0</v>
      </c>
      <c r="AO152" s="111">
        <v>0</v>
      </c>
      <c r="AP152" s="111">
        <v>0</v>
      </c>
      <c r="AQ152" s="111">
        <v>0</v>
      </c>
      <c r="AR152" s="111">
        <v>0</v>
      </c>
      <c r="AS152" s="111">
        <v>0</v>
      </c>
      <c r="AT152" s="111">
        <v>0</v>
      </c>
      <c r="AU152" s="111">
        <v>0</v>
      </c>
      <c r="AV152" s="111">
        <v>0</v>
      </c>
      <c r="AW152" s="111">
        <v>0</v>
      </c>
      <c r="AX152" s="111">
        <v>0</v>
      </c>
      <c r="AY152" s="111">
        <v>0</v>
      </c>
    </row>
    <row r="153" spans="1:51" x14ac:dyDescent="0.2">
      <c r="A153" s="114"/>
      <c r="B153" s="132">
        <v>32</v>
      </c>
      <c r="C153" s="111"/>
      <c r="D153" s="111">
        <v>0</v>
      </c>
      <c r="E153" s="111">
        <v>0</v>
      </c>
      <c r="F153" s="111">
        <v>0</v>
      </c>
      <c r="G153" s="111">
        <v>0</v>
      </c>
      <c r="H153" s="111">
        <v>0</v>
      </c>
      <c r="I153" s="111">
        <v>0</v>
      </c>
      <c r="J153" s="111">
        <v>0</v>
      </c>
      <c r="K153" s="111">
        <v>0</v>
      </c>
      <c r="L153" s="111">
        <v>0</v>
      </c>
      <c r="M153" s="111">
        <v>0</v>
      </c>
      <c r="N153" s="111">
        <v>0</v>
      </c>
      <c r="O153" s="111">
        <v>0</v>
      </c>
      <c r="P153" s="111">
        <v>0</v>
      </c>
      <c r="Q153" s="111">
        <v>0</v>
      </c>
      <c r="R153" s="111">
        <v>0</v>
      </c>
      <c r="S153" s="111">
        <v>0</v>
      </c>
      <c r="T153" s="111">
        <v>0</v>
      </c>
      <c r="U153" s="111">
        <v>0</v>
      </c>
      <c r="V153" s="111">
        <v>0</v>
      </c>
      <c r="W153" s="111">
        <v>0</v>
      </c>
      <c r="X153" s="111">
        <v>0</v>
      </c>
      <c r="Y153" s="111">
        <v>0</v>
      </c>
      <c r="Z153" s="111">
        <v>0</v>
      </c>
      <c r="AA153" s="111">
        <v>0</v>
      </c>
      <c r="AB153" s="111">
        <v>0</v>
      </c>
      <c r="AC153" s="111">
        <v>0</v>
      </c>
      <c r="AD153" s="111">
        <v>0</v>
      </c>
      <c r="AE153" s="111">
        <v>0</v>
      </c>
      <c r="AF153" s="111">
        <v>0</v>
      </c>
      <c r="AG153" s="111">
        <v>0</v>
      </c>
      <c r="AH153" s="111">
        <v>0</v>
      </c>
      <c r="AI153" s="111">
        <v>0</v>
      </c>
      <c r="AJ153" s="111">
        <v>0</v>
      </c>
      <c r="AK153" s="111">
        <v>0</v>
      </c>
      <c r="AL153" s="111">
        <v>0</v>
      </c>
      <c r="AM153" s="111">
        <v>0</v>
      </c>
      <c r="AN153" s="111">
        <v>0</v>
      </c>
      <c r="AO153" s="111">
        <v>0</v>
      </c>
      <c r="AP153" s="111">
        <v>0</v>
      </c>
      <c r="AQ153" s="111">
        <v>0</v>
      </c>
      <c r="AR153" s="111">
        <v>0</v>
      </c>
      <c r="AS153" s="111">
        <v>0</v>
      </c>
      <c r="AT153" s="111">
        <v>0</v>
      </c>
      <c r="AU153" s="111">
        <v>0</v>
      </c>
      <c r="AV153" s="111">
        <v>0</v>
      </c>
      <c r="AW153" s="111">
        <v>0</v>
      </c>
      <c r="AX153" s="111">
        <v>0</v>
      </c>
      <c r="AY153" s="111">
        <v>0</v>
      </c>
    </row>
    <row r="154" spans="1:51" x14ac:dyDescent="0.2">
      <c r="A154" s="114"/>
      <c r="B154" s="132">
        <v>33</v>
      </c>
      <c r="C154" s="111"/>
      <c r="D154" s="111">
        <v>0</v>
      </c>
      <c r="E154" s="111">
        <v>0</v>
      </c>
      <c r="F154" s="111">
        <v>0</v>
      </c>
      <c r="G154" s="111">
        <v>0</v>
      </c>
      <c r="H154" s="111">
        <v>0</v>
      </c>
      <c r="I154" s="111">
        <v>0</v>
      </c>
      <c r="J154" s="111">
        <v>0</v>
      </c>
      <c r="K154" s="111">
        <v>0</v>
      </c>
      <c r="L154" s="111">
        <v>0</v>
      </c>
      <c r="M154" s="111">
        <v>0</v>
      </c>
      <c r="N154" s="111">
        <v>0</v>
      </c>
      <c r="O154" s="111">
        <v>0</v>
      </c>
      <c r="P154" s="111">
        <v>0</v>
      </c>
      <c r="Q154" s="111">
        <v>0</v>
      </c>
      <c r="R154" s="111">
        <v>0</v>
      </c>
      <c r="S154" s="111">
        <v>0</v>
      </c>
      <c r="T154" s="111">
        <v>0</v>
      </c>
      <c r="U154" s="111">
        <v>0</v>
      </c>
      <c r="V154" s="111">
        <v>0</v>
      </c>
      <c r="W154" s="111">
        <v>0</v>
      </c>
      <c r="X154" s="111">
        <v>0</v>
      </c>
      <c r="Y154" s="111">
        <v>0</v>
      </c>
      <c r="Z154" s="111">
        <v>0</v>
      </c>
      <c r="AA154" s="111">
        <v>0</v>
      </c>
      <c r="AB154" s="111">
        <v>0</v>
      </c>
      <c r="AC154" s="111">
        <v>0</v>
      </c>
      <c r="AD154" s="111">
        <v>0</v>
      </c>
      <c r="AE154" s="111">
        <v>0</v>
      </c>
      <c r="AF154" s="111">
        <v>0</v>
      </c>
      <c r="AG154" s="111">
        <v>0</v>
      </c>
      <c r="AH154" s="111">
        <v>0</v>
      </c>
      <c r="AI154" s="111">
        <v>0</v>
      </c>
      <c r="AJ154" s="111">
        <v>0</v>
      </c>
      <c r="AK154" s="111">
        <v>0</v>
      </c>
      <c r="AL154" s="111">
        <v>0</v>
      </c>
      <c r="AM154" s="111">
        <v>0</v>
      </c>
      <c r="AN154" s="111">
        <v>0</v>
      </c>
      <c r="AO154" s="111">
        <v>0</v>
      </c>
      <c r="AP154" s="111">
        <v>0</v>
      </c>
      <c r="AQ154" s="111">
        <v>0</v>
      </c>
      <c r="AR154" s="111">
        <v>0</v>
      </c>
      <c r="AS154" s="111">
        <v>0</v>
      </c>
      <c r="AT154" s="111">
        <v>0</v>
      </c>
      <c r="AU154" s="111">
        <v>0</v>
      </c>
      <c r="AV154" s="111">
        <v>0</v>
      </c>
      <c r="AW154" s="111">
        <v>0</v>
      </c>
      <c r="AX154" s="111">
        <v>0</v>
      </c>
      <c r="AY154" s="111">
        <v>0</v>
      </c>
    </row>
    <row r="155" spans="1:51" x14ac:dyDescent="0.2">
      <c r="A155" s="114"/>
      <c r="B155" s="132">
        <v>34</v>
      </c>
      <c r="C155" s="111"/>
      <c r="D155" s="111">
        <v>0</v>
      </c>
      <c r="E155" s="111">
        <v>0</v>
      </c>
      <c r="F155" s="111">
        <v>0</v>
      </c>
      <c r="G155" s="111">
        <v>0</v>
      </c>
      <c r="H155" s="111">
        <v>0</v>
      </c>
      <c r="I155" s="111">
        <v>0</v>
      </c>
      <c r="J155" s="111">
        <v>0</v>
      </c>
      <c r="K155" s="111">
        <v>0</v>
      </c>
      <c r="L155" s="111">
        <v>0</v>
      </c>
      <c r="M155" s="111">
        <v>0</v>
      </c>
      <c r="N155" s="111">
        <v>0</v>
      </c>
      <c r="O155" s="111">
        <v>0</v>
      </c>
      <c r="P155" s="111">
        <v>0</v>
      </c>
      <c r="Q155" s="111">
        <v>0</v>
      </c>
      <c r="R155" s="111">
        <v>0</v>
      </c>
      <c r="S155" s="111">
        <v>0</v>
      </c>
      <c r="T155" s="111">
        <v>0</v>
      </c>
      <c r="U155" s="111">
        <v>0</v>
      </c>
      <c r="V155" s="111">
        <v>0</v>
      </c>
      <c r="W155" s="111">
        <v>0</v>
      </c>
      <c r="X155" s="111">
        <v>0</v>
      </c>
      <c r="Y155" s="111">
        <v>0</v>
      </c>
      <c r="Z155" s="111">
        <v>0</v>
      </c>
      <c r="AA155" s="111">
        <v>0</v>
      </c>
      <c r="AB155" s="111">
        <v>0</v>
      </c>
      <c r="AC155" s="111">
        <v>0</v>
      </c>
      <c r="AD155" s="111">
        <v>0</v>
      </c>
      <c r="AE155" s="111">
        <v>0</v>
      </c>
      <c r="AF155" s="111">
        <v>0</v>
      </c>
      <c r="AG155" s="111">
        <v>0</v>
      </c>
      <c r="AH155" s="111">
        <v>0</v>
      </c>
      <c r="AI155" s="111">
        <v>0</v>
      </c>
      <c r="AJ155" s="111">
        <v>0</v>
      </c>
      <c r="AK155" s="111">
        <v>0</v>
      </c>
      <c r="AL155" s="111">
        <v>0</v>
      </c>
      <c r="AM155" s="111">
        <v>0</v>
      </c>
      <c r="AN155" s="111">
        <v>0</v>
      </c>
      <c r="AO155" s="111">
        <v>0</v>
      </c>
      <c r="AP155" s="111">
        <v>0</v>
      </c>
      <c r="AQ155" s="111">
        <v>0</v>
      </c>
      <c r="AR155" s="111">
        <v>0</v>
      </c>
      <c r="AS155" s="111">
        <v>0</v>
      </c>
      <c r="AT155" s="111">
        <v>0</v>
      </c>
      <c r="AU155" s="111">
        <v>0</v>
      </c>
      <c r="AV155" s="111">
        <v>0</v>
      </c>
      <c r="AW155" s="111">
        <v>0</v>
      </c>
      <c r="AX155" s="111">
        <v>0</v>
      </c>
      <c r="AY155" s="111">
        <v>0</v>
      </c>
    </row>
    <row r="156" spans="1:51" x14ac:dyDescent="0.2">
      <c r="A156" s="114"/>
      <c r="B156" s="132">
        <v>35</v>
      </c>
      <c r="C156" s="111"/>
      <c r="D156" s="111">
        <v>0</v>
      </c>
      <c r="E156" s="111">
        <v>0</v>
      </c>
      <c r="F156" s="111">
        <v>0</v>
      </c>
      <c r="G156" s="111">
        <v>0</v>
      </c>
      <c r="H156" s="111">
        <v>0</v>
      </c>
      <c r="I156" s="111">
        <v>0</v>
      </c>
      <c r="J156" s="111">
        <v>0</v>
      </c>
      <c r="K156" s="111">
        <v>0</v>
      </c>
      <c r="L156" s="111">
        <v>0</v>
      </c>
      <c r="M156" s="111">
        <v>0</v>
      </c>
      <c r="N156" s="111">
        <v>0</v>
      </c>
      <c r="O156" s="111">
        <v>0</v>
      </c>
      <c r="P156" s="111">
        <v>0</v>
      </c>
      <c r="Q156" s="111">
        <v>0</v>
      </c>
      <c r="R156" s="111">
        <v>0</v>
      </c>
      <c r="S156" s="111">
        <v>0</v>
      </c>
      <c r="T156" s="111">
        <v>0</v>
      </c>
      <c r="U156" s="111">
        <v>0</v>
      </c>
      <c r="V156" s="111">
        <v>0</v>
      </c>
      <c r="W156" s="111">
        <v>0</v>
      </c>
      <c r="X156" s="111">
        <v>0</v>
      </c>
      <c r="Y156" s="111">
        <v>0</v>
      </c>
      <c r="Z156" s="111">
        <v>0</v>
      </c>
      <c r="AA156" s="111">
        <v>0</v>
      </c>
      <c r="AB156" s="111">
        <v>0</v>
      </c>
      <c r="AC156" s="111">
        <v>0</v>
      </c>
      <c r="AD156" s="111">
        <v>0</v>
      </c>
      <c r="AE156" s="111">
        <v>0</v>
      </c>
      <c r="AF156" s="111">
        <v>0</v>
      </c>
      <c r="AG156" s="111">
        <v>0</v>
      </c>
      <c r="AH156" s="111">
        <v>0</v>
      </c>
      <c r="AI156" s="111">
        <v>0</v>
      </c>
      <c r="AJ156" s="111">
        <v>0</v>
      </c>
      <c r="AK156" s="111">
        <v>0</v>
      </c>
      <c r="AL156" s="111">
        <v>0</v>
      </c>
      <c r="AM156" s="111">
        <v>0</v>
      </c>
      <c r="AN156" s="111">
        <v>0</v>
      </c>
      <c r="AO156" s="111">
        <v>0</v>
      </c>
      <c r="AP156" s="111">
        <v>0</v>
      </c>
      <c r="AQ156" s="111">
        <v>0</v>
      </c>
      <c r="AR156" s="111">
        <v>0</v>
      </c>
      <c r="AS156" s="111">
        <v>0</v>
      </c>
      <c r="AT156" s="111">
        <v>0</v>
      </c>
      <c r="AU156" s="111">
        <v>0</v>
      </c>
      <c r="AV156" s="111">
        <v>0</v>
      </c>
      <c r="AW156" s="111">
        <v>0</v>
      </c>
      <c r="AX156" s="111">
        <v>0</v>
      </c>
      <c r="AY156" s="111">
        <v>0</v>
      </c>
    </row>
    <row r="157" spans="1:51" x14ac:dyDescent="0.2">
      <c r="A157" s="114"/>
      <c r="B157" s="132">
        <v>36</v>
      </c>
      <c r="C157" s="111"/>
      <c r="D157" s="111">
        <v>0</v>
      </c>
      <c r="E157" s="111">
        <v>0</v>
      </c>
      <c r="F157" s="111">
        <v>0</v>
      </c>
      <c r="G157" s="111">
        <v>0</v>
      </c>
      <c r="H157" s="111">
        <v>0</v>
      </c>
      <c r="I157" s="111">
        <v>0</v>
      </c>
      <c r="J157" s="111">
        <v>0</v>
      </c>
      <c r="K157" s="111">
        <v>0</v>
      </c>
      <c r="L157" s="111">
        <v>0</v>
      </c>
      <c r="M157" s="111">
        <v>0</v>
      </c>
      <c r="N157" s="111">
        <v>0</v>
      </c>
      <c r="O157" s="111">
        <v>0</v>
      </c>
      <c r="P157" s="111">
        <v>0</v>
      </c>
      <c r="Q157" s="111">
        <v>0</v>
      </c>
      <c r="R157" s="111">
        <v>0</v>
      </c>
      <c r="S157" s="111">
        <v>0</v>
      </c>
      <c r="T157" s="111">
        <v>0</v>
      </c>
      <c r="U157" s="111">
        <v>0</v>
      </c>
      <c r="V157" s="111">
        <v>0</v>
      </c>
      <c r="W157" s="111">
        <v>0</v>
      </c>
      <c r="X157" s="111">
        <v>0</v>
      </c>
      <c r="Y157" s="111">
        <v>0</v>
      </c>
      <c r="Z157" s="111">
        <v>0</v>
      </c>
      <c r="AA157" s="111">
        <v>0</v>
      </c>
      <c r="AB157" s="111">
        <v>0</v>
      </c>
      <c r="AC157" s="111">
        <v>0</v>
      </c>
      <c r="AD157" s="111">
        <v>0</v>
      </c>
      <c r="AE157" s="111">
        <v>0</v>
      </c>
      <c r="AF157" s="111">
        <v>0</v>
      </c>
      <c r="AG157" s="111">
        <v>0</v>
      </c>
      <c r="AH157" s="111">
        <v>0</v>
      </c>
      <c r="AI157" s="111">
        <v>0</v>
      </c>
      <c r="AJ157" s="111">
        <v>0</v>
      </c>
      <c r="AK157" s="111">
        <v>0</v>
      </c>
      <c r="AL157" s="111">
        <v>0</v>
      </c>
      <c r="AM157" s="111">
        <v>0</v>
      </c>
      <c r="AN157" s="111">
        <v>0</v>
      </c>
      <c r="AO157" s="111">
        <v>0</v>
      </c>
      <c r="AP157" s="111">
        <v>0</v>
      </c>
      <c r="AQ157" s="111">
        <v>0</v>
      </c>
      <c r="AR157" s="111">
        <v>0</v>
      </c>
      <c r="AS157" s="111">
        <v>0</v>
      </c>
      <c r="AT157" s="111">
        <v>0</v>
      </c>
      <c r="AU157" s="111">
        <v>0</v>
      </c>
      <c r="AV157" s="111">
        <v>0</v>
      </c>
      <c r="AW157" s="111">
        <v>0</v>
      </c>
      <c r="AX157" s="111">
        <v>0</v>
      </c>
      <c r="AY157" s="111">
        <v>0</v>
      </c>
    </row>
    <row r="158" spans="1:51" x14ac:dyDescent="0.2">
      <c r="A158" s="114"/>
      <c r="B158" s="135">
        <v>37</v>
      </c>
      <c r="C158" s="111"/>
      <c r="D158" s="111">
        <v>0</v>
      </c>
      <c r="E158" s="111">
        <v>0</v>
      </c>
      <c r="F158" s="111">
        <v>0</v>
      </c>
      <c r="G158" s="111">
        <v>0</v>
      </c>
      <c r="H158" s="111">
        <v>0</v>
      </c>
      <c r="I158" s="111">
        <v>0</v>
      </c>
      <c r="J158" s="111">
        <v>0</v>
      </c>
      <c r="K158" s="111">
        <v>0</v>
      </c>
      <c r="L158" s="111">
        <v>0</v>
      </c>
      <c r="M158" s="111">
        <v>0</v>
      </c>
      <c r="N158" s="111">
        <v>0</v>
      </c>
      <c r="O158" s="111">
        <v>0</v>
      </c>
      <c r="P158" s="111">
        <v>0</v>
      </c>
      <c r="Q158" s="111">
        <v>0</v>
      </c>
      <c r="R158" s="111">
        <v>0</v>
      </c>
      <c r="S158" s="111">
        <v>0</v>
      </c>
      <c r="T158" s="111">
        <v>0</v>
      </c>
      <c r="U158" s="111">
        <v>0</v>
      </c>
      <c r="V158" s="111">
        <v>0</v>
      </c>
      <c r="W158" s="111">
        <v>0</v>
      </c>
      <c r="X158" s="111">
        <v>0</v>
      </c>
      <c r="Y158" s="111">
        <v>0</v>
      </c>
      <c r="Z158" s="111">
        <v>0</v>
      </c>
      <c r="AA158" s="111">
        <v>0</v>
      </c>
      <c r="AB158" s="111">
        <v>0</v>
      </c>
      <c r="AC158" s="111">
        <v>0</v>
      </c>
      <c r="AD158" s="111">
        <v>0</v>
      </c>
      <c r="AE158" s="111">
        <v>0</v>
      </c>
      <c r="AF158" s="111">
        <v>0</v>
      </c>
      <c r="AG158" s="111">
        <v>0</v>
      </c>
      <c r="AH158" s="111">
        <v>0</v>
      </c>
      <c r="AI158" s="111">
        <v>0</v>
      </c>
      <c r="AJ158" s="111">
        <v>0</v>
      </c>
      <c r="AK158" s="111">
        <v>0</v>
      </c>
      <c r="AL158" s="111">
        <v>0</v>
      </c>
      <c r="AM158" s="111">
        <v>0</v>
      </c>
      <c r="AN158" s="111">
        <v>0</v>
      </c>
      <c r="AO158" s="111">
        <v>0</v>
      </c>
      <c r="AP158" s="111">
        <v>0</v>
      </c>
      <c r="AQ158" s="111">
        <v>0</v>
      </c>
      <c r="AR158" s="111">
        <v>0</v>
      </c>
      <c r="AS158" s="111">
        <v>0</v>
      </c>
      <c r="AT158" s="111">
        <v>0</v>
      </c>
      <c r="AU158" s="111">
        <v>0</v>
      </c>
      <c r="AV158" s="111">
        <v>0</v>
      </c>
      <c r="AW158" s="111">
        <v>0</v>
      </c>
      <c r="AX158" s="111">
        <v>0</v>
      </c>
      <c r="AY158" s="111">
        <v>0</v>
      </c>
    </row>
    <row r="159" spans="1:51" x14ac:dyDescent="0.2">
      <c r="A159" s="114"/>
      <c r="B159" s="135">
        <v>38</v>
      </c>
      <c r="C159" s="111"/>
      <c r="D159" s="111">
        <v>0</v>
      </c>
      <c r="E159" s="111">
        <v>0</v>
      </c>
      <c r="F159" s="111">
        <v>0</v>
      </c>
      <c r="G159" s="111">
        <v>0</v>
      </c>
      <c r="H159" s="111">
        <v>0</v>
      </c>
      <c r="I159" s="111">
        <v>0</v>
      </c>
      <c r="J159" s="111">
        <v>0</v>
      </c>
      <c r="K159" s="111">
        <v>0</v>
      </c>
      <c r="L159" s="111">
        <v>0</v>
      </c>
      <c r="M159" s="111">
        <v>0</v>
      </c>
      <c r="N159" s="111">
        <v>0</v>
      </c>
      <c r="O159" s="111">
        <v>0</v>
      </c>
      <c r="P159" s="111">
        <v>0</v>
      </c>
      <c r="Q159" s="111">
        <v>0</v>
      </c>
      <c r="R159" s="111">
        <v>0</v>
      </c>
      <c r="S159" s="111">
        <v>0</v>
      </c>
      <c r="T159" s="111">
        <v>0</v>
      </c>
      <c r="U159" s="111">
        <v>0</v>
      </c>
      <c r="V159" s="111">
        <v>0</v>
      </c>
      <c r="W159" s="111">
        <v>0</v>
      </c>
      <c r="X159" s="111">
        <v>0</v>
      </c>
      <c r="Y159" s="111">
        <v>0</v>
      </c>
      <c r="Z159" s="111">
        <v>0</v>
      </c>
      <c r="AA159" s="111">
        <v>0</v>
      </c>
      <c r="AB159" s="111">
        <v>0</v>
      </c>
      <c r="AC159" s="111">
        <v>0</v>
      </c>
      <c r="AD159" s="111">
        <v>0</v>
      </c>
      <c r="AE159" s="111">
        <v>0</v>
      </c>
      <c r="AF159" s="111">
        <v>0</v>
      </c>
      <c r="AG159" s="111">
        <v>0</v>
      </c>
      <c r="AH159" s="111">
        <v>0</v>
      </c>
      <c r="AI159" s="111">
        <v>0</v>
      </c>
      <c r="AJ159" s="111">
        <v>0</v>
      </c>
      <c r="AK159" s="111">
        <v>0</v>
      </c>
      <c r="AL159" s="111">
        <v>0</v>
      </c>
      <c r="AM159" s="111">
        <v>0</v>
      </c>
      <c r="AN159" s="111">
        <v>0</v>
      </c>
      <c r="AO159" s="111">
        <v>0</v>
      </c>
      <c r="AP159" s="111">
        <v>0</v>
      </c>
      <c r="AQ159" s="111">
        <v>0</v>
      </c>
      <c r="AR159" s="111">
        <v>0</v>
      </c>
      <c r="AS159" s="111">
        <v>0</v>
      </c>
      <c r="AT159" s="111">
        <v>0</v>
      </c>
      <c r="AU159" s="111">
        <v>0</v>
      </c>
      <c r="AV159" s="111">
        <v>0</v>
      </c>
      <c r="AW159" s="111">
        <v>0</v>
      </c>
      <c r="AX159" s="111">
        <v>0</v>
      </c>
      <c r="AY159" s="111">
        <v>0</v>
      </c>
    </row>
    <row r="160" spans="1:51" x14ac:dyDescent="0.2">
      <c r="A160" s="114"/>
      <c r="B160" s="135">
        <v>39</v>
      </c>
      <c r="C160" s="111"/>
      <c r="D160" s="111">
        <v>0</v>
      </c>
      <c r="E160" s="111">
        <v>0</v>
      </c>
      <c r="F160" s="111">
        <v>0</v>
      </c>
      <c r="G160" s="111">
        <v>0</v>
      </c>
      <c r="H160" s="111">
        <v>0</v>
      </c>
      <c r="I160" s="111">
        <v>0</v>
      </c>
      <c r="J160" s="111">
        <v>0</v>
      </c>
      <c r="K160" s="111">
        <v>0</v>
      </c>
      <c r="L160" s="111">
        <v>0</v>
      </c>
      <c r="M160" s="111">
        <v>0</v>
      </c>
      <c r="N160" s="111">
        <v>0</v>
      </c>
      <c r="O160" s="111">
        <v>0</v>
      </c>
      <c r="P160" s="111">
        <v>0</v>
      </c>
      <c r="Q160" s="111">
        <v>0</v>
      </c>
      <c r="R160" s="111">
        <v>0</v>
      </c>
      <c r="S160" s="111">
        <v>0</v>
      </c>
      <c r="T160" s="111">
        <v>0</v>
      </c>
      <c r="U160" s="111">
        <v>0</v>
      </c>
      <c r="V160" s="111">
        <v>0</v>
      </c>
      <c r="W160" s="111">
        <v>0</v>
      </c>
      <c r="X160" s="111">
        <v>0</v>
      </c>
      <c r="Y160" s="111">
        <v>0</v>
      </c>
      <c r="Z160" s="111">
        <v>0</v>
      </c>
      <c r="AA160" s="111">
        <v>0</v>
      </c>
      <c r="AB160" s="111">
        <v>0</v>
      </c>
      <c r="AC160" s="111">
        <v>0</v>
      </c>
      <c r="AD160" s="111">
        <v>0</v>
      </c>
      <c r="AE160" s="111">
        <v>0</v>
      </c>
      <c r="AF160" s="111">
        <v>0</v>
      </c>
      <c r="AG160" s="111">
        <v>0</v>
      </c>
      <c r="AH160" s="111">
        <v>0</v>
      </c>
      <c r="AI160" s="111">
        <v>0</v>
      </c>
      <c r="AJ160" s="111">
        <v>0</v>
      </c>
      <c r="AK160" s="111">
        <v>0</v>
      </c>
      <c r="AL160" s="111">
        <v>0</v>
      </c>
      <c r="AM160" s="111">
        <v>0</v>
      </c>
      <c r="AN160" s="111">
        <v>0</v>
      </c>
      <c r="AO160" s="111">
        <v>0</v>
      </c>
      <c r="AP160" s="111">
        <v>0</v>
      </c>
      <c r="AQ160" s="111">
        <v>0</v>
      </c>
      <c r="AR160" s="111">
        <v>0</v>
      </c>
      <c r="AS160" s="111">
        <v>0</v>
      </c>
      <c r="AT160" s="111">
        <v>0</v>
      </c>
      <c r="AU160" s="111">
        <v>0</v>
      </c>
      <c r="AV160" s="111">
        <v>0</v>
      </c>
      <c r="AW160" s="111">
        <v>0</v>
      </c>
      <c r="AX160" s="111">
        <v>0</v>
      </c>
      <c r="AY160" s="111">
        <v>0</v>
      </c>
    </row>
    <row r="161" spans="1:52" x14ac:dyDescent="0.2">
      <c r="A161" s="114"/>
      <c r="B161" s="135">
        <v>40</v>
      </c>
      <c r="C161" s="111"/>
      <c r="D161" s="111">
        <v>0</v>
      </c>
      <c r="E161" s="111">
        <v>0</v>
      </c>
      <c r="F161" s="111">
        <v>0</v>
      </c>
      <c r="G161" s="111">
        <v>0</v>
      </c>
      <c r="H161" s="111">
        <v>0</v>
      </c>
      <c r="I161" s="111">
        <v>0</v>
      </c>
      <c r="J161" s="111">
        <v>0</v>
      </c>
      <c r="K161" s="111">
        <v>0</v>
      </c>
      <c r="L161" s="111">
        <v>0</v>
      </c>
      <c r="M161" s="111">
        <v>0</v>
      </c>
      <c r="N161" s="111">
        <v>0</v>
      </c>
      <c r="O161" s="111">
        <v>0</v>
      </c>
      <c r="P161" s="111">
        <v>0</v>
      </c>
      <c r="Q161" s="111">
        <v>0</v>
      </c>
      <c r="R161" s="111">
        <v>0</v>
      </c>
      <c r="S161" s="111">
        <v>0</v>
      </c>
      <c r="T161" s="111">
        <v>0</v>
      </c>
      <c r="U161" s="111">
        <v>0</v>
      </c>
      <c r="V161" s="111">
        <v>0</v>
      </c>
      <c r="W161" s="111">
        <v>0</v>
      </c>
      <c r="X161" s="111">
        <v>0</v>
      </c>
      <c r="Y161" s="111">
        <v>0</v>
      </c>
      <c r="Z161" s="111">
        <v>0</v>
      </c>
      <c r="AA161" s="111">
        <v>0</v>
      </c>
      <c r="AB161" s="111">
        <v>0</v>
      </c>
      <c r="AC161" s="111">
        <v>0</v>
      </c>
      <c r="AD161" s="111">
        <v>0</v>
      </c>
      <c r="AE161" s="111">
        <v>0</v>
      </c>
      <c r="AF161" s="111">
        <v>0</v>
      </c>
      <c r="AG161" s="111">
        <v>0</v>
      </c>
      <c r="AH161" s="111">
        <v>0</v>
      </c>
      <c r="AI161" s="111">
        <v>0</v>
      </c>
      <c r="AJ161" s="111">
        <v>0</v>
      </c>
      <c r="AK161" s="111">
        <v>0</v>
      </c>
      <c r="AL161" s="111">
        <v>0</v>
      </c>
      <c r="AM161" s="111">
        <v>0</v>
      </c>
      <c r="AN161" s="111">
        <v>0</v>
      </c>
      <c r="AO161" s="111">
        <v>0</v>
      </c>
      <c r="AP161" s="111">
        <v>0</v>
      </c>
      <c r="AQ161" s="111">
        <v>0</v>
      </c>
      <c r="AR161" s="111">
        <v>0</v>
      </c>
      <c r="AS161" s="111">
        <v>0</v>
      </c>
      <c r="AT161" s="111">
        <v>0</v>
      </c>
      <c r="AU161" s="111">
        <v>0</v>
      </c>
      <c r="AV161" s="111">
        <v>0</v>
      </c>
      <c r="AW161" s="111">
        <v>0</v>
      </c>
      <c r="AX161" s="111">
        <v>0</v>
      </c>
      <c r="AY161" s="111">
        <v>0</v>
      </c>
    </row>
    <row r="162" spans="1:52" x14ac:dyDescent="0.2">
      <c r="A162" s="114"/>
      <c r="B162" s="135">
        <v>41</v>
      </c>
      <c r="C162" s="111"/>
      <c r="D162" s="111">
        <v>0</v>
      </c>
      <c r="E162" s="111">
        <v>0</v>
      </c>
      <c r="F162" s="111">
        <v>0</v>
      </c>
      <c r="G162" s="111">
        <v>0</v>
      </c>
      <c r="H162" s="111">
        <v>0</v>
      </c>
      <c r="I162" s="111">
        <v>0</v>
      </c>
      <c r="J162" s="111">
        <v>0</v>
      </c>
      <c r="K162" s="111">
        <v>0</v>
      </c>
      <c r="L162" s="111">
        <v>0</v>
      </c>
      <c r="M162" s="111">
        <v>0</v>
      </c>
      <c r="N162" s="111">
        <v>0</v>
      </c>
      <c r="O162" s="111">
        <v>0</v>
      </c>
      <c r="P162" s="111">
        <v>0</v>
      </c>
      <c r="Q162" s="111">
        <v>0</v>
      </c>
      <c r="R162" s="111">
        <v>0</v>
      </c>
      <c r="S162" s="111">
        <v>0</v>
      </c>
      <c r="T162" s="111">
        <v>0</v>
      </c>
      <c r="U162" s="111">
        <v>0</v>
      </c>
      <c r="V162" s="111">
        <v>0</v>
      </c>
      <c r="W162" s="111">
        <v>0</v>
      </c>
      <c r="X162" s="111">
        <v>0</v>
      </c>
      <c r="Y162" s="111">
        <v>0</v>
      </c>
      <c r="Z162" s="111">
        <v>0</v>
      </c>
      <c r="AA162" s="111">
        <v>0</v>
      </c>
      <c r="AB162" s="111">
        <v>0</v>
      </c>
      <c r="AC162" s="111">
        <v>0</v>
      </c>
      <c r="AD162" s="111">
        <v>0</v>
      </c>
      <c r="AE162" s="111">
        <v>0</v>
      </c>
      <c r="AF162" s="111">
        <v>0</v>
      </c>
      <c r="AG162" s="111">
        <v>0</v>
      </c>
      <c r="AH162" s="111">
        <v>0</v>
      </c>
      <c r="AI162" s="111">
        <v>0</v>
      </c>
      <c r="AJ162" s="111">
        <v>0</v>
      </c>
      <c r="AK162" s="111">
        <v>0</v>
      </c>
      <c r="AL162" s="111">
        <v>0</v>
      </c>
      <c r="AM162" s="111">
        <v>0</v>
      </c>
      <c r="AN162" s="111">
        <v>0</v>
      </c>
      <c r="AO162" s="111">
        <v>0</v>
      </c>
      <c r="AP162" s="111">
        <v>0</v>
      </c>
      <c r="AQ162" s="111">
        <v>0</v>
      </c>
      <c r="AR162" s="111">
        <v>0</v>
      </c>
      <c r="AS162" s="111">
        <v>0</v>
      </c>
      <c r="AT162" s="111">
        <v>0</v>
      </c>
      <c r="AU162" s="111">
        <v>0</v>
      </c>
      <c r="AV162" s="111">
        <v>0</v>
      </c>
      <c r="AW162" s="111">
        <v>0</v>
      </c>
      <c r="AX162" s="111">
        <v>0</v>
      </c>
      <c r="AY162" s="111">
        <v>0</v>
      </c>
    </row>
    <row r="163" spans="1:52" x14ac:dyDescent="0.2">
      <c r="A163" s="114"/>
      <c r="B163" s="135">
        <v>42</v>
      </c>
      <c r="C163" s="111"/>
      <c r="D163" s="111">
        <v>0</v>
      </c>
      <c r="E163" s="111">
        <v>0</v>
      </c>
      <c r="F163" s="111">
        <v>0</v>
      </c>
      <c r="G163" s="111">
        <v>0</v>
      </c>
      <c r="H163" s="111">
        <v>0</v>
      </c>
      <c r="I163" s="111">
        <v>0</v>
      </c>
      <c r="J163" s="111">
        <v>0</v>
      </c>
      <c r="K163" s="111">
        <v>0</v>
      </c>
      <c r="L163" s="111">
        <v>0</v>
      </c>
      <c r="M163" s="111">
        <v>0</v>
      </c>
      <c r="N163" s="111">
        <v>0</v>
      </c>
      <c r="O163" s="111">
        <v>0</v>
      </c>
      <c r="P163" s="111">
        <v>0</v>
      </c>
      <c r="Q163" s="111">
        <v>0</v>
      </c>
      <c r="R163" s="111">
        <v>0</v>
      </c>
      <c r="S163" s="111">
        <v>0</v>
      </c>
      <c r="T163" s="111">
        <v>0</v>
      </c>
      <c r="U163" s="111">
        <v>0</v>
      </c>
      <c r="V163" s="111">
        <v>0</v>
      </c>
      <c r="W163" s="111">
        <v>0</v>
      </c>
      <c r="X163" s="111">
        <v>0</v>
      </c>
      <c r="Y163" s="111">
        <v>0</v>
      </c>
      <c r="Z163" s="111">
        <v>0</v>
      </c>
      <c r="AA163" s="111">
        <v>0</v>
      </c>
      <c r="AB163" s="111">
        <v>0</v>
      </c>
      <c r="AC163" s="111">
        <v>0</v>
      </c>
      <c r="AD163" s="111">
        <v>0</v>
      </c>
      <c r="AE163" s="111">
        <v>0</v>
      </c>
      <c r="AF163" s="111">
        <v>0</v>
      </c>
      <c r="AG163" s="111">
        <v>0</v>
      </c>
      <c r="AH163" s="111">
        <v>0</v>
      </c>
      <c r="AI163" s="111">
        <v>0</v>
      </c>
      <c r="AJ163" s="111">
        <v>0</v>
      </c>
      <c r="AK163" s="111">
        <v>0</v>
      </c>
      <c r="AL163" s="111">
        <v>0</v>
      </c>
      <c r="AM163" s="111">
        <v>0</v>
      </c>
      <c r="AN163" s="111">
        <v>0</v>
      </c>
      <c r="AO163" s="111">
        <v>0</v>
      </c>
      <c r="AP163" s="111">
        <v>0</v>
      </c>
      <c r="AQ163" s="111">
        <v>0</v>
      </c>
      <c r="AR163" s="111">
        <v>0</v>
      </c>
      <c r="AS163" s="111">
        <v>0</v>
      </c>
      <c r="AT163" s="111">
        <v>0</v>
      </c>
      <c r="AU163" s="111">
        <v>0</v>
      </c>
      <c r="AV163" s="111">
        <v>0</v>
      </c>
      <c r="AW163" s="111">
        <v>0</v>
      </c>
      <c r="AX163" s="111">
        <v>0</v>
      </c>
      <c r="AY163" s="111">
        <v>0</v>
      </c>
    </row>
    <row r="164" spans="1:52" x14ac:dyDescent="0.2">
      <c r="A164" s="114"/>
      <c r="B164" s="135">
        <v>43</v>
      </c>
      <c r="C164" s="111"/>
      <c r="D164" s="111">
        <v>0</v>
      </c>
      <c r="E164" s="111">
        <v>0</v>
      </c>
      <c r="F164" s="111">
        <v>0</v>
      </c>
      <c r="G164" s="111">
        <v>0</v>
      </c>
      <c r="H164" s="111">
        <v>0</v>
      </c>
      <c r="I164" s="111">
        <v>0</v>
      </c>
      <c r="J164" s="111">
        <v>0</v>
      </c>
      <c r="K164" s="111">
        <v>0</v>
      </c>
      <c r="L164" s="111">
        <v>0</v>
      </c>
      <c r="M164" s="111">
        <v>0</v>
      </c>
      <c r="N164" s="111">
        <v>0</v>
      </c>
      <c r="O164" s="111">
        <v>0</v>
      </c>
      <c r="P164" s="111">
        <v>0</v>
      </c>
      <c r="Q164" s="111">
        <v>0</v>
      </c>
      <c r="R164" s="111">
        <v>0</v>
      </c>
      <c r="S164" s="111">
        <v>0</v>
      </c>
      <c r="T164" s="111">
        <v>0</v>
      </c>
      <c r="U164" s="111">
        <v>0</v>
      </c>
      <c r="V164" s="111">
        <v>0</v>
      </c>
      <c r="W164" s="111">
        <v>0</v>
      </c>
      <c r="X164" s="111">
        <v>0</v>
      </c>
      <c r="Y164" s="111">
        <v>0</v>
      </c>
      <c r="Z164" s="111">
        <v>0</v>
      </c>
      <c r="AA164" s="111">
        <v>0</v>
      </c>
      <c r="AB164" s="111">
        <v>0</v>
      </c>
      <c r="AC164" s="111">
        <v>0</v>
      </c>
      <c r="AD164" s="111">
        <v>0</v>
      </c>
      <c r="AE164" s="111">
        <v>0</v>
      </c>
      <c r="AF164" s="111">
        <v>0</v>
      </c>
      <c r="AG164" s="111">
        <v>0</v>
      </c>
      <c r="AH164" s="111">
        <v>0</v>
      </c>
      <c r="AI164" s="111">
        <v>0</v>
      </c>
      <c r="AJ164" s="111">
        <v>0</v>
      </c>
      <c r="AK164" s="111">
        <v>0</v>
      </c>
      <c r="AL164" s="111">
        <v>0</v>
      </c>
      <c r="AM164" s="111">
        <v>0</v>
      </c>
      <c r="AN164" s="111">
        <v>0</v>
      </c>
      <c r="AO164" s="111">
        <v>0</v>
      </c>
      <c r="AP164" s="111">
        <v>0</v>
      </c>
      <c r="AQ164" s="111">
        <v>0</v>
      </c>
      <c r="AR164" s="111">
        <v>0</v>
      </c>
      <c r="AS164" s="111">
        <v>0</v>
      </c>
      <c r="AT164" s="111">
        <v>0</v>
      </c>
      <c r="AU164" s="111">
        <v>0</v>
      </c>
      <c r="AV164" s="111">
        <v>0</v>
      </c>
      <c r="AW164" s="111">
        <v>0</v>
      </c>
      <c r="AX164" s="111">
        <v>0</v>
      </c>
      <c r="AY164" s="111">
        <v>0</v>
      </c>
    </row>
    <row r="165" spans="1:52" x14ac:dyDescent="0.2">
      <c r="A165" s="114"/>
      <c r="B165" s="135">
        <v>44</v>
      </c>
      <c r="C165" s="111"/>
      <c r="D165" s="111">
        <v>0</v>
      </c>
      <c r="E165" s="111">
        <v>0</v>
      </c>
      <c r="F165" s="111">
        <v>0</v>
      </c>
      <c r="G165" s="111">
        <v>0</v>
      </c>
      <c r="H165" s="111">
        <v>0</v>
      </c>
      <c r="I165" s="111">
        <v>0</v>
      </c>
      <c r="J165" s="111">
        <v>0</v>
      </c>
      <c r="K165" s="111">
        <v>0</v>
      </c>
      <c r="L165" s="111">
        <v>0</v>
      </c>
      <c r="M165" s="111">
        <v>0</v>
      </c>
      <c r="N165" s="111">
        <v>0</v>
      </c>
      <c r="O165" s="111">
        <v>0</v>
      </c>
      <c r="P165" s="111">
        <v>0</v>
      </c>
      <c r="Q165" s="111">
        <v>0</v>
      </c>
      <c r="R165" s="111">
        <v>0</v>
      </c>
      <c r="S165" s="111">
        <v>0</v>
      </c>
      <c r="T165" s="111">
        <v>0</v>
      </c>
      <c r="U165" s="111">
        <v>0</v>
      </c>
      <c r="V165" s="111">
        <v>0</v>
      </c>
      <c r="W165" s="111">
        <v>0</v>
      </c>
      <c r="X165" s="111">
        <v>0</v>
      </c>
      <c r="Y165" s="111">
        <v>0</v>
      </c>
      <c r="Z165" s="111">
        <v>0</v>
      </c>
      <c r="AA165" s="111">
        <v>0</v>
      </c>
      <c r="AB165" s="111">
        <v>0</v>
      </c>
      <c r="AC165" s="111">
        <v>0</v>
      </c>
      <c r="AD165" s="111">
        <v>0</v>
      </c>
      <c r="AE165" s="111">
        <v>0</v>
      </c>
      <c r="AF165" s="111">
        <v>0</v>
      </c>
      <c r="AG165" s="111">
        <v>0</v>
      </c>
      <c r="AH165" s="111">
        <v>0</v>
      </c>
      <c r="AI165" s="111">
        <v>0</v>
      </c>
      <c r="AJ165" s="111">
        <v>0</v>
      </c>
      <c r="AK165" s="111">
        <v>0</v>
      </c>
      <c r="AL165" s="111">
        <v>0</v>
      </c>
      <c r="AM165" s="111">
        <v>0</v>
      </c>
      <c r="AN165" s="111">
        <v>0</v>
      </c>
      <c r="AO165" s="111">
        <v>0</v>
      </c>
      <c r="AP165" s="111">
        <v>0</v>
      </c>
      <c r="AQ165" s="111">
        <v>0</v>
      </c>
      <c r="AR165" s="111">
        <v>0</v>
      </c>
      <c r="AS165" s="111">
        <v>0</v>
      </c>
      <c r="AT165" s="111">
        <v>0</v>
      </c>
      <c r="AU165" s="111">
        <v>0</v>
      </c>
      <c r="AV165" s="111">
        <v>0</v>
      </c>
      <c r="AW165" s="111">
        <v>0</v>
      </c>
      <c r="AX165" s="111">
        <v>0</v>
      </c>
      <c r="AY165" s="111">
        <v>0</v>
      </c>
    </row>
    <row r="166" spans="1:52" x14ac:dyDescent="0.2">
      <c r="A166" s="114"/>
      <c r="B166" s="135">
        <v>45</v>
      </c>
      <c r="C166" s="111"/>
      <c r="D166" s="111">
        <v>0</v>
      </c>
      <c r="E166" s="111">
        <v>0</v>
      </c>
      <c r="F166" s="111">
        <v>0</v>
      </c>
      <c r="G166" s="111">
        <v>0</v>
      </c>
      <c r="H166" s="111">
        <v>0</v>
      </c>
      <c r="I166" s="111">
        <v>0</v>
      </c>
      <c r="J166" s="111">
        <v>0</v>
      </c>
      <c r="K166" s="111">
        <v>0</v>
      </c>
      <c r="L166" s="111">
        <v>0</v>
      </c>
      <c r="M166" s="111">
        <v>0</v>
      </c>
      <c r="N166" s="111">
        <v>0</v>
      </c>
      <c r="O166" s="111">
        <v>0</v>
      </c>
      <c r="P166" s="111">
        <v>0</v>
      </c>
      <c r="Q166" s="111">
        <v>0</v>
      </c>
      <c r="R166" s="111">
        <v>0</v>
      </c>
      <c r="S166" s="111">
        <v>0</v>
      </c>
      <c r="T166" s="111">
        <v>0</v>
      </c>
      <c r="U166" s="111">
        <v>0</v>
      </c>
      <c r="V166" s="111">
        <v>0</v>
      </c>
      <c r="W166" s="111">
        <v>0</v>
      </c>
      <c r="X166" s="111">
        <v>0</v>
      </c>
      <c r="Y166" s="111">
        <v>0</v>
      </c>
      <c r="Z166" s="111">
        <v>0</v>
      </c>
      <c r="AA166" s="111">
        <v>0</v>
      </c>
      <c r="AB166" s="111">
        <v>0</v>
      </c>
      <c r="AC166" s="111">
        <v>0</v>
      </c>
      <c r="AD166" s="111">
        <v>0</v>
      </c>
      <c r="AE166" s="111">
        <v>0</v>
      </c>
      <c r="AF166" s="111">
        <v>0</v>
      </c>
      <c r="AG166" s="111">
        <v>0</v>
      </c>
      <c r="AH166" s="111">
        <v>0</v>
      </c>
      <c r="AI166" s="111">
        <v>0</v>
      </c>
      <c r="AJ166" s="111">
        <v>0</v>
      </c>
      <c r="AK166" s="111">
        <v>0</v>
      </c>
      <c r="AL166" s="111">
        <v>0</v>
      </c>
      <c r="AM166" s="111">
        <v>0</v>
      </c>
      <c r="AN166" s="111">
        <v>0</v>
      </c>
      <c r="AO166" s="111">
        <v>0</v>
      </c>
      <c r="AP166" s="111">
        <v>0</v>
      </c>
      <c r="AQ166" s="111">
        <v>0</v>
      </c>
      <c r="AR166" s="111">
        <v>0</v>
      </c>
      <c r="AS166" s="111">
        <v>0</v>
      </c>
      <c r="AT166" s="111">
        <v>0</v>
      </c>
      <c r="AU166" s="111">
        <v>0</v>
      </c>
      <c r="AV166" s="111">
        <v>0</v>
      </c>
      <c r="AW166" s="111">
        <v>0</v>
      </c>
      <c r="AX166" s="111">
        <v>0</v>
      </c>
      <c r="AY166" s="111">
        <v>0</v>
      </c>
    </row>
    <row r="167" spans="1:52" x14ac:dyDescent="0.2">
      <c r="A167" s="114"/>
      <c r="B167" s="135">
        <v>46</v>
      </c>
      <c r="C167" s="111"/>
      <c r="D167" s="111">
        <v>0</v>
      </c>
      <c r="E167" s="111">
        <v>0</v>
      </c>
      <c r="F167" s="111">
        <v>0</v>
      </c>
      <c r="G167" s="111">
        <v>0</v>
      </c>
      <c r="H167" s="111">
        <v>0</v>
      </c>
      <c r="I167" s="111">
        <v>0</v>
      </c>
      <c r="J167" s="111">
        <v>0</v>
      </c>
      <c r="K167" s="111">
        <v>0</v>
      </c>
      <c r="L167" s="111">
        <v>0</v>
      </c>
      <c r="M167" s="111">
        <v>0</v>
      </c>
      <c r="N167" s="111">
        <v>0</v>
      </c>
      <c r="O167" s="111">
        <v>0</v>
      </c>
      <c r="P167" s="111">
        <v>0</v>
      </c>
      <c r="Q167" s="111">
        <v>0</v>
      </c>
      <c r="R167" s="111">
        <v>0</v>
      </c>
      <c r="S167" s="111">
        <v>0</v>
      </c>
      <c r="T167" s="111">
        <v>0</v>
      </c>
      <c r="U167" s="111">
        <v>0</v>
      </c>
      <c r="V167" s="111">
        <v>0</v>
      </c>
      <c r="W167" s="111">
        <v>0</v>
      </c>
      <c r="X167" s="111">
        <v>0</v>
      </c>
      <c r="Y167" s="111">
        <v>0</v>
      </c>
      <c r="Z167" s="111">
        <v>0</v>
      </c>
      <c r="AA167" s="111">
        <v>0</v>
      </c>
      <c r="AB167" s="111">
        <v>0</v>
      </c>
      <c r="AC167" s="111">
        <v>0</v>
      </c>
      <c r="AD167" s="111">
        <v>0</v>
      </c>
      <c r="AE167" s="111">
        <v>0</v>
      </c>
      <c r="AF167" s="111">
        <v>0</v>
      </c>
      <c r="AG167" s="111">
        <v>0</v>
      </c>
      <c r="AH167" s="111">
        <v>0</v>
      </c>
      <c r="AI167" s="111">
        <v>0</v>
      </c>
      <c r="AJ167" s="111">
        <v>0</v>
      </c>
      <c r="AK167" s="111">
        <v>0</v>
      </c>
      <c r="AL167" s="111">
        <v>0</v>
      </c>
      <c r="AM167" s="111">
        <v>0</v>
      </c>
      <c r="AN167" s="111">
        <v>0</v>
      </c>
      <c r="AO167" s="111">
        <v>0</v>
      </c>
      <c r="AP167" s="111">
        <v>0</v>
      </c>
      <c r="AQ167" s="111">
        <v>0</v>
      </c>
      <c r="AR167" s="111">
        <v>0</v>
      </c>
      <c r="AS167" s="111">
        <v>0</v>
      </c>
      <c r="AT167" s="111">
        <v>0</v>
      </c>
      <c r="AU167" s="111">
        <v>0</v>
      </c>
      <c r="AV167" s="111">
        <v>0</v>
      </c>
      <c r="AW167" s="111">
        <v>0</v>
      </c>
      <c r="AX167" s="111">
        <v>0</v>
      </c>
      <c r="AY167" s="111">
        <v>0</v>
      </c>
    </row>
    <row r="168" spans="1:52" x14ac:dyDescent="0.2">
      <c r="A168" s="114"/>
      <c r="B168" s="135">
        <v>47</v>
      </c>
      <c r="C168" s="111"/>
      <c r="D168" s="111">
        <v>0</v>
      </c>
      <c r="E168" s="111">
        <v>0</v>
      </c>
      <c r="F168" s="111">
        <v>0</v>
      </c>
      <c r="G168" s="111">
        <v>0</v>
      </c>
      <c r="H168" s="111">
        <v>0</v>
      </c>
      <c r="I168" s="111">
        <v>0</v>
      </c>
      <c r="J168" s="111">
        <v>0</v>
      </c>
      <c r="K168" s="111">
        <v>0</v>
      </c>
      <c r="L168" s="111">
        <v>0</v>
      </c>
      <c r="M168" s="111">
        <v>0</v>
      </c>
      <c r="N168" s="111">
        <v>0</v>
      </c>
      <c r="O168" s="111">
        <v>0</v>
      </c>
      <c r="P168" s="111">
        <v>0</v>
      </c>
      <c r="Q168" s="111">
        <v>0</v>
      </c>
      <c r="R168" s="111">
        <v>0</v>
      </c>
      <c r="S168" s="111">
        <v>0</v>
      </c>
      <c r="T168" s="111">
        <v>0</v>
      </c>
      <c r="U168" s="111">
        <v>0</v>
      </c>
      <c r="V168" s="111">
        <v>0</v>
      </c>
      <c r="W168" s="111">
        <v>0</v>
      </c>
      <c r="X168" s="111">
        <v>0</v>
      </c>
      <c r="Y168" s="111">
        <v>0</v>
      </c>
      <c r="Z168" s="111">
        <v>0</v>
      </c>
      <c r="AA168" s="111">
        <v>0</v>
      </c>
      <c r="AB168" s="111">
        <v>0</v>
      </c>
      <c r="AC168" s="111">
        <v>0</v>
      </c>
      <c r="AD168" s="111">
        <v>0</v>
      </c>
      <c r="AE168" s="111">
        <v>0</v>
      </c>
      <c r="AF168" s="111">
        <v>0</v>
      </c>
      <c r="AG168" s="111">
        <v>0</v>
      </c>
      <c r="AH168" s="111">
        <v>0</v>
      </c>
      <c r="AI168" s="111">
        <v>0</v>
      </c>
      <c r="AJ168" s="111">
        <v>0</v>
      </c>
      <c r="AK168" s="111">
        <v>0</v>
      </c>
      <c r="AL168" s="111">
        <v>0</v>
      </c>
      <c r="AM168" s="111">
        <v>0</v>
      </c>
      <c r="AN168" s="111">
        <v>0</v>
      </c>
      <c r="AO168" s="111">
        <v>0</v>
      </c>
      <c r="AP168" s="111">
        <v>0</v>
      </c>
      <c r="AQ168" s="111">
        <v>0</v>
      </c>
      <c r="AR168" s="111">
        <v>0</v>
      </c>
      <c r="AS168" s="111">
        <v>0</v>
      </c>
      <c r="AT168" s="111">
        <v>0</v>
      </c>
      <c r="AU168" s="111">
        <v>0</v>
      </c>
      <c r="AV168" s="111">
        <v>0</v>
      </c>
      <c r="AW168" s="111">
        <v>0</v>
      </c>
      <c r="AX168" s="111">
        <v>0</v>
      </c>
      <c r="AY168" s="111">
        <v>0</v>
      </c>
    </row>
    <row r="169" spans="1:52" x14ac:dyDescent="0.2">
      <c r="A169" s="114"/>
      <c r="B169" s="135">
        <v>48</v>
      </c>
      <c r="C169" s="111"/>
      <c r="D169" s="111">
        <v>0</v>
      </c>
      <c r="E169" s="111">
        <v>0</v>
      </c>
      <c r="F169" s="111">
        <v>0</v>
      </c>
      <c r="G169" s="111">
        <v>0</v>
      </c>
      <c r="H169" s="111">
        <v>0</v>
      </c>
      <c r="I169" s="111">
        <v>0</v>
      </c>
      <c r="J169" s="111">
        <v>0</v>
      </c>
      <c r="K169" s="111">
        <v>0</v>
      </c>
      <c r="L169" s="111">
        <v>0</v>
      </c>
      <c r="M169" s="111">
        <v>0</v>
      </c>
      <c r="N169" s="111">
        <v>0</v>
      </c>
      <c r="O169" s="111">
        <v>0</v>
      </c>
      <c r="P169" s="111">
        <v>0</v>
      </c>
      <c r="Q169" s="111">
        <v>0</v>
      </c>
      <c r="R169" s="111">
        <v>0</v>
      </c>
      <c r="S169" s="111">
        <v>0</v>
      </c>
      <c r="T169" s="111">
        <v>0</v>
      </c>
      <c r="U169" s="111">
        <v>0</v>
      </c>
      <c r="V169" s="111">
        <v>0</v>
      </c>
      <c r="W169" s="111">
        <v>0</v>
      </c>
      <c r="X169" s="111">
        <v>0</v>
      </c>
      <c r="Y169" s="111">
        <v>0</v>
      </c>
      <c r="Z169" s="111">
        <v>0</v>
      </c>
      <c r="AA169" s="111">
        <v>0</v>
      </c>
      <c r="AB169" s="111">
        <v>0</v>
      </c>
      <c r="AC169" s="111">
        <v>0</v>
      </c>
      <c r="AD169" s="111">
        <v>0</v>
      </c>
      <c r="AE169" s="111">
        <v>0</v>
      </c>
      <c r="AF169" s="111">
        <v>0</v>
      </c>
      <c r="AG169" s="111">
        <v>0</v>
      </c>
      <c r="AH169" s="111">
        <v>0</v>
      </c>
      <c r="AI169" s="111">
        <v>0</v>
      </c>
      <c r="AJ169" s="111">
        <v>0</v>
      </c>
      <c r="AK169" s="111">
        <v>0</v>
      </c>
      <c r="AL169" s="111">
        <v>0</v>
      </c>
      <c r="AM169" s="111">
        <v>0</v>
      </c>
      <c r="AN169" s="111">
        <v>0</v>
      </c>
      <c r="AO169" s="111">
        <v>0</v>
      </c>
      <c r="AP169" s="111">
        <v>0</v>
      </c>
      <c r="AQ169" s="111">
        <v>0</v>
      </c>
      <c r="AR169" s="111">
        <v>0</v>
      </c>
      <c r="AS169" s="111">
        <v>0</v>
      </c>
      <c r="AT169" s="111">
        <v>0</v>
      </c>
      <c r="AU169" s="111">
        <v>0</v>
      </c>
      <c r="AV169" s="111">
        <v>0</v>
      </c>
      <c r="AW169" s="111">
        <v>0</v>
      </c>
      <c r="AX169" s="111">
        <v>0</v>
      </c>
      <c r="AY169" s="111">
        <v>0</v>
      </c>
    </row>
    <row r="170" spans="1:52" x14ac:dyDescent="0.2">
      <c r="A170" s="133"/>
      <c r="B170" s="137" t="s">
        <v>298</v>
      </c>
      <c r="C170" s="119"/>
      <c r="D170" s="130">
        <v>0</v>
      </c>
      <c r="E170" s="130">
        <v>0</v>
      </c>
      <c r="F170" s="130">
        <v>0</v>
      </c>
      <c r="G170" s="130">
        <v>0</v>
      </c>
      <c r="H170" s="130">
        <v>0</v>
      </c>
      <c r="I170" s="130">
        <v>0</v>
      </c>
      <c r="J170" s="130">
        <v>0</v>
      </c>
      <c r="K170" s="130">
        <v>0</v>
      </c>
      <c r="L170" s="130">
        <v>0</v>
      </c>
      <c r="M170" s="130">
        <v>0</v>
      </c>
      <c r="N170" s="130">
        <v>0</v>
      </c>
      <c r="O170" s="130">
        <v>0</v>
      </c>
      <c r="P170" s="130">
        <v>0</v>
      </c>
      <c r="Q170" s="130">
        <v>0</v>
      </c>
      <c r="R170" s="130">
        <v>0</v>
      </c>
      <c r="S170" s="130">
        <v>0</v>
      </c>
      <c r="T170" s="130">
        <v>0</v>
      </c>
      <c r="U170" s="130">
        <v>0</v>
      </c>
      <c r="V170" s="130">
        <v>0</v>
      </c>
      <c r="W170" s="130">
        <v>0</v>
      </c>
      <c r="X170" s="130">
        <v>0</v>
      </c>
      <c r="Y170" s="130">
        <v>0</v>
      </c>
      <c r="Z170" s="130">
        <v>0</v>
      </c>
      <c r="AA170" s="130">
        <v>0</v>
      </c>
      <c r="AB170" s="130">
        <v>0</v>
      </c>
      <c r="AC170" s="130">
        <v>0</v>
      </c>
      <c r="AD170" s="130">
        <v>0</v>
      </c>
      <c r="AE170" s="130">
        <v>0</v>
      </c>
      <c r="AF170" s="130">
        <v>0</v>
      </c>
      <c r="AG170" s="130">
        <v>0</v>
      </c>
      <c r="AH170" s="130">
        <v>0</v>
      </c>
      <c r="AI170" s="130">
        <v>0</v>
      </c>
      <c r="AJ170" s="130">
        <v>0</v>
      </c>
      <c r="AK170" s="130">
        <v>0</v>
      </c>
      <c r="AL170" s="130">
        <v>0</v>
      </c>
      <c r="AM170" s="130">
        <v>0</v>
      </c>
      <c r="AN170" s="130">
        <v>0</v>
      </c>
      <c r="AO170" s="130">
        <v>0</v>
      </c>
      <c r="AP170" s="130">
        <v>0</v>
      </c>
      <c r="AQ170" s="130">
        <v>0</v>
      </c>
      <c r="AR170" s="130">
        <v>0</v>
      </c>
      <c r="AS170" s="130">
        <v>0</v>
      </c>
      <c r="AT170" s="130">
        <v>0</v>
      </c>
      <c r="AU170" s="130">
        <v>0</v>
      </c>
      <c r="AV170" s="130">
        <v>0</v>
      </c>
      <c r="AW170" s="130">
        <v>0</v>
      </c>
      <c r="AX170" s="130">
        <v>0</v>
      </c>
      <c r="AY170" s="130">
        <v>0</v>
      </c>
      <c r="AZ170" s="112">
        <f>SUM($D170:$AY170)</f>
        <v>0</v>
      </c>
    </row>
    <row r="172" spans="1:52" x14ac:dyDescent="0.2">
      <c r="A172" s="107" t="s">
        <v>124</v>
      </c>
      <c r="B172" s="138" t="s">
        <v>299</v>
      </c>
      <c r="C172" s="139"/>
      <c r="D172" s="139">
        <v>0.1</v>
      </c>
      <c r="E172" s="139">
        <v>0.1</v>
      </c>
      <c r="F172" s="139">
        <v>0.1</v>
      </c>
      <c r="G172" s="139">
        <v>0.1</v>
      </c>
      <c r="H172" s="139">
        <v>0.1</v>
      </c>
      <c r="I172" s="139">
        <v>0.1</v>
      </c>
      <c r="J172" s="139">
        <v>0.1</v>
      </c>
      <c r="K172" s="139">
        <v>0.1</v>
      </c>
      <c r="L172" s="139">
        <v>0.1</v>
      </c>
      <c r="M172" s="139">
        <v>0.1</v>
      </c>
      <c r="N172" s="139">
        <v>0.1</v>
      </c>
      <c r="O172" s="139">
        <v>0.1</v>
      </c>
      <c r="P172" s="139">
        <v>0.1</v>
      </c>
      <c r="Q172" s="139">
        <v>0.1</v>
      </c>
      <c r="R172" s="139">
        <v>0.1</v>
      </c>
      <c r="S172" s="139">
        <v>0.1</v>
      </c>
      <c r="T172" s="139">
        <v>0.1</v>
      </c>
      <c r="U172" s="139">
        <v>0.1</v>
      </c>
      <c r="V172" s="139">
        <v>0.1</v>
      </c>
      <c r="W172" s="139">
        <v>0.1</v>
      </c>
      <c r="X172" s="139">
        <v>0.1</v>
      </c>
      <c r="Y172" s="139">
        <v>0.1</v>
      </c>
      <c r="Z172" s="139">
        <v>0.1</v>
      </c>
      <c r="AA172" s="139">
        <v>0.1</v>
      </c>
      <c r="AB172" s="139">
        <v>0.1</v>
      </c>
      <c r="AC172" s="139">
        <v>0.1</v>
      </c>
      <c r="AD172" s="139">
        <v>0.1</v>
      </c>
      <c r="AE172" s="139">
        <v>0.1</v>
      </c>
      <c r="AF172" s="139">
        <v>0.1</v>
      </c>
      <c r="AG172" s="139">
        <v>0.1</v>
      </c>
      <c r="AH172" s="139">
        <v>0.1</v>
      </c>
      <c r="AI172" s="139">
        <v>0.1</v>
      </c>
      <c r="AJ172" s="139">
        <v>0.1</v>
      </c>
      <c r="AK172" s="139">
        <v>0.1</v>
      </c>
      <c r="AL172" s="139">
        <v>0.1</v>
      </c>
      <c r="AM172" s="139">
        <v>0.1</v>
      </c>
      <c r="AN172" s="139">
        <v>0.1</v>
      </c>
      <c r="AO172" s="139">
        <v>0.1</v>
      </c>
      <c r="AP172" s="139">
        <v>0.1</v>
      </c>
      <c r="AQ172" s="139">
        <v>0.1</v>
      </c>
      <c r="AR172" s="139">
        <v>0.1</v>
      </c>
      <c r="AS172" s="139">
        <v>0.1</v>
      </c>
      <c r="AT172" s="139">
        <v>0.1</v>
      </c>
      <c r="AU172" s="139">
        <v>0.1</v>
      </c>
      <c r="AV172" s="139">
        <v>0.1</v>
      </c>
      <c r="AW172" s="139">
        <v>0.1</v>
      </c>
      <c r="AX172" s="139">
        <v>0.1</v>
      </c>
      <c r="AY172" s="139">
        <v>0.1</v>
      </c>
    </row>
    <row r="174" spans="1:52" x14ac:dyDescent="0.2">
      <c r="A174" s="107" t="s">
        <v>274</v>
      </c>
    </row>
    <row r="175" spans="1:52" x14ac:dyDescent="0.2">
      <c r="A175" s="140" t="s">
        <v>125</v>
      </c>
      <c r="B175" s="140" t="s">
        <v>300</v>
      </c>
      <c r="C175" s="129" t="s">
        <v>295</v>
      </c>
      <c r="D175" s="129">
        <f t="shared" ref="D175:AY175" si="1">SUM(D95:D98)</f>
        <v>300.54370894391104</v>
      </c>
      <c r="E175" s="129">
        <f t="shared" si="1"/>
        <v>409.08741788782208</v>
      </c>
      <c r="F175" s="129">
        <f t="shared" si="1"/>
        <v>420.63112683173313</v>
      </c>
      <c r="G175" s="129">
        <f t="shared" si="1"/>
        <v>504.17483577564417</v>
      </c>
      <c r="H175" s="129">
        <f t="shared" si="1"/>
        <v>546.77291561394645</v>
      </c>
      <c r="I175" s="129">
        <f t="shared" si="1"/>
        <v>603.37099545224862</v>
      </c>
      <c r="J175" s="129">
        <f t="shared" si="1"/>
        <v>681.96907529055079</v>
      </c>
      <c r="K175" s="129">
        <f t="shared" si="1"/>
        <v>782.56715512885307</v>
      </c>
      <c r="L175" s="129">
        <f t="shared" si="1"/>
        <v>861.16523496715536</v>
      </c>
      <c r="M175" s="129">
        <f t="shared" si="1"/>
        <v>928.76331480545753</v>
      </c>
      <c r="N175" s="129">
        <f t="shared" si="1"/>
        <v>1030.3613946437597</v>
      </c>
      <c r="O175" s="129">
        <f t="shared" si="1"/>
        <v>1123.959474482062</v>
      </c>
      <c r="P175" s="129">
        <f t="shared" si="1"/>
        <v>1203.503183425973</v>
      </c>
      <c r="Q175" s="129">
        <f t="shared" si="1"/>
        <v>1259.0468923698841</v>
      </c>
      <c r="R175" s="129">
        <f t="shared" si="1"/>
        <v>1232.2292066700354</v>
      </c>
      <c r="S175" s="129">
        <f t="shared" si="1"/>
        <v>1136.1301163947187</v>
      </c>
      <c r="T175" s="129">
        <f t="shared" si="1"/>
        <v>933.43336047160574</v>
      </c>
      <c r="U175" s="129">
        <f t="shared" si="1"/>
        <v>957.73660454849221</v>
      </c>
      <c r="V175" s="129">
        <f t="shared" si="1"/>
        <v>933.22594259801213</v>
      </c>
      <c r="W175" s="129">
        <f t="shared" si="1"/>
        <v>958.71528064753215</v>
      </c>
      <c r="X175" s="129">
        <f t="shared" si="1"/>
        <v>1002.2046186970521</v>
      </c>
      <c r="Y175" s="129">
        <f t="shared" si="1"/>
        <v>1057.693956746572</v>
      </c>
      <c r="Z175" s="129">
        <f t="shared" si="1"/>
        <v>1080.615634432673</v>
      </c>
      <c r="AA175" s="129">
        <f t="shared" si="1"/>
        <v>1078.9914404095096</v>
      </c>
      <c r="AB175" s="129">
        <f t="shared" si="1"/>
        <v>1014.367246386346</v>
      </c>
      <c r="AC175" s="129">
        <f t="shared" si="1"/>
        <v>1041.743052363182</v>
      </c>
      <c r="AD175" s="129">
        <f t="shared" si="1"/>
        <v>844.11885834001782</v>
      </c>
      <c r="AE175" s="129">
        <f t="shared" si="1"/>
        <v>883.60819638953774</v>
      </c>
      <c r="AF175" s="129">
        <f t="shared" si="1"/>
        <v>997.20627622783991</v>
      </c>
      <c r="AG175" s="129">
        <f t="shared" si="1"/>
        <v>942.76816166693243</v>
      </c>
      <c r="AH175" s="129">
        <f t="shared" si="1"/>
        <v>1018.8093115803694</v>
      </c>
      <c r="AI175" s="129">
        <f t="shared" si="1"/>
        <v>1117.1329829934223</v>
      </c>
      <c r="AJ175" s="129">
        <f t="shared" si="1"/>
        <v>1121.1086775043279</v>
      </c>
      <c r="AK175" s="129">
        <f t="shared" si="1"/>
        <v>1125.7295976805897</v>
      </c>
      <c r="AL175" s="129">
        <f t="shared" si="1"/>
        <v>1062.4607707850407</v>
      </c>
      <c r="AM175" s="129">
        <f t="shared" si="1"/>
        <v>940.63176248933019</v>
      </c>
      <c r="AN175" s="129">
        <f t="shared" si="1"/>
        <v>981.42394509198311</v>
      </c>
      <c r="AO175" s="129">
        <f t="shared" si="1"/>
        <v>960.77868579317737</v>
      </c>
      <c r="AP175" s="129">
        <f t="shared" si="1"/>
        <v>836.02376117007202</v>
      </c>
      <c r="AQ175" s="129">
        <f t="shared" si="1"/>
        <v>666.85106193371348</v>
      </c>
      <c r="AR175" s="129">
        <f t="shared" si="1"/>
        <v>660.33777391333422</v>
      </c>
      <c r="AS175" s="129">
        <f t="shared" si="1"/>
        <v>530.690001377312</v>
      </c>
      <c r="AT175" s="129">
        <f t="shared" si="1"/>
        <v>484.45968107898534</v>
      </c>
      <c r="AU175" s="129">
        <f t="shared" si="1"/>
        <v>154.46315209150933</v>
      </c>
      <c r="AV175" s="129">
        <f t="shared" si="1"/>
        <v>116.88655445568821</v>
      </c>
      <c r="AW175" s="129">
        <f t="shared" si="1"/>
        <v>38.426562722999392</v>
      </c>
      <c r="AX175" s="129">
        <f t="shared" si="1"/>
        <v>38.218852600176433</v>
      </c>
      <c r="AY175" s="129">
        <f t="shared" si="1"/>
        <v>0</v>
      </c>
    </row>
    <row r="176" spans="1:52" x14ac:dyDescent="0.2">
      <c r="A176" s="130"/>
      <c r="B176" s="141" t="s">
        <v>301</v>
      </c>
      <c r="C176" s="130" t="s">
        <v>295</v>
      </c>
      <c r="D176" s="130">
        <v>192</v>
      </c>
      <c r="E176" s="130">
        <v>289</v>
      </c>
      <c r="F176" s="130">
        <v>217</v>
      </c>
      <c r="G176" s="130">
        <v>288</v>
      </c>
      <c r="H176" s="130">
        <v>274</v>
      </c>
      <c r="I176" s="130">
        <v>252</v>
      </c>
      <c r="J176" s="130">
        <v>230</v>
      </c>
      <c r="K176" s="130">
        <v>252</v>
      </c>
      <c r="L176" s="130">
        <v>263</v>
      </c>
      <c r="M176" s="130">
        <v>229</v>
      </c>
      <c r="N176" s="130">
        <v>237</v>
      </c>
      <c r="O176" s="130">
        <v>221</v>
      </c>
      <c r="P176" s="130">
        <v>245</v>
      </c>
      <c r="Q176" s="130">
        <v>244</v>
      </c>
      <c r="R176" s="130">
        <v>289</v>
      </c>
      <c r="S176" s="130">
        <v>296</v>
      </c>
      <c r="T176" s="130">
        <v>245</v>
      </c>
      <c r="U176" s="130">
        <v>295</v>
      </c>
      <c r="V176" s="130">
        <v>245</v>
      </c>
      <c r="W176" s="130">
        <v>227</v>
      </c>
      <c r="X176" s="130">
        <v>215</v>
      </c>
      <c r="Y176" s="130">
        <v>229</v>
      </c>
      <c r="Z176" s="130">
        <v>237</v>
      </c>
      <c r="AA176" s="130">
        <v>276</v>
      </c>
      <c r="AB176" s="130">
        <v>239</v>
      </c>
      <c r="AC176" s="130">
        <v>209</v>
      </c>
      <c r="AD176" s="130">
        <v>231</v>
      </c>
      <c r="AE176" s="130">
        <v>217</v>
      </c>
      <c r="AF176" s="130">
        <v>256</v>
      </c>
      <c r="AG176" s="130">
        <v>234</v>
      </c>
      <c r="AH176" s="130">
        <v>227</v>
      </c>
      <c r="AI176" s="130">
        <v>253</v>
      </c>
      <c r="AJ176" s="130">
        <v>313</v>
      </c>
      <c r="AK176" s="130">
        <v>228</v>
      </c>
      <c r="AL176" s="130">
        <v>222</v>
      </c>
      <c r="AM176" s="130">
        <v>202</v>
      </c>
      <c r="AN176" s="130">
        <v>248</v>
      </c>
      <c r="AO176" s="130">
        <v>290</v>
      </c>
      <c r="AP176" s="130">
        <v>276</v>
      </c>
      <c r="AQ176" s="130">
        <v>235</v>
      </c>
      <c r="AR176" s="130">
        <v>259</v>
      </c>
      <c r="AS176" s="130">
        <v>209</v>
      </c>
      <c r="AT176" s="130">
        <v>277</v>
      </c>
      <c r="AU176" s="130">
        <v>154.46315209150933</v>
      </c>
      <c r="AV176" s="130">
        <v>116.88655445568821</v>
      </c>
      <c r="AW176" s="130">
        <v>38.426562722999392</v>
      </c>
      <c r="AX176" s="130">
        <v>38.218852600176433</v>
      </c>
      <c r="AY176" s="130">
        <v>0</v>
      </c>
    </row>
    <row r="177" spans="1:51" x14ac:dyDescent="0.2">
      <c r="A177" s="140" t="s">
        <v>133</v>
      </c>
      <c r="B177" s="140" t="s">
        <v>300</v>
      </c>
      <c r="C177" s="129" t="s">
        <v>295</v>
      </c>
      <c r="D177" s="129">
        <f t="shared" ref="D177:AY177" si="2">SUM(D100:D107)</f>
        <v>0</v>
      </c>
      <c r="E177" s="129">
        <f t="shared" si="2"/>
        <v>0</v>
      </c>
      <c r="F177" s="129">
        <f t="shared" si="2"/>
        <v>108.23677181837871</v>
      </c>
      <c r="G177" s="129">
        <f t="shared" si="2"/>
        <v>124.47354363675743</v>
      </c>
      <c r="H177" s="129">
        <f t="shared" si="2"/>
        <v>132.71031545513614</v>
      </c>
      <c r="I177" s="129">
        <f t="shared" si="2"/>
        <v>149.94708727351485</v>
      </c>
      <c r="J177" s="129">
        <f t="shared" si="2"/>
        <v>153.00753627373146</v>
      </c>
      <c r="K177" s="129">
        <f t="shared" si="2"/>
        <v>142.06798527394807</v>
      </c>
      <c r="L177" s="129">
        <f t="shared" si="2"/>
        <v>151.12843427416468</v>
      </c>
      <c r="M177" s="129">
        <f t="shared" si="2"/>
        <v>51.128434274164675</v>
      </c>
      <c r="N177" s="129">
        <f t="shared" si="2"/>
        <v>238.12089800043316</v>
      </c>
      <c r="O177" s="129">
        <f t="shared" si="2"/>
        <v>234.18134700064977</v>
      </c>
      <c r="P177" s="129">
        <f t="shared" si="2"/>
        <v>231.24179600086637</v>
      </c>
      <c r="Q177" s="129">
        <f t="shared" si="2"/>
        <v>239.30224500108298</v>
      </c>
      <c r="R177" s="129">
        <f t="shared" si="2"/>
        <v>229.53901681946169</v>
      </c>
      <c r="S177" s="129">
        <f t="shared" si="2"/>
        <v>202.77578863784041</v>
      </c>
      <c r="T177" s="129">
        <f t="shared" si="2"/>
        <v>190.01256045621912</v>
      </c>
      <c r="U177" s="129">
        <f t="shared" si="2"/>
        <v>206.24933227459783</v>
      </c>
      <c r="V177" s="129">
        <f t="shared" si="2"/>
        <v>210.66242691113868</v>
      </c>
      <c r="W177" s="129">
        <f t="shared" si="2"/>
        <v>205.0755215476795</v>
      </c>
      <c r="X177" s="129">
        <f t="shared" si="2"/>
        <v>195.48861618422035</v>
      </c>
      <c r="Y177" s="129">
        <f t="shared" si="2"/>
        <v>190.90171082076117</v>
      </c>
      <c r="Z177" s="129">
        <f t="shared" si="2"/>
        <v>178.31480545730199</v>
      </c>
      <c r="AA177" s="129">
        <f t="shared" si="2"/>
        <v>154.72790009384283</v>
      </c>
      <c r="AB177" s="129">
        <f t="shared" si="2"/>
        <v>116.14099473038367</v>
      </c>
      <c r="AC177" s="129">
        <f t="shared" si="2"/>
        <v>116.5540893669245</v>
      </c>
      <c r="AD177" s="129">
        <f t="shared" si="2"/>
        <v>121.96718400346533</v>
      </c>
      <c r="AE177" s="129">
        <f t="shared" si="2"/>
        <v>97.413094636540833</v>
      </c>
      <c r="AF177" s="129">
        <f t="shared" si="2"/>
        <v>0</v>
      </c>
      <c r="AG177" s="129">
        <f t="shared" si="2"/>
        <v>194.82618927308167</v>
      </c>
      <c r="AH177" s="129">
        <f t="shared" si="2"/>
        <v>212.88663827329827</v>
      </c>
      <c r="AI177" s="129">
        <f t="shared" si="2"/>
        <v>222.94708727351488</v>
      </c>
      <c r="AJ177" s="129">
        <f t="shared" si="2"/>
        <v>230.00753627373149</v>
      </c>
      <c r="AK177" s="129">
        <f t="shared" si="2"/>
        <v>237.0679852739481</v>
      </c>
      <c r="AL177" s="129">
        <f t="shared" si="2"/>
        <v>236.1284342741647</v>
      </c>
      <c r="AM177" s="129">
        <f t="shared" si="2"/>
        <v>225.18888327438131</v>
      </c>
      <c r="AN177" s="129">
        <f t="shared" si="2"/>
        <v>244.24933227459792</v>
      </c>
      <c r="AO177" s="129">
        <f t="shared" si="2"/>
        <v>232.30978127481453</v>
      </c>
      <c r="AP177" s="129">
        <f t="shared" si="2"/>
        <v>217.37023027503113</v>
      </c>
      <c r="AQ177" s="129">
        <f t="shared" si="2"/>
        <v>202.43067927524774</v>
      </c>
      <c r="AR177" s="129">
        <f t="shared" si="2"/>
        <v>195.49112827546435</v>
      </c>
      <c r="AS177" s="129">
        <f t="shared" si="2"/>
        <v>196.55157727568096</v>
      </c>
      <c r="AT177" s="129">
        <f t="shared" si="2"/>
        <v>97.551577275680955</v>
      </c>
      <c r="AU177" s="129">
        <f t="shared" si="2"/>
        <v>216.4735436367574</v>
      </c>
      <c r="AV177" s="129">
        <f t="shared" si="2"/>
        <v>208.71031545513611</v>
      </c>
      <c r="AW177" s="129">
        <f t="shared" si="2"/>
        <v>204.94708727351482</v>
      </c>
      <c r="AX177" s="129">
        <f t="shared" si="2"/>
        <v>171.36018191005564</v>
      </c>
      <c r="AY177" s="129">
        <f t="shared" si="2"/>
        <v>167.77327654659649</v>
      </c>
    </row>
    <row r="178" spans="1:51" x14ac:dyDescent="0.2">
      <c r="A178" s="130"/>
      <c r="B178" s="141" t="s">
        <v>301</v>
      </c>
      <c r="C178" s="130" t="s">
        <v>295</v>
      </c>
      <c r="D178" s="130">
        <v>0</v>
      </c>
      <c r="E178" s="130">
        <v>0</v>
      </c>
      <c r="F178" s="130">
        <v>92</v>
      </c>
      <c r="G178" s="130">
        <v>100</v>
      </c>
      <c r="H178" s="130">
        <v>91</v>
      </c>
      <c r="I178" s="130">
        <v>116</v>
      </c>
      <c r="J178" s="130">
        <v>130</v>
      </c>
      <c r="K178" s="130">
        <v>110</v>
      </c>
      <c r="L178" s="130">
        <v>100</v>
      </c>
      <c r="M178" s="130">
        <v>51.128434274164675</v>
      </c>
      <c r="N178" s="130">
        <v>123</v>
      </c>
      <c r="O178" s="130">
        <v>122</v>
      </c>
      <c r="P178" s="130">
        <v>111</v>
      </c>
      <c r="Q178" s="130">
        <v>118</v>
      </c>
      <c r="R178" s="130">
        <v>135</v>
      </c>
      <c r="S178" s="130">
        <v>121</v>
      </c>
      <c r="T178" s="130">
        <v>92</v>
      </c>
      <c r="U178" s="130">
        <v>93</v>
      </c>
      <c r="V178" s="130">
        <v>103</v>
      </c>
      <c r="W178" s="130">
        <v>107</v>
      </c>
      <c r="X178" s="130">
        <v>102</v>
      </c>
      <c r="Y178" s="130">
        <v>110</v>
      </c>
      <c r="Z178" s="130">
        <v>121</v>
      </c>
      <c r="AA178" s="130">
        <v>136</v>
      </c>
      <c r="AB178" s="130">
        <v>97</v>
      </c>
      <c r="AC178" s="130">
        <v>92</v>
      </c>
      <c r="AD178" s="130">
        <v>121.96718400346533</v>
      </c>
      <c r="AE178" s="130">
        <v>97.413094636540833</v>
      </c>
      <c r="AF178" s="130">
        <v>0</v>
      </c>
      <c r="AG178" s="130">
        <v>101</v>
      </c>
      <c r="AH178" s="130">
        <v>109</v>
      </c>
      <c r="AI178" s="130">
        <v>112</v>
      </c>
      <c r="AJ178" s="130">
        <v>112</v>
      </c>
      <c r="AK178" s="130">
        <v>120</v>
      </c>
      <c r="AL178" s="130">
        <v>130</v>
      </c>
      <c r="AM178" s="130">
        <v>100</v>
      </c>
      <c r="AN178" s="130">
        <v>131</v>
      </c>
      <c r="AO178" s="130">
        <v>134</v>
      </c>
      <c r="AP178" s="130">
        <v>134</v>
      </c>
      <c r="AQ178" s="130">
        <v>126</v>
      </c>
      <c r="AR178" s="130">
        <v>118</v>
      </c>
      <c r="AS178" s="130">
        <v>99</v>
      </c>
      <c r="AT178" s="130">
        <v>97.551577275680955</v>
      </c>
      <c r="AU178" s="130">
        <v>116</v>
      </c>
      <c r="AV178" s="130">
        <v>112</v>
      </c>
      <c r="AW178" s="130">
        <v>131</v>
      </c>
      <c r="AX178" s="130">
        <v>101</v>
      </c>
      <c r="AY178" s="130">
        <v>105</v>
      </c>
    </row>
    <row r="179" spans="1:51" x14ac:dyDescent="0.2">
      <c r="A179" s="140" t="s">
        <v>134</v>
      </c>
      <c r="B179" s="140" t="s">
        <v>300</v>
      </c>
      <c r="C179" s="129" t="s">
        <v>295</v>
      </c>
      <c r="D179" s="129">
        <f t="shared" ref="D179:AY179" si="3">SUM(D109:D120)</f>
        <v>0</v>
      </c>
      <c r="E179" s="129">
        <f t="shared" si="3"/>
        <v>73.797113692361847</v>
      </c>
      <c r="F179" s="129">
        <f t="shared" si="3"/>
        <v>103.61162970784937</v>
      </c>
      <c r="G179" s="129">
        <f t="shared" si="3"/>
        <v>129.3906925322616</v>
      </c>
      <c r="H179" s="129">
        <f t="shared" si="3"/>
        <v>148.93784748470605</v>
      </c>
      <c r="I179" s="129">
        <f t="shared" si="3"/>
        <v>180.67628535237952</v>
      </c>
      <c r="J179" s="129">
        <f t="shared" si="3"/>
        <v>232.58687784375911</v>
      </c>
      <c r="K179" s="129">
        <f t="shared" si="3"/>
        <v>269.17729796828536</v>
      </c>
      <c r="L179" s="129">
        <f t="shared" si="3"/>
        <v>305.57956296264359</v>
      </c>
      <c r="M179" s="129">
        <f t="shared" si="3"/>
        <v>365.81248833985057</v>
      </c>
      <c r="N179" s="129">
        <f t="shared" si="3"/>
        <v>419.07971782621246</v>
      </c>
      <c r="O179" s="129">
        <f t="shared" si="3"/>
        <v>507.87649807253456</v>
      </c>
      <c r="P179" s="129">
        <f t="shared" si="3"/>
        <v>597.56448717650903</v>
      </c>
      <c r="Q179" s="129">
        <f t="shared" si="3"/>
        <v>672.25456425237076</v>
      </c>
      <c r="R179" s="129">
        <f t="shared" si="3"/>
        <v>753.84652050293084</v>
      </c>
      <c r="S179" s="129">
        <f t="shared" si="3"/>
        <v>866.72527953890847</v>
      </c>
      <c r="T179" s="129">
        <f t="shared" si="3"/>
        <v>984.16216108176161</v>
      </c>
      <c r="U179" s="129">
        <f t="shared" si="3"/>
        <v>1087.4013528808027</v>
      </c>
      <c r="V179" s="129">
        <f t="shared" si="3"/>
        <v>1169.2626239104138</v>
      </c>
      <c r="W179" s="129">
        <f t="shared" si="3"/>
        <v>1272.7588777757255</v>
      </c>
      <c r="X179" s="129">
        <f t="shared" si="3"/>
        <v>1311.1266161931687</v>
      </c>
      <c r="Y179" s="129">
        <f t="shared" si="3"/>
        <v>1379.5786907075299</v>
      </c>
      <c r="Z179" s="129">
        <f t="shared" si="3"/>
        <v>1418.206667709117</v>
      </c>
      <c r="AA179" s="129">
        <f t="shared" si="3"/>
        <v>1465.4929569492076</v>
      </c>
      <c r="AB179" s="129">
        <f t="shared" si="3"/>
        <v>1490.5717272039517</v>
      </c>
      <c r="AC179" s="129">
        <f t="shared" si="3"/>
        <v>1564.4637303718835</v>
      </c>
      <c r="AD179" s="129">
        <f t="shared" si="3"/>
        <v>1605.1876431616847</v>
      </c>
      <c r="AE179" s="129">
        <f t="shared" si="3"/>
        <v>1665.4724237877267</v>
      </c>
      <c r="AF179" s="129">
        <f t="shared" si="3"/>
        <v>1698.5983790672503</v>
      </c>
      <c r="AG179" s="129">
        <f t="shared" si="3"/>
        <v>1514.4838134693889</v>
      </c>
      <c r="AH179" s="129">
        <f t="shared" si="3"/>
        <v>1531.4655292919483</v>
      </c>
      <c r="AI179" s="129">
        <f t="shared" si="3"/>
        <v>1585.0563921412713</v>
      </c>
      <c r="AJ179" s="129">
        <f t="shared" si="3"/>
        <v>1496.7977335664818</v>
      </c>
      <c r="AK179" s="129">
        <f t="shared" si="3"/>
        <v>1510.6161008327038</v>
      </c>
      <c r="AL179" s="129">
        <f t="shared" si="3"/>
        <v>1407.7742415264656</v>
      </c>
      <c r="AM179" s="129">
        <f t="shared" si="3"/>
        <v>1346.1975873405465</v>
      </c>
      <c r="AN179" s="129">
        <f t="shared" si="3"/>
        <v>1374.4370795142959</v>
      </c>
      <c r="AO179" s="129">
        <f t="shared" si="3"/>
        <v>1377.3048012118425</v>
      </c>
      <c r="AP179" s="129">
        <f t="shared" si="3"/>
        <v>1332.2538970937924</v>
      </c>
      <c r="AQ179" s="129">
        <f t="shared" si="3"/>
        <v>1319.0953055630894</v>
      </c>
      <c r="AR179" s="129">
        <f t="shared" si="3"/>
        <v>1375.0043869930919</v>
      </c>
      <c r="AS179" s="129">
        <f t="shared" si="3"/>
        <v>1390.802328697753</v>
      </c>
      <c r="AT179" s="129">
        <f t="shared" si="3"/>
        <v>1436.2599372472778</v>
      </c>
      <c r="AU179" s="129">
        <f t="shared" si="3"/>
        <v>1404.1163780738423</v>
      </c>
      <c r="AV179" s="129">
        <f t="shared" si="3"/>
        <v>1468.4909124063402</v>
      </c>
      <c r="AW179" s="129">
        <f t="shared" si="3"/>
        <v>1510.8453699841989</v>
      </c>
      <c r="AX179" s="129">
        <f t="shared" si="3"/>
        <v>1582.0069840857868</v>
      </c>
      <c r="AY179" s="129">
        <f t="shared" si="3"/>
        <v>1606.4430408031972</v>
      </c>
    </row>
    <row r="180" spans="1:51" x14ac:dyDescent="0.2">
      <c r="A180" s="130"/>
      <c r="B180" s="141" t="s">
        <v>301</v>
      </c>
      <c r="C180" s="130" t="s">
        <v>295</v>
      </c>
      <c r="D180" s="130">
        <v>0</v>
      </c>
      <c r="E180" s="130">
        <v>57</v>
      </c>
      <c r="F180" s="130">
        <v>76</v>
      </c>
      <c r="G180" s="130">
        <v>79</v>
      </c>
      <c r="H180" s="130">
        <v>77</v>
      </c>
      <c r="I180" s="130">
        <v>69</v>
      </c>
      <c r="J180" s="130">
        <v>79</v>
      </c>
      <c r="K180" s="130">
        <v>88</v>
      </c>
      <c r="L180" s="130">
        <v>87</v>
      </c>
      <c r="M180" s="130">
        <v>81.639517045486315</v>
      </c>
      <c r="N180" s="130">
        <v>63</v>
      </c>
      <c r="O180" s="130">
        <v>71</v>
      </c>
      <c r="P180" s="130">
        <v>76</v>
      </c>
      <c r="Q180" s="130">
        <v>89</v>
      </c>
      <c r="R180" s="130">
        <v>58</v>
      </c>
      <c r="S180" s="130">
        <v>62</v>
      </c>
      <c r="T180" s="130">
        <v>86</v>
      </c>
      <c r="U180" s="130">
        <v>93</v>
      </c>
      <c r="V180" s="130">
        <v>62</v>
      </c>
      <c r="W180" s="130">
        <v>115</v>
      </c>
      <c r="X180" s="130">
        <v>72</v>
      </c>
      <c r="Y180" s="130">
        <v>96</v>
      </c>
      <c r="Z180" s="130">
        <v>85</v>
      </c>
      <c r="AA180" s="130">
        <v>105</v>
      </c>
      <c r="AB180" s="130">
        <v>64</v>
      </c>
      <c r="AC180" s="130">
        <v>87</v>
      </c>
      <c r="AD180" s="130">
        <v>82.587850823441087</v>
      </c>
      <c r="AE180" s="130">
        <v>91.121737881329437</v>
      </c>
      <c r="AF180" s="130">
        <v>94</v>
      </c>
      <c r="AG180" s="130">
        <v>71</v>
      </c>
      <c r="AH180" s="130">
        <v>64</v>
      </c>
      <c r="AI180" s="130">
        <v>78</v>
      </c>
      <c r="AJ180" s="130">
        <v>82</v>
      </c>
      <c r="AK180" s="130">
        <v>104</v>
      </c>
      <c r="AL180" s="130">
        <v>99</v>
      </c>
      <c r="AM180" s="130">
        <v>66</v>
      </c>
      <c r="AN180" s="130">
        <v>88</v>
      </c>
      <c r="AO180" s="130">
        <v>84</v>
      </c>
      <c r="AP180" s="130">
        <v>67</v>
      </c>
      <c r="AQ180" s="130">
        <v>95</v>
      </c>
      <c r="AR180" s="130">
        <v>86</v>
      </c>
      <c r="AS180" s="130">
        <v>108</v>
      </c>
      <c r="AT180" s="130">
        <v>55.555013136318919</v>
      </c>
      <c r="AU180" s="130">
        <v>83</v>
      </c>
      <c r="AV180" s="130">
        <v>64</v>
      </c>
      <c r="AW180" s="130">
        <v>102</v>
      </c>
      <c r="AX180" s="130">
        <v>107</v>
      </c>
      <c r="AY180" s="130">
        <v>84</v>
      </c>
    </row>
    <row r="181" spans="1:51" x14ac:dyDescent="0.2">
      <c r="A181" s="140" t="s">
        <v>123</v>
      </c>
      <c r="B181" s="140" t="s">
        <v>300</v>
      </c>
      <c r="C181" s="129" t="s">
        <v>295</v>
      </c>
      <c r="D181" s="129">
        <f t="shared" ref="D181:AY181" si="4">(1-D172)*SUM(D122:D169)</f>
        <v>664.17402323125668</v>
      </c>
      <c r="E181" s="129">
        <f t="shared" si="4"/>
        <v>781.33064413938769</v>
      </c>
      <c r="F181" s="129">
        <f t="shared" si="4"/>
        <v>916.01156541971</v>
      </c>
      <c r="G181" s="129">
        <f t="shared" si="4"/>
        <v>886.9243945720001</v>
      </c>
      <c r="H181" s="129">
        <f t="shared" si="4"/>
        <v>978.64594080906124</v>
      </c>
      <c r="I181" s="129">
        <f t="shared" si="4"/>
        <v>1088.1953324224162</v>
      </c>
      <c r="J181" s="129">
        <f t="shared" si="4"/>
        <v>1040.3137811207362</v>
      </c>
      <c r="K181" s="129">
        <f t="shared" si="4"/>
        <v>1119.620384949224</v>
      </c>
      <c r="L181" s="129">
        <f t="shared" si="4"/>
        <v>1325.0963283948629</v>
      </c>
      <c r="M181" s="129">
        <f t="shared" si="4"/>
        <v>1214.1607187866334</v>
      </c>
      <c r="N181" s="129">
        <f t="shared" si="4"/>
        <v>1366.171022216899</v>
      </c>
      <c r="O181" s="129">
        <f t="shared" si="4"/>
        <v>1446.1919019357706</v>
      </c>
      <c r="P181" s="129">
        <f t="shared" si="4"/>
        <v>1356.2106936827549</v>
      </c>
      <c r="Q181" s="129">
        <f t="shared" si="4"/>
        <v>1535.327606255041</v>
      </c>
      <c r="R181" s="129">
        <f t="shared" si="4"/>
        <v>1537.908831323798</v>
      </c>
      <c r="S181" s="129">
        <f t="shared" si="4"/>
        <v>1614.9319338856792</v>
      </c>
      <c r="T181" s="129">
        <f t="shared" si="4"/>
        <v>1703.1527261913725</v>
      </c>
      <c r="U181" s="129">
        <f t="shared" si="4"/>
        <v>1573.7514392664964</v>
      </c>
      <c r="V181" s="129">
        <f t="shared" si="4"/>
        <v>1489.4662847878074</v>
      </c>
      <c r="W181" s="129">
        <f t="shared" si="4"/>
        <v>1380.3096457569877</v>
      </c>
      <c r="X181" s="129">
        <f t="shared" si="4"/>
        <v>1264.0686706292495</v>
      </c>
      <c r="Y181" s="129">
        <f t="shared" si="4"/>
        <v>1211.651793014285</v>
      </c>
      <c r="Z181" s="129">
        <f t="shared" si="4"/>
        <v>1190.5766031608171</v>
      </c>
      <c r="AA181" s="129">
        <f t="shared" si="4"/>
        <v>1170.7089322926961</v>
      </c>
      <c r="AB181" s="129">
        <f t="shared" si="4"/>
        <v>1241.0280285113872</v>
      </c>
      <c r="AC181" s="129">
        <f t="shared" si="4"/>
        <v>1149.5152151082088</v>
      </c>
      <c r="AD181" s="129">
        <f t="shared" si="4"/>
        <v>1285.8536830453488</v>
      </c>
      <c r="AE181" s="129">
        <f t="shared" si="4"/>
        <v>1118.2292384476777</v>
      </c>
      <c r="AF181" s="129">
        <f t="shared" si="4"/>
        <v>1004.47077374097</v>
      </c>
      <c r="AG181" s="129">
        <f t="shared" si="4"/>
        <v>1213.1296520315377</v>
      </c>
      <c r="AH181" s="129">
        <f t="shared" si="4"/>
        <v>1113.1546687689456</v>
      </c>
      <c r="AI181" s="129">
        <f t="shared" si="4"/>
        <v>967.37718383261245</v>
      </c>
      <c r="AJ181" s="129">
        <f t="shared" si="4"/>
        <v>1036.8774473899125</v>
      </c>
      <c r="AK181" s="129">
        <f t="shared" si="4"/>
        <v>1013.9276845914828</v>
      </c>
      <c r="AL181" s="129">
        <f t="shared" si="4"/>
        <v>1164.2728980728962</v>
      </c>
      <c r="AM181" s="129">
        <f t="shared" si="4"/>
        <v>1339.183590206168</v>
      </c>
      <c r="AN181" s="129">
        <f t="shared" si="4"/>
        <v>1259.9006788072111</v>
      </c>
      <c r="AO181" s="129">
        <f t="shared" si="4"/>
        <v>1286.6460585481493</v>
      </c>
      <c r="AP181" s="129">
        <f t="shared" si="4"/>
        <v>1452.9169003149941</v>
      </c>
      <c r="AQ181" s="129">
        <f t="shared" si="4"/>
        <v>1630.4606579051544</v>
      </c>
      <c r="AR181" s="129">
        <f t="shared" si="4"/>
        <v>1592.2500397362987</v>
      </c>
      <c r="AS181" s="129">
        <f t="shared" si="4"/>
        <v>1693.7604833843284</v>
      </c>
      <c r="AT181" s="129">
        <f t="shared" si="4"/>
        <v>1783.5559239582503</v>
      </c>
      <c r="AU181" s="129">
        <f t="shared" si="4"/>
        <v>2002.4522335781021</v>
      </c>
      <c r="AV181" s="129">
        <f t="shared" si="4"/>
        <v>1985.3209959145524</v>
      </c>
      <c r="AW181" s="129">
        <f t="shared" si="4"/>
        <v>2021.2028820173584</v>
      </c>
      <c r="AX181" s="129">
        <f t="shared" si="4"/>
        <v>1987.5725832635833</v>
      </c>
      <c r="AY181" s="129">
        <f t="shared" si="4"/>
        <v>2003.2053143851861</v>
      </c>
    </row>
    <row r="182" spans="1:51" x14ac:dyDescent="0.2">
      <c r="A182" s="130"/>
      <c r="B182" s="141" t="s">
        <v>301</v>
      </c>
      <c r="C182" s="130" t="s">
        <v>295</v>
      </c>
      <c r="D182" s="130">
        <v>534</v>
      </c>
      <c r="E182" s="130">
        <v>574</v>
      </c>
      <c r="F182" s="130">
        <v>741</v>
      </c>
      <c r="G182" s="130">
        <v>610</v>
      </c>
      <c r="H182" s="130">
        <v>580</v>
      </c>
      <c r="I182" s="130">
        <v>750</v>
      </c>
      <c r="J182" s="130">
        <v>614</v>
      </c>
      <c r="K182" s="130">
        <v>465</v>
      </c>
      <c r="L182" s="130">
        <v>714</v>
      </c>
      <c r="M182" s="130">
        <v>593.63951704548629</v>
      </c>
      <c r="N182" s="130">
        <v>577</v>
      </c>
      <c r="O182" s="130">
        <v>757</v>
      </c>
      <c r="P182" s="130">
        <v>468</v>
      </c>
      <c r="Q182" s="130">
        <v>637</v>
      </c>
      <c r="R182" s="130">
        <v>554</v>
      </c>
      <c r="S182" s="130">
        <v>533</v>
      </c>
      <c r="T182" s="130">
        <v>765</v>
      </c>
      <c r="U182" s="130">
        <v>722</v>
      </c>
      <c r="V182" s="130">
        <v>759</v>
      </c>
      <c r="W182" s="130">
        <v>779</v>
      </c>
      <c r="X182" s="130">
        <v>721</v>
      </c>
      <c r="Y182" s="130">
        <v>692</v>
      </c>
      <c r="Z182" s="130">
        <v>693</v>
      </c>
      <c r="AA182" s="130">
        <v>595</v>
      </c>
      <c r="AB182" s="130">
        <v>767</v>
      </c>
      <c r="AC182" s="130">
        <v>524</v>
      </c>
      <c r="AD182" s="130">
        <v>846.58785082344104</v>
      </c>
      <c r="AE182" s="130">
        <v>740.12173788132941</v>
      </c>
      <c r="AF182" s="130">
        <v>525</v>
      </c>
      <c r="AG182" s="130">
        <v>794</v>
      </c>
      <c r="AH182" s="130">
        <v>856</v>
      </c>
      <c r="AI182" s="130">
        <v>633</v>
      </c>
      <c r="AJ182" s="130">
        <v>728</v>
      </c>
      <c r="AK182" s="130">
        <v>538</v>
      </c>
      <c r="AL182" s="130">
        <v>494</v>
      </c>
      <c r="AM182" s="130">
        <v>829</v>
      </c>
      <c r="AN182" s="130">
        <v>720</v>
      </c>
      <c r="AO182" s="130">
        <v>562</v>
      </c>
      <c r="AP182" s="130">
        <v>531</v>
      </c>
      <c r="AQ182" s="130">
        <v>751</v>
      </c>
      <c r="AR182" s="130">
        <v>600</v>
      </c>
      <c r="AS182" s="130">
        <v>522</v>
      </c>
      <c r="AT182" s="130">
        <v>513.55501313631896</v>
      </c>
      <c r="AU182" s="130">
        <v>607</v>
      </c>
      <c r="AV182" s="130">
        <v>550</v>
      </c>
      <c r="AW182" s="130">
        <v>616</v>
      </c>
      <c r="AX182" s="130">
        <v>565</v>
      </c>
      <c r="AY182" s="130">
        <v>804</v>
      </c>
    </row>
    <row r="184" spans="1:51" x14ac:dyDescent="0.2">
      <c r="A184" s="107" t="s">
        <v>302</v>
      </c>
    </row>
    <row r="185" spans="1:51" x14ac:dyDescent="0.2">
      <c r="A185" s="131" t="s">
        <v>125</v>
      </c>
      <c r="B185" s="128">
        <v>1</v>
      </c>
      <c r="C185" s="129"/>
      <c r="D185" s="129">
        <v>192</v>
      </c>
      <c r="E185" s="129">
        <v>180.45629105608896</v>
      </c>
      <c r="F185" s="129">
        <v>96.912582112177915</v>
      </c>
      <c r="G185" s="129">
        <v>84.368873168266873</v>
      </c>
      <c r="H185" s="129">
        <v>57.825164224355831</v>
      </c>
      <c r="I185" s="129">
        <v>0</v>
      </c>
      <c r="J185" s="129">
        <v>0</v>
      </c>
      <c r="K185" s="129">
        <v>0</v>
      </c>
      <c r="L185" s="129">
        <v>0</v>
      </c>
      <c r="M185" s="129">
        <v>0</v>
      </c>
      <c r="N185" s="129">
        <v>0</v>
      </c>
      <c r="O185" s="129">
        <v>0</v>
      </c>
      <c r="P185" s="129">
        <v>0</v>
      </c>
      <c r="Q185" s="129">
        <v>0</v>
      </c>
      <c r="R185" s="129">
        <v>0</v>
      </c>
      <c r="S185" s="129">
        <v>0</v>
      </c>
      <c r="T185" s="129">
        <v>0</v>
      </c>
      <c r="U185" s="129">
        <v>0</v>
      </c>
      <c r="V185" s="129">
        <v>0</v>
      </c>
      <c r="W185" s="129">
        <v>0</v>
      </c>
      <c r="X185" s="129">
        <v>0</v>
      </c>
      <c r="Y185" s="129">
        <v>0</v>
      </c>
      <c r="Z185" s="129">
        <v>0</v>
      </c>
      <c r="AA185" s="129">
        <v>0</v>
      </c>
      <c r="AB185" s="129">
        <v>0</v>
      </c>
      <c r="AC185" s="129">
        <v>0</v>
      </c>
      <c r="AD185" s="129">
        <v>0</v>
      </c>
      <c r="AE185" s="129">
        <v>0</v>
      </c>
      <c r="AF185" s="129">
        <v>0</v>
      </c>
      <c r="AG185" s="129">
        <v>0</v>
      </c>
      <c r="AH185" s="129">
        <v>0</v>
      </c>
      <c r="AI185" s="129">
        <v>0</v>
      </c>
      <c r="AJ185" s="129">
        <v>0</v>
      </c>
      <c r="AK185" s="129">
        <v>0</v>
      </c>
      <c r="AL185" s="129">
        <v>0</v>
      </c>
      <c r="AM185" s="129">
        <v>0</v>
      </c>
      <c r="AN185" s="129">
        <v>0</v>
      </c>
      <c r="AO185" s="129">
        <v>0</v>
      </c>
      <c r="AP185" s="129">
        <v>0</v>
      </c>
      <c r="AQ185" s="129">
        <v>0</v>
      </c>
      <c r="AR185" s="129">
        <v>0</v>
      </c>
      <c r="AS185" s="129">
        <v>0</v>
      </c>
      <c r="AT185" s="129">
        <v>93.084027864925702</v>
      </c>
      <c r="AU185" s="129">
        <v>154.46315209150933</v>
      </c>
      <c r="AV185" s="129">
        <v>116.88655445568821</v>
      </c>
      <c r="AW185" s="129">
        <v>38.426562722999392</v>
      </c>
      <c r="AX185" s="129">
        <v>38.218852600176433</v>
      </c>
      <c r="AY185" s="129">
        <v>0</v>
      </c>
    </row>
    <row r="186" spans="1:51" x14ac:dyDescent="0.2">
      <c r="A186" s="114"/>
      <c r="B186" s="125">
        <v>2</v>
      </c>
      <c r="C186" s="111"/>
      <c r="D186" s="111">
        <v>0</v>
      </c>
      <c r="E186" s="111">
        <v>108.54370894391104</v>
      </c>
      <c r="F186" s="111">
        <v>120.08741788782208</v>
      </c>
      <c r="G186" s="111">
        <v>203.63112683173313</v>
      </c>
      <c r="H186" s="111">
        <v>216.17483577564417</v>
      </c>
      <c r="I186" s="111">
        <v>252</v>
      </c>
      <c r="J186" s="111">
        <v>209.2270843860536</v>
      </c>
      <c r="K186" s="111">
        <v>130.62900454775138</v>
      </c>
      <c r="L186" s="111">
        <v>63.030924709449152</v>
      </c>
      <c r="M186" s="111">
        <v>0</v>
      </c>
      <c r="N186" s="111">
        <v>0</v>
      </c>
      <c r="O186" s="111">
        <v>0</v>
      </c>
      <c r="P186" s="111">
        <v>0</v>
      </c>
      <c r="Q186" s="111">
        <v>0</v>
      </c>
      <c r="R186" s="111">
        <v>0</v>
      </c>
      <c r="S186" s="111">
        <v>0</v>
      </c>
      <c r="T186" s="111">
        <v>0</v>
      </c>
      <c r="U186" s="111">
        <v>0</v>
      </c>
      <c r="V186" s="111">
        <v>0</v>
      </c>
      <c r="W186" s="111">
        <v>0</v>
      </c>
      <c r="X186" s="111">
        <v>0</v>
      </c>
      <c r="Y186" s="111">
        <v>0</v>
      </c>
      <c r="Z186" s="111">
        <v>0</v>
      </c>
      <c r="AA186" s="111">
        <v>0</v>
      </c>
      <c r="AB186" s="111">
        <v>0</v>
      </c>
      <c r="AC186" s="111">
        <v>0</v>
      </c>
      <c r="AD186" s="111">
        <v>0</v>
      </c>
      <c r="AE186" s="111">
        <v>0</v>
      </c>
      <c r="AF186" s="111">
        <v>0</v>
      </c>
      <c r="AG186" s="111">
        <v>0</v>
      </c>
      <c r="AH186" s="111">
        <v>0</v>
      </c>
      <c r="AI186" s="111">
        <v>0</v>
      </c>
      <c r="AJ186" s="111">
        <v>0</v>
      </c>
      <c r="AK186" s="111">
        <v>0</v>
      </c>
      <c r="AL186" s="111">
        <v>0</v>
      </c>
      <c r="AM186" s="111">
        <v>0</v>
      </c>
      <c r="AN186" s="111">
        <v>0</v>
      </c>
      <c r="AO186" s="111">
        <v>0</v>
      </c>
      <c r="AP186" s="111">
        <v>101.17239850653249</v>
      </c>
      <c r="AQ186" s="111">
        <v>229.34509774289091</v>
      </c>
      <c r="AR186" s="111">
        <v>229.80401486887905</v>
      </c>
      <c r="AS186" s="111">
        <v>209</v>
      </c>
      <c r="AT186" s="111">
        <v>183.9159721350743</v>
      </c>
      <c r="AU186" s="111">
        <v>0</v>
      </c>
      <c r="AV186" s="111">
        <v>0</v>
      </c>
      <c r="AW186" s="111">
        <v>0</v>
      </c>
      <c r="AX186" s="111">
        <v>0</v>
      </c>
      <c r="AY186" s="111">
        <v>0</v>
      </c>
    </row>
    <row r="187" spans="1:51" x14ac:dyDescent="0.2">
      <c r="A187" s="114"/>
      <c r="B187" s="132">
        <v>3</v>
      </c>
      <c r="C187" s="111"/>
      <c r="D187" s="111">
        <v>0</v>
      </c>
      <c r="E187" s="111">
        <v>0</v>
      </c>
      <c r="F187" s="111">
        <v>0</v>
      </c>
      <c r="G187" s="111">
        <v>0</v>
      </c>
      <c r="H187" s="111">
        <v>0</v>
      </c>
      <c r="I187" s="111">
        <v>0</v>
      </c>
      <c r="J187" s="111">
        <v>20.772915613946395</v>
      </c>
      <c r="K187" s="111">
        <v>121.37099545224862</v>
      </c>
      <c r="L187" s="111">
        <v>199.96907529055085</v>
      </c>
      <c r="M187" s="111">
        <v>229</v>
      </c>
      <c r="N187" s="111">
        <v>198.43284487114693</v>
      </c>
      <c r="O187" s="111">
        <v>88.8347650328447</v>
      </c>
      <c r="P187" s="111">
        <v>3.2366851945424742</v>
      </c>
      <c r="Q187" s="111">
        <v>0</v>
      </c>
      <c r="R187" s="111">
        <v>0</v>
      </c>
      <c r="S187" s="111">
        <v>61.501010437014429</v>
      </c>
      <c r="T187" s="111">
        <v>183.14339546573638</v>
      </c>
      <c r="U187" s="111">
        <v>178.78578049445878</v>
      </c>
      <c r="V187" s="111">
        <v>123.24207155054773</v>
      </c>
      <c r="W187" s="111">
        <v>79.752733501027762</v>
      </c>
      <c r="X187" s="111">
        <v>24.26339545150779</v>
      </c>
      <c r="Y187" s="111">
        <v>0</v>
      </c>
      <c r="Z187" s="111">
        <v>0</v>
      </c>
      <c r="AA187" s="111">
        <v>8.4765737390503659</v>
      </c>
      <c r="AB187" s="111">
        <v>36.100767762213877</v>
      </c>
      <c r="AC187" s="111">
        <v>0</v>
      </c>
      <c r="AD187" s="111">
        <v>198.34915580854209</v>
      </c>
      <c r="AE187" s="111">
        <v>144.85981775902212</v>
      </c>
      <c r="AF187" s="111">
        <v>130.37047970950215</v>
      </c>
      <c r="AG187" s="111">
        <v>222.91733605919194</v>
      </c>
      <c r="AH187" s="111">
        <v>199.98492793453724</v>
      </c>
      <c r="AI187" s="111">
        <v>127.6612565214844</v>
      </c>
      <c r="AJ187" s="111">
        <v>183.68556201057862</v>
      </c>
      <c r="AK187" s="111">
        <v>94.064641834316944</v>
      </c>
      <c r="AL187" s="111">
        <v>151.33346872986598</v>
      </c>
      <c r="AM187" s="111">
        <v>202</v>
      </c>
      <c r="AN187" s="111">
        <v>248</v>
      </c>
      <c r="AO187" s="111">
        <v>290</v>
      </c>
      <c r="AP187" s="111">
        <v>174.82760149346751</v>
      </c>
      <c r="AQ187" s="111">
        <v>5.6549022571090859</v>
      </c>
      <c r="AR187" s="111">
        <v>29.195985131120935</v>
      </c>
      <c r="AS187" s="111">
        <v>0</v>
      </c>
      <c r="AT187" s="111">
        <v>0</v>
      </c>
      <c r="AU187" s="111">
        <v>0</v>
      </c>
      <c r="AV187" s="111">
        <v>0</v>
      </c>
      <c r="AW187" s="111">
        <v>0</v>
      </c>
      <c r="AX187" s="111">
        <v>0</v>
      </c>
      <c r="AY187" s="111">
        <v>0</v>
      </c>
    </row>
    <row r="188" spans="1:51" x14ac:dyDescent="0.2">
      <c r="A188" s="133"/>
      <c r="B188" s="134">
        <v>4</v>
      </c>
      <c r="C188" s="111"/>
      <c r="D188" s="111">
        <v>0</v>
      </c>
      <c r="E188" s="111">
        <v>0</v>
      </c>
      <c r="F188" s="111">
        <v>0</v>
      </c>
      <c r="G188" s="111">
        <v>0</v>
      </c>
      <c r="H188" s="111">
        <v>0</v>
      </c>
      <c r="I188" s="111">
        <v>0</v>
      </c>
      <c r="J188" s="111">
        <v>0</v>
      </c>
      <c r="K188" s="111">
        <v>0</v>
      </c>
      <c r="L188" s="111">
        <v>0</v>
      </c>
      <c r="M188" s="111">
        <v>0</v>
      </c>
      <c r="N188" s="111">
        <v>38.567155128853074</v>
      </c>
      <c r="O188" s="111">
        <v>132.1652349671553</v>
      </c>
      <c r="P188" s="111">
        <v>241.76331480545753</v>
      </c>
      <c r="Q188" s="111">
        <v>244</v>
      </c>
      <c r="R188" s="111">
        <v>289</v>
      </c>
      <c r="S188" s="111">
        <v>234.49898956298557</v>
      </c>
      <c r="T188" s="111">
        <v>61.856604534263624</v>
      </c>
      <c r="U188" s="111">
        <v>116.21421950554122</v>
      </c>
      <c r="V188" s="111">
        <v>121.75792844945227</v>
      </c>
      <c r="W188" s="111">
        <v>147.24726649897224</v>
      </c>
      <c r="X188" s="111">
        <v>190.73660454849221</v>
      </c>
      <c r="Y188" s="111">
        <v>229</v>
      </c>
      <c r="Z188" s="111">
        <v>237</v>
      </c>
      <c r="AA188" s="111">
        <v>267.52342626094963</v>
      </c>
      <c r="AB188" s="111">
        <v>202.89923223778612</v>
      </c>
      <c r="AC188" s="111">
        <v>209</v>
      </c>
      <c r="AD188" s="111">
        <v>32.650844191457907</v>
      </c>
      <c r="AE188" s="111">
        <v>72.140182240977879</v>
      </c>
      <c r="AF188" s="111">
        <v>125.62952029049785</v>
      </c>
      <c r="AG188" s="111">
        <v>11.082663940808061</v>
      </c>
      <c r="AH188" s="111">
        <v>27.015072065462768</v>
      </c>
      <c r="AI188" s="111">
        <v>125.3387434785156</v>
      </c>
      <c r="AJ188" s="111">
        <v>129.31443798942138</v>
      </c>
      <c r="AK188" s="111">
        <v>133.93535816568306</v>
      </c>
      <c r="AL188" s="111">
        <v>70.666531270134016</v>
      </c>
      <c r="AM188" s="111">
        <v>0</v>
      </c>
      <c r="AN188" s="111">
        <v>0</v>
      </c>
      <c r="AO188" s="111">
        <v>0</v>
      </c>
      <c r="AP188" s="111">
        <v>0</v>
      </c>
      <c r="AQ188" s="111">
        <v>0</v>
      </c>
      <c r="AR188" s="111">
        <v>0</v>
      </c>
      <c r="AS188" s="111">
        <v>0</v>
      </c>
      <c r="AT188" s="111">
        <v>0</v>
      </c>
      <c r="AU188" s="111">
        <v>0</v>
      </c>
      <c r="AV188" s="111">
        <v>0</v>
      </c>
      <c r="AW188" s="111">
        <v>0</v>
      </c>
      <c r="AX188" s="111">
        <v>0</v>
      </c>
      <c r="AY188" s="111">
        <v>0</v>
      </c>
    </row>
    <row r="189" spans="1:51" x14ac:dyDescent="0.2">
      <c r="A189" s="131" t="s">
        <v>133</v>
      </c>
      <c r="B189" s="128">
        <v>1</v>
      </c>
      <c r="C189" s="129"/>
      <c r="D189" s="129">
        <v>0</v>
      </c>
      <c r="E189" s="129">
        <v>0</v>
      </c>
      <c r="F189" s="129">
        <v>92</v>
      </c>
      <c r="G189" s="129">
        <v>83.763228181621287</v>
      </c>
      <c r="H189" s="129">
        <v>66.526456363242573</v>
      </c>
      <c r="I189" s="129">
        <v>74.28968454486386</v>
      </c>
      <c r="J189" s="129">
        <v>96.052912726485147</v>
      </c>
      <c r="K189" s="129">
        <v>86.992463726268539</v>
      </c>
      <c r="L189" s="129">
        <v>67.932014726051932</v>
      </c>
      <c r="M189" s="129">
        <v>0</v>
      </c>
      <c r="N189" s="129">
        <v>123</v>
      </c>
      <c r="O189" s="129">
        <v>6.8791019995668421</v>
      </c>
      <c r="P189" s="129">
        <v>0</v>
      </c>
      <c r="Q189" s="129">
        <v>0</v>
      </c>
      <c r="R189" s="129">
        <v>13.69775499891702</v>
      </c>
      <c r="S189" s="129">
        <v>26.460983180538307</v>
      </c>
      <c r="T189" s="129">
        <v>10.224211362159593</v>
      </c>
      <c r="U189" s="129">
        <v>0</v>
      </c>
      <c r="V189" s="129">
        <v>0</v>
      </c>
      <c r="W189" s="129">
        <v>0</v>
      </c>
      <c r="X189" s="129">
        <v>3.9244784523204999</v>
      </c>
      <c r="Y189" s="129">
        <v>16.511383815779666</v>
      </c>
      <c r="Z189" s="129">
        <v>40.098289179238833</v>
      </c>
      <c r="AA189" s="129">
        <v>78.685194542698</v>
      </c>
      <c r="AB189" s="129">
        <v>78.272099906157166</v>
      </c>
      <c r="AC189" s="129">
        <v>72.859005269616333</v>
      </c>
      <c r="AD189" s="129">
        <v>97.413094636540833</v>
      </c>
      <c r="AE189" s="129">
        <v>97.413094636540833</v>
      </c>
      <c r="AF189" s="129">
        <v>0</v>
      </c>
      <c r="AG189" s="129">
        <v>101</v>
      </c>
      <c r="AH189" s="129">
        <v>15.173810726918333</v>
      </c>
      <c r="AI189" s="129">
        <v>8.1133617267017257</v>
      </c>
      <c r="AJ189" s="129">
        <v>1.0529127264851184</v>
      </c>
      <c r="AK189" s="129">
        <v>1.992463726268511</v>
      </c>
      <c r="AL189" s="129">
        <v>12.932014726051904</v>
      </c>
      <c r="AM189" s="129">
        <v>0</v>
      </c>
      <c r="AN189" s="129">
        <v>5.8111167256186889</v>
      </c>
      <c r="AO189" s="129">
        <v>20.750667725402081</v>
      </c>
      <c r="AP189" s="129">
        <v>35.690218725185474</v>
      </c>
      <c r="AQ189" s="129">
        <v>42.629769724968867</v>
      </c>
      <c r="AR189" s="129">
        <v>41.569320724752259</v>
      </c>
      <c r="AS189" s="129">
        <v>21.508871724535652</v>
      </c>
      <c r="AT189" s="129">
        <v>0</v>
      </c>
      <c r="AU189" s="129">
        <v>116</v>
      </c>
      <c r="AV189" s="129">
        <v>11.526456363242602</v>
      </c>
      <c r="AW189" s="129">
        <v>34.289684544863889</v>
      </c>
      <c r="AX189" s="129">
        <v>27.052912726485175</v>
      </c>
      <c r="AY189" s="129">
        <v>34.639818089944342</v>
      </c>
    </row>
    <row r="190" spans="1:51" x14ac:dyDescent="0.2">
      <c r="A190" s="114"/>
      <c r="B190" s="124">
        <v>2</v>
      </c>
      <c r="C190" s="111"/>
      <c r="D190" s="111">
        <v>0</v>
      </c>
      <c r="E190" s="111">
        <v>0</v>
      </c>
      <c r="F190" s="111">
        <v>0</v>
      </c>
      <c r="G190" s="111">
        <v>16.236771818378713</v>
      </c>
      <c r="H190" s="111">
        <v>24.473543636757427</v>
      </c>
      <c r="I190" s="111">
        <v>41.71031545513614</v>
      </c>
      <c r="J190" s="111">
        <v>33.947087273514853</v>
      </c>
      <c r="K190" s="111">
        <v>23.007536273731461</v>
      </c>
      <c r="L190" s="111">
        <v>32.067985273948068</v>
      </c>
      <c r="M190" s="111">
        <v>51.128434274164675</v>
      </c>
      <c r="N190" s="111">
        <v>0</v>
      </c>
      <c r="O190" s="111">
        <v>115.12089800043316</v>
      </c>
      <c r="P190" s="111">
        <v>111</v>
      </c>
      <c r="Q190" s="111">
        <v>116.81865299935023</v>
      </c>
      <c r="R190" s="111">
        <v>119.06044900021661</v>
      </c>
      <c r="S190" s="111">
        <v>94.539016819461693</v>
      </c>
      <c r="T190" s="111">
        <v>81.775788637840407</v>
      </c>
      <c r="U190" s="111">
        <v>93</v>
      </c>
      <c r="V190" s="111">
        <v>97.98743954378088</v>
      </c>
      <c r="W190" s="111">
        <v>96.750667725402167</v>
      </c>
      <c r="X190" s="111">
        <v>97.413094636540833</v>
      </c>
      <c r="Y190" s="111">
        <v>93.488616184220334</v>
      </c>
      <c r="Z190" s="111">
        <v>80.901710820761167</v>
      </c>
      <c r="AA190" s="111">
        <v>57.314805457302</v>
      </c>
      <c r="AB190" s="111">
        <v>18.727900093842834</v>
      </c>
      <c r="AC190" s="111">
        <v>19.140994730383667</v>
      </c>
      <c r="AD190" s="111">
        <v>24.554089366924501</v>
      </c>
      <c r="AE190" s="111">
        <v>0</v>
      </c>
      <c r="AF190" s="111">
        <v>0</v>
      </c>
      <c r="AG190" s="111">
        <v>0</v>
      </c>
      <c r="AH190" s="111">
        <v>93.826189273081667</v>
      </c>
      <c r="AI190" s="111">
        <v>103.88663827329827</v>
      </c>
      <c r="AJ190" s="111">
        <v>110.94708727351488</v>
      </c>
      <c r="AK190" s="111">
        <v>118.00753627373149</v>
      </c>
      <c r="AL190" s="111">
        <v>117.0679852739481</v>
      </c>
      <c r="AM190" s="111">
        <v>100</v>
      </c>
      <c r="AN190" s="111">
        <v>119.06044900021661</v>
      </c>
      <c r="AO190" s="111">
        <v>113.24933227459792</v>
      </c>
      <c r="AP190" s="111">
        <v>98.309781274814526</v>
      </c>
      <c r="AQ190" s="111">
        <v>83.370230275031133</v>
      </c>
      <c r="AR190" s="111">
        <v>76.430679275247741</v>
      </c>
      <c r="AS190" s="111">
        <v>77.491128275464348</v>
      </c>
      <c r="AT190" s="111">
        <v>97.551577275680955</v>
      </c>
      <c r="AU190" s="111">
        <v>0</v>
      </c>
      <c r="AV190" s="111">
        <v>100.4735436367574</v>
      </c>
      <c r="AW190" s="111">
        <v>96.710315455136111</v>
      </c>
      <c r="AX190" s="111">
        <v>73.947087273514825</v>
      </c>
      <c r="AY190" s="111">
        <v>70.360181910055658</v>
      </c>
    </row>
    <row r="191" spans="1:51" x14ac:dyDescent="0.2">
      <c r="A191" s="114"/>
      <c r="B191" s="125">
        <v>3</v>
      </c>
      <c r="C191" s="111"/>
      <c r="D191" s="111">
        <v>0</v>
      </c>
      <c r="E191" s="111">
        <v>0</v>
      </c>
      <c r="F191" s="111">
        <v>0</v>
      </c>
      <c r="G191" s="111">
        <v>0</v>
      </c>
      <c r="H191" s="111">
        <v>0</v>
      </c>
      <c r="I191" s="111">
        <v>0</v>
      </c>
      <c r="J191" s="111">
        <v>0</v>
      </c>
      <c r="K191" s="111">
        <v>0</v>
      </c>
      <c r="L191" s="111">
        <v>0</v>
      </c>
      <c r="M191" s="111">
        <v>0</v>
      </c>
      <c r="N191" s="111">
        <v>0</v>
      </c>
      <c r="O191" s="111">
        <v>0</v>
      </c>
      <c r="P191" s="111">
        <v>0</v>
      </c>
      <c r="Q191" s="111">
        <v>1.1813470006497653</v>
      </c>
      <c r="R191" s="111">
        <v>2.2417960008663727</v>
      </c>
      <c r="S191" s="111">
        <v>0</v>
      </c>
      <c r="T191" s="111">
        <v>0</v>
      </c>
      <c r="U191" s="111">
        <v>0</v>
      </c>
      <c r="V191" s="111">
        <v>5.0125604562191199</v>
      </c>
      <c r="W191" s="111">
        <v>10.249332274597833</v>
      </c>
      <c r="X191" s="111">
        <v>0.6624269111386667</v>
      </c>
      <c r="Y191" s="111">
        <v>0</v>
      </c>
      <c r="Z191" s="111">
        <v>0</v>
      </c>
      <c r="AA191" s="111">
        <v>0</v>
      </c>
      <c r="AB191" s="111">
        <v>0</v>
      </c>
      <c r="AC191" s="111">
        <v>0</v>
      </c>
      <c r="AD191" s="111">
        <v>0</v>
      </c>
      <c r="AE191" s="111">
        <v>0</v>
      </c>
      <c r="AF191" s="111">
        <v>0</v>
      </c>
      <c r="AG191" s="111">
        <v>0</v>
      </c>
      <c r="AH191" s="111">
        <v>0</v>
      </c>
      <c r="AI191" s="111">
        <v>0</v>
      </c>
      <c r="AJ191" s="111">
        <v>0</v>
      </c>
      <c r="AK191" s="111">
        <v>0</v>
      </c>
      <c r="AL191" s="111">
        <v>0</v>
      </c>
      <c r="AM191" s="111">
        <v>0</v>
      </c>
      <c r="AN191" s="111">
        <v>6.1284342741647038</v>
      </c>
      <c r="AO191" s="111">
        <v>0</v>
      </c>
      <c r="AP191" s="111">
        <v>0</v>
      </c>
      <c r="AQ191" s="111">
        <v>0</v>
      </c>
      <c r="AR191" s="111">
        <v>0</v>
      </c>
      <c r="AS191" s="111">
        <v>0</v>
      </c>
      <c r="AT191" s="111">
        <v>0</v>
      </c>
      <c r="AU191" s="111">
        <v>0</v>
      </c>
      <c r="AV191" s="111">
        <v>0</v>
      </c>
      <c r="AW191" s="111">
        <v>0</v>
      </c>
      <c r="AX191" s="111">
        <v>0</v>
      </c>
      <c r="AY191" s="111">
        <v>0</v>
      </c>
    </row>
    <row r="192" spans="1:51" x14ac:dyDescent="0.2">
      <c r="A192" s="114"/>
      <c r="B192" s="125">
        <v>4</v>
      </c>
      <c r="C192" s="111"/>
      <c r="D192" s="111">
        <v>0</v>
      </c>
      <c r="E192" s="111">
        <v>0</v>
      </c>
      <c r="F192" s="111">
        <v>0</v>
      </c>
      <c r="G192" s="111">
        <v>0</v>
      </c>
      <c r="H192" s="111">
        <v>0</v>
      </c>
      <c r="I192" s="111">
        <v>0</v>
      </c>
      <c r="J192" s="111">
        <v>0</v>
      </c>
      <c r="K192" s="111">
        <v>0</v>
      </c>
      <c r="L192" s="111">
        <v>0</v>
      </c>
      <c r="M192" s="111">
        <v>0</v>
      </c>
      <c r="N192" s="111">
        <v>0</v>
      </c>
      <c r="O192" s="111">
        <v>0</v>
      </c>
      <c r="P192" s="111">
        <v>0</v>
      </c>
      <c r="Q192" s="111">
        <v>0</v>
      </c>
      <c r="R192" s="111">
        <v>0</v>
      </c>
      <c r="S192" s="111">
        <v>0</v>
      </c>
      <c r="T192" s="111">
        <v>0</v>
      </c>
      <c r="U192" s="111">
        <v>0</v>
      </c>
      <c r="V192" s="111">
        <v>0</v>
      </c>
      <c r="W192" s="111">
        <v>0</v>
      </c>
      <c r="X192" s="111">
        <v>0</v>
      </c>
      <c r="Y192" s="111">
        <v>0</v>
      </c>
      <c r="Z192" s="111">
        <v>0</v>
      </c>
      <c r="AA192" s="111">
        <v>0</v>
      </c>
      <c r="AB192" s="111">
        <v>0</v>
      </c>
      <c r="AC192" s="111">
        <v>0</v>
      </c>
      <c r="AD192" s="111">
        <v>0</v>
      </c>
      <c r="AE192" s="111">
        <v>0</v>
      </c>
      <c r="AF192" s="111">
        <v>0</v>
      </c>
      <c r="AG192" s="111">
        <v>0</v>
      </c>
      <c r="AH192" s="111">
        <v>0</v>
      </c>
      <c r="AI192" s="111">
        <v>0</v>
      </c>
      <c r="AJ192" s="111">
        <v>0</v>
      </c>
      <c r="AK192" s="111">
        <v>0</v>
      </c>
      <c r="AL192" s="111">
        <v>0</v>
      </c>
      <c r="AM192" s="111">
        <v>0</v>
      </c>
      <c r="AN192" s="111">
        <v>0</v>
      </c>
      <c r="AO192" s="111">
        <v>0</v>
      </c>
      <c r="AP192" s="111">
        <v>0</v>
      </c>
      <c r="AQ192" s="111">
        <v>0</v>
      </c>
      <c r="AR192" s="111">
        <v>0</v>
      </c>
      <c r="AS192" s="111">
        <v>0</v>
      </c>
      <c r="AT192" s="111">
        <v>0</v>
      </c>
      <c r="AU192" s="111">
        <v>0</v>
      </c>
      <c r="AV192" s="111">
        <v>0</v>
      </c>
      <c r="AW192" s="111">
        <v>0</v>
      </c>
      <c r="AX192" s="111">
        <v>0</v>
      </c>
      <c r="AY192" s="111">
        <v>0</v>
      </c>
    </row>
    <row r="193" spans="1:51" x14ac:dyDescent="0.2">
      <c r="A193" s="114"/>
      <c r="B193" s="132">
        <v>5</v>
      </c>
      <c r="C193" s="111"/>
      <c r="D193" s="111">
        <v>0</v>
      </c>
      <c r="E193" s="111">
        <v>0</v>
      </c>
      <c r="F193" s="111">
        <v>0</v>
      </c>
      <c r="G193" s="111">
        <v>0</v>
      </c>
      <c r="H193" s="111">
        <v>0</v>
      </c>
      <c r="I193" s="111">
        <v>0</v>
      </c>
      <c r="J193" s="111">
        <v>0</v>
      </c>
      <c r="K193" s="111">
        <v>0</v>
      </c>
      <c r="L193" s="111">
        <v>0</v>
      </c>
      <c r="M193" s="111">
        <v>0</v>
      </c>
      <c r="N193" s="111">
        <v>0</v>
      </c>
      <c r="O193" s="111">
        <v>0</v>
      </c>
      <c r="P193" s="111">
        <v>0</v>
      </c>
      <c r="Q193" s="111">
        <v>0</v>
      </c>
      <c r="R193" s="111">
        <v>0</v>
      </c>
      <c r="S193" s="111">
        <v>0</v>
      </c>
      <c r="T193" s="111">
        <v>0</v>
      </c>
      <c r="U193" s="111">
        <v>0</v>
      </c>
      <c r="V193" s="111">
        <v>0</v>
      </c>
      <c r="W193" s="111">
        <v>0</v>
      </c>
      <c r="X193" s="111">
        <v>0</v>
      </c>
      <c r="Y193" s="111">
        <v>0</v>
      </c>
      <c r="Z193" s="111">
        <v>0</v>
      </c>
      <c r="AA193" s="111">
        <v>0</v>
      </c>
      <c r="AB193" s="111">
        <v>0</v>
      </c>
      <c r="AC193" s="111">
        <v>0</v>
      </c>
      <c r="AD193" s="111">
        <v>0</v>
      </c>
      <c r="AE193" s="111">
        <v>0</v>
      </c>
      <c r="AF193" s="111">
        <v>0</v>
      </c>
      <c r="AG193" s="111">
        <v>0</v>
      </c>
      <c r="AH193" s="111">
        <v>0</v>
      </c>
      <c r="AI193" s="111">
        <v>0</v>
      </c>
      <c r="AJ193" s="111">
        <v>0</v>
      </c>
      <c r="AK193" s="111">
        <v>0</v>
      </c>
      <c r="AL193" s="111">
        <v>0</v>
      </c>
      <c r="AM193" s="111">
        <v>0</v>
      </c>
      <c r="AN193" s="111">
        <v>0</v>
      </c>
      <c r="AO193" s="111">
        <v>0</v>
      </c>
      <c r="AP193" s="111">
        <v>0</v>
      </c>
      <c r="AQ193" s="111">
        <v>0</v>
      </c>
      <c r="AR193" s="111">
        <v>0</v>
      </c>
      <c r="AS193" s="111">
        <v>0</v>
      </c>
      <c r="AT193" s="111">
        <v>0</v>
      </c>
      <c r="AU193" s="111">
        <v>0</v>
      </c>
      <c r="AV193" s="111">
        <v>0</v>
      </c>
      <c r="AW193" s="111">
        <v>0</v>
      </c>
      <c r="AX193" s="111">
        <v>0</v>
      </c>
      <c r="AY193" s="111">
        <v>0</v>
      </c>
    </row>
    <row r="194" spans="1:51" x14ac:dyDescent="0.2">
      <c r="A194" s="114"/>
      <c r="B194" s="132">
        <v>6</v>
      </c>
      <c r="C194" s="111"/>
      <c r="D194" s="111">
        <v>0</v>
      </c>
      <c r="E194" s="111">
        <v>0</v>
      </c>
      <c r="F194" s="111">
        <v>0</v>
      </c>
      <c r="G194" s="111">
        <v>0</v>
      </c>
      <c r="H194" s="111">
        <v>0</v>
      </c>
      <c r="I194" s="111">
        <v>0</v>
      </c>
      <c r="J194" s="111">
        <v>0</v>
      </c>
      <c r="K194" s="111">
        <v>0</v>
      </c>
      <c r="L194" s="111">
        <v>0</v>
      </c>
      <c r="M194" s="111">
        <v>0</v>
      </c>
      <c r="N194" s="111">
        <v>0</v>
      </c>
      <c r="O194" s="111">
        <v>0</v>
      </c>
      <c r="P194" s="111">
        <v>0</v>
      </c>
      <c r="Q194" s="111">
        <v>0</v>
      </c>
      <c r="R194" s="111">
        <v>0</v>
      </c>
      <c r="S194" s="111">
        <v>0</v>
      </c>
      <c r="T194" s="111">
        <v>0</v>
      </c>
      <c r="U194" s="111">
        <v>0</v>
      </c>
      <c r="V194" s="111">
        <v>0</v>
      </c>
      <c r="W194" s="111">
        <v>0</v>
      </c>
      <c r="X194" s="111">
        <v>0</v>
      </c>
      <c r="Y194" s="111">
        <v>0</v>
      </c>
      <c r="Z194" s="111">
        <v>0</v>
      </c>
      <c r="AA194" s="111">
        <v>0</v>
      </c>
      <c r="AB194" s="111">
        <v>0</v>
      </c>
      <c r="AC194" s="111">
        <v>0</v>
      </c>
      <c r="AD194" s="111">
        <v>0</v>
      </c>
      <c r="AE194" s="111">
        <v>0</v>
      </c>
      <c r="AF194" s="111">
        <v>0</v>
      </c>
      <c r="AG194" s="111">
        <v>0</v>
      </c>
      <c r="AH194" s="111">
        <v>0</v>
      </c>
      <c r="AI194" s="111">
        <v>0</v>
      </c>
      <c r="AJ194" s="111">
        <v>0</v>
      </c>
      <c r="AK194" s="111">
        <v>0</v>
      </c>
      <c r="AL194" s="111">
        <v>0</v>
      </c>
      <c r="AM194" s="111">
        <v>0</v>
      </c>
      <c r="AN194" s="111">
        <v>0</v>
      </c>
      <c r="AO194" s="111">
        <v>0</v>
      </c>
      <c r="AP194" s="111">
        <v>0</v>
      </c>
      <c r="AQ194" s="111">
        <v>0</v>
      </c>
      <c r="AR194" s="111">
        <v>0</v>
      </c>
      <c r="AS194" s="111">
        <v>0</v>
      </c>
      <c r="AT194" s="111">
        <v>0</v>
      </c>
      <c r="AU194" s="111">
        <v>0</v>
      </c>
      <c r="AV194" s="111">
        <v>0</v>
      </c>
      <c r="AW194" s="111">
        <v>0</v>
      </c>
      <c r="AX194" s="111">
        <v>0</v>
      </c>
      <c r="AY194" s="111">
        <v>0</v>
      </c>
    </row>
    <row r="195" spans="1:51" x14ac:dyDescent="0.2">
      <c r="A195" s="114"/>
      <c r="B195" s="135">
        <v>7</v>
      </c>
      <c r="C195" s="111"/>
      <c r="D195" s="111">
        <v>0</v>
      </c>
      <c r="E195" s="111">
        <v>0</v>
      </c>
      <c r="F195" s="111">
        <v>0</v>
      </c>
      <c r="G195" s="111">
        <v>0</v>
      </c>
      <c r="H195" s="111">
        <v>0</v>
      </c>
      <c r="I195" s="111">
        <v>0</v>
      </c>
      <c r="J195" s="111">
        <v>0</v>
      </c>
      <c r="K195" s="111">
        <v>0</v>
      </c>
      <c r="L195" s="111">
        <v>0</v>
      </c>
      <c r="M195" s="111">
        <v>0</v>
      </c>
      <c r="N195" s="111">
        <v>0</v>
      </c>
      <c r="O195" s="111">
        <v>0</v>
      </c>
      <c r="P195" s="111">
        <v>0</v>
      </c>
      <c r="Q195" s="111">
        <v>0</v>
      </c>
      <c r="R195" s="111">
        <v>0</v>
      </c>
      <c r="S195" s="111">
        <v>0</v>
      </c>
      <c r="T195" s="111">
        <v>0</v>
      </c>
      <c r="U195" s="111">
        <v>0</v>
      </c>
      <c r="V195" s="111">
        <v>0</v>
      </c>
      <c r="W195" s="111">
        <v>0</v>
      </c>
      <c r="X195" s="111">
        <v>0</v>
      </c>
      <c r="Y195" s="111">
        <v>0</v>
      </c>
      <c r="Z195" s="111">
        <v>0</v>
      </c>
      <c r="AA195" s="111">
        <v>0</v>
      </c>
      <c r="AB195" s="111">
        <v>0</v>
      </c>
      <c r="AC195" s="111">
        <v>0</v>
      </c>
      <c r="AD195" s="111">
        <v>0</v>
      </c>
      <c r="AE195" s="111">
        <v>0</v>
      </c>
      <c r="AF195" s="111">
        <v>0</v>
      </c>
      <c r="AG195" s="111">
        <v>0</v>
      </c>
      <c r="AH195" s="111">
        <v>0</v>
      </c>
      <c r="AI195" s="111">
        <v>0</v>
      </c>
      <c r="AJ195" s="111">
        <v>0</v>
      </c>
      <c r="AK195" s="111">
        <v>0</v>
      </c>
      <c r="AL195" s="111">
        <v>0</v>
      </c>
      <c r="AM195" s="111">
        <v>0</v>
      </c>
      <c r="AN195" s="111">
        <v>0</v>
      </c>
      <c r="AO195" s="111">
        <v>0</v>
      </c>
      <c r="AP195" s="111">
        <v>0</v>
      </c>
      <c r="AQ195" s="111">
        <v>0</v>
      </c>
      <c r="AR195" s="111">
        <v>0</v>
      </c>
      <c r="AS195" s="111">
        <v>0</v>
      </c>
      <c r="AT195" s="111">
        <v>0</v>
      </c>
      <c r="AU195" s="111">
        <v>0</v>
      </c>
      <c r="AV195" s="111">
        <v>0</v>
      </c>
      <c r="AW195" s="111">
        <v>0</v>
      </c>
      <c r="AX195" s="111">
        <v>0</v>
      </c>
      <c r="AY195" s="111">
        <v>0</v>
      </c>
    </row>
    <row r="196" spans="1:51" x14ac:dyDescent="0.2">
      <c r="A196" s="133"/>
      <c r="B196" s="134">
        <v>8</v>
      </c>
      <c r="C196" s="119"/>
      <c r="D196" s="119">
        <v>0</v>
      </c>
      <c r="E196" s="119">
        <v>0</v>
      </c>
      <c r="F196" s="119">
        <v>0</v>
      </c>
      <c r="G196" s="119">
        <v>0</v>
      </c>
      <c r="H196" s="119">
        <v>0</v>
      </c>
      <c r="I196" s="119">
        <v>0</v>
      </c>
      <c r="J196" s="119">
        <v>0</v>
      </c>
      <c r="K196" s="119">
        <v>0</v>
      </c>
      <c r="L196" s="119">
        <v>0</v>
      </c>
      <c r="M196" s="119">
        <v>0</v>
      </c>
      <c r="N196" s="119">
        <v>0</v>
      </c>
      <c r="O196" s="119">
        <v>0</v>
      </c>
      <c r="P196" s="119">
        <v>0</v>
      </c>
      <c r="Q196" s="119">
        <v>0</v>
      </c>
      <c r="R196" s="119">
        <v>0</v>
      </c>
      <c r="S196" s="119">
        <v>0</v>
      </c>
      <c r="T196" s="119">
        <v>0</v>
      </c>
      <c r="U196" s="119">
        <v>0</v>
      </c>
      <c r="V196" s="119">
        <v>0</v>
      </c>
      <c r="W196" s="119">
        <v>0</v>
      </c>
      <c r="X196" s="119">
        <v>0</v>
      </c>
      <c r="Y196" s="119">
        <v>0</v>
      </c>
      <c r="Z196" s="119">
        <v>0</v>
      </c>
      <c r="AA196" s="119">
        <v>0</v>
      </c>
      <c r="AB196" s="119">
        <v>0</v>
      </c>
      <c r="AC196" s="119">
        <v>0</v>
      </c>
      <c r="AD196" s="119">
        <v>0</v>
      </c>
      <c r="AE196" s="119">
        <v>0</v>
      </c>
      <c r="AF196" s="119">
        <v>0</v>
      </c>
      <c r="AG196" s="119">
        <v>0</v>
      </c>
      <c r="AH196" s="119">
        <v>0</v>
      </c>
      <c r="AI196" s="119">
        <v>0</v>
      </c>
      <c r="AJ196" s="119">
        <v>0</v>
      </c>
      <c r="AK196" s="119">
        <v>0</v>
      </c>
      <c r="AL196" s="119">
        <v>0</v>
      </c>
      <c r="AM196" s="119">
        <v>0</v>
      </c>
      <c r="AN196" s="119">
        <v>0</v>
      </c>
      <c r="AO196" s="119">
        <v>0</v>
      </c>
      <c r="AP196" s="119">
        <v>0</v>
      </c>
      <c r="AQ196" s="119">
        <v>0</v>
      </c>
      <c r="AR196" s="119">
        <v>0</v>
      </c>
      <c r="AS196" s="119">
        <v>0</v>
      </c>
      <c r="AT196" s="119">
        <v>0</v>
      </c>
      <c r="AU196" s="119">
        <v>0</v>
      </c>
      <c r="AV196" s="119">
        <v>0</v>
      </c>
      <c r="AW196" s="119">
        <v>0</v>
      </c>
      <c r="AX196" s="119">
        <v>0</v>
      </c>
      <c r="AY196" s="119">
        <v>0</v>
      </c>
    </row>
    <row r="197" spans="1:51" x14ac:dyDescent="0.2">
      <c r="A197" s="136" t="s">
        <v>134</v>
      </c>
      <c r="B197" s="124">
        <v>1</v>
      </c>
      <c r="C197" s="111"/>
      <c r="D197" s="111">
        <v>0</v>
      </c>
      <c r="E197" s="111">
        <v>57</v>
      </c>
      <c r="F197" s="111">
        <v>59.202886307638153</v>
      </c>
      <c r="G197" s="111">
        <v>51.388370292150626</v>
      </c>
      <c r="H197" s="111">
        <v>26.609307467738404</v>
      </c>
      <c r="I197" s="111">
        <v>0</v>
      </c>
      <c r="J197" s="111">
        <v>0</v>
      </c>
      <c r="K197" s="111">
        <v>0</v>
      </c>
      <c r="L197" s="111">
        <v>0</v>
      </c>
      <c r="M197" s="111">
        <v>0</v>
      </c>
      <c r="N197" s="111">
        <v>0</v>
      </c>
      <c r="O197" s="111">
        <v>0</v>
      </c>
      <c r="P197" s="111">
        <v>0</v>
      </c>
      <c r="Q197" s="111">
        <v>0</v>
      </c>
      <c r="R197" s="111">
        <v>0</v>
      </c>
      <c r="S197" s="111">
        <v>0</v>
      </c>
      <c r="T197" s="111">
        <v>0</v>
      </c>
      <c r="U197" s="111">
        <v>0</v>
      </c>
      <c r="V197" s="111">
        <v>0</v>
      </c>
      <c r="W197" s="111">
        <v>0</v>
      </c>
      <c r="X197" s="111">
        <v>0</v>
      </c>
      <c r="Y197" s="111">
        <v>0</v>
      </c>
      <c r="Z197" s="111">
        <v>0</v>
      </c>
      <c r="AA197" s="111">
        <v>0</v>
      </c>
      <c r="AB197" s="111">
        <v>0</v>
      </c>
      <c r="AC197" s="111">
        <v>0</v>
      </c>
      <c r="AD197" s="111">
        <v>0</v>
      </c>
      <c r="AE197" s="111">
        <v>0</v>
      </c>
      <c r="AF197" s="111">
        <v>0</v>
      </c>
      <c r="AG197" s="111">
        <v>0</v>
      </c>
      <c r="AH197" s="111">
        <v>0</v>
      </c>
      <c r="AI197" s="111">
        <v>0</v>
      </c>
      <c r="AJ197" s="111">
        <v>0</v>
      </c>
      <c r="AK197" s="111">
        <v>0</v>
      </c>
      <c r="AL197" s="111">
        <v>0</v>
      </c>
      <c r="AM197" s="111">
        <v>0</v>
      </c>
      <c r="AN197" s="111">
        <v>0</v>
      </c>
      <c r="AO197" s="111">
        <v>0</v>
      </c>
      <c r="AP197" s="111">
        <v>0</v>
      </c>
      <c r="AQ197" s="111">
        <v>0</v>
      </c>
      <c r="AR197" s="111">
        <v>0</v>
      </c>
      <c r="AS197" s="111">
        <v>0</v>
      </c>
      <c r="AT197" s="111">
        <v>0</v>
      </c>
      <c r="AU197" s="111">
        <v>0</v>
      </c>
      <c r="AV197" s="111">
        <v>0</v>
      </c>
      <c r="AW197" s="111">
        <v>0</v>
      </c>
      <c r="AX197" s="111">
        <v>0</v>
      </c>
      <c r="AY197" s="111">
        <v>0</v>
      </c>
    </row>
    <row r="198" spans="1:51" x14ac:dyDescent="0.2">
      <c r="A198" s="114"/>
      <c r="B198" s="124">
        <v>2</v>
      </c>
      <c r="C198" s="111"/>
      <c r="D198" s="111">
        <v>0</v>
      </c>
      <c r="E198" s="111">
        <v>0</v>
      </c>
      <c r="F198" s="111">
        <v>16.797113692361847</v>
      </c>
      <c r="G198" s="111">
        <v>27.611629707849374</v>
      </c>
      <c r="H198" s="111">
        <v>50.390692532261596</v>
      </c>
      <c r="I198" s="111">
        <v>69</v>
      </c>
      <c r="J198" s="111">
        <v>76.062152515293945</v>
      </c>
      <c r="K198" s="111">
        <v>55.323714647620463</v>
      </c>
      <c r="L198" s="111">
        <v>21.413122156240888</v>
      </c>
      <c r="M198" s="111">
        <v>0</v>
      </c>
      <c r="N198" s="111">
        <v>0</v>
      </c>
      <c r="O198" s="111">
        <v>0</v>
      </c>
      <c r="P198" s="111">
        <v>0</v>
      </c>
      <c r="Q198" s="111">
        <v>0</v>
      </c>
      <c r="R198" s="111">
        <v>0</v>
      </c>
      <c r="S198" s="111">
        <v>0</v>
      </c>
      <c r="T198" s="111">
        <v>0</v>
      </c>
      <c r="U198" s="111">
        <v>0</v>
      </c>
      <c r="V198" s="111">
        <v>0</v>
      </c>
      <c r="W198" s="111">
        <v>0</v>
      </c>
      <c r="X198" s="111">
        <v>0</v>
      </c>
      <c r="Y198" s="111">
        <v>0</v>
      </c>
      <c r="Z198" s="111">
        <v>0</v>
      </c>
      <c r="AA198" s="111">
        <v>0</v>
      </c>
      <c r="AB198" s="111">
        <v>0</v>
      </c>
      <c r="AC198" s="111">
        <v>0</v>
      </c>
      <c r="AD198" s="111">
        <v>0</v>
      </c>
      <c r="AE198" s="111">
        <v>0</v>
      </c>
      <c r="AF198" s="111">
        <v>0</v>
      </c>
      <c r="AG198" s="111">
        <v>0</v>
      </c>
      <c r="AH198" s="111">
        <v>0</v>
      </c>
      <c r="AI198" s="111">
        <v>0</v>
      </c>
      <c r="AJ198" s="111">
        <v>0</v>
      </c>
      <c r="AK198" s="111">
        <v>0</v>
      </c>
      <c r="AL198" s="111">
        <v>0</v>
      </c>
      <c r="AM198" s="111">
        <v>0</v>
      </c>
      <c r="AN198" s="111">
        <v>0</v>
      </c>
      <c r="AO198" s="111">
        <v>0</v>
      </c>
      <c r="AP198" s="111">
        <v>0</v>
      </c>
      <c r="AQ198" s="111">
        <v>0</v>
      </c>
      <c r="AR198" s="111">
        <v>0</v>
      </c>
      <c r="AS198" s="111">
        <v>0</v>
      </c>
      <c r="AT198" s="111">
        <v>0</v>
      </c>
      <c r="AU198" s="111">
        <v>0</v>
      </c>
      <c r="AV198" s="111">
        <v>0</v>
      </c>
      <c r="AW198" s="111">
        <v>0</v>
      </c>
      <c r="AX198" s="111">
        <v>0</v>
      </c>
      <c r="AY198" s="111">
        <v>0</v>
      </c>
    </row>
    <row r="199" spans="1:51" x14ac:dyDescent="0.2">
      <c r="A199" s="114"/>
      <c r="B199" s="124">
        <v>3</v>
      </c>
      <c r="C199" s="111"/>
      <c r="D199" s="111">
        <v>0</v>
      </c>
      <c r="E199" s="111">
        <v>0</v>
      </c>
      <c r="F199" s="111">
        <v>0</v>
      </c>
      <c r="G199" s="111">
        <v>0</v>
      </c>
      <c r="H199" s="111">
        <v>0</v>
      </c>
      <c r="I199" s="111">
        <v>0</v>
      </c>
      <c r="J199" s="111">
        <v>2.9378474847060545</v>
      </c>
      <c r="K199" s="111">
        <v>32.676285352379537</v>
      </c>
      <c r="L199" s="111">
        <v>65.586877843759112</v>
      </c>
      <c r="M199" s="111">
        <v>81.639517045486315</v>
      </c>
      <c r="N199" s="111">
        <v>50.462219077200956</v>
      </c>
      <c r="O199" s="111">
        <v>0</v>
      </c>
      <c r="P199" s="111">
        <v>0</v>
      </c>
      <c r="Q199" s="111">
        <v>0</v>
      </c>
      <c r="R199" s="111">
        <v>0</v>
      </c>
      <c r="S199" s="111">
        <v>0</v>
      </c>
      <c r="T199" s="111">
        <v>0</v>
      </c>
      <c r="U199" s="111">
        <v>0</v>
      </c>
      <c r="V199" s="111">
        <v>0</v>
      </c>
      <c r="W199" s="111">
        <v>0</v>
      </c>
      <c r="X199" s="111">
        <v>0</v>
      </c>
      <c r="Y199" s="111">
        <v>0</v>
      </c>
      <c r="Z199" s="111">
        <v>0</v>
      </c>
      <c r="AA199" s="111">
        <v>0</v>
      </c>
      <c r="AB199" s="111">
        <v>0</v>
      </c>
      <c r="AC199" s="111">
        <v>0</v>
      </c>
      <c r="AD199" s="111">
        <v>0</v>
      </c>
      <c r="AE199" s="111">
        <v>0</v>
      </c>
      <c r="AF199" s="111">
        <v>0</v>
      </c>
      <c r="AG199" s="111">
        <v>0</v>
      </c>
      <c r="AH199" s="111">
        <v>0</v>
      </c>
      <c r="AI199" s="111">
        <v>0</v>
      </c>
      <c r="AJ199" s="111">
        <v>0</v>
      </c>
      <c r="AK199" s="111">
        <v>0</v>
      </c>
      <c r="AL199" s="111">
        <v>0</v>
      </c>
      <c r="AM199" s="111">
        <v>0</v>
      </c>
      <c r="AN199" s="111">
        <v>0</v>
      </c>
      <c r="AO199" s="111">
        <v>0</v>
      </c>
      <c r="AP199" s="111">
        <v>0</v>
      </c>
      <c r="AQ199" s="111">
        <v>0</v>
      </c>
      <c r="AR199" s="111">
        <v>0</v>
      </c>
      <c r="AS199" s="111">
        <v>0</v>
      </c>
      <c r="AT199" s="111">
        <v>0</v>
      </c>
      <c r="AU199" s="111">
        <v>0</v>
      </c>
      <c r="AV199" s="111">
        <v>0</v>
      </c>
      <c r="AW199" s="111">
        <v>0</v>
      </c>
      <c r="AX199" s="111">
        <v>0</v>
      </c>
      <c r="AY199" s="111">
        <v>0</v>
      </c>
    </row>
    <row r="200" spans="1:51" x14ac:dyDescent="0.2">
      <c r="A200" s="114"/>
      <c r="B200" s="125">
        <v>4</v>
      </c>
      <c r="C200" s="111"/>
      <c r="D200" s="111">
        <v>0</v>
      </c>
      <c r="E200" s="111">
        <v>0</v>
      </c>
      <c r="F200" s="111">
        <v>0</v>
      </c>
      <c r="G200" s="111">
        <v>0</v>
      </c>
      <c r="H200" s="111">
        <v>0</v>
      </c>
      <c r="I200" s="111">
        <v>0</v>
      </c>
      <c r="J200" s="111">
        <v>0</v>
      </c>
      <c r="K200" s="111">
        <v>0</v>
      </c>
      <c r="L200" s="111">
        <v>0</v>
      </c>
      <c r="M200" s="111">
        <v>0</v>
      </c>
      <c r="N200" s="111">
        <v>12.537780922799044</v>
      </c>
      <c r="O200" s="111">
        <v>71</v>
      </c>
      <c r="P200" s="111">
        <v>73.059954082842737</v>
      </c>
      <c r="Q200" s="111">
        <v>14.827028705635726</v>
      </c>
      <c r="R200" s="111">
        <v>0</v>
      </c>
      <c r="S200" s="111">
        <v>0</v>
      </c>
      <c r="T200" s="111">
        <v>0</v>
      </c>
      <c r="U200" s="111">
        <v>0</v>
      </c>
      <c r="V200" s="111">
        <v>0</v>
      </c>
      <c r="W200" s="111">
        <v>0</v>
      </c>
      <c r="X200" s="111">
        <v>0</v>
      </c>
      <c r="Y200" s="111">
        <v>0</v>
      </c>
      <c r="Z200" s="111">
        <v>0</v>
      </c>
      <c r="AA200" s="111">
        <v>0</v>
      </c>
      <c r="AB200" s="111">
        <v>0</v>
      </c>
      <c r="AC200" s="111">
        <v>0</v>
      </c>
      <c r="AD200" s="111">
        <v>0</v>
      </c>
      <c r="AE200" s="111">
        <v>0</v>
      </c>
      <c r="AF200" s="111">
        <v>0</v>
      </c>
      <c r="AG200" s="111">
        <v>0</v>
      </c>
      <c r="AH200" s="111">
        <v>0</v>
      </c>
      <c r="AI200" s="111">
        <v>0</v>
      </c>
      <c r="AJ200" s="111">
        <v>0</v>
      </c>
      <c r="AK200" s="111">
        <v>0</v>
      </c>
      <c r="AL200" s="111">
        <v>0</v>
      </c>
      <c r="AM200" s="111">
        <v>0</v>
      </c>
      <c r="AN200" s="111">
        <v>0</v>
      </c>
      <c r="AO200" s="111">
        <v>0</v>
      </c>
      <c r="AP200" s="111">
        <v>0</v>
      </c>
      <c r="AQ200" s="111">
        <v>0</v>
      </c>
      <c r="AR200" s="111">
        <v>0</v>
      </c>
      <c r="AS200" s="111">
        <v>0</v>
      </c>
      <c r="AT200" s="111">
        <v>0</v>
      </c>
      <c r="AU200" s="111">
        <v>0</v>
      </c>
      <c r="AV200" s="111">
        <v>0</v>
      </c>
      <c r="AW200" s="111">
        <v>0</v>
      </c>
      <c r="AX200" s="111">
        <v>0</v>
      </c>
      <c r="AY200" s="111">
        <v>0</v>
      </c>
    </row>
    <row r="201" spans="1:51" x14ac:dyDescent="0.2">
      <c r="A201" s="114"/>
      <c r="B201" s="125">
        <v>5</v>
      </c>
      <c r="C201" s="111"/>
      <c r="D201" s="111">
        <v>0</v>
      </c>
      <c r="E201" s="111">
        <v>0</v>
      </c>
      <c r="F201" s="111">
        <v>0</v>
      </c>
      <c r="G201" s="111">
        <v>0</v>
      </c>
      <c r="H201" s="111">
        <v>0</v>
      </c>
      <c r="I201" s="111">
        <v>0</v>
      </c>
      <c r="J201" s="111">
        <v>0</v>
      </c>
      <c r="K201" s="111">
        <v>0</v>
      </c>
      <c r="L201" s="111">
        <v>0</v>
      </c>
      <c r="M201" s="111">
        <v>0</v>
      </c>
      <c r="N201" s="111">
        <v>0</v>
      </c>
      <c r="O201" s="111">
        <v>0</v>
      </c>
      <c r="P201" s="111">
        <v>2.9400459171572635</v>
      </c>
      <c r="Q201" s="111">
        <v>74.172971294364274</v>
      </c>
      <c r="R201" s="111">
        <v>58</v>
      </c>
      <c r="S201" s="111">
        <v>0</v>
      </c>
      <c r="T201" s="111">
        <v>0</v>
      </c>
      <c r="U201" s="111">
        <v>0</v>
      </c>
      <c r="V201" s="111">
        <v>0</v>
      </c>
      <c r="W201" s="111">
        <v>0</v>
      </c>
      <c r="X201" s="111">
        <v>0</v>
      </c>
      <c r="Y201" s="111">
        <v>0</v>
      </c>
      <c r="Z201" s="111">
        <v>0</v>
      </c>
      <c r="AA201" s="111">
        <v>0</v>
      </c>
      <c r="AB201" s="111">
        <v>0</v>
      </c>
      <c r="AC201" s="111">
        <v>0</v>
      </c>
      <c r="AD201" s="111">
        <v>0</v>
      </c>
      <c r="AE201" s="111">
        <v>0</v>
      </c>
      <c r="AF201" s="111">
        <v>0</v>
      </c>
      <c r="AG201" s="111">
        <v>0</v>
      </c>
      <c r="AH201" s="111">
        <v>0</v>
      </c>
      <c r="AI201" s="111">
        <v>0</v>
      </c>
      <c r="AJ201" s="111">
        <v>0</v>
      </c>
      <c r="AK201" s="111">
        <v>0</v>
      </c>
      <c r="AL201" s="111">
        <v>0</v>
      </c>
      <c r="AM201" s="111">
        <v>0</v>
      </c>
      <c r="AN201" s="111">
        <v>0</v>
      </c>
      <c r="AO201" s="111">
        <v>0</v>
      </c>
      <c r="AP201" s="111">
        <v>0</v>
      </c>
      <c r="AQ201" s="111">
        <v>0</v>
      </c>
      <c r="AR201" s="111">
        <v>0</v>
      </c>
      <c r="AS201" s="111">
        <v>0</v>
      </c>
      <c r="AT201" s="111">
        <v>0</v>
      </c>
      <c r="AU201" s="111">
        <v>0</v>
      </c>
      <c r="AV201" s="111">
        <v>0</v>
      </c>
      <c r="AW201" s="111">
        <v>0</v>
      </c>
      <c r="AX201" s="111">
        <v>0</v>
      </c>
      <c r="AY201" s="111">
        <v>0</v>
      </c>
    </row>
    <row r="202" spans="1:51" x14ac:dyDescent="0.2">
      <c r="A202" s="114"/>
      <c r="B202" s="125">
        <v>6</v>
      </c>
      <c r="C202" s="111"/>
      <c r="D202" s="111">
        <v>0</v>
      </c>
      <c r="E202" s="111">
        <v>0</v>
      </c>
      <c r="F202" s="111">
        <v>0</v>
      </c>
      <c r="G202" s="111">
        <v>0</v>
      </c>
      <c r="H202" s="111">
        <v>0</v>
      </c>
      <c r="I202" s="111">
        <v>0</v>
      </c>
      <c r="J202" s="111">
        <v>0</v>
      </c>
      <c r="K202" s="111">
        <v>0</v>
      </c>
      <c r="L202" s="111">
        <v>0</v>
      </c>
      <c r="M202" s="111">
        <v>0</v>
      </c>
      <c r="N202" s="111">
        <v>0</v>
      </c>
      <c r="O202" s="111">
        <v>0</v>
      </c>
      <c r="P202" s="111">
        <v>0</v>
      </c>
      <c r="Q202" s="111">
        <v>0</v>
      </c>
      <c r="R202" s="111">
        <v>0</v>
      </c>
      <c r="S202" s="111">
        <v>62</v>
      </c>
      <c r="T202" s="111">
        <v>85.920282173787584</v>
      </c>
      <c r="U202" s="111">
        <v>27.123501927465483</v>
      </c>
      <c r="V202" s="111">
        <v>0</v>
      </c>
      <c r="W202" s="111">
        <v>0</v>
      </c>
      <c r="X202" s="111">
        <v>0</v>
      </c>
      <c r="Y202" s="111">
        <v>0</v>
      </c>
      <c r="Z202" s="111">
        <v>0</v>
      </c>
      <c r="AA202" s="111">
        <v>0</v>
      </c>
      <c r="AB202" s="111">
        <v>0</v>
      </c>
      <c r="AC202" s="111">
        <v>0</v>
      </c>
      <c r="AD202" s="111">
        <v>0</v>
      </c>
      <c r="AE202" s="111">
        <v>0</v>
      </c>
      <c r="AF202" s="111">
        <v>0</v>
      </c>
      <c r="AG202" s="111">
        <v>0</v>
      </c>
      <c r="AH202" s="111">
        <v>0</v>
      </c>
      <c r="AI202" s="111">
        <v>0</v>
      </c>
      <c r="AJ202" s="111">
        <v>0</v>
      </c>
      <c r="AK202" s="111">
        <v>0</v>
      </c>
      <c r="AL202" s="111">
        <v>0</v>
      </c>
      <c r="AM202" s="111">
        <v>0</v>
      </c>
      <c r="AN202" s="111">
        <v>0</v>
      </c>
      <c r="AO202" s="111">
        <v>0</v>
      </c>
      <c r="AP202" s="111">
        <v>0</v>
      </c>
      <c r="AQ202" s="111">
        <v>0</v>
      </c>
      <c r="AR202" s="111">
        <v>0</v>
      </c>
      <c r="AS202" s="111">
        <v>0</v>
      </c>
      <c r="AT202" s="111">
        <v>0</v>
      </c>
      <c r="AU202" s="111">
        <v>0</v>
      </c>
      <c r="AV202" s="111">
        <v>0</v>
      </c>
      <c r="AW202" s="111">
        <v>0</v>
      </c>
      <c r="AX202" s="111">
        <v>0</v>
      </c>
      <c r="AY202" s="111">
        <v>0</v>
      </c>
    </row>
    <row r="203" spans="1:51" x14ac:dyDescent="0.2">
      <c r="A203" s="114"/>
      <c r="B203" s="132">
        <v>7</v>
      </c>
      <c r="C203" s="111"/>
      <c r="D203" s="111">
        <v>0</v>
      </c>
      <c r="E203" s="111">
        <v>0</v>
      </c>
      <c r="F203" s="111">
        <v>0</v>
      </c>
      <c r="G203" s="111">
        <v>0</v>
      </c>
      <c r="H203" s="111">
        <v>0</v>
      </c>
      <c r="I203" s="111">
        <v>0</v>
      </c>
      <c r="J203" s="111">
        <v>0</v>
      </c>
      <c r="K203" s="111">
        <v>0</v>
      </c>
      <c r="L203" s="111">
        <v>0</v>
      </c>
      <c r="M203" s="111">
        <v>0</v>
      </c>
      <c r="N203" s="111">
        <v>0</v>
      </c>
      <c r="O203" s="111">
        <v>0</v>
      </c>
      <c r="P203" s="111">
        <v>0</v>
      </c>
      <c r="Q203" s="111">
        <v>0</v>
      </c>
      <c r="R203" s="111">
        <v>0</v>
      </c>
      <c r="S203" s="111">
        <v>0</v>
      </c>
      <c r="T203" s="111">
        <v>7.9717826212416298E-2</v>
      </c>
      <c r="U203" s="111">
        <v>65.876498072534517</v>
      </c>
      <c r="V203" s="111">
        <v>62</v>
      </c>
      <c r="W203" s="111">
        <v>43.435512823490967</v>
      </c>
      <c r="X203" s="111">
        <v>0</v>
      </c>
      <c r="Y203" s="111">
        <v>0</v>
      </c>
      <c r="Z203" s="111">
        <v>0</v>
      </c>
      <c r="AA203" s="111">
        <v>0</v>
      </c>
      <c r="AB203" s="111">
        <v>0</v>
      </c>
      <c r="AC203" s="111">
        <v>0</v>
      </c>
      <c r="AD203" s="111">
        <v>0</v>
      </c>
      <c r="AE203" s="111">
        <v>0</v>
      </c>
      <c r="AF203" s="111">
        <v>0</v>
      </c>
      <c r="AG203" s="111">
        <v>0</v>
      </c>
      <c r="AH203" s="111">
        <v>0</v>
      </c>
      <c r="AI203" s="111">
        <v>0</v>
      </c>
      <c r="AJ203" s="111">
        <v>0</v>
      </c>
      <c r="AK203" s="111">
        <v>0</v>
      </c>
      <c r="AL203" s="111">
        <v>0</v>
      </c>
      <c r="AM203" s="111">
        <v>0</v>
      </c>
      <c r="AN203" s="111">
        <v>0</v>
      </c>
      <c r="AO203" s="111">
        <v>0</v>
      </c>
      <c r="AP203" s="111">
        <v>0</v>
      </c>
      <c r="AQ203" s="111">
        <v>0</v>
      </c>
      <c r="AR203" s="111">
        <v>0</v>
      </c>
      <c r="AS203" s="111">
        <v>0</v>
      </c>
      <c r="AT203" s="111">
        <v>0</v>
      </c>
      <c r="AU203" s="111">
        <v>0</v>
      </c>
      <c r="AV203" s="111">
        <v>0</v>
      </c>
      <c r="AW203" s="111">
        <v>0</v>
      </c>
      <c r="AX203" s="111">
        <v>0</v>
      </c>
      <c r="AY203" s="111">
        <v>0</v>
      </c>
    </row>
    <row r="204" spans="1:51" x14ac:dyDescent="0.2">
      <c r="A204" s="114"/>
      <c r="B204" s="132">
        <v>8</v>
      </c>
      <c r="C204" s="111"/>
      <c r="D204" s="111">
        <v>0</v>
      </c>
      <c r="E204" s="111">
        <v>0</v>
      </c>
      <c r="F204" s="111">
        <v>0</v>
      </c>
      <c r="G204" s="111">
        <v>0</v>
      </c>
      <c r="H204" s="111">
        <v>0</v>
      </c>
      <c r="I204" s="111">
        <v>0</v>
      </c>
      <c r="J204" s="111">
        <v>0</v>
      </c>
      <c r="K204" s="111">
        <v>0</v>
      </c>
      <c r="L204" s="111">
        <v>0</v>
      </c>
      <c r="M204" s="111">
        <v>0</v>
      </c>
      <c r="N204" s="111">
        <v>0</v>
      </c>
      <c r="O204" s="111">
        <v>0</v>
      </c>
      <c r="P204" s="111">
        <v>0</v>
      </c>
      <c r="Q204" s="111">
        <v>0</v>
      </c>
      <c r="R204" s="111">
        <v>0</v>
      </c>
      <c r="S204" s="111">
        <v>0</v>
      </c>
      <c r="T204" s="111">
        <v>0</v>
      </c>
      <c r="U204" s="111">
        <v>0</v>
      </c>
      <c r="V204" s="111">
        <v>0</v>
      </c>
      <c r="W204" s="111">
        <v>71.564487176509033</v>
      </c>
      <c r="X204" s="111">
        <v>72</v>
      </c>
      <c r="Y204" s="111">
        <v>60.745435747629301</v>
      </c>
      <c r="Z204" s="111">
        <v>0</v>
      </c>
      <c r="AA204" s="111">
        <v>0</v>
      </c>
      <c r="AB204" s="111">
        <v>0</v>
      </c>
      <c r="AC204" s="111">
        <v>0</v>
      </c>
      <c r="AD204" s="111">
        <v>0</v>
      </c>
      <c r="AE204" s="111">
        <v>0</v>
      </c>
      <c r="AF204" s="111">
        <v>0</v>
      </c>
      <c r="AG204" s="111">
        <v>0</v>
      </c>
      <c r="AH204" s="111">
        <v>0</v>
      </c>
      <c r="AI204" s="111">
        <v>0</v>
      </c>
      <c r="AJ204" s="111">
        <v>0</v>
      </c>
      <c r="AK204" s="111">
        <v>0</v>
      </c>
      <c r="AL204" s="111">
        <v>0</v>
      </c>
      <c r="AM204" s="111">
        <v>0</v>
      </c>
      <c r="AN204" s="111">
        <v>0</v>
      </c>
      <c r="AO204" s="111">
        <v>0</v>
      </c>
      <c r="AP204" s="111">
        <v>0</v>
      </c>
      <c r="AQ204" s="111">
        <v>0</v>
      </c>
      <c r="AR204" s="111">
        <v>0</v>
      </c>
      <c r="AS204" s="111">
        <v>0</v>
      </c>
      <c r="AT204" s="111">
        <v>0</v>
      </c>
      <c r="AU204" s="111">
        <v>16.514103355108091</v>
      </c>
      <c r="AV204" s="111">
        <v>6.836084952825118</v>
      </c>
      <c r="AW204" s="111">
        <v>83.083884831337755</v>
      </c>
      <c r="AX204" s="111">
        <v>98.539695559662263</v>
      </c>
      <c r="AY204" s="111">
        <v>84</v>
      </c>
    </row>
    <row r="205" spans="1:51" x14ac:dyDescent="0.2">
      <c r="A205" s="114"/>
      <c r="B205" s="132">
        <v>9</v>
      </c>
      <c r="C205" s="111"/>
      <c r="D205" s="111">
        <v>0</v>
      </c>
      <c r="E205" s="111">
        <v>0</v>
      </c>
      <c r="F205" s="111">
        <v>0</v>
      </c>
      <c r="G205" s="111">
        <v>0</v>
      </c>
      <c r="H205" s="111">
        <v>0</v>
      </c>
      <c r="I205" s="111">
        <v>0</v>
      </c>
      <c r="J205" s="111">
        <v>0</v>
      </c>
      <c r="K205" s="111">
        <v>0</v>
      </c>
      <c r="L205" s="111">
        <v>0</v>
      </c>
      <c r="M205" s="111">
        <v>0</v>
      </c>
      <c r="N205" s="111">
        <v>0</v>
      </c>
      <c r="O205" s="111">
        <v>0</v>
      </c>
      <c r="P205" s="111">
        <v>0</v>
      </c>
      <c r="Q205" s="111">
        <v>0</v>
      </c>
      <c r="R205" s="111">
        <v>0</v>
      </c>
      <c r="S205" s="111">
        <v>0</v>
      </c>
      <c r="T205" s="111">
        <v>0</v>
      </c>
      <c r="U205" s="111">
        <v>0</v>
      </c>
      <c r="V205" s="111">
        <v>0</v>
      </c>
      <c r="W205" s="111">
        <v>0</v>
      </c>
      <c r="X205" s="111">
        <v>0</v>
      </c>
      <c r="Y205" s="111">
        <v>35.254564252370699</v>
      </c>
      <c r="Z205" s="111">
        <v>85</v>
      </c>
      <c r="AA205" s="111">
        <v>80.153479497069185</v>
      </c>
      <c r="AB205" s="111">
        <v>0</v>
      </c>
      <c r="AC205" s="111">
        <v>0</v>
      </c>
      <c r="AD205" s="111">
        <v>0</v>
      </c>
      <c r="AE205" s="111">
        <v>0</v>
      </c>
      <c r="AF205" s="111">
        <v>0</v>
      </c>
      <c r="AG205" s="111">
        <v>0</v>
      </c>
      <c r="AH205" s="111">
        <v>0</v>
      </c>
      <c r="AI205" s="111">
        <v>0</v>
      </c>
      <c r="AJ205" s="111">
        <v>0</v>
      </c>
      <c r="AK205" s="111">
        <v>0</v>
      </c>
      <c r="AL205" s="111">
        <v>0</v>
      </c>
      <c r="AM205" s="111">
        <v>0</v>
      </c>
      <c r="AN205" s="111">
        <v>0</v>
      </c>
      <c r="AO205" s="111">
        <v>0</v>
      </c>
      <c r="AP205" s="111">
        <v>0</v>
      </c>
      <c r="AQ205" s="111">
        <v>0</v>
      </c>
      <c r="AR205" s="111">
        <v>0</v>
      </c>
      <c r="AS205" s="111">
        <v>25.69055525472109</v>
      </c>
      <c r="AT205" s="111">
        <v>0.77496384089484138</v>
      </c>
      <c r="AU205" s="111">
        <v>66.485896644891909</v>
      </c>
      <c r="AV205" s="111">
        <v>57.163915047174882</v>
      </c>
      <c r="AW205" s="111">
        <v>18.916115168662245</v>
      </c>
      <c r="AX205" s="111">
        <v>8.4603044403377368</v>
      </c>
      <c r="AY205" s="111">
        <v>0</v>
      </c>
    </row>
    <row r="206" spans="1:51" x14ac:dyDescent="0.2">
      <c r="A206" s="114"/>
      <c r="B206" s="135">
        <v>10</v>
      </c>
      <c r="C206" s="111"/>
      <c r="D206" s="111">
        <v>0</v>
      </c>
      <c r="E206" s="111">
        <v>0</v>
      </c>
      <c r="F206" s="111">
        <v>0</v>
      </c>
      <c r="G206" s="111">
        <v>0</v>
      </c>
      <c r="H206" s="111">
        <v>0</v>
      </c>
      <c r="I206" s="111">
        <v>0</v>
      </c>
      <c r="J206" s="111">
        <v>0</v>
      </c>
      <c r="K206" s="111">
        <v>0</v>
      </c>
      <c r="L206" s="111">
        <v>0</v>
      </c>
      <c r="M206" s="111">
        <v>0</v>
      </c>
      <c r="N206" s="111">
        <v>0</v>
      </c>
      <c r="O206" s="111">
        <v>0</v>
      </c>
      <c r="P206" s="111">
        <v>0</v>
      </c>
      <c r="Q206" s="111">
        <v>0</v>
      </c>
      <c r="R206" s="111">
        <v>0</v>
      </c>
      <c r="S206" s="111">
        <v>0</v>
      </c>
      <c r="T206" s="111">
        <v>0</v>
      </c>
      <c r="U206" s="111">
        <v>0</v>
      </c>
      <c r="V206" s="111">
        <v>0</v>
      </c>
      <c r="W206" s="111">
        <v>0</v>
      </c>
      <c r="X206" s="111">
        <v>0</v>
      </c>
      <c r="Y206" s="111">
        <v>0</v>
      </c>
      <c r="Z206" s="111">
        <v>0</v>
      </c>
      <c r="AA206" s="111">
        <v>24.846520502930815</v>
      </c>
      <c r="AB206" s="111">
        <v>64</v>
      </c>
      <c r="AC206" s="111">
        <v>60.274720461091619</v>
      </c>
      <c r="AD206" s="111">
        <v>0</v>
      </c>
      <c r="AE206" s="111">
        <v>0</v>
      </c>
      <c r="AF206" s="111">
        <v>0</v>
      </c>
      <c r="AG206" s="111">
        <v>0</v>
      </c>
      <c r="AH206" s="111">
        <v>0</v>
      </c>
      <c r="AI206" s="111">
        <v>0</v>
      </c>
      <c r="AJ206" s="111">
        <v>0</v>
      </c>
      <c r="AK206" s="111">
        <v>0</v>
      </c>
      <c r="AL206" s="111">
        <v>0</v>
      </c>
      <c r="AM206" s="111">
        <v>0</v>
      </c>
      <c r="AN206" s="111">
        <v>0</v>
      </c>
      <c r="AO206" s="111">
        <v>0</v>
      </c>
      <c r="AP206" s="111">
        <v>1.2950624606392296</v>
      </c>
      <c r="AQ206" s="111">
        <v>92.281001388456275</v>
      </c>
      <c r="AR206" s="111">
        <v>73.74203172218904</v>
      </c>
      <c r="AS206" s="111">
        <v>82.30944474527891</v>
      </c>
      <c r="AT206" s="111">
        <v>54.780049295424078</v>
      </c>
      <c r="AU206" s="111">
        <v>0</v>
      </c>
      <c r="AV206" s="111">
        <v>0</v>
      </c>
      <c r="AW206" s="111">
        <v>0</v>
      </c>
      <c r="AX206" s="111">
        <v>0</v>
      </c>
      <c r="AY206" s="111">
        <v>0</v>
      </c>
    </row>
    <row r="207" spans="1:51" x14ac:dyDescent="0.2">
      <c r="A207" s="114"/>
      <c r="B207" s="135">
        <v>11</v>
      </c>
      <c r="C207" s="111"/>
      <c r="D207" s="111">
        <v>0</v>
      </c>
      <c r="E207" s="111">
        <v>0</v>
      </c>
      <c r="F207" s="111">
        <v>0</v>
      </c>
      <c r="G207" s="111">
        <v>0</v>
      </c>
      <c r="H207" s="111">
        <v>0</v>
      </c>
      <c r="I207" s="111">
        <v>0</v>
      </c>
      <c r="J207" s="111">
        <v>0</v>
      </c>
      <c r="K207" s="111">
        <v>0</v>
      </c>
      <c r="L207" s="111">
        <v>0</v>
      </c>
      <c r="M207" s="111">
        <v>0</v>
      </c>
      <c r="N207" s="111">
        <v>0</v>
      </c>
      <c r="O207" s="111">
        <v>0</v>
      </c>
      <c r="P207" s="111">
        <v>0</v>
      </c>
      <c r="Q207" s="111">
        <v>0</v>
      </c>
      <c r="R207" s="111">
        <v>0</v>
      </c>
      <c r="S207" s="111">
        <v>0</v>
      </c>
      <c r="T207" s="111">
        <v>0</v>
      </c>
      <c r="U207" s="111">
        <v>0</v>
      </c>
      <c r="V207" s="111">
        <v>0</v>
      </c>
      <c r="W207" s="111">
        <v>0</v>
      </c>
      <c r="X207" s="111">
        <v>0</v>
      </c>
      <c r="Y207" s="111">
        <v>0</v>
      </c>
      <c r="Z207" s="111">
        <v>0</v>
      </c>
      <c r="AA207" s="111">
        <v>0</v>
      </c>
      <c r="AB207" s="111">
        <v>0</v>
      </c>
      <c r="AC207" s="111">
        <v>26.725279538908381</v>
      </c>
      <c r="AD207" s="111">
        <v>82.587850823441087</v>
      </c>
      <c r="AE207" s="111">
        <v>54.547427623008886</v>
      </c>
      <c r="AF207" s="111">
        <v>0</v>
      </c>
      <c r="AG207" s="111">
        <v>57.169394141214894</v>
      </c>
      <c r="AH207" s="111">
        <v>2.4836080124031312</v>
      </c>
      <c r="AI207" s="111">
        <v>0</v>
      </c>
      <c r="AJ207" s="111">
        <v>0</v>
      </c>
      <c r="AK207" s="111">
        <v>0</v>
      </c>
      <c r="AL207" s="111">
        <v>59.478259335843404</v>
      </c>
      <c r="AM207" s="111">
        <v>66</v>
      </c>
      <c r="AN207" s="111">
        <v>88</v>
      </c>
      <c r="AO207" s="111">
        <v>84</v>
      </c>
      <c r="AP207" s="111">
        <v>65.70493753936077</v>
      </c>
      <c r="AQ207" s="111">
        <v>2.718998611543725</v>
      </c>
      <c r="AR207" s="111">
        <v>12.257968277810953</v>
      </c>
      <c r="AS207" s="111">
        <v>0</v>
      </c>
      <c r="AT207" s="111">
        <v>0</v>
      </c>
      <c r="AU207" s="111">
        <v>0</v>
      </c>
      <c r="AV207" s="111">
        <v>0</v>
      </c>
      <c r="AW207" s="111">
        <v>0</v>
      </c>
      <c r="AX207" s="111">
        <v>0</v>
      </c>
      <c r="AY207" s="111">
        <v>0</v>
      </c>
    </row>
    <row r="208" spans="1:51" x14ac:dyDescent="0.2">
      <c r="A208" s="114"/>
      <c r="B208" s="135">
        <v>12</v>
      </c>
      <c r="C208" s="111"/>
      <c r="D208" s="111">
        <v>0</v>
      </c>
      <c r="E208" s="111">
        <v>0</v>
      </c>
      <c r="F208" s="111">
        <v>0</v>
      </c>
      <c r="G208" s="111">
        <v>0</v>
      </c>
      <c r="H208" s="111">
        <v>0</v>
      </c>
      <c r="I208" s="111">
        <v>0</v>
      </c>
      <c r="J208" s="111">
        <v>0</v>
      </c>
      <c r="K208" s="111">
        <v>0</v>
      </c>
      <c r="L208" s="111">
        <v>0</v>
      </c>
      <c r="M208" s="111">
        <v>0</v>
      </c>
      <c r="N208" s="111">
        <v>0</v>
      </c>
      <c r="O208" s="111">
        <v>0</v>
      </c>
      <c r="P208" s="111">
        <v>0</v>
      </c>
      <c r="Q208" s="111">
        <v>0</v>
      </c>
      <c r="R208" s="111">
        <v>0</v>
      </c>
      <c r="S208" s="111">
        <v>0</v>
      </c>
      <c r="T208" s="111">
        <v>0</v>
      </c>
      <c r="U208" s="111">
        <v>0</v>
      </c>
      <c r="V208" s="111">
        <v>0</v>
      </c>
      <c r="W208" s="111">
        <v>0</v>
      </c>
      <c r="X208" s="111">
        <v>0</v>
      </c>
      <c r="Y208" s="111">
        <v>0</v>
      </c>
      <c r="Z208" s="111">
        <v>0</v>
      </c>
      <c r="AA208" s="111">
        <v>0</v>
      </c>
      <c r="AB208" s="111">
        <v>0</v>
      </c>
      <c r="AC208" s="111">
        <v>0</v>
      </c>
      <c r="AD208" s="111">
        <v>0</v>
      </c>
      <c r="AE208" s="111">
        <v>36.574310258320551</v>
      </c>
      <c r="AF208" s="111">
        <v>94</v>
      </c>
      <c r="AG208" s="111">
        <v>13.830605858785106</v>
      </c>
      <c r="AH208" s="111">
        <v>61.516391987596869</v>
      </c>
      <c r="AI208" s="111">
        <v>78</v>
      </c>
      <c r="AJ208" s="111">
        <v>82</v>
      </c>
      <c r="AK208" s="111">
        <v>104</v>
      </c>
      <c r="AL208" s="111">
        <v>39.521740664156596</v>
      </c>
      <c r="AM208" s="111">
        <v>0</v>
      </c>
      <c r="AN208" s="111">
        <v>0</v>
      </c>
      <c r="AO208" s="111">
        <v>0</v>
      </c>
      <c r="AP208" s="111">
        <v>0</v>
      </c>
      <c r="AQ208" s="111">
        <v>0</v>
      </c>
      <c r="AR208" s="111">
        <v>0</v>
      </c>
      <c r="AS208" s="111">
        <v>0</v>
      </c>
      <c r="AT208" s="111">
        <v>0</v>
      </c>
      <c r="AU208" s="111">
        <v>0</v>
      </c>
      <c r="AV208" s="111">
        <v>0</v>
      </c>
      <c r="AW208" s="111">
        <v>0</v>
      </c>
      <c r="AX208" s="111">
        <v>0</v>
      </c>
      <c r="AY208" s="111">
        <v>0</v>
      </c>
    </row>
    <row r="209" spans="1:51" x14ac:dyDescent="0.2">
      <c r="A209" s="131" t="s">
        <v>123</v>
      </c>
      <c r="B209" s="128">
        <v>1</v>
      </c>
      <c r="C209" s="129"/>
      <c r="D209" s="129">
        <v>534</v>
      </c>
      <c r="E209" s="129">
        <v>456.843379091869</v>
      </c>
      <c r="F209" s="129">
        <v>554.4024202745511</v>
      </c>
      <c r="G209" s="129">
        <v>452.489591122261</v>
      </c>
      <c r="H209" s="129">
        <v>330.76804488519991</v>
      </c>
      <c r="I209" s="129">
        <v>391.21865327184491</v>
      </c>
      <c r="J209" s="129">
        <v>309.62420081982543</v>
      </c>
      <c r="K209" s="129">
        <v>81.317596991337552</v>
      </c>
      <c r="L209" s="129">
        <v>124.84165354569836</v>
      </c>
      <c r="M209" s="129">
        <v>43.652821490109432</v>
      </c>
      <c r="N209" s="129">
        <v>18.530918432967496</v>
      </c>
      <c r="O209" s="129">
        <v>46.746080004790997</v>
      </c>
      <c r="P209" s="129">
        <v>0</v>
      </c>
      <c r="Q209" s="129">
        <v>0</v>
      </c>
      <c r="R209" s="129">
        <v>0</v>
      </c>
      <c r="S209" s="129">
        <v>0</v>
      </c>
      <c r="T209" s="129">
        <v>0</v>
      </c>
      <c r="U209" s="129">
        <v>0</v>
      </c>
      <c r="V209" s="129">
        <v>0</v>
      </c>
      <c r="W209" s="129">
        <v>121.58034369097311</v>
      </c>
      <c r="X209" s="129">
        <v>179.82131881871123</v>
      </c>
      <c r="Y209" s="129">
        <v>203.23819643367557</v>
      </c>
      <c r="Z209" s="129">
        <v>225.31338628714349</v>
      </c>
      <c r="AA209" s="129">
        <v>147.18105715526457</v>
      </c>
      <c r="AB209" s="129">
        <v>248.8619609365735</v>
      </c>
      <c r="AC209" s="129">
        <v>97.374774339751582</v>
      </c>
      <c r="AD209" s="129">
        <v>283.62415722605283</v>
      </c>
      <c r="AE209" s="129">
        <v>344.78248888161238</v>
      </c>
      <c r="AF209" s="129">
        <v>184.70324949028657</v>
      </c>
      <c r="AG209" s="129">
        <v>362.47630363312686</v>
      </c>
      <c r="AH209" s="129">
        <v>478.78331317161599</v>
      </c>
      <c r="AI209" s="129">
        <v>401.56079810794904</v>
      </c>
      <c r="AJ209" s="129">
        <v>427.06053455064881</v>
      </c>
      <c r="AK209" s="129">
        <v>260.0102973490786</v>
      </c>
      <c r="AL209" s="129">
        <v>65.665083867665373</v>
      </c>
      <c r="AM209" s="129">
        <v>225.75439173439338</v>
      </c>
      <c r="AN209" s="129">
        <v>260.83476881444869</v>
      </c>
      <c r="AO209" s="129">
        <v>76.089389073510119</v>
      </c>
      <c r="AP209" s="129">
        <v>0</v>
      </c>
      <c r="AQ209" s="129">
        <v>0</v>
      </c>
      <c r="AR209" s="129">
        <v>0</v>
      </c>
      <c r="AS209" s="129">
        <v>0</v>
      </c>
      <c r="AT209" s="129">
        <v>0</v>
      </c>
      <c r="AU209" s="129">
        <v>0</v>
      </c>
      <c r="AV209" s="129">
        <v>0</v>
      </c>
      <c r="AW209" s="129">
        <v>0</v>
      </c>
      <c r="AX209" s="129">
        <v>0</v>
      </c>
      <c r="AY209" s="129">
        <v>0</v>
      </c>
    </row>
    <row r="210" spans="1:51" x14ac:dyDescent="0.2">
      <c r="A210" s="114"/>
      <c r="B210" s="124">
        <v>2</v>
      </c>
      <c r="C210" s="111"/>
      <c r="D210" s="115">
        <v>0</v>
      </c>
      <c r="E210" s="115">
        <v>117.15662090813102</v>
      </c>
      <c r="F210" s="115">
        <v>186.59757972544892</v>
      </c>
      <c r="G210" s="115">
        <v>157.510408877739</v>
      </c>
      <c r="H210" s="115">
        <v>249.23195511480009</v>
      </c>
      <c r="I210" s="115">
        <v>358.78134672815509</v>
      </c>
      <c r="J210" s="115">
        <v>304.37579918017457</v>
      </c>
      <c r="K210" s="115">
        <v>383.68240300866245</v>
      </c>
      <c r="L210" s="115">
        <v>589.15834645430164</v>
      </c>
      <c r="M210" s="115">
        <v>549.98669555537685</v>
      </c>
      <c r="N210" s="115">
        <v>558.4690815670325</v>
      </c>
      <c r="O210" s="115">
        <v>710.253919995209</v>
      </c>
      <c r="P210" s="115">
        <v>468</v>
      </c>
      <c r="Q210" s="115">
        <v>499.95455943202592</v>
      </c>
      <c r="R210" s="115">
        <v>407.84933811696851</v>
      </c>
      <c r="S210" s="115">
        <v>303.95463893341685</v>
      </c>
      <c r="T210" s="115">
        <v>447.73384662772361</v>
      </c>
      <c r="U210" s="115">
        <v>534.13513355259965</v>
      </c>
      <c r="V210" s="115">
        <v>648.89629178498808</v>
      </c>
      <c r="W210" s="115">
        <v>650.60099050316455</v>
      </c>
      <c r="X210" s="115">
        <v>541.17868118128877</v>
      </c>
      <c r="Y210" s="115">
        <v>488.76180356632443</v>
      </c>
      <c r="Z210" s="115">
        <v>467.68661371285651</v>
      </c>
      <c r="AA210" s="115">
        <v>447.81894284473543</v>
      </c>
      <c r="AB210" s="115">
        <v>518.1380390634265</v>
      </c>
      <c r="AC210" s="115">
        <v>426.62522566024842</v>
      </c>
      <c r="AD210" s="115">
        <v>562.96369359738821</v>
      </c>
      <c r="AE210" s="115">
        <v>395.33924899971703</v>
      </c>
      <c r="AF210" s="115">
        <v>340.29675050971343</v>
      </c>
      <c r="AG210" s="115">
        <v>431.52369636687314</v>
      </c>
      <c r="AH210" s="115">
        <v>377.21668682838401</v>
      </c>
      <c r="AI210" s="115">
        <v>231.43920189205096</v>
      </c>
      <c r="AJ210" s="115">
        <v>300.93946544935119</v>
      </c>
      <c r="AK210" s="115">
        <v>277.9897026509214</v>
      </c>
      <c r="AL210" s="115">
        <v>428.33491613233463</v>
      </c>
      <c r="AM210" s="115">
        <v>603.24560826560662</v>
      </c>
      <c r="AN210" s="115">
        <v>459.16523118555131</v>
      </c>
      <c r="AO210" s="115">
        <v>485.91061092648988</v>
      </c>
      <c r="AP210" s="115">
        <v>531</v>
      </c>
      <c r="AQ210" s="115">
        <v>641.9366925759989</v>
      </c>
      <c r="AR210" s="115">
        <v>529.14731074485474</v>
      </c>
      <c r="AS210" s="115">
        <v>349.63686709682497</v>
      </c>
      <c r="AT210" s="115">
        <v>179.63248094991712</v>
      </c>
      <c r="AU210" s="115">
        <v>120.07352028138115</v>
      </c>
      <c r="AV210" s="115">
        <v>67.599262234235709</v>
      </c>
      <c r="AW210" s="115">
        <v>0</v>
      </c>
      <c r="AX210" s="115">
        <v>0</v>
      </c>
      <c r="AY210" s="115">
        <v>174.28566556593944</v>
      </c>
    </row>
    <row r="211" spans="1:51" x14ac:dyDescent="0.2">
      <c r="A211" s="114"/>
      <c r="B211" s="124">
        <v>3</v>
      </c>
      <c r="C211" s="111"/>
      <c r="D211" s="115">
        <v>0</v>
      </c>
      <c r="E211" s="115">
        <v>0</v>
      </c>
      <c r="F211" s="115">
        <v>0</v>
      </c>
      <c r="G211" s="115">
        <v>0</v>
      </c>
      <c r="H211" s="115">
        <v>0</v>
      </c>
      <c r="I211" s="115">
        <v>0</v>
      </c>
      <c r="J211" s="115">
        <v>0</v>
      </c>
      <c r="K211" s="115">
        <v>0</v>
      </c>
      <c r="L211" s="115">
        <v>0</v>
      </c>
      <c r="M211" s="115">
        <v>0</v>
      </c>
      <c r="N211" s="115">
        <v>0</v>
      </c>
      <c r="O211" s="115">
        <v>0</v>
      </c>
      <c r="P211" s="115">
        <v>0</v>
      </c>
      <c r="Q211" s="115">
        <v>137.04544056797411</v>
      </c>
      <c r="R211" s="115">
        <v>146.15066188303149</v>
      </c>
      <c r="S211" s="115">
        <v>229.04536106658315</v>
      </c>
      <c r="T211" s="115">
        <v>317.26615337227639</v>
      </c>
      <c r="U211" s="115">
        <v>187.86486644740032</v>
      </c>
      <c r="V211" s="115">
        <v>110.10370821501186</v>
      </c>
      <c r="W211" s="115">
        <v>6.8186658058622811</v>
      </c>
      <c r="X211" s="115">
        <v>0</v>
      </c>
      <c r="Y211" s="115">
        <v>0</v>
      </c>
      <c r="Z211" s="115">
        <v>0</v>
      </c>
      <c r="AA211" s="115">
        <v>0</v>
      </c>
      <c r="AB211" s="115">
        <v>0</v>
      </c>
      <c r="AC211" s="115">
        <v>0</v>
      </c>
      <c r="AD211" s="115">
        <v>0</v>
      </c>
      <c r="AE211" s="115">
        <v>0</v>
      </c>
      <c r="AF211" s="115">
        <v>0</v>
      </c>
      <c r="AG211" s="115">
        <v>0</v>
      </c>
      <c r="AH211" s="115">
        <v>0</v>
      </c>
      <c r="AI211" s="115">
        <v>0</v>
      </c>
      <c r="AJ211" s="115">
        <v>0</v>
      </c>
      <c r="AK211" s="115">
        <v>0</v>
      </c>
      <c r="AL211" s="115">
        <v>0</v>
      </c>
      <c r="AM211" s="115">
        <v>0</v>
      </c>
      <c r="AN211" s="115">
        <v>0</v>
      </c>
      <c r="AO211" s="115">
        <v>0</v>
      </c>
      <c r="AP211" s="115">
        <v>0</v>
      </c>
      <c r="AQ211" s="115">
        <v>109.06330742400111</v>
      </c>
      <c r="AR211" s="115">
        <v>70.852689255145307</v>
      </c>
      <c r="AS211" s="115">
        <v>172.36313290317506</v>
      </c>
      <c r="AT211" s="115">
        <v>333.92253218640184</v>
      </c>
      <c r="AU211" s="115">
        <v>486.92647971861885</v>
      </c>
      <c r="AV211" s="115">
        <v>482.40073776576429</v>
      </c>
      <c r="AW211" s="115">
        <v>616</v>
      </c>
      <c r="AX211" s="115">
        <v>547.61532172156387</v>
      </c>
      <c r="AY211" s="115">
        <v>590.82532841235161</v>
      </c>
    </row>
    <row r="212" spans="1:51" x14ac:dyDescent="0.2">
      <c r="A212" s="114"/>
      <c r="B212" s="124">
        <v>4</v>
      </c>
      <c r="C212" s="111"/>
      <c r="D212" s="115">
        <v>0</v>
      </c>
      <c r="E212" s="115">
        <v>0</v>
      </c>
      <c r="F212" s="115">
        <v>0</v>
      </c>
      <c r="G212" s="115">
        <v>0</v>
      </c>
      <c r="H212" s="115">
        <v>0</v>
      </c>
      <c r="I212" s="115">
        <v>0</v>
      </c>
      <c r="J212" s="115">
        <v>0</v>
      </c>
      <c r="K212" s="115">
        <v>0</v>
      </c>
      <c r="L212" s="115">
        <v>0</v>
      </c>
      <c r="M212" s="115">
        <v>0</v>
      </c>
      <c r="N212" s="115">
        <v>0</v>
      </c>
      <c r="O212" s="115">
        <v>0</v>
      </c>
      <c r="P212" s="115">
        <v>0</v>
      </c>
      <c r="Q212" s="115">
        <v>0</v>
      </c>
      <c r="R212" s="115">
        <v>0</v>
      </c>
      <c r="S212" s="115">
        <v>0</v>
      </c>
      <c r="T212" s="115">
        <v>0</v>
      </c>
      <c r="U212" s="115">
        <v>0</v>
      </c>
      <c r="V212" s="115">
        <v>0</v>
      </c>
      <c r="W212" s="115">
        <v>0</v>
      </c>
      <c r="X212" s="115">
        <v>0</v>
      </c>
      <c r="Y212" s="115">
        <v>0</v>
      </c>
      <c r="Z212" s="115">
        <v>0</v>
      </c>
      <c r="AA212" s="115">
        <v>0</v>
      </c>
      <c r="AB212" s="115">
        <v>0</v>
      </c>
      <c r="AC212" s="115">
        <v>0</v>
      </c>
      <c r="AD212" s="115">
        <v>0</v>
      </c>
      <c r="AE212" s="115">
        <v>0</v>
      </c>
      <c r="AF212" s="115">
        <v>0</v>
      </c>
      <c r="AG212" s="115">
        <v>0</v>
      </c>
      <c r="AH212" s="115">
        <v>0</v>
      </c>
      <c r="AI212" s="115">
        <v>0</v>
      </c>
      <c r="AJ212" s="115">
        <v>0</v>
      </c>
      <c r="AK212" s="115">
        <v>0</v>
      </c>
      <c r="AL212" s="115">
        <v>0</v>
      </c>
      <c r="AM212" s="115">
        <v>0</v>
      </c>
      <c r="AN212" s="115">
        <v>0</v>
      </c>
      <c r="AO212" s="115">
        <v>0</v>
      </c>
      <c r="AP212" s="115">
        <v>0</v>
      </c>
      <c r="AQ212" s="115">
        <v>0</v>
      </c>
      <c r="AR212" s="115">
        <v>0</v>
      </c>
      <c r="AS212" s="115">
        <v>0</v>
      </c>
      <c r="AT212" s="115">
        <v>0</v>
      </c>
      <c r="AU212" s="115">
        <v>0</v>
      </c>
      <c r="AV212" s="115">
        <v>0</v>
      </c>
      <c r="AW212" s="115">
        <v>0</v>
      </c>
      <c r="AX212" s="115">
        <v>17.384678278436152</v>
      </c>
      <c r="AY212" s="115">
        <v>38.889006021708965</v>
      </c>
    </row>
    <row r="213" spans="1:51" x14ac:dyDescent="0.2">
      <c r="A213" s="114"/>
      <c r="B213" s="124">
        <v>5</v>
      </c>
      <c r="C213" s="111"/>
      <c r="D213" s="115">
        <v>0</v>
      </c>
      <c r="E213" s="115">
        <v>0</v>
      </c>
      <c r="F213" s="115">
        <v>0</v>
      </c>
      <c r="G213" s="115">
        <v>0</v>
      </c>
      <c r="H213" s="115">
        <v>0</v>
      </c>
      <c r="I213" s="115">
        <v>0</v>
      </c>
      <c r="J213" s="115">
        <v>0</v>
      </c>
      <c r="K213" s="115">
        <v>0</v>
      </c>
      <c r="L213" s="115">
        <v>0</v>
      </c>
      <c r="M213" s="115">
        <v>0</v>
      </c>
      <c r="N213" s="115">
        <v>0</v>
      </c>
      <c r="O213" s="115">
        <v>0</v>
      </c>
      <c r="P213" s="115">
        <v>0</v>
      </c>
      <c r="Q213" s="115">
        <v>0</v>
      </c>
      <c r="R213" s="115">
        <v>0</v>
      </c>
      <c r="S213" s="115">
        <v>0</v>
      </c>
      <c r="T213" s="115">
        <v>0</v>
      </c>
      <c r="U213" s="115">
        <v>0</v>
      </c>
      <c r="V213" s="115">
        <v>0</v>
      </c>
      <c r="W213" s="115">
        <v>0</v>
      </c>
      <c r="X213" s="115">
        <v>0</v>
      </c>
      <c r="Y213" s="115">
        <v>0</v>
      </c>
      <c r="Z213" s="115">
        <v>0</v>
      </c>
      <c r="AA213" s="115">
        <v>0</v>
      </c>
      <c r="AB213" s="115">
        <v>0</v>
      </c>
      <c r="AC213" s="115">
        <v>0</v>
      </c>
      <c r="AD213" s="115">
        <v>0</v>
      </c>
      <c r="AE213" s="115">
        <v>0</v>
      </c>
      <c r="AF213" s="115">
        <v>0</v>
      </c>
      <c r="AG213" s="115">
        <v>0</v>
      </c>
      <c r="AH213" s="115">
        <v>0</v>
      </c>
      <c r="AI213" s="115">
        <v>0</v>
      </c>
      <c r="AJ213" s="115">
        <v>0</v>
      </c>
      <c r="AK213" s="115">
        <v>0</v>
      </c>
      <c r="AL213" s="115">
        <v>0</v>
      </c>
      <c r="AM213" s="115">
        <v>0</v>
      </c>
      <c r="AN213" s="115">
        <v>0</v>
      </c>
      <c r="AO213" s="115">
        <v>0</v>
      </c>
      <c r="AP213" s="115">
        <v>0</v>
      </c>
      <c r="AQ213" s="115">
        <v>0</v>
      </c>
      <c r="AR213" s="115">
        <v>0</v>
      </c>
      <c r="AS213" s="115">
        <v>0</v>
      </c>
      <c r="AT213" s="115">
        <v>0</v>
      </c>
      <c r="AU213" s="115">
        <v>0</v>
      </c>
      <c r="AV213" s="115">
        <v>0</v>
      </c>
      <c r="AW213" s="115">
        <v>0</v>
      </c>
      <c r="AX213" s="115">
        <v>0</v>
      </c>
      <c r="AY213" s="115">
        <v>0</v>
      </c>
    </row>
    <row r="214" spans="1:51" x14ac:dyDescent="0.2">
      <c r="A214" s="114"/>
      <c r="B214" s="124">
        <v>6</v>
      </c>
      <c r="C214" s="111"/>
      <c r="D214" s="115">
        <v>0</v>
      </c>
      <c r="E214" s="115">
        <v>0</v>
      </c>
      <c r="F214" s="115">
        <v>0</v>
      </c>
      <c r="G214" s="115">
        <v>0</v>
      </c>
      <c r="H214" s="115">
        <v>0</v>
      </c>
      <c r="I214" s="115">
        <v>0</v>
      </c>
      <c r="J214" s="115">
        <v>0</v>
      </c>
      <c r="K214" s="115">
        <v>0</v>
      </c>
      <c r="L214" s="115">
        <v>0</v>
      </c>
      <c r="M214" s="115">
        <v>0</v>
      </c>
      <c r="N214" s="115">
        <v>0</v>
      </c>
      <c r="O214" s="115">
        <v>0</v>
      </c>
      <c r="P214" s="115">
        <v>0</v>
      </c>
      <c r="Q214" s="115">
        <v>0</v>
      </c>
      <c r="R214" s="115">
        <v>0</v>
      </c>
      <c r="S214" s="115">
        <v>0</v>
      </c>
      <c r="T214" s="115">
        <v>0</v>
      </c>
      <c r="U214" s="115">
        <v>0</v>
      </c>
      <c r="V214" s="115">
        <v>0</v>
      </c>
      <c r="W214" s="115">
        <v>0</v>
      </c>
      <c r="X214" s="115">
        <v>0</v>
      </c>
      <c r="Y214" s="115">
        <v>0</v>
      </c>
      <c r="Z214" s="115">
        <v>0</v>
      </c>
      <c r="AA214" s="115">
        <v>0</v>
      </c>
      <c r="AB214" s="115">
        <v>0</v>
      </c>
      <c r="AC214" s="115">
        <v>0</v>
      </c>
      <c r="AD214" s="115">
        <v>0</v>
      </c>
      <c r="AE214" s="115">
        <v>0</v>
      </c>
      <c r="AF214" s="115">
        <v>0</v>
      </c>
      <c r="AG214" s="115">
        <v>0</v>
      </c>
      <c r="AH214" s="115">
        <v>0</v>
      </c>
      <c r="AI214" s="115">
        <v>0</v>
      </c>
      <c r="AJ214" s="115">
        <v>0</v>
      </c>
      <c r="AK214" s="115">
        <v>0</v>
      </c>
      <c r="AL214" s="115">
        <v>0</v>
      </c>
      <c r="AM214" s="115">
        <v>0</v>
      </c>
      <c r="AN214" s="115">
        <v>0</v>
      </c>
      <c r="AO214" s="115">
        <v>0</v>
      </c>
      <c r="AP214" s="115">
        <v>0</v>
      </c>
      <c r="AQ214" s="115">
        <v>0</v>
      </c>
      <c r="AR214" s="115">
        <v>0</v>
      </c>
      <c r="AS214" s="115">
        <v>0</v>
      </c>
      <c r="AT214" s="115">
        <v>0</v>
      </c>
      <c r="AU214" s="115">
        <v>0</v>
      </c>
      <c r="AV214" s="115">
        <v>0</v>
      </c>
      <c r="AW214" s="115">
        <v>0</v>
      </c>
      <c r="AX214" s="115">
        <v>0</v>
      </c>
      <c r="AY214" s="115">
        <v>0</v>
      </c>
    </row>
    <row r="215" spans="1:51" x14ac:dyDescent="0.2">
      <c r="A215" s="114"/>
      <c r="B215" s="124">
        <v>7</v>
      </c>
      <c r="C215" s="111"/>
      <c r="D215" s="115">
        <v>0</v>
      </c>
      <c r="E215" s="115">
        <v>0</v>
      </c>
      <c r="F215" s="115">
        <v>0</v>
      </c>
      <c r="G215" s="115">
        <v>0</v>
      </c>
      <c r="H215" s="115">
        <v>0</v>
      </c>
      <c r="I215" s="115">
        <v>0</v>
      </c>
      <c r="J215" s="115">
        <v>0</v>
      </c>
      <c r="K215" s="115">
        <v>0</v>
      </c>
      <c r="L215" s="115">
        <v>0</v>
      </c>
      <c r="M215" s="115">
        <v>0</v>
      </c>
      <c r="N215" s="115">
        <v>0</v>
      </c>
      <c r="O215" s="115">
        <v>0</v>
      </c>
      <c r="P215" s="115">
        <v>0</v>
      </c>
      <c r="Q215" s="115">
        <v>0</v>
      </c>
      <c r="R215" s="115">
        <v>0</v>
      </c>
      <c r="S215" s="115">
        <v>0</v>
      </c>
      <c r="T215" s="115">
        <v>0</v>
      </c>
      <c r="U215" s="115">
        <v>0</v>
      </c>
      <c r="V215" s="115">
        <v>0</v>
      </c>
      <c r="W215" s="115">
        <v>0</v>
      </c>
      <c r="X215" s="115">
        <v>0</v>
      </c>
      <c r="Y215" s="115">
        <v>0</v>
      </c>
      <c r="Z215" s="115">
        <v>0</v>
      </c>
      <c r="AA215" s="115">
        <v>0</v>
      </c>
      <c r="AB215" s="115">
        <v>0</v>
      </c>
      <c r="AC215" s="115">
        <v>0</v>
      </c>
      <c r="AD215" s="115">
        <v>0</v>
      </c>
      <c r="AE215" s="115">
        <v>0</v>
      </c>
      <c r="AF215" s="115">
        <v>0</v>
      </c>
      <c r="AG215" s="115">
        <v>0</v>
      </c>
      <c r="AH215" s="115">
        <v>0</v>
      </c>
      <c r="AI215" s="115">
        <v>0</v>
      </c>
      <c r="AJ215" s="115">
        <v>0</v>
      </c>
      <c r="AK215" s="115">
        <v>0</v>
      </c>
      <c r="AL215" s="115">
        <v>0</v>
      </c>
      <c r="AM215" s="115">
        <v>0</v>
      </c>
      <c r="AN215" s="115">
        <v>0</v>
      </c>
      <c r="AO215" s="115">
        <v>0</v>
      </c>
      <c r="AP215" s="115">
        <v>0</v>
      </c>
      <c r="AQ215" s="115">
        <v>0</v>
      </c>
      <c r="AR215" s="115">
        <v>0</v>
      </c>
      <c r="AS215" s="115">
        <v>0</v>
      </c>
      <c r="AT215" s="115">
        <v>0</v>
      </c>
      <c r="AU215" s="115">
        <v>0</v>
      </c>
      <c r="AV215" s="115">
        <v>0</v>
      </c>
      <c r="AW215" s="115">
        <v>0</v>
      </c>
      <c r="AX215" s="115">
        <v>0</v>
      </c>
      <c r="AY215" s="115">
        <v>0</v>
      </c>
    </row>
    <row r="216" spans="1:51" x14ac:dyDescent="0.2">
      <c r="A216" s="114"/>
      <c r="B216" s="124">
        <v>8</v>
      </c>
      <c r="C216" s="111"/>
      <c r="D216" s="115">
        <v>0</v>
      </c>
      <c r="E216" s="115">
        <v>0</v>
      </c>
      <c r="F216" s="115">
        <v>0</v>
      </c>
      <c r="G216" s="115">
        <v>0</v>
      </c>
      <c r="H216" s="115">
        <v>0</v>
      </c>
      <c r="I216" s="115">
        <v>0</v>
      </c>
      <c r="J216" s="115">
        <v>0</v>
      </c>
      <c r="K216" s="115">
        <v>0</v>
      </c>
      <c r="L216" s="115">
        <v>0</v>
      </c>
      <c r="M216" s="115">
        <v>0</v>
      </c>
      <c r="N216" s="115">
        <v>0</v>
      </c>
      <c r="O216" s="115">
        <v>0</v>
      </c>
      <c r="P216" s="115">
        <v>0</v>
      </c>
      <c r="Q216" s="115">
        <v>0</v>
      </c>
      <c r="R216" s="115">
        <v>0</v>
      </c>
      <c r="S216" s="115">
        <v>0</v>
      </c>
      <c r="T216" s="115">
        <v>0</v>
      </c>
      <c r="U216" s="115">
        <v>0</v>
      </c>
      <c r="V216" s="115">
        <v>0</v>
      </c>
      <c r="W216" s="115">
        <v>0</v>
      </c>
      <c r="X216" s="115">
        <v>0</v>
      </c>
      <c r="Y216" s="115">
        <v>0</v>
      </c>
      <c r="Z216" s="115">
        <v>0</v>
      </c>
      <c r="AA216" s="115">
        <v>0</v>
      </c>
      <c r="AB216" s="115">
        <v>0</v>
      </c>
      <c r="AC216" s="115">
        <v>0</v>
      </c>
      <c r="AD216" s="115">
        <v>0</v>
      </c>
      <c r="AE216" s="115">
        <v>0</v>
      </c>
      <c r="AF216" s="115">
        <v>0</v>
      </c>
      <c r="AG216" s="115">
        <v>0</v>
      </c>
      <c r="AH216" s="115">
        <v>0</v>
      </c>
      <c r="AI216" s="115">
        <v>0</v>
      </c>
      <c r="AJ216" s="115">
        <v>0</v>
      </c>
      <c r="AK216" s="115">
        <v>0</v>
      </c>
      <c r="AL216" s="115">
        <v>0</v>
      </c>
      <c r="AM216" s="115">
        <v>0</v>
      </c>
      <c r="AN216" s="115">
        <v>0</v>
      </c>
      <c r="AO216" s="115">
        <v>0</v>
      </c>
      <c r="AP216" s="115">
        <v>0</v>
      </c>
      <c r="AQ216" s="115">
        <v>0</v>
      </c>
      <c r="AR216" s="115">
        <v>0</v>
      </c>
      <c r="AS216" s="115">
        <v>0</v>
      </c>
      <c r="AT216" s="115">
        <v>0</v>
      </c>
      <c r="AU216" s="115">
        <v>0</v>
      </c>
      <c r="AV216" s="115">
        <v>0</v>
      </c>
      <c r="AW216" s="115">
        <v>0</v>
      </c>
      <c r="AX216" s="115">
        <v>0</v>
      </c>
      <c r="AY216" s="115">
        <v>0</v>
      </c>
    </row>
    <row r="217" spans="1:51" x14ac:dyDescent="0.2">
      <c r="A217" s="114"/>
      <c r="B217" s="124">
        <v>9</v>
      </c>
      <c r="C217" s="111"/>
      <c r="D217" s="115">
        <v>0</v>
      </c>
      <c r="E217" s="115">
        <v>0</v>
      </c>
      <c r="F217" s="115">
        <v>0</v>
      </c>
      <c r="G217" s="115">
        <v>0</v>
      </c>
      <c r="H217" s="115">
        <v>0</v>
      </c>
      <c r="I217" s="115">
        <v>0</v>
      </c>
      <c r="J217" s="115">
        <v>0</v>
      </c>
      <c r="K217" s="115">
        <v>0</v>
      </c>
      <c r="L217" s="115">
        <v>0</v>
      </c>
      <c r="M217" s="115">
        <v>0</v>
      </c>
      <c r="N217" s="115">
        <v>0</v>
      </c>
      <c r="O217" s="115">
        <v>0</v>
      </c>
      <c r="P217" s="115">
        <v>0</v>
      </c>
      <c r="Q217" s="115">
        <v>0</v>
      </c>
      <c r="R217" s="115">
        <v>0</v>
      </c>
      <c r="S217" s="115">
        <v>0</v>
      </c>
      <c r="T217" s="115">
        <v>0</v>
      </c>
      <c r="U217" s="115">
        <v>0</v>
      </c>
      <c r="V217" s="115">
        <v>0</v>
      </c>
      <c r="W217" s="115">
        <v>0</v>
      </c>
      <c r="X217" s="115">
        <v>0</v>
      </c>
      <c r="Y217" s="115">
        <v>0</v>
      </c>
      <c r="Z217" s="115">
        <v>0</v>
      </c>
      <c r="AA217" s="115">
        <v>0</v>
      </c>
      <c r="AB217" s="115">
        <v>0</v>
      </c>
      <c r="AC217" s="115">
        <v>0</v>
      </c>
      <c r="AD217" s="115">
        <v>0</v>
      </c>
      <c r="AE217" s="115">
        <v>0</v>
      </c>
      <c r="AF217" s="115">
        <v>0</v>
      </c>
      <c r="AG217" s="115">
        <v>0</v>
      </c>
      <c r="AH217" s="115">
        <v>0</v>
      </c>
      <c r="AI217" s="115">
        <v>0</v>
      </c>
      <c r="AJ217" s="115">
        <v>0</v>
      </c>
      <c r="AK217" s="115">
        <v>0</v>
      </c>
      <c r="AL217" s="115">
        <v>0</v>
      </c>
      <c r="AM217" s="115">
        <v>0</v>
      </c>
      <c r="AN217" s="115">
        <v>0</v>
      </c>
      <c r="AO217" s="115">
        <v>0</v>
      </c>
      <c r="AP217" s="115">
        <v>0</v>
      </c>
      <c r="AQ217" s="115">
        <v>0</v>
      </c>
      <c r="AR217" s="115">
        <v>0</v>
      </c>
      <c r="AS217" s="115">
        <v>0</v>
      </c>
      <c r="AT217" s="115">
        <v>0</v>
      </c>
      <c r="AU217" s="115">
        <v>0</v>
      </c>
      <c r="AV217" s="115">
        <v>0</v>
      </c>
      <c r="AW217" s="115">
        <v>0</v>
      </c>
      <c r="AX217" s="115">
        <v>0</v>
      </c>
      <c r="AY217" s="115">
        <v>0</v>
      </c>
    </row>
    <row r="218" spans="1:51" x14ac:dyDescent="0.2">
      <c r="A218" s="114"/>
      <c r="B218" s="124">
        <v>10</v>
      </c>
      <c r="C218" s="111"/>
      <c r="D218" s="115">
        <v>0</v>
      </c>
      <c r="E218" s="115">
        <v>0</v>
      </c>
      <c r="F218" s="115">
        <v>0</v>
      </c>
      <c r="G218" s="115">
        <v>0</v>
      </c>
      <c r="H218" s="115">
        <v>0</v>
      </c>
      <c r="I218" s="115">
        <v>0</v>
      </c>
      <c r="J218" s="115">
        <v>0</v>
      </c>
      <c r="K218" s="115">
        <v>0</v>
      </c>
      <c r="L218" s="115">
        <v>0</v>
      </c>
      <c r="M218" s="115">
        <v>0</v>
      </c>
      <c r="N218" s="115">
        <v>0</v>
      </c>
      <c r="O218" s="115">
        <v>0</v>
      </c>
      <c r="P218" s="115">
        <v>0</v>
      </c>
      <c r="Q218" s="115">
        <v>0</v>
      </c>
      <c r="R218" s="115">
        <v>0</v>
      </c>
      <c r="S218" s="115">
        <v>0</v>
      </c>
      <c r="T218" s="115">
        <v>0</v>
      </c>
      <c r="U218" s="115">
        <v>0</v>
      </c>
      <c r="V218" s="115">
        <v>0</v>
      </c>
      <c r="W218" s="115">
        <v>0</v>
      </c>
      <c r="X218" s="115">
        <v>0</v>
      </c>
      <c r="Y218" s="115">
        <v>0</v>
      </c>
      <c r="Z218" s="115">
        <v>0</v>
      </c>
      <c r="AA218" s="115">
        <v>0</v>
      </c>
      <c r="AB218" s="115">
        <v>0</v>
      </c>
      <c r="AC218" s="115">
        <v>0</v>
      </c>
      <c r="AD218" s="115">
        <v>0</v>
      </c>
      <c r="AE218" s="115">
        <v>0</v>
      </c>
      <c r="AF218" s="115">
        <v>0</v>
      </c>
      <c r="AG218" s="115">
        <v>0</v>
      </c>
      <c r="AH218" s="115">
        <v>0</v>
      </c>
      <c r="AI218" s="115">
        <v>0</v>
      </c>
      <c r="AJ218" s="115">
        <v>0</v>
      </c>
      <c r="AK218" s="115">
        <v>0</v>
      </c>
      <c r="AL218" s="115">
        <v>0</v>
      </c>
      <c r="AM218" s="115">
        <v>0</v>
      </c>
      <c r="AN218" s="115">
        <v>0</v>
      </c>
      <c r="AO218" s="115">
        <v>0</v>
      </c>
      <c r="AP218" s="115">
        <v>0</v>
      </c>
      <c r="AQ218" s="115">
        <v>0</v>
      </c>
      <c r="AR218" s="115">
        <v>0</v>
      </c>
      <c r="AS218" s="115">
        <v>0</v>
      </c>
      <c r="AT218" s="115">
        <v>0</v>
      </c>
      <c r="AU218" s="115">
        <v>0</v>
      </c>
      <c r="AV218" s="115">
        <v>0</v>
      </c>
      <c r="AW218" s="115">
        <v>0</v>
      </c>
      <c r="AX218" s="115">
        <v>0</v>
      </c>
      <c r="AY218" s="115">
        <v>0</v>
      </c>
    </row>
    <row r="219" spans="1:51" x14ac:dyDescent="0.2">
      <c r="A219" s="114"/>
      <c r="B219" s="124">
        <v>11</v>
      </c>
      <c r="C219" s="111"/>
      <c r="D219" s="115">
        <v>0</v>
      </c>
      <c r="E219" s="115">
        <v>0</v>
      </c>
      <c r="F219" s="115">
        <v>0</v>
      </c>
      <c r="G219" s="115">
        <v>0</v>
      </c>
      <c r="H219" s="115">
        <v>0</v>
      </c>
      <c r="I219" s="115">
        <v>0</v>
      </c>
      <c r="J219" s="115">
        <v>0</v>
      </c>
      <c r="K219" s="115">
        <v>0</v>
      </c>
      <c r="L219" s="115">
        <v>0</v>
      </c>
      <c r="M219" s="115">
        <v>0</v>
      </c>
      <c r="N219" s="115">
        <v>0</v>
      </c>
      <c r="O219" s="115">
        <v>0</v>
      </c>
      <c r="P219" s="115">
        <v>0</v>
      </c>
      <c r="Q219" s="115">
        <v>0</v>
      </c>
      <c r="R219" s="115">
        <v>0</v>
      </c>
      <c r="S219" s="115">
        <v>0</v>
      </c>
      <c r="T219" s="115">
        <v>0</v>
      </c>
      <c r="U219" s="115">
        <v>0</v>
      </c>
      <c r="V219" s="115">
        <v>0</v>
      </c>
      <c r="W219" s="115">
        <v>0</v>
      </c>
      <c r="X219" s="115">
        <v>0</v>
      </c>
      <c r="Y219" s="115">
        <v>0</v>
      </c>
      <c r="Z219" s="115">
        <v>0</v>
      </c>
      <c r="AA219" s="115">
        <v>0</v>
      </c>
      <c r="AB219" s="115">
        <v>0</v>
      </c>
      <c r="AC219" s="115">
        <v>0</v>
      </c>
      <c r="AD219" s="115">
        <v>0</v>
      </c>
      <c r="AE219" s="115">
        <v>0</v>
      </c>
      <c r="AF219" s="115">
        <v>0</v>
      </c>
      <c r="AG219" s="115">
        <v>0</v>
      </c>
      <c r="AH219" s="115">
        <v>0</v>
      </c>
      <c r="AI219" s="115">
        <v>0</v>
      </c>
      <c r="AJ219" s="115">
        <v>0</v>
      </c>
      <c r="AK219" s="115">
        <v>0</v>
      </c>
      <c r="AL219" s="115">
        <v>0</v>
      </c>
      <c r="AM219" s="115">
        <v>0</v>
      </c>
      <c r="AN219" s="115">
        <v>0</v>
      </c>
      <c r="AO219" s="115">
        <v>0</v>
      </c>
      <c r="AP219" s="115">
        <v>0</v>
      </c>
      <c r="AQ219" s="115">
        <v>0</v>
      </c>
      <c r="AR219" s="115">
        <v>0</v>
      </c>
      <c r="AS219" s="115">
        <v>0</v>
      </c>
      <c r="AT219" s="115">
        <v>0</v>
      </c>
      <c r="AU219" s="115">
        <v>0</v>
      </c>
      <c r="AV219" s="115">
        <v>0</v>
      </c>
      <c r="AW219" s="115">
        <v>0</v>
      </c>
      <c r="AX219" s="115">
        <v>0</v>
      </c>
      <c r="AY219" s="115">
        <v>0</v>
      </c>
    </row>
    <row r="220" spans="1:51" x14ac:dyDescent="0.2">
      <c r="A220" s="114"/>
      <c r="B220" s="124">
        <v>12</v>
      </c>
      <c r="C220" s="111"/>
      <c r="D220" s="115">
        <v>0</v>
      </c>
      <c r="E220" s="115">
        <v>0</v>
      </c>
      <c r="F220" s="115">
        <v>0</v>
      </c>
      <c r="G220" s="115">
        <v>0</v>
      </c>
      <c r="H220" s="115">
        <v>0</v>
      </c>
      <c r="I220" s="115">
        <v>0</v>
      </c>
      <c r="J220" s="115">
        <v>0</v>
      </c>
      <c r="K220" s="115">
        <v>0</v>
      </c>
      <c r="L220" s="115">
        <v>0</v>
      </c>
      <c r="M220" s="115">
        <v>0</v>
      </c>
      <c r="N220" s="115">
        <v>0</v>
      </c>
      <c r="O220" s="115">
        <v>0</v>
      </c>
      <c r="P220" s="115">
        <v>0</v>
      </c>
      <c r="Q220" s="115">
        <v>0</v>
      </c>
      <c r="R220" s="115">
        <v>0</v>
      </c>
      <c r="S220" s="115">
        <v>0</v>
      </c>
      <c r="T220" s="115">
        <v>0</v>
      </c>
      <c r="U220" s="115">
        <v>0</v>
      </c>
      <c r="V220" s="115">
        <v>0</v>
      </c>
      <c r="W220" s="115">
        <v>0</v>
      </c>
      <c r="X220" s="115">
        <v>0</v>
      </c>
      <c r="Y220" s="115">
        <v>0</v>
      </c>
      <c r="Z220" s="115">
        <v>0</v>
      </c>
      <c r="AA220" s="115">
        <v>0</v>
      </c>
      <c r="AB220" s="115">
        <v>0</v>
      </c>
      <c r="AC220" s="115">
        <v>0</v>
      </c>
      <c r="AD220" s="115">
        <v>0</v>
      </c>
      <c r="AE220" s="115">
        <v>0</v>
      </c>
      <c r="AF220" s="115">
        <v>0</v>
      </c>
      <c r="AG220" s="115">
        <v>0</v>
      </c>
      <c r="AH220" s="115">
        <v>0</v>
      </c>
      <c r="AI220" s="115">
        <v>0</v>
      </c>
      <c r="AJ220" s="115">
        <v>0</v>
      </c>
      <c r="AK220" s="115">
        <v>0</v>
      </c>
      <c r="AL220" s="115">
        <v>0</v>
      </c>
      <c r="AM220" s="115">
        <v>0</v>
      </c>
      <c r="AN220" s="115">
        <v>0</v>
      </c>
      <c r="AO220" s="115">
        <v>0</v>
      </c>
      <c r="AP220" s="115">
        <v>0</v>
      </c>
      <c r="AQ220" s="115">
        <v>0</v>
      </c>
      <c r="AR220" s="115">
        <v>0</v>
      </c>
      <c r="AS220" s="115">
        <v>0</v>
      </c>
      <c r="AT220" s="115">
        <v>0</v>
      </c>
      <c r="AU220" s="115">
        <v>0</v>
      </c>
      <c r="AV220" s="115">
        <v>0</v>
      </c>
      <c r="AW220" s="115">
        <v>0</v>
      </c>
      <c r="AX220" s="115">
        <v>0</v>
      </c>
      <c r="AY220" s="115">
        <v>0</v>
      </c>
    </row>
    <row r="221" spans="1:51" x14ac:dyDescent="0.2">
      <c r="A221" s="114"/>
      <c r="B221" s="125">
        <v>13</v>
      </c>
      <c r="C221" s="111"/>
      <c r="D221" s="115">
        <v>0</v>
      </c>
      <c r="E221" s="115">
        <v>0</v>
      </c>
      <c r="F221" s="115">
        <v>0</v>
      </c>
      <c r="G221" s="115">
        <v>0</v>
      </c>
      <c r="H221" s="115">
        <v>0</v>
      </c>
      <c r="I221" s="115">
        <v>0</v>
      </c>
      <c r="J221" s="115">
        <v>0</v>
      </c>
      <c r="K221" s="115">
        <v>0</v>
      </c>
      <c r="L221" s="115">
        <v>0</v>
      </c>
      <c r="M221" s="115">
        <v>0</v>
      </c>
      <c r="N221" s="115">
        <v>0</v>
      </c>
      <c r="O221" s="115">
        <v>0</v>
      </c>
      <c r="P221" s="115">
        <v>0</v>
      </c>
      <c r="Q221" s="115">
        <v>0</v>
      </c>
      <c r="R221" s="115">
        <v>0</v>
      </c>
      <c r="S221" s="115">
        <v>0</v>
      </c>
      <c r="T221" s="115">
        <v>0</v>
      </c>
      <c r="U221" s="115">
        <v>0</v>
      </c>
      <c r="V221" s="115">
        <v>0</v>
      </c>
      <c r="W221" s="115">
        <v>0</v>
      </c>
      <c r="X221" s="115">
        <v>0</v>
      </c>
      <c r="Y221" s="115">
        <v>0</v>
      </c>
      <c r="Z221" s="115">
        <v>0</v>
      </c>
      <c r="AA221" s="115">
        <v>0</v>
      </c>
      <c r="AB221" s="115">
        <v>0</v>
      </c>
      <c r="AC221" s="115">
        <v>0</v>
      </c>
      <c r="AD221" s="115">
        <v>0</v>
      </c>
      <c r="AE221" s="115">
        <v>0</v>
      </c>
      <c r="AF221" s="115">
        <v>0</v>
      </c>
      <c r="AG221" s="115">
        <v>0</v>
      </c>
      <c r="AH221" s="115">
        <v>0</v>
      </c>
      <c r="AI221" s="115">
        <v>0</v>
      </c>
      <c r="AJ221" s="115">
        <v>0</v>
      </c>
      <c r="AK221" s="115">
        <v>0</v>
      </c>
      <c r="AL221" s="115">
        <v>0</v>
      </c>
      <c r="AM221" s="115">
        <v>0</v>
      </c>
      <c r="AN221" s="115">
        <v>0</v>
      </c>
      <c r="AO221" s="115">
        <v>0</v>
      </c>
      <c r="AP221" s="115">
        <v>0</v>
      </c>
      <c r="AQ221" s="115">
        <v>0</v>
      </c>
      <c r="AR221" s="115">
        <v>0</v>
      </c>
      <c r="AS221" s="115">
        <v>0</v>
      </c>
      <c r="AT221" s="115">
        <v>0</v>
      </c>
      <c r="AU221" s="115">
        <v>0</v>
      </c>
      <c r="AV221" s="115">
        <v>0</v>
      </c>
      <c r="AW221" s="115">
        <v>0</v>
      </c>
      <c r="AX221" s="115">
        <v>0</v>
      </c>
      <c r="AY221" s="115">
        <v>0</v>
      </c>
    </row>
    <row r="222" spans="1:51" x14ac:dyDescent="0.2">
      <c r="A222" s="114"/>
      <c r="B222" s="125">
        <v>14</v>
      </c>
      <c r="C222" s="111"/>
      <c r="D222" s="115">
        <v>0</v>
      </c>
      <c r="E222" s="115">
        <v>0</v>
      </c>
      <c r="F222" s="115">
        <v>0</v>
      </c>
      <c r="G222" s="115">
        <v>0</v>
      </c>
      <c r="H222" s="115">
        <v>0</v>
      </c>
      <c r="I222" s="115">
        <v>0</v>
      </c>
      <c r="J222" s="115">
        <v>0</v>
      </c>
      <c r="K222" s="115">
        <v>0</v>
      </c>
      <c r="L222" s="115">
        <v>0</v>
      </c>
      <c r="M222" s="115">
        <v>0</v>
      </c>
      <c r="N222" s="115">
        <v>0</v>
      </c>
      <c r="O222" s="115">
        <v>0</v>
      </c>
      <c r="P222" s="115">
        <v>0</v>
      </c>
      <c r="Q222" s="115">
        <v>0</v>
      </c>
      <c r="R222" s="115">
        <v>0</v>
      </c>
      <c r="S222" s="115">
        <v>0</v>
      </c>
      <c r="T222" s="115">
        <v>0</v>
      </c>
      <c r="U222" s="115">
        <v>0</v>
      </c>
      <c r="V222" s="115">
        <v>0</v>
      </c>
      <c r="W222" s="115">
        <v>0</v>
      </c>
      <c r="X222" s="115">
        <v>0</v>
      </c>
      <c r="Y222" s="115">
        <v>0</v>
      </c>
      <c r="Z222" s="115">
        <v>0</v>
      </c>
      <c r="AA222" s="115">
        <v>0</v>
      </c>
      <c r="AB222" s="115">
        <v>0</v>
      </c>
      <c r="AC222" s="115">
        <v>0</v>
      </c>
      <c r="AD222" s="115">
        <v>0</v>
      </c>
      <c r="AE222" s="115">
        <v>0</v>
      </c>
      <c r="AF222" s="115">
        <v>0</v>
      </c>
      <c r="AG222" s="115">
        <v>0</v>
      </c>
      <c r="AH222" s="115">
        <v>0</v>
      </c>
      <c r="AI222" s="115">
        <v>0</v>
      </c>
      <c r="AJ222" s="115">
        <v>0</v>
      </c>
      <c r="AK222" s="115">
        <v>0</v>
      </c>
      <c r="AL222" s="115">
        <v>0</v>
      </c>
      <c r="AM222" s="115">
        <v>0</v>
      </c>
      <c r="AN222" s="115">
        <v>0</v>
      </c>
      <c r="AO222" s="115">
        <v>0</v>
      </c>
      <c r="AP222" s="115">
        <v>0</v>
      </c>
      <c r="AQ222" s="115">
        <v>0</v>
      </c>
      <c r="AR222" s="115">
        <v>0</v>
      </c>
      <c r="AS222" s="115">
        <v>0</v>
      </c>
      <c r="AT222" s="115">
        <v>0</v>
      </c>
      <c r="AU222" s="115">
        <v>0</v>
      </c>
      <c r="AV222" s="115">
        <v>0</v>
      </c>
      <c r="AW222" s="115">
        <v>0</v>
      </c>
      <c r="AX222" s="115">
        <v>0</v>
      </c>
      <c r="AY222" s="115">
        <v>0</v>
      </c>
    </row>
    <row r="223" spans="1:51" x14ac:dyDescent="0.2">
      <c r="A223" s="114"/>
      <c r="B223" s="125">
        <v>15</v>
      </c>
      <c r="C223" s="111"/>
      <c r="D223" s="115">
        <v>0</v>
      </c>
      <c r="E223" s="115">
        <v>0</v>
      </c>
      <c r="F223" s="115">
        <v>0</v>
      </c>
      <c r="G223" s="115">
        <v>0</v>
      </c>
      <c r="H223" s="115">
        <v>0</v>
      </c>
      <c r="I223" s="115">
        <v>0</v>
      </c>
      <c r="J223" s="115">
        <v>0</v>
      </c>
      <c r="K223" s="115">
        <v>0</v>
      </c>
      <c r="L223" s="115">
        <v>0</v>
      </c>
      <c r="M223" s="115">
        <v>0</v>
      </c>
      <c r="N223" s="115">
        <v>0</v>
      </c>
      <c r="O223" s="115">
        <v>0</v>
      </c>
      <c r="P223" s="115">
        <v>0</v>
      </c>
      <c r="Q223" s="115">
        <v>0</v>
      </c>
      <c r="R223" s="115">
        <v>0</v>
      </c>
      <c r="S223" s="115">
        <v>0</v>
      </c>
      <c r="T223" s="115">
        <v>0</v>
      </c>
      <c r="U223" s="115">
        <v>0</v>
      </c>
      <c r="V223" s="115">
        <v>0</v>
      </c>
      <c r="W223" s="115">
        <v>0</v>
      </c>
      <c r="X223" s="115">
        <v>0</v>
      </c>
      <c r="Y223" s="115">
        <v>0</v>
      </c>
      <c r="Z223" s="115">
        <v>0</v>
      </c>
      <c r="AA223" s="115">
        <v>0</v>
      </c>
      <c r="AB223" s="115">
        <v>0</v>
      </c>
      <c r="AC223" s="115">
        <v>0</v>
      </c>
      <c r="AD223" s="115">
        <v>0</v>
      </c>
      <c r="AE223" s="115">
        <v>0</v>
      </c>
      <c r="AF223" s="115">
        <v>0</v>
      </c>
      <c r="AG223" s="115">
        <v>0</v>
      </c>
      <c r="AH223" s="115">
        <v>0</v>
      </c>
      <c r="AI223" s="115">
        <v>0</v>
      </c>
      <c r="AJ223" s="115">
        <v>0</v>
      </c>
      <c r="AK223" s="115">
        <v>0</v>
      </c>
      <c r="AL223" s="115">
        <v>0</v>
      </c>
      <c r="AM223" s="115">
        <v>0</v>
      </c>
      <c r="AN223" s="115">
        <v>0</v>
      </c>
      <c r="AO223" s="115">
        <v>0</v>
      </c>
      <c r="AP223" s="115">
        <v>0</v>
      </c>
      <c r="AQ223" s="115">
        <v>0</v>
      </c>
      <c r="AR223" s="115">
        <v>0</v>
      </c>
      <c r="AS223" s="115">
        <v>0</v>
      </c>
      <c r="AT223" s="115">
        <v>0</v>
      </c>
      <c r="AU223" s="115">
        <v>0</v>
      </c>
      <c r="AV223" s="115">
        <v>0</v>
      </c>
      <c r="AW223" s="115">
        <v>0</v>
      </c>
      <c r="AX223" s="115">
        <v>0</v>
      </c>
      <c r="AY223" s="115">
        <v>0</v>
      </c>
    </row>
    <row r="224" spans="1:51" x14ac:dyDescent="0.2">
      <c r="A224" s="114"/>
      <c r="B224" s="125">
        <v>16</v>
      </c>
      <c r="C224" s="111"/>
      <c r="D224" s="115">
        <v>0</v>
      </c>
      <c r="E224" s="115">
        <v>0</v>
      </c>
      <c r="F224" s="115">
        <v>0</v>
      </c>
      <c r="G224" s="115">
        <v>0</v>
      </c>
      <c r="H224" s="115">
        <v>0</v>
      </c>
      <c r="I224" s="115">
        <v>0</v>
      </c>
      <c r="J224" s="115">
        <v>0</v>
      </c>
      <c r="K224" s="115">
        <v>0</v>
      </c>
      <c r="L224" s="115">
        <v>0</v>
      </c>
      <c r="M224" s="115">
        <v>0</v>
      </c>
      <c r="N224" s="115">
        <v>0</v>
      </c>
      <c r="O224" s="115">
        <v>0</v>
      </c>
      <c r="P224" s="115">
        <v>0</v>
      </c>
      <c r="Q224" s="115">
        <v>0</v>
      </c>
      <c r="R224" s="115">
        <v>0</v>
      </c>
      <c r="S224" s="115">
        <v>0</v>
      </c>
      <c r="T224" s="115">
        <v>0</v>
      </c>
      <c r="U224" s="115">
        <v>0</v>
      </c>
      <c r="V224" s="115">
        <v>0</v>
      </c>
      <c r="W224" s="115">
        <v>0</v>
      </c>
      <c r="X224" s="115">
        <v>0</v>
      </c>
      <c r="Y224" s="115">
        <v>0</v>
      </c>
      <c r="Z224" s="115">
        <v>0</v>
      </c>
      <c r="AA224" s="115">
        <v>0</v>
      </c>
      <c r="AB224" s="115">
        <v>0</v>
      </c>
      <c r="AC224" s="115">
        <v>0</v>
      </c>
      <c r="AD224" s="115">
        <v>0</v>
      </c>
      <c r="AE224" s="115">
        <v>0</v>
      </c>
      <c r="AF224" s="115">
        <v>0</v>
      </c>
      <c r="AG224" s="115">
        <v>0</v>
      </c>
      <c r="AH224" s="115">
        <v>0</v>
      </c>
      <c r="AI224" s="115">
        <v>0</v>
      </c>
      <c r="AJ224" s="115">
        <v>0</v>
      </c>
      <c r="AK224" s="115">
        <v>0</v>
      </c>
      <c r="AL224" s="115">
        <v>0</v>
      </c>
      <c r="AM224" s="115">
        <v>0</v>
      </c>
      <c r="AN224" s="115">
        <v>0</v>
      </c>
      <c r="AO224" s="115">
        <v>0</v>
      </c>
      <c r="AP224" s="115">
        <v>0</v>
      </c>
      <c r="AQ224" s="115">
        <v>0</v>
      </c>
      <c r="AR224" s="115">
        <v>0</v>
      </c>
      <c r="AS224" s="115">
        <v>0</v>
      </c>
      <c r="AT224" s="115">
        <v>0</v>
      </c>
      <c r="AU224" s="115">
        <v>0</v>
      </c>
      <c r="AV224" s="115">
        <v>0</v>
      </c>
      <c r="AW224" s="115">
        <v>0</v>
      </c>
      <c r="AX224" s="115">
        <v>0</v>
      </c>
      <c r="AY224" s="115">
        <v>0</v>
      </c>
    </row>
    <row r="225" spans="1:51" x14ac:dyDescent="0.2">
      <c r="A225" s="114"/>
      <c r="B225" s="125">
        <v>17</v>
      </c>
      <c r="C225" s="111"/>
      <c r="D225" s="115">
        <v>0</v>
      </c>
      <c r="E225" s="115">
        <v>0</v>
      </c>
      <c r="F225" s="115">
        <v>0</v>
      </c>
      <c r="G225" s="115">
        <v>0</v>
      </c>
      <c r="H225" s="115">
        <v>0</v>
      </c>
      <c r="I225" s="115">
        <v>0</v>
      </c>
      <c r="J225" s="115">
        <v>0</v>
      </c>
      <c r="K225" s="115">
        <v>0</v>
      </c>
      <c r="L225" s="115">
        <v>0</v>
      </c>
      <c r="M225" s="115">
        <v>0</v>
      </c>
      <c r="N225" s="115">
        <v>0</v>
      </c>
      <c r="O225" s="115">
        <v>0</v>
      </c>
      <c r="P225" s="115">
        <v>0</v>
      </c>
      <c r="Q225" s="115">
        <v>0</v>
      </c>
      <c r="R225" s="115">
        <v>0</v>
      </c>
      <c r="S225" s="115">
        <v>0</v>
      </c>
      <c r="T225" s="115">
        <v>0</v>
      </c>
      <c r="U225" s="115">
        <v>0</v>
      </c>
      <c r="V225" s="115">
        <v>0</v>
      </c>
      <c r="W225" s="115">
        <v>0</v>
      </c>
      <c r="X225" s="115">
        <v>0</v>
      </c>
      <c r="Y225" s="115">
        <v>0</v>
      </c>
      <c r="Z225" s="115">
        <v>0</v>
      </c>
      <c r="AA225" s="115">
        <v>0</v>
      </c>
      <c r="AB225" s="115">
        <v>0</v>
      </c>
      <c r="AC225" s="115">
        <v>0</v>
      </c>
      <c r="AD225" s="115">
        <v>0</v>
      </c>
      <c r="AE225" s="115">
        <v>0</v>
      </c>
      <c r="AF225" s="115">
        <v>0</v>
      </c>
      <c r="AG225" s="115">
        <v>0</v>
      </c>
      <c r="AH225" s="115">
        <v>0</v>
      </c>
      <c r="AI225" s="115">
        <v>0</v>
      </c>
      <c r="AJ225" s="115">
        <v>0</v>
      </c>
      <c r="AK225" s="115">
        <v>0</v>
      </c>
      <c r="AL225" s="115">
        <v>0</v>
      </c>
      <c r="AM225" s="115">
        <v>0</v>
      </c>
      <c r="AN225" s="115">
        <v>0</v>
      </c>
      <c r="AO225" s="115">
        <v>0</v>
      </c>
      <c r="AP225" s="115">
        <v>0</v>
      </c>
      <c r="AQ225" s="115">
        <v>0</v>
      </c>
      <c r="AR225" s="115">
        <v>0</v>
      </c>
      <c r="AS225" s="115">
        <v>0</v>
      </c>
      <c r="AT225" s="115">
        <v>0</v>
      </c>
      <c r="AU225" s="115">
        <v>0</v>
      </c>
      <c r="AV225" s="115">
        <v>0</v>
      </c>
      <c r="AW225" s="115">
        <v>0</v>
      </c>
      <c r="AX225" s="115">
        <v>0</v>
      </c>
      <c r="AY225" s="115">
        <v>0</v>
      </c>
    </row>
    <row r="226" spans="1:51" x14ac:dyDescent="0.2">
      <c r="A226" s="114"/>
      <c r="B226" s="125">
        <v>18</v>
      </c>
      <c r="C226" s="111"/>
      <c r="D226" s="115">
        <v>0</v>
      </c>
      <c r="E226" s="115">
        <v>0</v>
      </c>
      <c r="F226" s="115">
        <v>0</v>
      </c>
      <c r="G226" s="115">
        <v>0</v>
      </c>
      <c r="H226" s="115">
        <v>0</v>
      </c>
      <c r="I226" s="115">
        <v>0</v>
      </c>
      <c r="J226" s="115">
        <v>0</v>
      </c>
      <c r="K226" s="115">
        <v>0</v>
      </c>
      <c r="L226" s="115">
        <v>0</v>
      </c>
      <c r="M226" s="115">
        <v>0</v>
      </c>
      <c r="N226" s="115">
        <v>0</v>
      </c>
      <c r="O226" s="115">
        <v>0</v>
      </c>
      <c r="P226" s="115">
        <v>0</v>
      </c>
      <c r="Q226" s="115">
        <v>0</v>
      </c>
      <c r="R226" s="115">
        <v>0</v>
      </c>
      <c r="S226" s="115">
        <v>0</v>
      </c>
      <c r="T226" s="115">
        <v>0</v>
      </c>
      <c r="U226" s="115">
        <v>0</v>
      </c>
      <c r="V226" s="115">
        <v>0</v>
      </c>
      <c r="W226" s="115">
        <v>0</v>
      </c>
      <c r="X226" s="115">
        <v>0</v>
      </c>
      <c r="Y226" s="115">
        <v>0</v>
      </c>
      <c r="Z226" s="115">
        <v>0</v>
      </c>
      <c r="AA226" s="115">
        <v>0</v>
      </c>
      <c r="AB226" s="115">
        <v>0</v>
      </c>
      <c r="AC226" s="115">
        <v>0</v>
      </c>
      <c r="AD226" s="115">
        <v>0</v>
      </c>
      <c r="AE226" s="115">
        <v>0</v>
      </c>
      <c r="AF226" s="115">
        <v>0</v>
      </c>
      <c r="AG226" s="115">
        <v>0</v>
      </c>
      <c r="AH226" s="115">
        <v>0</v>
      </c>
      <c r="AI226" s="115">
        <v>0</v>
      </c>
      <c r="AJ226" s="115">
        <v>0</v>
      </c>
      <c r="AK226" s="115">
        <v>0</v>
      </c>
      <c r="AL226" s="115">
        <v>0</v>
      </c>
      <c r="AM226" s="115">
        <v>0</v>
      </c>
      <c r="AN226" s="115">
        <v>0</v>
      </c>
      <c r="AO226" s="115">
        <v>0</v>
      </c>
      <c r="AP226" s="115">
        <v>0</v>
      </c>
      <c r="AQ226" s="115">
        <v>0</v>
      </c>
      <c r="AR226" s="115">
        <v>0</v>
      </c>
      <c r="AS226" s="115">
        <v>0</v>
      </c>
      <c r="AT226" s="115">
        <v>0</v>
      </c>
      <c r="AU226" s="115">
        <v>0</v>
      </c>
      <c r="AV226" s="115">
        <v>0</v>
      </c>
      <c r="AW226" s="115">
        <v>0</v>
      </c>
      <c r="AX226" s="115">
        <v>0</v>
      </c>
      <c r="AY226" s="115">
        <v>0</v>
      </c>
    </row>
    <row r="227" spans="1:51" x14ac:dyDescent="0.2">
      <c r="A227" s="114"/>
      <c r="B227" s="125">
        <v>19</v>
      </c>
      <c r="C227" s="111"/>
      <c r="D227" s="115">
        <v>0</v>
      </c>
      <c r="E227" s="115">
        <v>0</v>
      </c>
      <c r="F227" s="115">
        <v>0</v>
      </c>
      <c r="G227" s="115">
        <v>0</v>
      </c>
      <c r="H227" s="115">
        <v>0</v>
      </c>
      <c r="I227" s="115">
        <v>0</v>
      </c>
      <c r="J227" s="115">
        <v>0</v>
      </c>
      <c r="K227" s="115">
        <v>0</v>
      </c>
      <c r="L227" s="115">
        <v>0</v>
      </c>
      <c r="M227" s="115">
        <v>0</v>
      </c>
      <c r="N227" s="115">
        <v>0</v>
      </c>
      <c r="O227" s="115">
        <v>0</v>
      </c>
      <c r="P227" s="115">
        <v>0</v>
      </c>
      <c r="Q227" s="115">
        <v>0</v>
      </c>
      <c r="R227" s="115">
        <v>0</v>
      </c>
      <c r="S227" s="115">
        <v>0</v>
      </c>
      <c r="T227" s="115">
        <v>0</v>
      </c>
      <c r="U227" s="115">
        <v>0</v>
      </c>
      <c r="V227" s="115">
        <v>0</v>
      </c>
      <c r="W227" s="115">
        <v>0</v>
      </c>
      <c r="X227" s="115">
        <v>0</v>
      </c>
      <c r="Y227" s="115">
        <v>0</v>
      </c>
      <c r="Z227" s="115">
        <v>0</v>
      </c>
      <c r="AA227" s="115">
        <v>0</v>
      </c>
      <c r="AB227" s="115">
        <v>0</v>
      </c>
      <c r="AC227" s="115">
        <v>0</v>
      </c>
      <c r="AD227" s="115">
        <v>0</v>
      </c>
      <c r="AE227" s="115">
        <v>0</v>
      </c>
      <c r="AF227" s="115">
        <v>0</v>
      </c>
      <c r="AG227" s="115">
        <v>0</v>
      </c>
      <c r="AH227" s="115">
        <v>0</v>
      </c>
      <c r="AI227" s="115">
        <v>0</v>
      </c>
      <c r="AJ227" s="115">
        <v>0</v>
      </c>
      <c r="AK227" s="115">
        <v>0</v>
      </c>
      <c r="AL227" s="115">
        <v>0</v>
      </c>
      <c r="AM227" s="115">
        <v>0</v>
      </c>
      <c r="AN227" s="115">
        <v>0</v>
      </c>
      <c r="AO227" s="115">
        <v>0</v>
      </c>
      <c r="AP227" s="115">
        <v>0</v>
      </c>
      <c r="AQ227" s="115">
        <v>0</v>
      </c>
      <c r="AR227" s="115">
        <v>0</v>
      </c>
      <c r="AS227" s="115">
        <v>0</v>
      </c>
      <c r="AT227" s="115">
        <v>0</v>
      </c>
      <c r="AU227" s="115">
        <v>0</v>
      </c>
      <c r="AV227" s="115">
        <v>0</v>
      </c>
      <c r="AW227" s="115">
        <v>0</v>
      </c>
      <c r="AX227" s="115">
        <v>0</v>
      </c>
      <c r="AY227" s="115">
        <v>0</v>
      </c>
    </row>
    <row r="228" spans="1:51" x14ac:dyDescent="0.2">
      <c r="A228" s="114"/>
      <c r="B228" s="125">
        <v>20</v>
      </c>
      <c r="C228" s="111"/>
      <c r="D228" s="115">
        <v>0</v>
      </c>
      <c r="E228" s="115">
        <v>0</v>
      </c>
      <c r="F228" s="115">
        <v>0</v>
      </c>
      <c r="G228" s="115">
        <v>0</v>
      </c>
      <c r="H228" s="115">
        <v>0</v>
      </c>
      <c r="I228" s="115">
        <v>0</v>
      </c>
      <c r="J228" s="115">
        <v>0</v>
      </c>
      <c r="K228" s="115">
        <v>0</v>
      </c>
      <c r="L228" s="115">
        <v>0</v>
      </c>
      <c r="M228" s="115">
        <v>0</v>
      </c>
      <c r="N228" s="115">
        <v>0</v>
      </c>
      <c r="O228" s="115">
        <v>0</v>
      </c>
      <c r="P228" s="115">
        <v>0</v>
      </c>
      <c r="Q228" s="115">
        <v>0</v>
      </c>
      <c r="R228" s="115">
        <v>0</v>
      </c>
      <c r="S228" s="115">
        <v>0</v>
      </c>
      <c r="T228" s="115">
        <v>0</v>
      </c>
      <c r="U228" s="115">
        <v>0</v>
      </c>
      <c r="V228" s="115">
        <v>0</v>
      </c>
      <c r="W228" s="115">
        <v>0</v>
      </c>
      <c r="X228" s="115">
        <v>0</v>
      </c>
      <c r="Y228" s="115">
        <v>0</v>
      </c>
      <c r="Z228" s="115">
        <v>0</v>
      </c>
      <c r="AA228" s="115">
        <v>0</v>
      </c>
      <c r="AB228" s="115">
        <v>0</v>
      </c>
      <c r="AC228" s="115">
        <v>0</v>
      </c>
      <c r="AD228" s="115">
        <v>0</v>
      </c>
      <c r="AE228" s="115">
        <v>0</v>
      </c>
      <c r="AF228" s="115">
        <v>0</v>
      </c>
      <c r="AG228" s="115">
        <v>0</v>
      </c>
      <c r="AH228" s="115">
        <v>0</v>
      </c>
      <c r="AI228" s="115">
        <v>0</v>
      </c>
      <c r="AJ228" s="115">
        <v>0</v>
      </c>
      <c r="AK228" s="115">
        <v>0</v>
      </c>
      <c r="AL228" s="115">
        <v>0</v>
      </c>
      <c r="AM228" s="115">
        <v>0</v>
      </c>
      <c r="AN228" s="115">
        <v>0</v>
      </c>
      <c r="AO228" s="115">
        <v>0</v>
      </c>
      <c r="AP228" s="115">
        <v>0</v>
      </c>
      <c r="AQ228" s="115">
        <v>0</v>
      </c>
      <c r="AR228" s="115">
        <v>0</v>
      </c>
      <c r="AS228" s="115">
        <v>0</v>
      </c>
      <c r="AT228" s="115">
        <v>0</v>
      </c>
      <c r="AU228" s="115">
        <v>0</v>
      </c>
      <c r="AV228" s="115">
        <v>0</v>
      </c>
      <c r="AW228" s="115">
        <v>0</v>
      </c>
      <c r="AX228" s="115">
        <v>0</v>
      </c>
      <c r="AY228" s="115">
        <v>0</v>
      </c>
    </row>
    <row r="229" spans="1:51" x14ac:dyDescent="0.2">
      <c r="A229" s="114"/>
      <c r="B229" s="125">
        <v>21</v>
      </c>
      <c r="C229" s="111"/>
      <c r="D229" s="115">
        <v>0</v>
      </c>
      <c r="E229" s="115">
        <v>0</v>
      </c>
      <c r="F229" s="115">
        <v>0</v>
      </c>
      <c r="G229" s="115">
        <v>0</v>
      </c>
      <c r="H229" s="115">
        <v>0</v>
      </c>
      <c r="I229" s="115">
        <v>0</v>
      </c>
      <c r="J229" s="115">
        <v>0</v>
      </c>
      <c r="K229" s="115">
        <v>0</v>
      </c>
      <c r="L229" s="115">
        <v>0</v>
      </c>
      <c r="M229" s="115">
        <v>0</v>
      </c>
      <c r="N229" s="115">
        <v>0</v>
      </c>
      <c r="O229" s="115">
        <v>0</v>
      </c>
      <c r="P229" s="115">
        <v>0</v>
      </c>
      <c r="Q229" s="115">
        <v>0</v>
      </c>
      <c r="R229" s="115">
        <v>0</v>
      </c>
      <c r="S229" s="115">
        <v>0</v>
      </c>
      <c r="T229" s="115">
        <v>0</v>
      </c>
      <c r="U229" s="115">
        <v>0</v>
      </c>
      <c r="V229" s="115">
        <v>0</v>
      </c>
      <c r="W229" s="115">
        <v>0</v>
      </c>
      <c r="X229" s="115">
        <v>0</v>
      </c>
      <c r="Y229" s="115">
        <v>0</v>
      </c>
      <c r="Z229" s="115">
        <v>0</v>
      </c>
      <c r="AA229" s="115">
        <v>0</v>
      </c>
      <c r="AB229" s="115">
        <v>0</v>
      </c>
      <c r="AC229" s="115">
        <v>0</v>
      </c>
      <c r="AD229" s="115">
        <v>0</v>
      </c>
      <c r="AE229" s="115">
        <v>0</v>
      </c>
      <c r="AF229" s="115">
        <v>0</v>
      </c>
      <c r="AG229" s="115">
        <v>0</v>
      </c>
      <c r="AH229" s="115">
        <v>0</v>
      </c>
      <c r="AI229" s="115">
        <v>0</v>
      </c>
      <c r="AJ229" s="115">
        <v>0</v>
      </c>
      <c r="AK229" s="115">
        <v>0</v>
      </c>
      <c r="AL229" s="115">
        <v>0</v>
      </c>
      <c r="AM229" s="115">
        <v>0</v>
      </c>
      <c r="AN229" s="115">
        <v>0</v>
      </c>
      <c r="AO229" s="115">
        <v>0</v>
      </c>
      <c r="AP229" s="115">
        <v>0</v>
      </c>
      <c r="AQ229" s="115">
        <v>0</v>
      </c>
      <c r="AR229" s="115">
        <v>0</v>
      </c>
      <c r="AS229" s="115">
        <v>0</v>
      </c>
      <c r="AT229" s="115">
        <v>0</v>
      </c>
      <c r="AU229" s="115">
        <v>0</v>
      </c>
      <c r="AV229" s="115">
        <v>0</v>
      </c>
      <c r="AW229" s="115">
        <v>0</v>
      </c>
      <c r="AX229" s="115">
        <v>0</v>
      </c>
      <c r="AY229" s="115">
        <v>0</v>
      </c>
    </row>
    <row r="230" spans="1:51" x14ac:dyDescent="0.2">
      <c r="A230" s="114"/>
      <c r="B230" s="125">
        <v>22</v>
      </c>
      <c r="C230" s="111"/>
      <c r="D230" s="115">
        <v>0</v>
      </c>
      <c r="E230" s="115">
        <v>0</v>
      </c>
      <c r="F230" s="115">
        <v>0</v>
      </c>
      <c r="G230" s="115">
        <v>0</v>
      </c>
      <c r="H230" s="115">
        <v>0</v>
      </c>
      <c r="I230" s="115">
        <v>0</v>
      </c>
      <c r="J230" s="115">
        <v>0</v>
      </c>
      <c r="K230" s="115">
        <v>0</v>
      </c>
      <c r="L230" s="115">
        <v>0</v>
      </c>
      <c r="M230" s="115">
        <v>0</v>
      </c>
      <c r="N230" s="115">
        <v>0</v>
      </c>
      <c r="O230" s="115">
        <v>0</v>
      </c>
      <c r="P230" s="115">
        <v>0</v>
      </c>
      <c r="Q230" s="115">
        <v>0</v>
      </c>
      <c r="R230" s="115">
        <v>0</v>
      </c>
      <c r="S230" s="115">
        <v>0</v>
      </c>
      <c r="T230" s="115">
        <v>0</v>
      </c>
      <c r="U230" s="115">
        <v>0</v>
      </c>
      <c r="V230" s="115">
        <v>0</v>
      </c>
      <c r="W230" s="115">
        <v>0</v>
      </c>
      <c r="X230" s="115">
        <v>0</v>
      </c>
      <c r="Y230" s="115">
        <v>0</v>
      </c>
      <c r="Z230" s="115">
        <v>0</v>
      </c>
      <c r="AA230" s="115">
        <v>0</v>
      </c>
      <c r="AB230" s="115">
        <v>0</v>
      </c>
      <c r="AC230" s="115">
        <v>0</v>
      </c>
      <c r="AD230" s="115">
        <v>0</v>
      </c>
      <c r="AE230" s="115">
        <v>0</v>
      </c>
      <c r="AF230" s="115">
        <v>0</v>
      </c>
      <c r="AG230" s="115">
        <v>0</v>
      </c>
      <c r="AH230" s="115">
        <v>0</v>
      </c>
      <c r="AI230" s="115">
        <v>0</v>
      </c>
      <c r="AJ230" s="115">
        <v>0</v>
      </c>
      <c r="AK230" s="115">
        <v>0</v>
      </c>
      <c r="AL230" s="115">
        <v>0</v>
      </c>
      <c r="AM230" s="115">
        <v>0</v>
      </c>
      <c r="AN230" s="115">
        <v>0</v>
      </c>
      <c r="AO230" s="115">
        <v>0</v>
      </c>
      <c r="AP230" s="115">
        <v>0</v>
      </c>
      <c r="AQ230" s="115">
        <v>0</v>
      </c>
      <c r="AR230" s="115">
        <v>0</v>
      </c>
      <c r="AS230" s="115">
        <v>0</v>
      </c>
      <c r="AT230" s="115">
        <v>0</v>
      </c>
      <c r="AU230" s="115">
        <v>0</v>
      </c>
      <c r="AV230" s="115">
        <v>0</v>
      </c>
      <c r="AW230" s="115">
        <v>0</v>
      </c>
      <c r="AX230" s="115">
        <v>0</v>
      </c>
      <c r="AY230" s="115">
        <v>0</v>
      </c>
    </row>
    <row r="231" spans="1:51" x14ac:dyDescent="0.2">
      <c r="A231" s="114"/>
      <c r="B231" s="125">
        <v>23</v>
      </c>
      <c r="C231" s="111"/>
      <c r="D231" s="115">
        <v>0</v>
      </c>
      <c r="E231" s="115">
        <v>0</v>
      </c>
      <c r="F231" s="115">
        <v>0</v>
      </c>
      <c r="G231" s="115">
        <v>0</v>
      </c>
      <c r="H231" s="115">
        <v>0</v>
      </c>
      <c r="I231" s="115">
        <v>0</v>
      </c>
      <c r="J231" s="115">
        <v>0</v>
      </c>
      <c r="K231" s="115">
        <v>0</v>
      </c>
      <c r="L231" s="115">
        <v>0</v>
      </c>
      <c r="M231" s="115">
        <v>0</v>
      </c>
      <c r="N231" s="115">
        <v>0</v>
      </c>
      <c r="O231" s="115">
        <v>0</v>
      </c>
      <c r="P231" s="115">
        <v>0</v>
      </c>
      <c r="Q231" s="115">
        <v>0</v>
      </c>
      <c r="R231" s="115">
        <v>0</v>
      </c>
      <c r="S231" s="115">
        <v>0</v>
      </c>
      <c r="T231" s="115">
        <v>0</v>
      </c>
      <c r="U231" s="115">
        <v>0</v>
      </c>
      <c r="V231" s="115">
        <v>0</v>
      </c>
      <c r="W231" s="115">
        <v>0</v>
      </c>
      <c r="X231" s="115">
        <v>0</v>
      </c>
      <c r="Y231" s="115">
        <v>0</v>
      </c>
      <c r="Z231" s="115">
        <v>0</v>
      </c>
      <c r="AA231" s="115">
        <v>0</v>
      </c>
      <c r="AB231" s="115">
        <v>0</v>
      </c>
      <c r="AC231" s="115">
        <v>0</v>
      </c>
      <c r="AD231" s="115">
        <v>0</v>
      </c>
      <c r="AE231" s="115">
        <v>0</v>
      </c>
      <c r="AF231" s="115">
        <v>0</v>
      </c>
      <c r="AG231" s="115">
        <v>0</v>
      </c>
      <c r="AH231" s="115">
        <v>0</v>
      </c>
      <c r="AI231" s="115">
        <v>0</v>
      </c>
      <c r="AJ231" s="115">
        <v>0</v>
      </c>
      <c r="AK231" s="115">
        <v>0</v>
      </c>
      <c r="AL231" s="115">
        <v>0</v>
      </c>
      <c r="AM231" s="115">
        <v>0</v>
      </c>
      <c r="AN231" s="115">
        <v>0</v>
      </c>
      <c r="AO231" s="115">
        <v>0</v>
      </c>
      <c r="AP231" s="115">
        <v>0</v>
      </c>
      <c r="AQ231" s="115">
        <v>0</v>
      </c>
      <c r="AR231" s="115">
        <v>0</v>
      </c>
      <c r="AS231" s="115">
        <v>0</v>
      </c>
      <c r="AT231" s="115">
        <v>0</v>
      </c>
      <c r="AU231" s="115">
        <v>0</v>
      </c>
      <c r="AV231" s="115">
        <v>0</v>
      </c>
      <c r="AW231" s="115">
        <v>0</v>
      </c>
      <c r="AX231" s="115">
        <v>0</v>
      </c>
      <c r="AY231" s="115">
        <v>0</v>
      </c>
    </row>
    <row r="232" spans="1:51" x14ac:dyDescent="0.2">
      <c r="A232" s="114"/>
      <c r="B232" s="125">
        <v>24</v>
      </c>
      <c r="C232" s="111"/>
      <c r="D232" s="115">
        <v>0</v>
      </c>
      <c r="E232" s="115">
        <v>0</v>
      </c>
      <c r="F232" s="115">
        <v>0</v>
      </c>
      <c r="G232" s="115">
        <v>0</v>
      </c>
      <c r="H232" s="115">
        <v>0</v>
      </c>
      <c r="I232" s="115">
        <v>0</v>
      </c>
      <c r="J232" s="115">
        <v>0</v>
      </c>
      <c r="K232" s="115">
        <v>0</v>
      </c>
      <c r="L232" s="115">
        <v>0</v>
      </c>
      <c r="M232" s="115">
        <v>0</v>
      </c>
      <c r="N232" s="115">
        <v>0</v>
      </c>
      <c r="O232" s="115">
        <v>0</v>
      </c>
      <c r="P232" s="115">
        <v>0</v>
      </c>
      <c r="Q232" s="115">
        <v>0</v>
      </c>
      <c r="R232" s="115">
        <v>0</v>
      </c>
      <c r="S232" s="115">
        <v>0</v>
      </c>
      <c r="T232" s="115">
        <v>0</v>
      </c>
      <c r="U232" s="115">
        <v>0</v>
      </c>
      <c r="V232" s="115">
        <v>0</v>
      </c>
      <c r="W232" s="115">
        <v>0</v>
      </c>
      <c r="X232" s="115">
        <v>0</v>
      </c>
      <c r="Y232" s="115">
        <v>0</v>
      </c>
      <c r="Z232" s="115">
        <v>0</v>
      </c>
      <c r="AA232" s="115">
        <v>0</v>
      </c>
      <c r="AB232" s="115">
        <v>0</v>
      </c>
      <c r="AC232" s="115">
        <v>0</v>
      </c>
      <c r="AD232" s="115">
        <v>0</v>
      </c>
      <c r="AE232" s="115">
        <v>0</v>
      </c>
      <c r="AF232" s="115">
        <v>0</v>
      </c>
      <c r="AG232" s="115">
        <v>0</v>
      </c>
      <c r="AH232" s="115">
        <v>0</v>
      </c>
      <c r="AI232" s="115">
        <v>0</v>
      </c>
      <c r="AJ232" s="115">
        <v>0</v>
      </c>
      <c r="AK232" s="115">
        <v>0</v>
      </c>
      <c r="AL232" s="115">
        <v>0</v>
      </c>
      <c r="AM232" s="115">
        <v>0</v>
      </c>
      <c r="AN232" s="115">
        <v>0</v>
      </c>
      <c r="AO232" s="115">
        <v>0</v>
      </c>
      <c r="AP232" s="115">
        <v>0</v>
      </c>
      <c r="AQ232" s="115">
        <v>0</v>
      </c>
      <c r="AR232" s="115">
        <v>0</v>
      </c>
      <c r="AS232" s="115">
        <v>0</v>
      </c>
      <c r="AT232" s="115">
        <v>0</v>
      </c>
      <c r="AU232" s="115">
        <v>0</v>
      </c>
      <c r="AV232" s="115">
        <v>0</v>
      </c>
      <c r="AW232" s="115">
        <v>0</v>
      </c>
      <c r="AX232" s="115">
        <v>0</v>
      </c>
      <c r="AY232" s="115">
        <v>0</v>
      </c>
    </row>
    <row r="233" spans="1:51" x14ac:dyDescent="0.2">
      <c r="A233" s="114"/>
      <c r="B233" s="132">
        <v>25</v>
      </c>
      <c r="C233" s="111"/>
      <c r="D233" s="115">
        <v>0</v>
      </c>
      <c r="E233" s="115">
        <v>0</v>
      </c>
      <c r="F233" s="115">
        <v>0</v>
      </c>
      <c r="G233" s="115">
        <v>0</v>
      </c>
      <c r="H233" s="115">
        <v>0</v>
      </c>
      <c r="I233" s="115">
        <v>0</v>
      </c>
      <c r="J233" s="115">
        <v>0</v>
      </c>
      <c r="K233" s="115">
        <v>0</v>
      </c>
      <c r="L233" s="115">
        <v>0</v>
      </c>
      <c r="M233" s="115">
        <v>0</v>
      </c>
      <c r="N233" s="115">
        <v>0</v>
      </c>
      <c r="O233" s="115">
        <v>0</v>
      </c>
      <c r="P233" s="115">
        <v>0</v>
      </c>
      <c r="Q233" s="115">
        <v>0</v>
      </c>
      <c r="R233" s="115">
        <v>0</v>
      </c>
      <c r="S233" s="115">
        <v>0</v>
      </c>
      <c r="T233" s="115">
        <v>0</v>
      </c>
      <c r="U233" s="115">
        <v>0</v>
      </c>
      <c r="V233" s="115">
        <v>0</v>
      </c>
      <c r="W233" s="115">
        <v>0</v>
      </c>
      <c r="X233" s="115">
        <v>0</v>
      </c>
      <c r="Y233" s="115">
        <v>0</v>
      </c>
      <c r="Z233" s="115">
        <v>0</v>
      </c>
      <c r="AA233" s="115">
        <v>0</v>
      </c>
      <c r="AB233" s="115">
        <v>0</v>
      </c>
      <c r="AC233" s="115">
        <v>0</v>
      </c>
      <c r="AD233" s="115">
        <v>0</v>
      </c>
      <c r="AE233" s="115">
        <v>0</v>
      </c>
      <c r="AF233" s="115">
        <v>0</v>
      </c>
      <c r="AG233" s="115">
        <v>0</v>
      </c>
      <c r="AH233" s="115">
        <v>0</v>
      </c>
      <c r="AI233" s="115">
        <v>0</v>
      </c>
      <c r="AJ233" s="115">
        <v>0</v>
      </c>
      <c r="AK233" s="115">
        <v>0</v>
      </c>
      <c r="AL233" s="115">
        <v>0</v>
      </c>
      <c r="AM233" s="115">
        <v>0</v>
      </c>
      <c r="AN233" s="115">
        <v>0</v>
      </c>
      <c r="AO233" s="115">
        <v>0</v>
      </c>
      <c r="AP233" s="115">
        <v>0</v>
      </c>
      <c r="AQ233" s="115">
        <v>0</v>
      </c>
      <c r="AR233" s="115">
        <v>0</v>
      </c>
      <c r="AS233" s="115">
        <v>0</v>
      </c>
      <c r="AT233" s="115">
        <v>0</v>
      </c>
      <c r="AU233" s="115">
        <v>0</v>
      </c>
      <c r="AV233" s="115">
        <v>0</v>
      </c>
      <c r="AW233" s="115">
        <v>0</v>
      </c>
      <c r="AX233" s="115">
        <v>0</v>
      </c>
      <c r="AY233" s="115">
        <v>0</v>
      </c>
    </row>
    <row r="234" spans="1:51" x14ac:dyDescent="0.2">
      <c r="A234" s="114"/>
      <c r="B234" s="132">
        <v>26</v>
      </c>
      <c r="C234" s="111"/>
      <c r="D234" s="115">
        <v>0</v>
      </c>
      <c r="E234" s="115">
        <v>0</v>
      </c>
      <c r="F234" s="115">
        <v>0</v>
      </c>
      <c r="G234" s="115">
        <v>0</v>
      </c>
      <c r="H234" s="115">
        <v>0</v>
      </c>
      <c r="I234" s="115">
        <v>0</v>
      </c>
      <c r="J234" s="115">
        <v>0</v>
      </c>
      <c r="K234" s="115">
        <v>0</v>
      </c>
      <c r="L234" s="115">
        <v>0</v>
      </c>
      <c r="M234" s="115">
        <v>0</v>
      </c>
      <c r="N234" s="115">
        <v>0</v>
      </c>
      <c r="O234" s="115">
        <v>0</v>
      </c>
      <c r="P234" s="115">
        <v>0</v>
      </c>
      <c r="Q234" s="115">
        <v>0</v>
      </c>
      <c r="R234" s="115">
        <v>0</v>
      </c>
      <c r="S234" s="115">
        <v>0</v>
      </c>
      <c r="T234" s="115">
        <v>0</v>
      </c>
      <c r="U234" s="115">
        <v>0</v>
      </c>
      <c r="V234" s="115">
        <v>0</v>
      </c>
      <c r="W234" s="115">
        <v>0</v>
      </c>
      <c r="X234" s="115">
        <v>0</v>
      </c>
      <c r="Y234" s="115">
        <v>0</v>
      </c>
      <c r="Z234" s="115">
        <v>0</v>
      </c>
      <c r="AA234" s="115">
        <v>0</v>
      </c>
      <c r="AB234" s="115">
        <v>0</v>
      </c>
      <c r="AC234" s="115">
        <v>0</v>
      </c>
      <c r="AD234" s="115">
        <v>0</v>
      </c>
      <c r="AE234" s="115">
        <v>0</v>
      </c>
      <c r="AF234" s="115">
        <v>0</v>
      </c>
      <c r="AG234" s="115">
        <v>0</v>
      </c>
      <c r="AH234" s="115">
        <v>0</v>
      </c>
      <c r="AI234" s="115">
        <v>0</v>
      </c>
      <c r="AJ234" s="115">
        <v>0</v>
      </c>
      <c r="AK234" s="115">
        <v>0</v>
      </c>
      <c r="AL234" s="115">
        <v>0</v>
      </c>
      <c r="AM234" s="115">
        <v>0</v>
      </c>
      <c r="AN234" s="115">
        <v>0</v>
      </c>
      <c r="AO234" s="115">
        <v>0</v>
      </c>
      <c r="AP234" s="115">
        <v>0</v>
      </c>
      <c r="AQ234" s="115">
        <v>0</v>
      </c>
      <c r="AR234" s="115">
        <v>0</v>
      </c>
      <c r="AS234" s="115">
        <v>0</v>
      </c>
      <c r="AT234" s="115">
        <v>0</v>
      </c>
      <c r="AU234" s="115">
        <v>0</v>
      </c>
      <c r="AV234" s="115">
        <v>0</v>
      </c>
      <c r="AW234" s="115">
        <v>0</v>
      </c>
      <c r="AX234" s="115">
        <v>0</v>
      </c>
      <c r="AY234" s="115">
        <v>0</v>
      </c>
    </row>
    <row r="235" spans="1:51" x14ac:dyDescent="0.2">
      <c r="A235" s="114"/>
      <c r="B235" s="132">
        <v>27</v>
      </c>
      <c r="C235" s="111"/>
      <c r="D235" s="115">
        <v>0</v>
      </c>
      <c r="E235" s="115">
        <v>0</v>
      </c>
      <c r="F235" s="115">
        <v>0</v>
      </c>
      <c r="G235" s="115">
        <v>0</v>
      </c>
      <c r="H235" s="115">
        <v>0</v>
      </c>
      <c r="I235" s="115">
        <v>0</v>
      </c>
      <c r="J235" s="115">
        <v>0</v>
      </c>
      <c r="K235" s="115">
        <v>0</v>
      </c>
      <c r="L235" s="115">
        <v>0</v>
      </c>
      <c r="M235" s="115">
        <v>0</v>
      </c>
      <c r="N235" s="115">
        <v>0</v>
      </c>
      <c r="O235" s="115">
        <v>0</v>
      </c>
      <c r="P235" s="115">
        <v>0</v>
      </c>
      <c r="Q235" s="115">
        <v>0</v>
      </c>
      <c r="R235" s="115">
        <v>0</v>
      </c>
      <c r="S235" s="115">
        <v>0</v>
      </c>
      <c r="T235" s="115">
        <v>0</v>
      </c>
      <c r="U235" s="115">
        <v>0</v>
      </c>
      <c r="V235" s="115">
        <v>0</v>
      </c>
      <c r="W235" s="115">
        <v>0</v>
      </c>
      <c r="X235" s="115">
        <v>0</v>
      </c>
      <c r="Y235" s="115">
        <v>0</v>
      </c>
      <c r="Z235" s="115">
        <v>0</v>
      </c>
      <c r="AA235" s="115">
        <v>0</v>
      </c>
      <c r="AB235" s="115">
        <v>0</v>
      </c>
      <c r="AC235" s="115">
        <v>0</v>
      </c>
      <c r="AD235" s="115">
        <v>0</v>
      </c>
      <c r="AE235" s="115">
        <v>0</v>
      </c>
      <c r="AF235" s="115">
        <v>0</v>
      </c>
      <c r="AG235" s="115">
        <v>0</v>
      </c>
      <c r="AH235" s="115">
        <v>0</v>
      </c>
      <c r="AI235" s="115">
        <v>0</v>
      </c>
      <c r="AJ235" s="115">
        <v>0</v>
      </c>
      <c r="AK235" s="115">
        <v>0</v>
      </c>
      <c r="AL235" s="115">
        <v>0</v>
      </c>
      <c r="AM235" s="115">
        <v>0</v>
      </c>
      <c r="AN235" s="115">
        <v>0</v>
      </c>
      <c r="AO235" s="115">
        <v>0</v>
      </c>
      <c r="AP235" s="115">
        <v>0</v>
      </c>
      <c r="AQ235" s="115">
        <v>0</v>
      </c>
      <c r="AR235" s="115">
        <v>0</v>
      </c>
      <c r="AS235" s="115">
        <v>0</v>
      </c>
      <c r="AT235" s="115">
        <v>0</v>
      </c>
      <c r="AU235" s="115">
        <v>0</v>
      </c>
      <c r="AV235" s="115">
        <v>0</v>
      </c>
      <c r="AW235" s="115">
        <v>0</v>
      </c>
      <c r="AX235" s="115">
        <v>0</v>
      </c>
      <c r="AY235" s="115">
        <v>0</v>
      </c>
    </row>
    <row r="236" spans="1:51" x14ac:dyDescent="0.2">
      <c r="A236" s="114"/>
      <c r="B236" s="132">
        <v>28</v>
      </c>
      <c r="C236" s="111"/>
      <c r="D236" s="115">
        <v>0</v>
      </c>
      <c r="E236" s="115">
        <v>0</v>
      </c>
      <c r="F236" s="115">
        <v>0</v>
      </c>
      <c r="G236" s="115">
        <v>0</v>
      </c>
      <c r="H236" s="115">
        <v>0</v>
      </c>
      <c r="I236" s="115">
        <v>0</v>
      </c>
      <c r="J236" s="115">
        <v>0</v>
      </c>
      <c r="K236" s="115">
        <v>0</v>
      </c>
      <c r="L236" s="115">
        <v>0</v>
      </c>
      <c r="M236" s="115">
        <v>0</v>
      </c>
      <c r="N236" s="115">
        <v>0</v>
      </c>
      <c r="O236" s="115">
        <v>0</v>
      </c>
      <c r="P236" s="115">
        <v>0</v>
      </c>
      <c r="Q236" s="115">
        <v>0</v>
      </c>
      <c r="R236" s="115">
        <v>0</v>
      </c>
      <c r="S236" s="115">
        <v>0</v>
      </c>
      <c r="T236" s="115">
        <v>0</v>
      </c>
      <c r="U236" s="115">
        <v>0</v>
      </c>
      <c r="V236" s="115">
        <v>0</v>
      </c>
      <c r="W236" s="115">
        <v>0</v>
      </c>
      <c r="X236" s="115">
        <v>0</v>
      </c>
      <c r="Y236" s="115">
        <v>0</v>
      </c>
      <c r="Z236" s="115">
        <v>0</v>
      </c>
      <c r="AA236" s="115">
        <v>0</v>
      </c>
      <c r="AB236" s="115">
        <v>0</v>
      </c>
      <c r="AC236" s="115">
        <v>0</v>
      </c>
      <c r="AD236" s="115">
        <v>0</v>
      </c>
      <c r="AE236" s="115">
        <v>0</v>
      </c>
      <c r="AF236" s="115">
        <v>0</v>
      </c>
      <c r="AG236" s="115">
        <v>0</v>
      </c>
      <c r="AH236" s="115">
        <v>0</v>
      </c>
      <c r="AI236" s="115">
        <v>0</v>
      </c>
      <c r="AJ236" s="115">
        <v>0</v>
      </c>
      <c r="AK236" s="115">
        <v>0</v>
      </c>
      <c r="AL236" s="115">
        <v>0</v>
      </c>
      <c r="AM236" s="115">
        <v>0</v>
      </c>
      <c r="AN236" s="115">
        <v>0</v>
      </c>
      <c r="AO236" s="115">
        <v>0</v>
      </c>
      <c r="AP236" s="115">
        <v>0</v>
      </c>
      <c r="AQ236" s="115">
        <v>0</v>
      </c>
      <c r="AR236" s="115">
        <v>0</v>
      </c>
      <c r="AS236" s="115">
        <v>0</v>
      </c>
      <c r="AT236" s="115">
        <v>0</v>
      </c>
      <c r="AU236" s="115">
        <v>0</v>
      </c>
      <c r="AV236" s="115">
        <v>0</v>
      </c>
      <c r="AW236" s="115">
        <v>0</v>
      </c>
      <c r="AX236" s="115">
        <v>0</v>
      </c>
      <c r="AY236" s="115">
        <v>0</v>
      </c>
    </row>
    <row r="237" spans="1:51" x14ac:dyDescent="0.2">
      <c r="A237" s="114"/>
      <c r="B237" s="132">
        <v>29</v>
      </c>
      <c r="C237" s="111"/>
      <c r="D237" s="115">
        <v>0</v>
      </c>
      <c r="E237" s="115">
        <v>0</v>
      </c>
      <c r="F237" s="115">
        <v>0</v>
      </c>
      <c r="G237" s="115">
        <v>0</v>
      </c>
      <c r="H237" s="115">
        <v>0</v>
      </c>
      <c r="I237" s="115">
        <v>0</v>
      </c>
      <c r="J237" s="115">
        <v>0</v>
      </c>
      <c r="K237" s="115">
        <v>0</v>
      </c>
      <c r="L237" s="115">
        <v>0</v>
      </c>
      <c r="M237" s="115">
        <v>0</v>
      </c>
      <c r="N237" s="115">
        <v>0</v>
      </c>
      <c r="O237" s="115">
        <v>0</v>
      </c>
      <c r="P237" s="115">
        <v>0</v>
      </c>
      <c r="Q237" s="115">
        <v>0</v>
      </c>
      <c r="R237" s="115">
        <v>0</v>
      </c>
      <c r="S237" s="115">
        <v>0</v>
      </c>
      <c r="T237" s="115">
        <v>0</v>
      </c>
      <c r="U237" s="115">
        <v>0</v>
      </c>
      <c r="V237" s="115">
        <v>0</v>
      </c>
      <c r="W237" s="115">
        <v>0</v>
      </c>
      <c r="X237" s="115">
        <v>0</v>
      </c>
      <c r="Y237" s="115">
        <v>0</v>
      </c>
      <c r="Z237" s="115">
        <v>0</v>
      </c>
      <c r="AA237" s="115">
        <v>0</v>
      </c>
      <c r="AB237" s="115">
        <v>0</v>
      </c>
      <c r="AC237" s="115">
        <v>0</v>
      </c>
      <c r="AD237" s="115">
        <v>0</v>
      </c>
      <c r="AE237" s="115">
        <v>0</v>
      </c>
      <c r="AF237" s="115">
        <v>0</v>
      </c>
      <c r="AG237" s="115">
        <v>0</v>
      </c>
      <c r="AH237" s="115">
        <v>0</v>
      </c>
      <c r="AI237" s="115">
        <v>0</v>
      </c>
      <c r="AJ237" s="115">
        <v>0</v>
      </c>
      <c r="AK237" s="115">
        <v>0</v>
      </c>
      <c r="AL237" s="115">
        <v>0</v>
      </c>
      <c r="AM237" s="115">
        <v>0</v>
      </c>
      <c r="AN237" s="115">
        <v>0</v>
      </c>
      <c r="AO237" s="115">
        <v>0</v>
      </c>
      <c r="AP237" s="115">
        <v>0</v>
      </c>
      <c r="AQ237" s="115">
        <v>0</v>
      </c>
      <c r="AR237" s="115">
        <v>0</v>
      </c>
      <c r="AS237" s="115">
        <v>0</v>
      </c>
      <c r="AT237" s="115">
        <v>0</v>
      </c>
      <c r="AU237" s="115">
        <v>0</v>
      </c>
      <c r="AV237" s="115">
        <v>0</v>
      </c>
      <c r="AW237" s="115">
        <v>0</v>
      </c>
      <c r="AX237" s="115">
        <v>0</v>
      </c>
      <c r="AY237" s="115">
        <v>0</v>
      </c>
    </row>
    <row r="238" spans="1:51" x14ac:dyDescent="0.2">
      <c r="A238" s="114"/>
      <c r="B238" s="132">
        <v>30</v>
      </c>
      <c r="C238" s="111"/>
      <c r="D238" s="115">
        <v>0</v>
      </c>
      <c r="E238" s="115">
        <v>0</v>
      </c>
      <c r="F238" s="115">
        <v>0</v>
      </c>
      <c r="G238" s="115">
        <v>0</v>
      </c>
      <c r="H238" s="115">
        <v>0</v>
      </c>
      <c r="I238" s="115">
        <v>0</v>
      </c>
      <c r="J238" s="115">
        <v>0</v>
      </c>
      <c r="K238" s="115">
        <v>0</v>
      </c>
      <c r="L238" s="115">
        <v>0</v>
      </c>
      <c r="M238" s="115">
        <v>0</v>
      </c>
      <c r="N238" s="115">
        <v>0</v>
      </c>
      <c r="O238" s="115">
        <v>0</v>
      </c>
      <c r="P238" s="115">
        <v>0</v>
      </c>
      <c r="Q238" s="115">
        <v>0</v>
      </c>
      <c r="R238" s="115">
        <v>0</v>
      </c>
      <c r="S238" s="115">
        <v>0</v>
      </c>
      <c r="T238" s="115">
        <v>0</v>
      </c>
      <c r="U238" s="115">
        <v>0</v>
      </c>
      <c r="V238" s="115">
        <v>0</v>
      </c>
      <c r="W238" s="115">
        <v>0</v>
      </c>
      <c r="X238" s="115">
        <v>0</v>
      </c>
      <c r="Y238" s="115">
        <v>0</v>
      </c>
      <c r="Z238" s="115">
        <v>0</v>
      </c>
      <c r="AA238" s="115">
        <v>0</v>
      </c>
      <c r="AB238" s="115">
        <v>0</v>
      </c>
      <c r="AC238" s="115">
        <v>0</v>
      </c>
      <c r="AD238" s="115">
        <v>0</v>
      </c>
      <c r="AE238" s="115">
        <v>0</v>
      </c>
      <c r="AF238" s="115">
        <v>0</v>
      </c>
      <c r="AG238" s="115">
        <v>0</v>
      </c>
      <c r="AH238" s="115">
        <v>0</v>
      </c>
      <c r="AI238" s="115">
        <v>0</v>
      </c>
      <c r="AJ238" s="115">
        <v>0</v>
      </c>
      <c r="AK238" s="115">
        <v>0</v>
      </c>
      <c r="AL238" s="115">
        <v>0</v>
      </c>
      <c r="AM238" s="115">
        <v>0</v>
      </c>
      <c r="AN238" s="115">
        <v>0</v>
      </c>
      <c r="AO238" s="115">
        <v>0</v>
      </c>
      <c r="AP238" s="115">
        <v>0</v>
      </c>
      <c r="AQ238" s="115">
        <v>0</v>
      </c>
      <c r="AR238" s="115">
        <v>0</v>
      </c>
      <c r="AS238" s="115">
        <v>0</v>
      </c>
      <c r="AT238" s="115">
        <v>0</v>
      </c>
      <c r="AU238" s="115">
        <v>0</v>
      </c>
      <c r="AV238" s="115">
        <v>0</v>
      </c>
      <c r="AW238" s="115">
        <v>0</v>
      </c>
      <c r="AX238" s="115">
        <v>0</v>
      </c>
      <c r="AY238" s="115">
        <v>0</v>
      </c>
    </row>
    <row r="239" spans="1:51" x14ac:dyDescent="0.2">
      <c r="A239" s="114"/>
      <c r="B239" s="132">
        <v>31</v>
      </c>
      <c r="C239" s="111"/>
      <c r="D239" s="115">
        <v>0</v>
      </c>
      <c r="E239" s="115">
        <v>0</v>
      </c>
      <c r="F239" s="115">
        <v>0</v>
      </c>
      <c r="G239" s="115">
        <v>0</v>
      </c>
      <c r="H239" s="115">
        <v>0</v>
      </c>
      <c r="I239" s="115">
        <v>0</v>
      </c>
      <c r="J239" s="115">
        <v>0</v>
      </c>
      <c r="K239" s="115">
        <v>0</v>
      </c>
      <c r="L239" s="115">
        <v>0</v>
      </c>
      <c r="M239" s="115">
        <v>0</v>
      </c>
      <c r="N239" s="115">
        <v>0</v>
      </c>
      <c r="O239" s="115">
        <v>0</v>
      </c>
      <c r="P239" s="115">
        <v>0</v>
      </c>
      <c r="Q239" s="115">
        <v>0</v>
      </c>
      <c r="R239" s="115">
        <v>0</v>
      </c>
      <c r="S239" s="115">
        <v>0</v>
      </c>
      <c r="T239" s="115">
        <v>0</v>
      </c>
      <c r="U239" s="115">
        <v>0</v>
      </c>
      <c r="V239" s="115">
        <v>0</v>
      </c>
      <c r="W239" s="115">
        <v>0</v>
      </c>
      <c r="X239" s="115">
        <v>0</v>
      </c>
      <c r="Y239" s="115">
        <v>0</v>
      </c>
      <c r="Z239" s="115">
        <v>0</v>
      </c>
      <c r="AA239" s="115">
        <v>0</v>
      </c>
      <c r="AB239" s="115">
        <v>0</v>
      </c>
      <c r="AC239" s="115">
        <v>0</v>
      </c>
      <c r="AD239" s="115">
        <v>0</v>
      </c>
      <c r="AE239" s="115">
        <v>0</v>
      </c>
      <c r="AF239" s="115">
        <v>0</v>
      </c>
      <c r="AG239" s="115">
        <v>0</v>
      </c>
      <c r="AH239" s="115">
        <v>0</v>
      </c>
      <c r="AI239" s="115">
        <v>0</v>
      </c>
      <c r="AJ239" s="115">
        <v>0</v>
      </c>
      <c r="AK239" s="115">
        <v>0</v>
      </c>
      <c r="AL239" s="115">
        <v>0</v>
      </c>
      <c r="AM239" s="115">
        <v>0</v>
      </c>
      <c r="AN239" s="115">
        <v>0</v>
      </c>
      <c r="AO239" s="115">
        <v>0</v>
      </c>
      <c r="AP239" s="115">
        <v>0</v>
      </c>
      <c r="AQ239" s="115">
        <v>0</v>
      </c>
      <c r="AR239" s="115">
        <v>0</v>
      </c>
      <c r="AS239" s="115">
        <v>0</v>
      </c>
      <c r="AT239" s="115">
        <v>0</v>
      </c>
      <c r="AU239" s="115">
        <v>0</v>
      </c>
      <c r="AV239" s="115">
        <v>0</v>
      </c>
      <c r="AW239" s="115">
        <v>0</v>
      </c>
      <c r="AX239" s="115">
        <v>0</v>
      </c>
      <c r="AY239" s="115">
        <v>0</v>
      </c>
    </row>
    <row r="240" spans="1:51" x14ac:dyDescent="0.2">
      <c r="A240" s="114"/>
      <c r="B240" s="132">
        <v>32</v>
      </c>
      <c r="C240" s="111"/>
      <c r="D240" s="115">
        <v>0</v>
      </c>
      <c r="E240" s="115">
        <v>0</v>
      </c>
      <c r="F240" s="115">
        <v>0</v>
      </c>
      <c r="G240" s="115">
        <v>0</v>
      </c>
      <c r="H240" s="115">
        <v>0</v>
      </c>
      <c r="I240" s="115">
        <v>0</v>
      </c>
      <c r="J240" s="115">
        <v>0</v>
      </c>
      <c r="K240" s="115">
        <v>0</v>
      </c>
      <c r="L240" s="115">
        <v>0</v>
      </c>
      <c r="M240" s="115">
        <v>0</v>
      </c>
      <c r="N240" s="115">
        <v>0</v>
      </c>
      <c r="O240" s="115">
        <v>0</v>
      </c>
      <c r="P240" s="115">
        <v>0</v>
      </c>
      <c r="Q240" s="115">
        <v>0</v>
      </c>
      <c r="R240" s="115">
        <v>0</v>
      </c>
      <c r="S240" s="115">
        <v>0</v>
      </c>
      <c r="T240" s="115">
        <v>0</v>
      </c>
      <c r="U240" s="115">
        <v>0</v>
      </c>
      <c r="V240" s="115">
        <v>0</v>
      </c>
      <c r="W240" s="115">
        <v>0</v>
      </c>
      <c r="X240" s="115">
        <v>0</v>
      </c>
      <c r="Y240" s="115">
        <v>0</v>
      </c>
      <c r="Z240" s="115">
        <v>0</v>
      </c>
      <c r="AA240" s="115">
        <v>0</v>
      </c>
      <c r="AB240" s="115">
        <v>0</v>
      </c>
      <c r="AC240" s="115">
        <v>0</v>
      </c>
      <c r="AD240" s="115">
        <v>0</v>
      </c>
      <c r="AE240" s="115">
        <v>0</v>
      </c>
      <c r="AF240" s="115">
        <v>0</v>
      </c>
      <c r="AG240" s="115">
        <v>0</v>
      </c>
      <c r="AH240" s="115">
        <v>0</v>
      </c>
      <c r="AI240" s="115">
        <v>0</v>
      </c>
      <c r="AJ240" s="115">
        <v>0</v>
      </c>
      <c r="AK240" s="115">
        <v>0</v>
      </c>
      <c r="AL240" s="115">
        <v>0</v>
      </c>
      <c r="AM240" s="115">
        <v>0</v>
      </c>
      <c r="AN240" s="115">
        <v>0</v>
      </c>
      <c r="AO240" s="115">
        <v>0</v>
      </c>
      <c r="AP240" s="115">
        <v>0</v>
      </c>
      <c r="AQ240" s="115">
        <v>0</v>
      </c>
      <c r="AR240" s="115">
        <v>0</v>
      </c>
      <c r="AS240" s="115">
        <v>0</v>
      </c>
      <c r="AT240" s="115">
        <v>0</v>
      </c>
      <c r="AU240" s="115">
        <v>0</v>
      </c>
      <c r="AV240" s="115">
        <v>0</v>
      </c>
      <c r="AW240" s="115">
        <v>0</v>
      </c>
      <c r="AX240" s="115">
        <v>0</v>
      </c>
      <c r="AY240" s="115">
        <v>0</v>
      </c>
    </row>
    <row r="241" spans="1:51" x14ac:dyDescent="0.2">
      <c r="A241" s="114"/>
      <c r="B241" s="132">
        <v>33</v>
      </c>
      <c r="C241" s="111"/>
      <c r="D241" s="115">
        <v>0</v>
      </c>
      <c r="E241" s="115">
        <v>0</v>
      </c>
      <c r="F241" s="115">
        <v>0</v>
      </c>
      <c r="G241" s="115">
        <v>0</v>
      </c>
      <c r="H241" s="115">
        <v>0</v>
      </c>
      <c r="I241" s="115">
        <v>0</v>
      </c>
      <c r="J241" s="115">
        <v>0</v>
      </c>
      <c r="K241" s="115">
        <v>0</v>
      </c>
      <c r="L241" s="115">
        <v>0</v>
      </c>
      <c r="M241" s="115">
        <v>0</v>
      </c>
      <c r="N241" s="115">
        <v>0</v>
      </c>
      <c r="O241" s="115">
        <v>0</v>
      </c>
      <c r="P241" s="115">
        <v>0</v>
      </c>
      <c r="Q241" s="115">
        <v>0</v>
      </c>
      <c r="R241" s="115">
        <v>0</v>
      </c>
      <c r="S241" s="115">
        <v>0</v>
      </c>
      <c r="T241" s="115">
        <v>0</v>
      </c>
      <c r="U241" s="115">
        <v>0</v>
      </c>
      <c r="V241" s="115">
        <v>0</v>
      </c>
      <c r="W241" s="115">
        <v>0</v>
      </c>
      <c r="X241" s="115">
        <v>0</v>
      </c>
      <c r="Y241" s="115">
        <v>0</v>
      </c>
      <c r="Z241" s="115">
        <v>0</v>
      </c>
      <c r="AA241" s="115">
        <v>0</v>
      </c>
      <c r="AB241" s="115">
        <v>0</v>
      </c>
      <c r="AC241" s="115">
        <v>0</v>
      </c>
      <c r="AD241" s="115">
        <v>0</v>
      </c>
      <c r="AE241" s="115">
        <v>0</v>
      </c>
      <c r="AF241" s="115">
        <v>0</v>
      </c>
      <c r="AG241" s="115">
        <v>0</v>
      </c>
      <c r="AH241" s="115">
        <v>0</v>
      </c>
      <c r="AI241" s="115">
        <v>0</v>
      </c>
      <c r="AJ241" s="115">
        <v>0</v>
      </c>
      <c r="AK241" s="115">
        <v>0</v>
      </c>
      <c r="AL241" s="115">
        <v>0</v>
      </c>
      <c r="AM241" s="115">
        <v>0</v>
      </c>
      <c r="AN241" s="115">
        <v>0</v>
      </c>
      <c r="AO241" s="115">
        <v>0</v>
      </c>
      <c r="AP241" s="115">
        <v>0</v>
      </c>
      <c r="AQ241" s="115">
        <v>0</v>
      </c>
      <c r="AR241" s="115">
        <v>0</v>
      </c>
      <c r="AS241" s="115">
        <v>0</v>
      </c>
      <c r="AT241" s="115">
        <v>0</v>
      </c>
      <c r="AU241" s="115">
        <v>0</v>
      </c>
      <c r="AV241" s="115">
        <v>0</v>
      </c>
      <c r="AW241" s="115">
        <v>0</v>
      </c>
      <c r="AX241" s="115">
        <v>0</v>
      </c>
      <c r="AY241" s="115">
        <v>0</v>
      </c>
    </row>
    <row r="242" spans="1:51" x14ac:dyDescent="0.2">
      <c r="A242" s="114"/>
      <c r="B242" s="132">
        <v>34</v>
      </c>
      <c r="C242" s="111"/>
      <c r="D242" s="115">
        <v>0</v>
      </c>
      <c r="E242" s="115">
        <v>0</v>
      </c>
      <c r="F242" s="115">
        <v>0</v>
      </c>
      <c r="G242" s="115">
        <v>0</v>
      </c>
      <c r="H242" s="115">
        <v>0</v>
      </c>
      <c r="I242" s="115">
        <v>0</v>
      </c>
      <c r="J242" s="115">
        <v>0</v>
      </c>
      <c r="K242" s="115">
        <v>0</v>
      </c>
      <c r="L242" s="115">
        <v>0</v>
      </c>
      <c r="M242" s="115">
        <v>0</v>
      </c>
      <c r="N242" s="115">
        <v>0</v>
      </c>
      <c r="O242" s="115">
        <v>0</v>
      </c>
      <c r="P242" s="115">
        <v>0</v>
      </c>
      <c r="Q242" s="115">
        <v>0</v>
      </c>
      <c r="R242" s="115">
        <v>0</v>
      </c>
      <c r="S242" s="115">
        <v>0</v>
      </c>
      <c r="T242" s="115">
        <v>0</v>
      </c>
      <c r="U242" s="115">
        <v>0</v>
      </c>
      <c r="V242" s="115">
        <v>0</v>
      </c>
      <c r="W242" s="115">
        <v>0</v>
      </c>
      <c r="X242" s="115">
        <v>0</v>
      </c>
      <c r="Y242" s="115">
        <v>0</v>
      </c>
      <c r="Z242" s="115">
        <v>0</v>
      </c>
      <c r="AA242" s="115">
        <v>0</v>
      </c>
      <c r="AB242" s="115">
        <v>0</v>
      </c>
      <c r="AC242" s="115">
        <v>0</v>
      </c>
      <c r="AD242" s="115">
        <v>0</v>
      </c>
      <c r="AE242" s="115">
        <v>0</v>
      </c>
      <c r="AF242" s="115">
        <v>0</v>
      </c>
      <c r="AG242" s="115">
        <v>0</v>
      </c>
      <c r="AH242" s="115">
        <v>0</v>
      </c>
      <c r="AI242" s="115">
        <v>0</v>
      </c>
      <c r="AJ242" s="115">
        <v>0</v>
      </c>
      <c r="AK242" s="115">
        <v>0</v>
      </c>
      <c r="AL242" s="115">
        <v>0</v>
      </c>
      <c r="AM242" s="115">
        <v>0</v>
      </c>
      <c r="AN242" s="115">
        <v>0</v>
      </c>
      <c r="AO242" s="115">
        <v>0</v>
      </c>
      <c r="AP242" s="115">
        <v>0</v>
      </c>
      <c r="AQ242" s="115">
        <v>0</v>
      </c>
      <c r="AR242" s="115">
        <v>0</v>
      </c>
      <c r="AS242" s="115">
        <v>0</v>
      </c>
      <c r="AT242" s="115">
        <v>0</v>
      </c>
      <c r="AU242" s="115">
        <v>0</v>
      </c>
      <c r="AV242" s="115">
        <v>0</v>
      </c>
      <c r="AW242" s="115">
        <v>0</v>
      </c>
      <c r="AX242" s="115">
        <v>0</v>
      </c>
      <c r="AY242" s="115">
        <v>0</v>
      </c>
    </row>
    <row r="243" spans="1:51" x14ac:dyDescent="0.2">
      <c r="A243" s="114"/>
      <c r="B243" s="132">
        <v>35</v>
      </c>
      <c r="C243" s="111"/>
      <c r="D243" s="115">
        <v>0</v>
      </c>
      <c r="E243" s="115">
        <v>0</v>
      </c>
      <c r="F243" s="115">
        <v>0</v>
      </c>
      <c r="G243" s="115">
        <v>0</v>
      </c>
      <c r="H243" s="115">
        <v>0</v>
      </c>
      <c r="I243" s="115">
        <v>0</v>
      </c>
      <c r="J243" s="115">
        <v>0</v>
      </c>
      <c r="K243" s="115">
        <v>0</v>
      </c>
      <c r="L243" s="115">
        <v>0</v>
      </c>
      <c r="M243" s="115">
        <v>0</v>
      </c>
      <c r="N243" s="115">
        <v>0</v>
      </c>
      <c r="O243" s="115">
        <v>0</v>
      </c>
      <c r="P243" s="115">
        <v>0</v>
      </c>
      <c r="Q243" s="115">
        <v>0</v>
      </c>
      <c r="R243" s="115">
        <v>0</v>
      </c>
      <c r="S243" s="115">
        <v>0</v>
      </c>
      <c r="T243" s="115">
        <v>0</v>
      </c>
      <c r="U243" s="115">
        <v>0</v>
      </c>
      <c r="V243" s="115">
        <v>0</v>
      </c>
      <c r="W243" s="115">
        <v>0</v>
      </c>
      <c r="X243" s="115">
        <v>0</v>
      </c>
      <c r="Y243" s="115">
        <v>0</v>
      </c>
      <c r="Z243" s="115">
        <v>0</v>
      </c>
      <c r="AA243" s="115">
        <v>0</v>
      </c>
      <c r="AB243" s="115">
        <v>0</v>
      </c>
      <c r="AC243" s="115">
        <v>0</v>
      </c>
      <c r="AD243" s="115">
        <v>0</v>
      </c>
      <c r="AE243" s="115">
        <v>0</v>
      </c>
      <c r="AF243" s="115">
        <v>0</v>
      </c>
      <c r="AG243" s="115">
        <v>0</v>
      </c>
      <c r="AH243" s="115">
        <v>0</v>
      </c>
      <c r="AI243" s="115">
        <v>0</v>
      </c>
      <c r="AJ243" s="115">
        <v>0</v>
      </c>
      <c r="AK243" s="115">
        <v>0</v>
      </c>
      <c r="AL243" s="115">
        <v>0</v>
      </c>
      <c r="AM243" s="115">
        <v>0</v>
      </c>
      <c r="AN243" s="115">
        <v>0</v>
      </c>
      <c r="AO243" s="115">
        <v>0</v>
      </c>
      <c r="AP243" s="115">
        <v>0</v>
      </c>
      <c r="AQ243" s="115">
        <v>0</v>
      </c>
      <c r="AR243" s="115">
        <v>0</v>
      </c>
      <c r="AS243" s="115">
        <v>0</v>
      </c>
      <c r="AT243" s="115">
        <v>0</v>
      </c>
      <c r="AU243" s="115">
        <v>0</v>
      </c>
      <c r="AV243" s="115">
        <v>0</v>
      </c>
      <c r="AW243" s="115">
        <v>0</v>
      </c>
      <c r="AX243" s="115">
        <v>0</v>
      </c>
      <c r="AY243" s="115">
        <v>0</v>
      </c>
    </row>
    <row r="244" spans="1:51" x14ac:dyDescent="0.2">
      <c r="A244" s="114"/>
      <c r="B244" s="132">
        <v>36</v>
      </c>
      <c r="C244" s="111"/>
      <c r="D244" s="115">
        <v>0</v>
      </c>
      <c r="E244" s="115">
        <v>0</v>
      </c>
      <c r="F244" s="115">
        <v>0</v>
      </c>
      <c r="G244" s="115">
        <v>0</v>
      </c>
      <c r="H244" s="115">
        <v>0</v>
      </c>
      <c r="I244" s="115">
        <v>0</v>
      </c>
      <c r="J244" s="115">
        <v>0</v>
      </c>
      <c r="K244" s="115">
        <v>0</v>
      </c>
      <c r="L244" s="115">
        <v>0</v>
      </c>
      <c r="M244" s="115">
        <v>0</v>
      </c>
      <c r="N244" s="115">
        <v>0</v>
      </c>
      <c r="O244" s="115">
        <v>0</v>
      </c>
      <c r="P244" s="115">
        <v>0</v>
      </c>
      <c r="Q244" s="115">
        <v>0</v>
      </c>
      <c r="R244" s="115">
        <v>0</v>
      </c>
      <c r="S244" s="115">
        <v>0</v>
      </c>
      <c r="T244" s="115">
        <v>0</v>
      </c>
      <c r="U244" s="115">
        <v>0</v>
      </c>
      <c r="V244" s="115">
        <v>0</v>
      </c>
      <c r="W244" s="115">
        <v>0</v>
      </c>
      <c r="X244" s="115">
        <v>0</v>
      </c>
      <c r="Y244" s="115">
        <v>0</v>
      </c>
      <c r="Z244" s="115">
        <v>0</v>
      </c>
      <c r="AA244" s="115">
        <v>0</v>
      </c>
      <c r="AB244" s="115">
        <v>0</v>
      </c>
      <c r="AC244" s="115">
        <v>0</v>
      </c>
      <c r="AD244" s="115">
        <v>0</v>
      </c>
      <c r="AE244" s="115">
        <v>0</v>
      </c>
      <c r="AF244" s="115">
        <v>0</v>
      </c>
      <c r="AG244" s="115">
        <v>0</v>
      </c>
      <c r="AH244" s="115">
        <v>0</v>
      </c>
      <c r="AI244" s="115">
        <v>0</v>
      </c>
      <c r="AJ244" s="115">
        <v>0</v>
      </c>
      <c r="AK244" s="115">
        <v>0</v>
      </c>
      <c r="AL244" s="115">
        <v>0</v>
      </c>
      <c r="AM244" s="115">
        <v>0</v>
      </c>
      <c r="AN244" s="115">
        <v>0</v>
      </c>
      <c r="AO244" s="115">
        <v>0</v>
      </c>
      <c r="AP244" s="115">
        <v>0</v>
      </c>
      <c r="AQ244" s="115">
        <v>0</v>
      </c>
      <c r="AR244" s="115">
        <v>0</v>
      </c>
      <c r="AS244" s="115">
        <v>0</v>
      </c>
      <c r="AT244" s="115">
        <v>0</v>
      </c>
      <c r="AU244" s="115">
        <v>0</v>
      </c>
      <c r="AV244" s="115">
        <v>0</v>
      </c>
      <c r="AW244" s="115">
        <v>0</v>
      </c>
      <c r="AX244" s="115">
        <v>0</v>
      </c>
      <c r="AY244" s="115">
        <v>0</v>
      </c>
    </row>
    <row r="245" spans="1:51" x14ac:dyDescent="0.2">
      <c r="A245" s="114"/>
      <c r="B245" s="135">
        <v>37</v>
      </c>
      <c r="C245" s="111"/>
      <c r="D245" s="115">
        <v>0</v>
      </c>
      <c r="E245" s="115">
        <v>0</v>
      </c>
      <c r="F245" s="115">
        <v>0</v>
      </c>
      <c r="G245" s="115">
        <v>0</v>
      </c>
      <c r="H245" s="115">
        <v>0</v>
      </c>
      <c r="I245" s="115">
        <v>0</v>
      </c>
      <c r="J245" s="115">
        <v>0</v>
      </c>
      <c r="K245" s="115">
        <v>0</v>
      </c>
      <c r="L245" s="115">
        <v>0</v>
      </c>
      <c r="M245" s="115">
        <v>0</v>
      </c>
      <c r="N245" s="115">
        <v>0</v>
      </c>
      <c r="O245" s="115">
        <v>0</v>
      </c>
      <c r="P245" s="115">
        <v>0</v>
      </c>
      <c r="Q245" s="115">
        <v>0</v>
      </c>
      <c r="R245" s="115">
        <v>0</v>
      </c>
      <c r="S245" s="115">
        <v>0</v>
      </c>
      <c r="T245" s="115">
        <v>0</v>
      </c>
      <c r="U245" s="115">
        <v>0</v>
      </c>
      <c r="V245" s="115">
        <v>0</v>
      </c>
      <c r="W245" s="115">
        <v>0</v>
      </c>
      <c r="X245" s="115">
        <v>0</v>
      </c>
      <c r="Y245" s="115">
        <v>0</v>
      </c>
      <c r="Z245" s="115">
        <v>0</v>
      </c>
      <c r="AA245" s="115">
        <v>0</v>
      </c>
      <c r="AB245" s="115">
        <v>0</v>
      </c>
      <c r="AC245" s="115">
        <v>0</v>
      </c>
      <c r="AD245" s="115">
        <v>0</v>
      </c>
      <c r="AE245" s="115">
        <v>0</v>
      </c>
      <c r="AF245" s="115">
        <v>0</v>
      </c>
      <c r="AG245" s="115">
        <v>0</v>
      </c>
      <c r="AH245" s="115">
        <v>0</v>
      </c>
      <c r="AI245" s="115">
        <v>0</v>
      </c>
      <c r="AJ245" s="115">
        <v>0</v>
      </c>
      <c r="AK245" s="115">
        <v>0</v>
      </c>
      <c r="AL245" s="115">
        <v>0</v>
      </c>
      <c r="AM245" s="115">
        <v>0</v>
      </c>
      <c r="AN245" s="115">
        <v>0</v>
      </c>
      <c r="AO245" s="115">
        <v>0</v>
      </c>
      <c r="AP245" s="115">
        <v>0</v>
      </c>
      <c r="AQ245" s="115">
        <v>0</v>
      </c>
      <c r="AR245" s="115">
        <v>0</v>
      </c>
      <c r="AS245" s="115">
        <v>0</v>
      </c>
      <c r="AT245" s="115">
        <v>0</v>
      </c>
      <c r="AU245" s="115">
        <v>0</v>
      </c>
      <c r="AV245" s="115">
        <v>0</v>
      </c>
      <c r="AW245" s="115">
        <v>0</v>
      </c>
      <c r="AX245" s="115">
        <v>0</v>
      </c>
      <c r="AY245" s="115">
        <v>0</v>
      </c>
    </row>
    <row r="246" spans="1:51" x14ac:dyDescent="0.2">
      <c r="A246" s="114"/>
      <c r="B246" s="135">
        <v>38</v>
      </c>
      <c r="C246" s="111"/>
      <c r="D246" s="115">
        <v>0</v>
      </c>
      <c r="E246" s="115">
        <v>0</v>
      </c>
      <c r="F246" s="115">
        <v>0</v>
      </c>
      <c r="G246" s="115">
        <v>0</v>
      </c>
      <c r="H246" s="115">
        <v>0</v>
      </c>
      <c r="I246" s="115">
        <v>0</v>
      </c>
      <c r="J246" s="115">
        <v>0</v>
      </c>
      <c r="K246" s="115">
        <v>0</v>
      </c>
      <c r="L246" s="115">
        <v>0</v>
      </c>
      <c r="M246" s="115">
        <v>0</v>
      </c>
      <c r="N246" s="115">
        <v>0</v>
      </c>
      <c r="O246" s="115">
        <v>0</v>
      </c>
      <c r="P246" s="115">
        <v>0</v>
      </c>
      <c r="Q246" s="115">
        <v>0</v>
      </c>
      <c r="R246" s="115">
        <v>0</v>
      </c>
      <c r="S246" s="115">
        <v>0</v>
      </c>
      <c r="T246" s="115">
        <v>0</v>
      </c>
      <c r="U246" s="115">
        <v>0</v>
      </c>
      <c r="V246" s="115">
        <v>0</v>
      </c>
      <c r="W246" s="115">
        <v>0</v>
      </c>
      <c r="X246" s="115">
        <v>0</v>
      </c>
      <c r="Y246" s="115">
        <v>0</v>
      </c>
      <c r="Z246" s="115">
        <v>0</v>
      </c>
      <c r="AA246" s="115">
        <v>0</v>
      </c>
      <c r="AB246" s="115">
        <v>0</v>
      </c>
      <c r="AC246" s="115">
        <v>0</v>
      </c>
      <c r="AD246" s="115">
        <v>0</v>
      </c>
      <c r="AE246" s="115">
        <v>0</v>
      </c>
      <c r="AF246" s="115">
        <v>0</v>
      </c>
      <c r="AG246" s="115">
        <v>0</v>
      </c>
      <c r="AH246" s="115">
        <v>0</v>
      </c>
      <c r="AI246" s="115">
        <v>0</v>
      </c>
      <c r="AJ246" s="115">
        <v>0</v>
      </c>
      <c r="AK246" s="115">
        <v>0</v>
      </c>
      <c r="AL246" s="115">
        <v>0</v>
      </c>
      <c r="AM246" s="115">
        <v>0</v>
      </c>
      <c r="AN246" s="115">
        <v>0</v>
      </c>
      <c r="AO246" s="115">
        <v>0</v>
      </c>
      <c r="AP246" s="115">
        <v>0</v>
      </c>
      <c r="AQ246" s="115">
        <v>0</v>
      </c>
      <c r="AR246" s="115">
        <v>0</v>
      </c>
      <c r="AS246" s="115">
        <v>0</v>
      </c>
      <c r="AT246" s="115">
        <v>0</v>
      </c>
      <c r="AU246" s="115">
        <v>0</v>
      </c>
      <c r="AV246" s="115">
        <v>0</v>
      </c>
      <c r="AW246" s="115">
        <v>0</v>
      </c>
      <c r="AX246" s="115">
        <v>0</v>
      </c>
      <c r="AY246" s="115">
        <v>0</v>
      </c>
    </row>
    <row r="247" spans="1:51" x14ac:dyDescent="0.2">
      <c r="A247" s="114"/>
      <c r="B247" s="135">
        <v>39</v>
      </c>
      <c r="C247" s="111"/>
      <c r="D247" s="115">
        <v>0</v>
      </c>
      <c r="E247" s="115">
        <v>0</v>
      </c>
      <c r="F247" s="115">
        <v>0</v>
      </c>
      <c r="G247" s="115">
        <v>0</v>
      </c>
      <c r="H247" s="115">
        <v>0</v>
      </c>
      <c r="I247" s="115">
        <v>0</v>
      </c>
      <c r="J247" s="115">
        <v>0</v>
      </c>
      <c r="K247" s="115">
        <v>0</v>
      </c>
      <c r="L247" s="115">
        <v>0</v>
      </c>
      <c r="M247" s="115">
        <v>0</v>
      </c>
      <c r="N247" s="115">
        <v>0</v>
      </c>
      <c r="O247" s="115">
        <v>0</v>
      </c>
      <c r="P247" s="115">
        <v>0</v>
      </c>
      <c r="Q247" s="115">
        <v>0</v>
      </c>
      <c r="R247" s="115">
        <v>0</v>
      </c>
      <c r="S247" s="115">
        <v>0</v>
      </c>
      <c r="T247" s="115">
        <v>0</v>
      </c>
      <c r="U247" s="115">
        <v>0</v>
      </c>
      <c r="V247" s="115">
        <v>0</v>
      </c>
      <c r="W247" s="115">
        <v>0</v>
      </c>
      <c r="X247" s="115">
        <v>0</v>
      </c>
      <c r="Y247" s="115">
        <v>0</v>
      </c>
      <c r="Z247" s="115">
        <v>0</v>
      </c>
      <c r="AA247" s="115">
        <v>0</v>
      </c>
      <c r="AB247" s="115">
        <v>0</v>
      </c>
      <c r="AC247" s="115">
        <v>0</v>
      </c>
      <c r="AD247" s="115">
        <v>0</v>
      </c>
      <c r="AE247" s="115">
        <v>0</v>
      </c>
      <c r="AF247" s="115">
        <v>0</v>
      </c>
      <c r="AG247" s="115">
        <v>0</v>
      </c>
      <c r="AH247" s="115">
        <v>0</v>
      </c>
      <c r="AI247" s="115">
        <v>0</v>
      </c>
      <c r="AJ247" s="115">
        <v>0</v>
      </c>
      <c r="AK247" s="115">
        <v>0</v>
      </c>
      <c r="AL247" s="115">
        <v>0</v>
      </c>
      <c r="AM247" s="115">
        <v>0</v>
      </c>
      <c r="AN247" s="115">
        <v>0</v>
      </c>
      <c r="AO247" s="115">
        <v>0</v>
      </c>
      <c r="AP247" s="115">
        <v>0</v>
      </c>
      <c r="AQ247" s="115">
        <v>0</v>
      </c>
      <c r="AR247" s="115">
        <v>0</v>
      </c>
      <c r="AS247" s="115">
        <v>0</v>
      </c>
      <c r="AT247" s="115">
        <v>0</v>
      </c>
      <c r="AU247" s="115">
        <v>0</v>
      </c>
      <c r="AV247" s="115">
        <v>0</v>
      </c>
      <c r="AW247" s="115">
        <v>0</v>
      </c>
      <c r="AX247" s="115">
        <v>0</v>
      </c>
      <c r="AY247" s="115">
        <v>0</v>
      </c>
    </row>
    <row r="248" spans="1:51" x14ac:dyDescent="0.2">
      <c r="A248" s="114"/>
      <c r="B248" s="135">
        <v>40</v>
      </c>
      <c r="C248" s="111"/>
      <c r="D248" s="115">
        <v>0</v>
      </c>
      <c r="E248" s="115">
        <v>0</v>
      </c>
      <c r="F248" s="115">
        <v>0</v>
      </c>
      <c r="G248" s="115">
        <v>0</v>
      </c>
      <c r="H248" s="115">
        <v>0</v>
      </c>
      <c r="I248" s="115">
        <v>0</v>
      </c>
      <c r="J248" s="115">
        <v>0</v>
      </c>
      <c r="K248" s="115">
        <v>0</v>
      </c>
      <c r="L248" s="115">
        <v>0</v>
      </c>
      <c r="M248" s="115">
        <v>0</v>
      </c>
      <c r="N248" s="115">
        <v>0</v>
      </c>
      <c r="O248" s="115">
        <v>0</v>
      </c>
      <c r="P248" s="115">
        <v>0</v>
      </c>
      <c r="Q248" s="115">
        <v>0</v>
      </c>
      <c r="R248" s="115">
        <v>0</v>
      </c>
      <c r="S248" s="115">
        <v>0</v>
      </c>
      <c r="T248" s="115">
        <v>0</v>
      </c>
      <c r="U248" s="115">
        <v>0</v>
      </c>
      <c r="V248" s="115">
        <v>0</v>
      </c>
      <c r="W248" s="115">
        <v>0</v>
      </c>
      <c r="X248" s="115">
        <v>0</v>
      </c>
      <c r="Y248" s="115">
        <v>0</v>
      </c>
      <c r="Z248" s="115">
        <v>0</v>
      </c>
      <c r="AA248" s="115">
        <v>0</v>
      </c>
      <c r="AB248" s="115">
        <v>0</v>
      </c>
      <c r="AC248" s="115">
        <v>0</v>
      </c>
      <c r="AD248" s="115">
        <v>0</v>
      </c>
      <c r="AE248" s="115">
        <v>0</v>
      </c>
      <c r="AF248" s="115">
        <v>0</v>
      </c>
      <c r="AG248" s="115">
        <v>0</v>
      </c>
      <c r="AH248" s="115">
        <v>0</v>
      </c>
      <c r="AI248" s="115">
        <v>0</v>
      </c>
      <c r="AJ248" s="115">
        <v>0</v>
      </c>
      <c r="AK248" s="115">
        <v>0</v>
      </c>
      <c r="AL248" s="115">
        <v>0</v>
      </c>
      <c r="AM248" s="115">
        <v>0</v>
      </c>
      <c r="AN248" s="115">
        <v>0</v>
      </c>
      <c r="AO248" s="115">
        <v>0</v>
      </c>
      <c r="AP248" s="115">
        <v>0</v>
      </c>
      <c r="AQ248" s="115">
        <v>0</v>
      </c>
      <c r="AR248" s="115">
        <v>0</v>
      </c>
      <c r="AS248" s="115">
        <v>0</v>
      </c>
      <c r="AT248" s="115">
        <v>0</v>
      </c>
      <c r="AU248" s="115">
        <v>0</v>
      </c>
      <c r="AV248" s="115">
        <v>0</v>
      </c>
      <c r="AW248" s="115">
        <v>0</v>
      </c>
      <c r="AX248" s="115">
        <v>0</v>
      </c>
      <c r="AY248" s="115">
        <v>0</v>
      </c>
    </row>
    <row r="249" spans="1:51" x14ac:dyDescent="0.2">
      <c r="A249" s="114"/>
      <c r="B249" s="135">
        <v>41</v>
      </c>
      <c r="C249" s="111"/>
      <c r="D249" s="115">
        <v>0</v>
      </c>
      <c r="E249" s="115">
        <v>0</v>
      </c>
      <c r="F249" s="115">
        <v>0</v>
      </c>
      <c r="G249" s="115">
        <v>0</v>
      </c>
      <c r="H249" s="115">
        <v>0</v>
      </c>
      <c r="I249" s="115">
        <v>0</v>
      </c>
      <c r="J249" s="115">
        <v>0</v>
      </c>
      <c r="K249" s="115">
        <v>0</v>
      </c>
      <c r="L249" s="115">
        <v>0</v>
      </c>
      <c r="M249" s="115">
        <v>0</v>
      </c>
      <c r="N249" s="115">
        <v>0</v>
      </c>
      <c r="O249" s="115">
        <v>0</v>
      </c>
      <c r="P249" s="115">
        <v>0</v>
      </c>
      <c r="Q249" s="115">
        <v>0</v>
      </c>
      <c r="R249" s="115">
        <v>0</v>
      </c>
      <c r="S249" s="115">
        <v>0</v>
      </c>
      <c r="T249" s="115">
        <v>0</v>
      </c>
      <c r="U249" s="115">
        <v>0</v>
      </c>
      <c r="V249" s="115">
        <v>0</v>
      </c>
      <c r="W249" s="115">
        <v>0</v>
      </c>
      <c r="X249" s="115">
        <v>0</v>
      </c>
      <c r="Y249" s="115">
        <v>0</v>
      </c>
      <c r="Z249" s="115">
        <v>0</v>
      </c>
      <c r="AA249" s="115">
        <v>0</v>
      </c>
      <c r="AB249" s="115">
        <v>0</v>
      </c>
      <c r="AC249" s="115">
        <v>0</v>
      </c>
      <c r="AD249" s="115">
        <v>0</v>
      </c>
      <c r="AE249" s="115">
        <v>0</v>
      </c>
      <c r="AF249" s="115">
        <v>0</v>
      </c>
      <c r="AG249" s="115">
        <v>0</v>
      </c>
      <c r="AH249" s="115">
        <v>0</v>
      </c>
      <c r="AI249" s="115">
        <v>0</v>
      </c>
      <c r="AJ249" s="115">
        <v>0</v>
      </c>
      <c r="AK249" s="115">
        <v>0</v>
      </c>
      <c r="AL249" s="115">
        <v>0</v>
      </c>
      <c r="AM249" s="115">
        <v>0</v>
      </c>
      <c r="AN249" s="115">
        <v>0</v>
      </c>
      <c r="AO249" s="115">
        <v>0</v>
      </c>
      <c r="AP249" s="115">
        <v>0</v>
      </c>
      <c r="AQ249" s="115">
        <v>0</v>
      </c>
      <c r="AR249" s="115">
        <v>0</v>
      </c>
      <c r="AS249" s="115">
        <v>0</v>
      </c>
      <c r="AT249" s="115">
        <v>0</v>
      </c>
      <c r="AU249" s="115">
        <v>0</v>
      </c>
      <c r="AV249" s="115">
        <v>0</v>
      </c>
      <c r="AW249" s="115">
        <v>0</v>
      </c>
      <c r="AX249" s="115">
        <v>0</v>
      </c>
      <c r="AY249" s="115">
        <v>0</v>
      </c>
    </row>
    <row r="250" spans="1:51" x14ac:dyDescent="0.2">
      <c r="A250" s="114"/>
      <c r="B250" s="135">
        <v>42</v>
      </c>
      <c r="C250" s="111"/>
      <c r="D250" s="115">
        <v>0</v>
      </c>
      <c r="E250" s="115">
        <v>0</v>
      </c>
      <c r="F250" s="115">
        <v>0</v>
      </c>
      <c r="G250" s="115">
        <v>0</v>
      </c>
      <c r="H250" s="115">
        <v>0</v>
      </c>
      <c r="I250" s="115">
        <v>0</v>
      </c>
      <c r="J250" s="115">
        <v>0</v>
      </c>
      <c r="K250" s="115">
        <v>0</v>
      </c>
      <c r="L250" s="115">
        <v>0</v>
      </c>
      <c r="M250" s="115">
        <v>0</v>
      </c>
      <c r="N250" s="115">
        <v>0</v>
      </c>
      <c r="O250" s="115">
        <v>0</v>
      </c>
      <c r="P250" s="115">
        <v>0</v>
      </c>
      <c r="Q250" s="115">
        <v>0</v>
      </c>
      <c r="R250" s="115">
        <v>0</v>
      </c>
      <c r="S250" s="115">
        <v>0</v>
      </c>
      <c r="T250" s="115">
        <v>0</v>
      </c>
      <c r="U250" s="115">
        <v>0</v>
      </c>
      <c r="V250" s="115">
        <v>0</v>
      </c>
      <c r="W250" s="115">
        <v>0</v>
      </c>
      <c r="X250" s="115">
        <v>0</v>
      </c>
      <c r="Y250" s="115">
        <v>0</v>
      </c>
      <c r="Z250" s="115">
        <v>0</v>
      </c>
      <c r="AA250" s="115">
        <v>0</v>
      </c>
      <c r="AB250" s="115">
        <v>0</v>
      </c>
      <c r="AC250" s="115">
        <v>0</v>
      </c>
      <c r="AD250" s="115">
        <v>0</v>
      </c>
      <c r="AE250" s="115">
        <v>0</v>
      </c>
      <c r="AF250" s="115">
        <v>0</v>
      </c>
      <c r="AG250" s="115">
        <v>0</v>
      </c>
      <c r="AH250" s="115">
        <v>0</v>
      </c>
      <c r="AI250" s="115">
        <v>0</v>
      </c>
      <c r="AJ250" s="115">
        <v>0</v>
      </c>
      <c r="AK250" s="115">
        <v>0</v>
      </c>
      <c r="AL250" s="115">
        <v>0</v>
      </c>
      <c r="AM250" s="115">
        <v>0</v>
      </c>
      <c r="AN250" s="115">
        <v>0</v>
      </c>
      <c r="AO250" s="115">
        <v>0</v>
      </c>
      <c r="AP250" s="115">
        <v>0</v>
      </c>
      <c r="AQ250" s="115">
        <v>0</v>
      </c>
      <c r="AR250" s="115">
        <v>0</v>
      </c>
      <c r="AS250" s="115">
        <v>0</v>
      </c>
      <c r="AT250" s="115">
        <v>0</v>
      </c>
      <c r="AU250" s="115">
        <v>0</v>
      </c>
      <c r="AV250" s="115">
        <v>0</v>
      </c>
      <c r="AW250" s="115">
        <v>0</v>
      </c>
      <c r="AX250" s="115">
        <v>0</v>
      </c>
      <c r="AY250" s="115">
        <v>0</v>
      </c>
    </row>
    <row r="251" spans="1:51" x14ac:dyDescent="0.2">
      <c r="A251" s="114"/>
      <c r="B251" s="135">
        <v>43</v>
      </c>
      <c r="C251" s="111"/>
      <c r="D251" s="115">
        <v>0</v>
      </c>
      <c r="E251" s="115">
        <v>0</v>
      </c>
      <c r="F251" s="115">
        <v>0</v>
      </c>
      <c r="G251" s="115">
        <v>0</v>
      </c>
      <c r="H251" s="115">
        <v>0</v>
      </c>
      <c r="I251" s="115">
        <v>0</v>
      </c>
      <c r="J251" s="115">
        <v>0</v>
      </c>
      <c r="K251" s="115">
        <v>0</v>
      </c>
      <c r="L251" s="115">
        <v>0</v>
      </c>
      <c r="M251" s="115">
        <v>0</v>
      </c>
      <c r="N251" s="115">
        <v>0</v>
      </c>
      <c r="O251" s="115">
        <v>0</v>
      </c>
      <c r="P251" s="115">
        <v>0</v>
      </c>
      <c r="Q251" s="115">
        <v>0</v>
      </c>
      <c r="R251" s="115">
        <v>0</v>
      </c>
      <c r="S251" s="115">
        <v>0</v>
      </c>
      <c r="T251" s="115">
        <v>0</v>
      </c>
      <c r="U251" s="115">
        <v>0</v>
      </c>
      <c r="V251" s="115">
        <v>0</v>
      </c>
      <c r="W251" s="115">
        <v>0</v>
      </c>
      <c r="X251" s="115">
        <v>0</v>
      </c>
      <c r="Y251" s="115">
        <v>0</v>
      </c>
      <c r="Z251" s="115">
        <v>0</v>
      </c>
      <c r="AA251" s="115">
        <v>0</v>
      </c>
      <c r="AB251" s="115">
        <v>0</v>
      </c>
      <c r="AC251" s="115">
        <v>0</v>
      </c>
      <c r="AD251" s="115">
        <v>0</v>
      </c>
      <c r="AE251" s="115">
        <v>0</v>
      </c>
      <c r="AF251" s="115">
        <v>0</v>
      </c>
      <c r="AG251" s="115">
        <v>0</v>
      </c>
      <c r="AH251" s="115">
        <v>0</v>
      </c>
      <c r="AI251" s="115">
        <v>0</v>
      </c>
      <c r="AJ251" s="115">
        <v>0</v>
      </c>
      <c r="AK251" s="115">
        <v>0</v>
      </c>
      <c r="AL251" s="115">
        <v>0</v>
      </c>
      <c r="AM251" s="115">
        <v>0</v>
      </c>
      <c r="AN251" s="115">
        <v>0</v>
      </c>
      <c r="AO251" s="115">
        <v>0</v>
      </c>
      <c r="AP251" s="115">
        <v>0</v>
      </c>
      <c r="AQ251" s="115">
        <v>0</v>
      </c>
      <c r="AR251" s="115">
        <v>0</v>
      </c>
      <c r="AS251" s="115">
        <v>0</v>
      </c>
      <c r="AT251" s="115">
        <v>0</v>
      </c>
      <c r="AU251" s="115">
        <v>0</v>
      </c>
      <c r="AV251" s="115">
        <v>0</v>
      </c>
      <c r="AW251" s="115">
        <v>0</v>
      </c>
      <c r="AX251" s="115">
        <v>0</v>
      </c>
      <c r="AY251" s="115">
        <v>0</v>
      </c>
    </row>
    <row r="252" spans="1:51" x14ac:dyDescent="0.2">
      <c r="A252" s="114"/>
      <c r="B252" s="135">
        <v>44</v>
      </c>
      <c r="C252" s="111"/>
      <c r="D252" s="115">
        <v>0</v>
      </c>
      <c r="E252" s="115">
        <v>0</v>
      </c>
      <c r="F252" s="115">
        <v>0</v>
      </c>
      <c r="G252" s="115">
        <v>0</v>
      </c>
      <c r="H252" s="115">
        <v>0</v>
      </c>
      <c r="I252" s="115">
        <v>0</v>
      </c>
      <c r="J252" s="115">
        <v>0</v>
      </c>
      <c r="K252" s="115">
        <v>0</v>
      </c>
      <c r="L252" s="115">
        <v>0</v>
      </c>
      <c r="M252" s="115">
        <v>0</v>
      </c>
      <c r="N252" s="115">
        <v>0</v>
      </c>
      <c r="O252" s="115">
        <v>0</v>
      </c>
      <c r="P252" s="115">
        <v>0</v>
      </c>
      <c r="Q252" s="115">
        <v>0</v>
      </c>
      <c r="R252" s="115">
        <v>0</v>
      </c>
      <c r="S252" s="115">
        <v>0</v>
      </c>
      <c r="T252" s="115">
        <v>0</v>
      </c>
      <c r="U252" s="115">
        <v>0</v>
      </c>
      <c r="V252" s="115">
        <v>0</v>
      </c>
      <c r="W252" s="115">
        <v>0</v>
      </c>
      <c r="X252" s="115">
        <v>0</v>
      </c>
      <c r="Y252" s="115">
        <v>0</v>
      </c>
      <c r="Z252" s="115">
        <v>0</v>
      </c>
      <c r="AA252" s="115">
        <v>0</v>
      </c>
      <c r="AB252" s="115">
        <v>0</v>
      </c>
      <c r="AC252" s="115">
        <v>0</v>
      </c>
      <c r="AD252" s="115">
        <v>0</v>
      </c>
      <c r="AE252" s="115">
        <v>0</v>
      </c>
      <c r="AF252" s="115">
        <v>0</v>
      </c>
      <c r="AG252" s="115">
        <v>0</v>
      </c>
      <c r="AH252" s="115">
        <v>0</v>
      </c>
      <c r="AI252" s="115">
        <v>0</v>
      </c>
      <c r="AJ252" s="115">
        <v>0</v>
      </c>
      <c r="AK252" s="115">
        <v>0</v>
      </c>
      <c r="AL252" s="115">
        <v>0</v>
      </c>
      <c r="AM252" s="115">
        <v>0</v>
      </c>
      <c r="AN252" s="115">
        <v>0</v>
      </c>
      <c r="AO252" s="115">
        <v>0</v>
      </c>
      <c r="AP252" s="115">
        <v>0</v>
      </c>
      <c r="AQ252" s="115">
        <v>0</v>
      </c>
      <c r="AR252" s="115">
        <v>0</v>
      </c>
      <c r="AS252" s="115">
        <v>0</v>
      </c>
      <c r="AT252" s="115">
        <v>0</v>
      </c>
      <c r="AU252" s="115">
        <v>0</v>
      </c>
      <c r="AV252" s="115">
        <v>0</v>
      </c>
      <c r="AW252" s="115">
        <v>0</v>
      </c>
      <c r="AX252" s="115">
        <v>0</v>
      </c>
      <c r="AY252" s="115">
        <v>0</v>
      </c>
    </row>
    <row r="253" spans="1:51" x14ac:dyDescent="0.2">
      <c r="A253" s="114"/>
      <c r="B253" s="135">
        <v>45</v>
      </c>
      <c r="C253" s="111"/>
      <c r="D253" s="115">
        <v>0</v>
      </c>
      <c r="E253" s="115">
        <v>0</v>
      </c>
      <c r="F253" s="115">
        <v>0</v>
      </c>
      <c r="G253" s="115">
        <v>0</v>
      </c>
      <c r="H253" s="115">
        <v>0</v>
      </c>
      <c r="I253" s="115">
        <v>0</v>
      </c>
      <c r="J253" s="115">
        <v>0</v>
      </c>
      <c r="K253" s="115">
        <v>0</v>
      </c>
      <c r="L253" s="115">
        <v>0</v>
      </c>
      <c r="M253" s="115">
        <v>0</v>
      </c>
      <c r="N253" s="115">
        <v>0</v>
      </c>
      <c r="O253" s="115">
        <v>0</v>
      </c>
      <c r="P253" s="115">
        <v>0</v>
      </c>
      <c r="Q253" s="115">
        <v>0</v>
      </c>
      <c r="R253" s="115">
        <v>0</v>
      </c>
      <c r="S253" s="115">
        <v>0</v>
      </c>
      <c r="T253" s="115">
        <v>0</v>
      </c>
      <c r="U253" s="115">
        <v>0</v>
      </c>
      <c r="V253" s="115">
        <v>0</v>
      </c>
      <c r="W253" s="115">
        <v>0</v>
      </c>
      <c r="X253" s="115">
        <v>0</v>
      </c>
      <c r="Y253" s="115">
        <v>0</v>
      </c>
      <c r="Z253" s="115">
        <v>0</v>
      </c>
      <c r="AA253" s="115">
        <v>0</v>
      </c>
      <c r="AB253" s="115">
        <v>0</v>
      </c>
      <c r="AC253" s="115">
        <v>0</v>
      </c>
      <c r="AD253" s="115">
        <v>0</v>
      </c>
      <c r="AE253" s="115">
        <v>0</v>
      </c>
      <c r="AF253" s="115">
        <v>0</v>
      </c>
      <c r="AG253" s="115">
        <v>0</v>
      </c>
      <c r="AH253" s="115">
        <v>0</v>
      </c>
      <c r="AI253" s="115">
        <v>0</v>
      </c>
      <c r="AJ253" s="115">
        <v>0</v>
      </c>
      <c r="AK253" s="115">
        <v>0</v>
      </c>
      <c r="AL253" s="115">
        <v>0</v>
      </c>
      <c r="AM253" s="115">
        <v>0</v>
      </c>
      <c r="AN253" s="115">
        <v>0</v>
      </c>
      <c r="AO253" s="115">
        <v>0</v>
      </c>
      <c r="AP253" s="115">
        <v>0</v>
      </c>
      <c r="AQ253" s="115">
        <v>0</v>
      </c>
      <c r="AR253" s="115">
        <v>0</v>
      </c>
      <c r="AS253" s="115">
        <v>0</v>
      </c>
      <c r="AT253" s="115">
        <v>0</v>
      </c>
      <c r="AU253" s="115">
        <v>0</v>
      </c>
      <c r="AV253" s="115">
        <v>0</v>
      </c>
      <c r="AW253" s="115">
        <v>0</v>
      </c>
      <c r="AX253" s="115">
        <v>0</v>
      </c>
      <c r="AY253" s="115">
        <v>0</v>
      </c>
    </row>
    <row r="254" spans="1:51" x14ac:dyDescent="0.2">
      <c r="A254" s="114"/>
      <c r="B254" s="135">
        <v>46</v>
      </c>
      <c r="C254" s="111"/>
      <c r="D254" s="115">
        <v>0</v>
      </c>
      <c r="E254" s="115">
        <v>0</v>
      </c>
      <c r="F254" s="115">
        <v>0</v>
      </c>
      <c r="G254" s="115">
        <v>0</v>
      </c>
      <c r="H254" s="115">
        <v>0</v>
      </c>
      <c r="I254" s="115">
        <v>0</v>
      </c>
      <c r="J254" s="115">
        <v>0</v>
      </c>
      <c r="K254" s="115">
        <v>0</v>
      </c>
      <c r="L254" s="115">
        <v>0</v>
      </c>
      <c r="M254" s="115">
        <v>0</v>
      </c>
      <c r="N254" s="115">
        <v>0</v>
      </c>
      <c r="O254" s="115">
        <v>0</v>
      </c>
      <c r="P254" s="115">
        <v>0</v>
      </c>
      <c r="Q254" s="115">
        <v>0</v>
      </c>
      <c r="R254" s="115">
        <v>0</v>
      </c>
      <c r="S254" s="115">
        <v>0</v>
      </c>
      <c r="T254" s="115">
        <v>0</v>
      </c>
      <c r="U254" s="115">
        <v>0</v>
      </c>
      <c r="V254" s="115">
        <v>0</v>
      </c>
      <c r="W254" s="115">
        <v>0</v>
      </c>
      <c r="X254" s="115">
        <v>0</v>
      </c>
      <c r="Y254" s="115">
        <v>0</v>
      </c>
      <c r="Z254" s="115">
        <v>0</v>
      </c>
      <c r="AA254" s="115">
        <v>0</v>
      </c>
      <c r="AB254" s="115">
        <v>0</v>
      </c>
      <c r="AC254" s="115">
        <v>0</v>
      </c>
      <c r="AD254" s="115">
        <v>0</v>
      </c>
      <c r="AE254" s="115">
        <v>0</v>
      </c>
      <c r="AF254" s="115">
        <v>0</v>
      </c>
      <c r="AG254" s="115">
        <v>0</v>
      </c>
      <c r="AH254" s="115">
        <v>0</v>
      </c>
      <c r="AI254" s="115">
        <v>0</v>
      </c>
      <c r="AJ254" s="115">
        <v>0</v>
      </c>
      <c r="AK254" s="115">
        <v>0</v>
      </c>
      <c r="AL254" s="115">
        <v>0</v>
      </c>
      <c r="AM254" s="115">
        <v>0</v>
      </c>
      <c r="AN254" s="115">
        <v>0</v>
      </c>
      <c r="AO254" s="115">
        <v>0</v>
      </c>
      <c r="AP254" s="115">
        <v>0</v>
      </c>
      <c r="AQ254" s="115">
        <v>0</v>
      </c>
      <c r="AR254" s="115">
        <v>0</v>
      </c>
      <c r="AS254" s="115">
        <v>0</v>
      </c>
      <c r="AT254" s="115">
        <v>0</v>
      </c>
      <c r="AU254" s="115">
        <v>0</v>
      </c>
      <c r="AV254" s="115">
        <v>0</v>
      </c>
      <c r="AW254" s="115">
        <v>0</v>
      </c>
      <c r="AX254" s="115">
        <v>0</v>
      </c>
      <c r="AY254" s="115">
        <v>0</v>
      </c>
    </row>
    <row r="255" spans="1:51" x14ac:dyDescent="0.2">
      <c r="A255" s="114"/>
      <c r="B255" s="135">
        <v>47</v>
      </c>
      <c r="C255" s="111"/>
      <c r="D255" s="115">
        <v>0</v>
      </c>
      <c r="E255" s="115">
        <v>0</v>
      </c>
      <c r="F255" s="115">
        <v>0</v>
      </c>
      <c r="G255" s="115">
        <v>0</v>
      </c>
      <c r="H255" s="115">
        <v>0</v>
      </c>
      <c r="I255" s="115">
        <v>0</v>
      </c>
      <c r="J255" s="115">
        <v>0</v>
      </c>
      <c r="K255" s="115">
        <v>0</v>
      </c>
      <c r="L255" s="115">
        <v>0</v>
      </c>
      <c r="M255" s="115">
        <v>0</v>
      </c>
      <c r="N255" s="115">
        <v>0</v>
      </c>
      <c r="O255" s="115">
        <v>0</v>
      </c>
      <c r="P255" s="115">
        <v>0</v>
      </c>
      <c r="Q255" s="115">
        <v>0</v>
      </c>
      <c r="R255" s="115">
        <v>0</v>
      </c>
      <c r="S255" s="115">
        <v>0</v>
      </c>
      <c r="T255" s="115">
        <v>0</v>
      </c>
      <c r="U255" s="115">
        <v>0</v>
      </c>
      <c r="V255" s="115">
        <v>0</v>
      </c>
      <c r="W255" s="115">
        <v>0</v>
      </c>
      <c r="X255" s="115">
        <v>0</v>
      </c>
      <c r="Y255" s="115">
        <v>0</v>
      </c>
      <c r="Z255" s="115">
        <v>0</v>
      </c>
      <c r="AA255" s="115">
        <v>0</v>
      </c>
      <c r="AB255" s="115">
        <v>0</v>
      </c>
      <c r="AC255" s="115">
        <v>0</v>
      </c>
      <c r="AD255" s="115">
        <v>0</v>
      </c>
      <c r="AE255" s="115">
        <v>0</v>
      </c>
      <c r="AF255" s="115">
        <v>0</v>
      </c>
      <c r="AG255" s="115">
        <v>0</v>
      </c>
      <c r="AH255" s="115">
        <v>0</v>
      </c>
      <c r="AI255" s="115">
        <v>0</v>
      </c>
      <c r="AJ255" s="115">
        <v>0</v>
      </c>
      <c r="AK255" s="115">
        <v>0</v>
      </c>
      <c r="AL255" s="115">
        <v>0</v>
      </c>
      <c r="AM255" s="115">
        <v>0</v>
      </c>
      <c r="AN255" s="115">
        <v>0</v>
      </c>
      <c r="AO255" s="115">
        <v>0</v>
      </c>
      <c r="AP255" s="115">
        <v>0</v>
      </c>
      <c r="AQ255" s="115">
        <v>0</v>
      </c>
      <c r="AR255" s="115">
        <v>0</v>
      </c>
      <c r="AS255" s="115">
        <v>0</v>
      </c>
      <c r="AT255" s="115">
        <v>0</v>
      </c>
      <c r="AU255" s="115">
        <v>0</v>
      </c>
      <c r="AV255" s="115">
        <v>0</v>
      </c>
      <c r="AW255" s="115">
        <v>0</v>
      </c>
      <c r="AX255" s="115">
        <v>0</v>
      </c>
      <c r="AY255" s="115">
        <v>0</v>
      </c>
    </row>
    <row r="256" spans="1:51" x14ac:dyDescent="0.2">
      <c r="A256" s="133"/>
      <c r="B256" s="134">
        <v>48</v>
      </c>
      <c r="C256" s="119"/>
      <c r="D256" s="130">
        <v>0</v>
      </c>
      <c r="E256" s="130">
        <v>0</v>
      </c>
      <c r="F256" s="130">
        <v>0</v>
      </c>
      <c r="G256" s="130">
        <v>0</v>
      </c>
      <c r="H256" s="130">
        <v>0</v>
      </c>
      <c r="I256" s="130">
        <v>0</v>
      </c>
      <c r="J256" s="130">
        <v>0</v>
      </c>
      <c r="K256" s="130">
        <v>0</v>
      </c>
      <c r="L256" s="130">
        <v>0</v>
      </c>
      <c r="M256" s="130">
        <v>0</v>
      </c>
      <c r="N256" s="130">
        <v>0</v>
      </c>
      <c r="O256" s="130">
        <v>0</v>
      </c>
      <c r="P256" s="130">
        <v>0</v>
      </c>
      <c r="Q256" s="130">
        <v>0</v>
      </c>
      <c r="R256" s="130">
        <v>0</v>
      </c>
      <c r="S256" s="130">
        <v>0</v>
      </c>
      <c r="T256" s="130">
        <v>0</v>
      </c>
      <c r="U256" s="130">
        <v>0</v>
      </c>
      <c r="V256" s="130">
        <v>0</v>
      </c>
      <c r="W256" s="130">
        <v>0</v>
      </c>
      <c r="X256" s="130">
        <v>0</v>
      </c>
      <c r="Y256" s="130">
        <v>0</v>
      </c>
      <c r="Z256" s="130">
        <v>0</v>
      </c>
      <c r="AA256" s="130">
        <v>0</v>
      </c>
      <c r="AB256" s="130">
        <v>0</v>
      </c>
      <c r="AC256" s="130">
        <v>0</v>
      </c>
      <c r="AD256" s="130">
        <v>0</v>
      </c>
      <c r="AE256" s="130">
        <v>0</v>
      </c>
      <c r="AF256" s="130">
        <v>0</v>
      </c>
      <c r="AG256" s="130">
        <v>0</v>
      </c>
      <c r="AH256" s="130">
        <v>0</v>
      </c>
      <c r="AI256" s="130">
        <v>0</v>
      </c>
      <c r="AJ256" s="130">
        <v>0</v>
      </c>
      <c r="AK256" s="130">
        <v>0</v>
      </c>
      <c r="AL256" s="130">
        <v>0</v>
      </c>
      <c r="AM256" s="130">
        <v>0</v>
      </c>
      <c r="AN256" s="130">
        <v>0</v>
      </c>
      <c r="AO256" s="130">
        <v>0</v>
      </c>
      <c r="AP256" s="130">
        <v>0</v>
      </c>
      <c r="AQ256" s="130">
        <v>0</v>
      </c>
      <c r="AR256" s="130">
        <v>0</v>
      </c>
      <c r="AS256" s="130">
        <v>0</v>
      </c>
      <c r="AT256" s="130">
        <v>0</v>
      </c>
      <c r="AU256" s="130">
        <v>0</v>
      </c>
      <c r="AV256" s="130">
        <v>0</v>
      </c>
      <c r="AW256" s="130">
        <v>0</v>
      </c>
      <c r="AX256" s="130">
        <v>0</v>
      </c>
      <c r="AY256" s="130">
        <v>0</v>
      </c>
    </row>
    <row r="258" spans="1:52" x14ac:dyDescent="0.2">
      <c r="A258" s="107" t="s">
        <v>303</v>
      </c>
    </row>
    <row r="259" spans="1:52" x14ac:dyDescent="0.2">
      <c r="A259" s="142" t="s">
        <v>124</v>
      </c>
      <c r="B259" s="143">
        <v>650</v>
      </c>
      <c r="C259" s="129" t="s">
        <v>295</v>
      </c>
      <c r="D259" s="129">
        <f>E$14*$B$259</f>
        <v>47968.1239000352</v>
      </c>
      <c r="E259" s="129">
        <f t="shared" ref="E259:AX259" si="5">F$14*$B$259</f>
        <v>56429.435410066893</v>
      </c>
      <c r="F259" s="129">
        <f t="shared" si="5"/>
        <v>66156.390835867947</v>
      </c>
      <c r="G259" s="129">
        <f t="shared" si="5"/>
        <v>64055.650719088895</v>
      </c>
      <c r="H259" s="129">
        <f t="shared" si="5"/>
        <v>70679.984613987763</v>
      </c>
      <c r="I259" s="129">
        <f t="shared" si="5"/>
        <v>78591.885119396728</v>
      </c>
      <c r="J259" s="129">
        <f t="shared" si="5"/>
        <v>75133.773080942061</v>
      </c>
      <c r="K259" s="129">
        <f t="shared" si="5"/>
        <v>80861.472246332836</v>
      </c>
      <c r="L259" s="129">
        <f t="shared" si="5"/>
        <v>95701.40149518456</v>
      </c>
      <c r="M259" s="129">
        <f t="shared" si="5"/>
        <v>87689.385245701298</v>
      </c>
      <c r="N259" s="129">
        <f t="shared" si="5"/>
        <v>98667.90716010936</v>
      </c>
      <c r="O259" s="129">
        <f t="shared" si="5"/>
        <v>104447.19291758342</v>
      </c>
      <c r="P259" s="129">
        <f t="shared" si="5"/>
        <v>97948.550099310087</v>
      </c>
      <c r="Q259" s="129">
        <f t="shared" si="5"/>
        <v>110884.77156286407</v>
      </c>
      <c r="R259" s="129">
        <f t="shared" si="5"/>
        <v>111071.19337338542</v>
      </c>
      <c r="S259" s="129">
        <f t="shared" si="5"/>
        <v>116633.97300285462</v>
      </c>
      <c r="T259" s="129">
        <f t="shared" si="5"/>
        <v>123005.4746693769</v>
      </c>
      <c r="U259" s="129">
        <f t="shared" si="5"/>
        <v>113659.82616924697</v>
      </c>
      <c r="V259" s="129">
        <f t="shared" si="5"/>
        <v>107572.56501245276</v>
      </c>
      <c r="W259" s="129">
        <f t="shared" si="5"/>
        <v>99689.029971337994</v>
      </c>
      <c r="X259" s="129">
        <f t="shared" si="5"/>
        <v>91293.848434334679</v>
      </c>
      <c r="Y259" s="129">
        <f t="shared" si="5"/>
        <v>87508.185051031702</v>
      </c>
      <c r="Z259" s="129">
        <f t="shared" si="5"/>
        <v>85986.088006059013</v>
      </c>
      <c r="AA259" s="129">
        <f t="shared" si="5"/>
        <v>84551.200665583601</v>
      </c>
      <c r="AB259" s="129">
        <f t="shared" si="5"/>
        <v>89629.802059155743</v>
      </c>
      <c r="AC259" s="129">
        <f t="shared" si="5"/>
        <v>83020.543313370639</v>
      </c>
      <c r="AD259" s="129">
        <f t="shared" si="5"/>
        <v>92867.210442164083</v>
      </c>
      <c r="AE259" s="129">
        <f t="shared" si="5"/>
        <v>80761.000554554514</v>
      </c>
      <c r="AF259" s="129">
        <f t="shared" si="5"/>
        <v>72545.111436847845</v>
      </c>
      <c r="AG259" s="129">
        <f t="shared" si="5"/>
        <v>87614.919313388833</v>
      </c>
      <c r="AH259" s="129">
        <f t="shared" si="5"/>
        <v>80394.503855534946</v>
      </c>
      <c r="AI259" s="129">
        <f t="shared" si="5"/>
        <v>69866.129943466454</v>
      </c>
      <c r="AJ259" s="129">
        <f t="shared" si="5"/>
        <v>74885.593422604798</v>
      </c>
      <c r="AK259" s="129">
        <f t="shared" si="5"/>
        <v>73228.11055382932</v>
      </c>
      <c r="AL259" s="129">
        <f t="shared" si="5"/>
        <v>84086.375971931397</v>
      </c>
      <c r="AM259" s="129">
        <f t="shared" si="5"/>
        <v>96718.814848223235</v>
      </c>
      <c r="AN259" s="129">
        <f t="shared" si="5"/>
        <v>90992.826802743017</v>
      </c>
      <c r="AO259" s="129">
        <f t="shared" si="5"/>
        <v>92924.437561810802</v>
      </c>
      <c r="AP259" s="129">
        <f t="shared" si="5"/>
        <v>104932.8872449718</v>
      </c>
      <c r="AQ259" s="129">
        <f t="shared" si="5"/>
        <v>117755.49195981672</v>
      </c>
      <c r="AR259" s="129">
        <f t="shared" si="5"/>
        <v>114995.83620317712</v>
      </c>
      <c r="AS259" s="129">
        <f t="shared" si="5"/>
        <v>122327.14602220149</v>
      </c>
      <c r="AT259" s="129">
        <f t="shared" si="5"/>
        <v>128812.37228587364</v>
      </c>
      <c r="AU259" s="129">
        <f t="shared" si="5"/>
        <v>144621.55020286294</v>
      </c>
      <c r="AV259" s="129">
        <f t="shared" si="5"/>
        <v>143384.29414938434</v>
      </c>
      <c r="AW259" s="129">
        <f t="shared" si="5"/>
        <v>145975.76370125369</v>
      </c>
      <c r="AX259" s="129">
        <f t="shared" si="5"/>
        <v>143546.90879125881</v>
      </c>
      <c r="AY259" s="129">
        <f>AZ$14*$B$259</f>
        <v>144675.93937226344</v>
      </c>
      <c r="AZ259" s="144">
        <f>SUM($D259:$AY259)</f>
        <v>4636750.8787748255</v>
      </c>
    </row>
    <row r="260" spans="1:52" x14ac:dyDescent="0.2">
      <c r="A260" s="145" t="s">
        <v>304</v>
      </c>
      <c r="B260" s="119">
        <v>60</v>
      </c>
      <c r="C260" s="130" t="s">
        <v>295</v>
      </c>
      <c r="D260" s="130">
        <f>(D$175-D$176+D$177-D$178+D$179-D$180+D$181-D$182)*$B$260</f>
        <v>14323.063930510063</v>
      </c>
      <c r="E260" s="130">
        <f t="shared" ref="E260:AY260" si="6">(E$175-E$176+E$177-E$178+E$179-E$180+E$181-E$182)*$B$260</f>
        <v>20652.910543174294</v>
      </c>
      <c r="F260" s="130">
        <f t="shared" si="6"/>
        <v>25349.465626660276</v>
      </c>
      <c r="G260" s="130">
        <f t="shared" si="6"/>
        <v>34077.80799099979</v>
      </c>
      <c r="H260" s="130">
        <f t="shared" si="6"/>
        <v>47104.021161770987</v>
      </c>
      <c r="I260" s="130">
        <f t="shared" si="6"/>
        <v>50111.38203003355</v>
      </c>
      <c r="J260" s="130">
        <f t="shared" si="6"/>
        <v>63292.636231726647</v>
      </c>
      <c r="K260" s="130">
        <f t="shared" si="6"/>
        <v>83905.969399218622</v>
      </c>
      <c r="L260" s="130">
        <f t="shared" si="6"/>
        <v>88738.173635929576</v>
      </c>
      <c r="M260" s="130">
        <f t="shared" si="6"/>
        <v>96267.449270458135</v>
      </c>
      <c r="N260" s="130">
        <f t="shared" si="6"/>
        <v>123223.98196123826</v>
      </c>
      <c r="O260" s="130">
        <f t="shared" si="6"/>
        <v>128472.55328946104</v>
      </c>
      <c r="P260" s="130">
        <f t="shared" si="6"/>
        <v>149311.2096171662</v>
      </c>
      <c r="Q260" s="130">
        <f t="shared" si="6"/>
        <v>157075.87847270272</v>
      </c>
      <c r="R260" s="130">
        <f t="shared" si="6"/>
        <v>163051.41451897356</v>
      </c>
      <c r="S260" s="130">
        <f t="shared" si="6"/>
        <v>168513.7871074288</v>
      </c>
      <c r="T260" s="130">
        <f t="shared" si="6"/>
        <v>157365.64849205755</v>
      </c>
      <c r="U260" s="130">
        <f t="shared" si="6"/>
        <v>157328.32373822335</v>
      </c>
      <c r="V260" s="130">
        <f t="shared" si="6"/>
        <v>158017.03669244231</v>
      </c>
      <c r="W260" s="130">
        <f t="shared" si="6"/>
        <v>155331.55954367548</v>
      </c>
      <c r="X260" s="130">
        <f t="shared" si="6"/>
        <v>159773.31130222147</v>
      </c>
      <c r="Y260" s="130">
        <f t="shared" si="6"/>
        <v>162769.56907734889</v>
      </c>
      <c r="Z260" s="130">
        <f t="shared" si="6"/>
        <v>163902.82264559454</v>
      </c>
      <c r="AA260" s="130">
        <f t="shared" si="6"/>
        <v>165475.27378471536</v>
      </c>
      <c r="AB260" s="130">
        <f t="shared" si="6"/>
        <v>161706.47980992412</v>
      </c>
      <c r="AC260" s="130">
        <f t="shared" si="6"/>
        <v>177616.5652326119</v>
      </c>
      <c r="AD260" s="130">
        <f t="shared" si="6"/>
        <v>154499.06897401018</v>
      </c>
      <c r="AE260" s="130">
        <f t="shared" si="6"/>
        <v>157143.98297173699</v>
      </c>
      <c r="AF260" s="130">
        <f t="shared" si="6"/>
        <v>169516.52574216359</v>
      </c>
      <c r="AG260" s="130">
        <f t="shared" si="6"/>
        <v>159912.46898645646</v>
      </c>
      <c r="AH260" s="130">
        <f t="shared" si="6"/>
        <v>157218.96887487368</v>
      </c>
      <c r="AI260" s="130">
        <f t="shared" si="6"/>
        <v>168990.81877444926</v>
      </c>
      <c r="AJ260" s="130">
        <f t="shared" si="6"/>
        <v>158987.48368406721</v>
      </c>
      <c r="AK260" s="130">
        <f t="shared" si="6"/>
        <v>173840.48210272347</v>
      </c>
      <c r="AL260" s="130">
        <f t="shared" si="6"/>
        <v>175538.18067951404</v>
      </c>
      <c r="AM260" s="130">
        <f t="shared" si="6"/>
        <v>159252.10939862556</v>
      </c>
      <c r="AN260" s="130">
        <f t="shared" si="6"/>
        <v>160380.66214128525</v>
      </c>
      <c r="AO260" s="130">
        <f t="shared" si="6"/>
        <v>167222.35960967903</v>
      </c>
      <c r="AP260" s="130">
        <f t="shared" si="6"/>
        <v>169833.88733123339</v>
      </c>
      <c r="AQ260" s="130">
        <f t="shared" si="6"/>
        <v>156710.26228063228</v>
      </c>
      <c r="AR260" s="130">
        <f t="shared" si="6"/>
        <v>165604.99973509135</v>
      </c>
      <c r="AS260" s="130">
        <f t="shared" si="6"/>
        <v>172428.26344410446</v>
      </c>
      <c r="AT260" s="130">
        <f t="shared" si="6"/>
        <v>171489.93096071255</v>
      </c>
      <c r="AU260" s="130">
        <f t="shared" si="6"/>
        <v>169022.52931732213</v>
      </c>
      <c r="AV260" s="130">
        <f t="shared" si="6"/>
        <v>176191.33342656173</v>
      </c>
      <c r="AW260" s="130">
        <f t="shared" si="6"/>
        <v>173279.72035650432</v>
      </c>
      <c r="AX260" s="130">
        <f t="shared" si="6"/>
        <v>178076.38495556553</v>
      </c>
      <c r="AY260" s="130">
        <f t="shared" si="6"/>
        <v>167065.29790409878</v>
      </c>
      <c r="AZ260" s="146">
        <f>SUM($D260:$AY260)</f>
        <v>6694964.0167576773</v>
      </c>
    </row>
  </sheetData>
  <pageMargins left="0.75" right="0.75" top="1" bottom="1" header="0.5" footer="0.5"/>
  <pageSetup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5"/>
  </cols>
  <sheetData>
    <row r="2" spans="1:99" x14ac:dyDescent="0.2">
      <c r="B2" s="107" t="s">
        <v>274</v>
      </c>
    </row>
    <row r="3" spans="1:99" x14ac:dyDescent="0.2">
      <c r="B3" s="108" t="s">
        <v>285</v>
      </c>
    </row>
    <row r="4" spans="1:99" x14ac:dyDescent="0.2">
      <c r="A4" s="106"/>
      <c r="B4" s="106"/>
      <c r="C4" s="104" t="s">
        <v>276</v>
      </c>
      <c r="D4" s="104" t="s">
        <v>92</v>
      </c>
      <c r="E4" s="106"/>
      <c r="F4" s="106"/>
      <c r="G4" s="106"/>
      <c r="H4" s="106"/>
      <c r="I4" s="106"/>
      <c r="J4" s="106"/>
      <c r="K4" s="106"/>
      <c r="L4" s="104" t="s">
        <v>93</v>
      </c>
      <c r="M4" s="106"/>
      <c r="N4" s="106"/>
      <c r="O4" s="106"/>
      <c r="P4" s="106"/>
      <c r="Q4" s="106"/>
      <c r="R4" s="106"/>
      <c r="S4" s="106"/>
      <c r="T4" s="104" t="s">
        <v>94</v>
      </c>
      <c r="U4" s="106"/>
      <c r="V4" s="106"/>
      <c r="W4" s="106"/>
      <c r="X4" s="106"/>
      <c r="Y4" s="106"/>
      <c r="Z4" s="106"/>
      <c r="AA4" s="106"/>
      <c r="AB4" s="104" t="s">
        <v>95</v>
      </c>
      <c r="AC4" s="106"/>
      <c r="AD4" s="106"/>
      <c r="AE4" s="106"/>
      <c r="AF4" s="106"/>
      <c r="AG4" s="106"/>
      <c r="AH4" s="106"/>
      <c r="AI4" s="106"/>
      <c r="AJ4" s="104" t="s">
        <v>96</v>
      </c>
      <c r="AK4" s="106"/>
      <c r="AL4" s="106"/>
      <c r="AM4" s="106"/>
      <c r="AN4" s="106"/>
      <c r="AO4" s="106"/>
      <c r="AP4" s="106"/>
      <c r="AQ4" s="106"/>
      <c r="AR4" s="104" t="s">
        <v>97</v>
      </c>
      <c r="AS4" s="106"/>
      <c r="AT4" s="106"/>
      <c r="AU4" s="106"/>
      <c r="AV4" s="106"/>
      <c r="AW4" s="106"/>
      <c r="AX4" s="106"/>
      <c r="AY4" s="106"/>
      <c r="AZ4" s="104" t="s">
        <v>98</v>
      </c>
      <c r="BA4" s="106"/>
      <c r="BB4" s="106"/>
      <c r="BC4" s="106"/>
      <c r="BD4" s="106"/>
      <c r="BE4" s="106"/>
      <c r="BF4" s="106"/>
      <c r="BG4" s="106"/>
      <c r="BH4" s="104" t="s">
        <v>99</v>
      </c>
      <c r="BI4" s="106"/>
      <c r="BJ4" s="106"/>
      <c r="BK4" s="106"/>
      <c r="BL4" s="106"/>
      <c r="BM4" s="106"/>
      <c r="BN4" s="106"/>
      <c r="BO4" s="106"/>
      <c r="BP4" s="104" t="s">
        <v>100</v>
      </c>
      <c r="BQ4" s="106"/>
      <c r="BR4" s="106"/>
      <c r="BS4" s="106"/>
      <c r="BT4" s="106"/>
      <c r="BU4" s="106"/>
      <c r="BV4" s="106"/>
      <c r="BW4" s="106"/>
      <c r="BX4" s="104" t="s">
        <v>101</v>
      </c>
      <c r="BY4" s="106"/>
      <c r="BZ4" s="106"/>
      <c r="CA4" s="106"/>
      <c r="CB4" s="106"/>
      <c r="CC4" s="106"/>
      <c r="CD4" s="106"/>
      <c r="CE4" s="106"/>
      <c r="CF4" s="104" t="s">
        <v>102</v>
      </c>
      <c r="CG4" s="106"/>
      <c r="CH4" s="106"/>
      <c r="CI4" s="106"/>
      <c r="CJ4" s="106"/>
      <c r="CK4" s="106"/>
      <c r="CL4" s="106"/>
      <c r="CM4" s="106"/>
      <c r="CN4" s="104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">
      <c r="B5" s="104" t="s">
        <v>169</v>
      </c>
      <c r="C5" s="104" t="s">
        <v>277</v>
      </c>
      <c r="D5" s="104">
        <v>1</v>
      </c>
      <c r="E5" s="104"/>
      <c r="F5" s="104">
        <v>2</v>
      </c>
      <c r="G5" s="104"/>
      <c r="H5" s="104">
        <v>3</v>
      </c>
      <c r="I5" s="104"/>
      <c r="J5" s="104">
        <v>4</v>
      </c>
      <c r="K5" s="104"/>
      <c r="L5" s="104">
        <v>1</v>
      </c>
      <c r="M5" s="104"/>
      <c r="N5" s="104">
        <v>2</v>
      </c>
      <c r="O5" s="104"/>
      <c r="P5" s="104">
        <v>3</v>
      </c>
      <c r="Q5" s="104"/>
      <c r="R5" s="104">
        <v>4</v>
      </c>
      <c r="S5" s="104"/>
      <c r="T5" s="104">
        <v>1</v>
      </c>
      <c r="U5" s="104"/>
      <c r="V5" s="104">
        <v>2</v>
      </c>
      <c r="W5" s="104"/>
      <c r="X5" s="104">
        <v>3</v>
      </c>
      <c r="Y5" s="104"/>
      <c r="Z5" s="104">
        <v>4</v>
      </c>
      <c r="AA5" s="104"/>
      <c r="AB5" s="104">
        <v>1</v>
      </c>
      <c r="AC5" s="104"/>
      <c r="AD5" s="104">
        <v>2</v>
      </c>
      <c r="AE5" s="104"/>
      <c r="AF5" s="104">
        <v>3</v>
      </c>
      <c r="AG5" s="104"/>
      <c r="AH5" s="104">
        <v>4</v>
      </c>
      <c r="AI5" s="104"/>
      <c r="AJ5" s="104">
        <v>1</v>
      </c>
      <c r="AK5" s="104"/>
      <c r="AL5" s="104">
        <v>2</v>
      </c>
      <c r="AM5" s="104"/>
      <c r="AN5" s="104">
        <v>3</v>
      </c>
      <c r="AO5" s="104"/>
      <c r="AP5" s="104">
        <v>4</v>
      </c>
      <c r="AQ5" s="104"/>
      <c r="AR5" s="104">
        <v>1</v>
      </c>
      <c r="AS5" s="104"/>
      <c r="AT5" s="104">
        <v>2</v>
      </c>
      <c r="AU5" s="104"/>
      <c r="AV5" s="104">
        <v>3</v>
      </c>
      <c r="AW5" s="104"/>
      <c r="AX5" s="104">
        <v>4</v>
      </c>
      <c r="AY5" s="104"/>
      <c r="AZ5" s="104">
        <v>1</v>
      </c>
      <c r="BA5" s="104"/>
      <c r="BB5" s="104">
        <v>2</v>
      </c>
      <c r="BC5" s="104"/>
      <c r="BD5" s="104">
        <v>3</v>
      </c>
      <c r="BE5" s="104"/>
      <c r="BF5" s="104">
        <v>4</v>
      </c>
      <c r="BG5" s="104"/>
      <c r="BH5" s="104">
        <v>1</v>
      </c>
      <c r="BI5" s="104"/>
      <c r="BJ5" s="104">
        <v>2</v>
      </c>
      <c r="BK5" s="104"/>
      <c r="BL5" s="104">
        <v>3</v>
      </c>
      <c r="BM5" s="104"/>
      <c r="BN5" s="104">
        <v>4</v>
      </c>
      <c r="BO5" s="104"/>
      <c r="BP5" s="104">
        <v>1</v>
      </c>
      <c r="BQ5" s="104"/>
      <c r="BR5" s="104">
        <v>2</v>
      </c>
      <c r="BS5" s="104"/>
      <c r="BT5" s="104">
        <v>3</v>
      </c>
      <c r="BU5" s="104"/>
      <c r="BV5" s="104">
        <v>4</v>
      </c>
      <c r="BW5" s="104"/>
      <c r="BX5" s="104">
        <v>1</v>
      </c>
      <c r="BY5" s="104"/>
      <c r="BZ5" s="104">
        <v>2</v>
      </c>
      <c r="CA5" s="104"/>
      <c r="CB5" s="104">
        <v>3</v>
      </c>
      <c r="CC5" s="104"/>
      <c r="CD5" s="104">
        <v>4</v>
      </c>
      <c r="CE5" s="104"/>
      <c r="CF5" s="104">
        <v>1</v>
      </c>
      <c r="CG5" s="104"/>
      <c r="CH5" s="104">
        <v>2</v>
      </c>
      <c r="CI5" s="104"/>
      <c r="CJ5" s="104">
        <v>3</v>
      </c>
      <c r="CK5" s="104"/>
      <c r="CL5" s="104">
        <v>4</v>
      </c>
      <c r="CM5" s="104"/>
      <c r="CN5" s="104">
        <v>1</v>
      </c>
      <c r="CO5" s="104"/>
      <c r="CP5" s="104">
        <v>2</v>
      </c>
      <c r="CQ5" s="104"/>
      <c r="CR5" s="104">
        <v>3</v>
      </c>
      <c r="CS5" s="104"/>
      <c r="CT5" s="104">
        <v>4</v>
      </c>
      <c r="CU5" s="104"/>
    </row>
    <row r="6" spans="1:99" x14ac:dyDescent="0.2">
      <c r="B6" s="104" t="s">
        <v>126</v>
      </c>
      <c r="C6" s="104" t="s">
        <v>174</v>
      </c>
      <c r="D6" s="105">
        <v>14</v>
      </c>
      <c r="E6" s="105">
        <v>9559.1999999999989</v>
      </c>
      <c r="F6" s="105">
        <v>15</v>
      </c>
      <c r="G6" s="105">
        <v>10242</v>
      </c>
      <c r="H6" s="105">
        <v>10</v>
      </c>
      <c r="I6" s="105">
        <v>6828</v>
      </c>
      <c r="J6" s="105">
        <v>15</v>
      </c>
      <c r="K6" s="105">
        <v>10242</v>
      </c>
      <c r="L6" s="105">
        <v>14</v>
      </c>
      <c r="M6" s="105">
        <v>9559.1999999999989</v>
      </c>
      <c r="N6" s="105">
        <v>9</v>
      </c>
      <c r="O6" s="105">
        <v>6145.2</v>
      </c>
      <c r="P6" s="105">
        <v>15</v>
      </c>
      <c r="Q6" s="105">
        <v>10242</v>
      </c>
      <c r="R6" s="105">
        <v>12</v>
      </c>
      <c r="S6" s="105">
        <v>8193.5999999999985</v>
      </c>
      <c r="T6" s="105">
        <v>12</v>
      </c>
      <c r="U6" s="105">
        <v>8193.5999999999985</v>
      </c>
      <c r="V6" s="105">
        <v>11</v>
      </c>
      <c r="W6" s="105">
        <v>7510.7999999999993</v>
      </c>
      <c r="X6" s="105">
        <v>9</v>
      </c>
      <c r="Y6" s="105">
        <v>6145.2</v>
      </c>
      <c r="Z6" s="105">
        <v>14</v>
      </c>
      <c r="AA6" s="105">
        <v>9559.1999999999989</v>
      </c>
      <c r="AB6" s="105">
        <v>14</v>
      </c>
      <c r="AC6" s="105">
        <v>9559.1999999999989</v>
      </c>
      <c r="AD6" s="105">
        <v>13</v>
      </c>
      <c r="AE6" s="105">
        <v>8876.4</v>
      </c>
      <c r="AF6" s="105">
        <v>12</v>
      </c>
      <c r="AG6" s="105">
        <v>8193.5999999999985</v>
      </c>
      <c r="AH6" s="105">
        <v>9</v>
      </c>
      <c r="AI6" s="105">
        <v>6145.2</v>
      </c>
      <c r="AJ6" s="105">
        <v>9</v>
      </c>
      <c r="AK6" s="105">
        <v>6145.2</v>
      </c>
      <c r="AL6" s="105">
        <v>13</v>
      </c>
      <c r="AM6" s="105">
        <v>8876.4</v>
      </c>
      <c r="AN6" s="105">
        <v>15</v>
      </c>
      <c r="AO6" s="105">
        <v>10242</v>
      </c>
      <c r="AP6" s="105">
        <v>11</v>
      </c>
      <c r="AQ6" s="105">
        <v>7510.7999999999993</v>
      </c>
      <c r="AR6" s="105">
        <v>10</v>
      </c>
      <c r="AS6" s="105">
        <v>6828</v>
      </c>
      <c r="AT6" s="105">
        <v>18</v>
      </c>
      <c r="AU6" s="105">
        <v>12290.4</v>
      </c>
      <c r="AV6" s="105">
        <v>12</v>
      </c>
      <c r="AW6" s="105">
        <v>8193.5999999999985</v>
      </c>
      <c r="AX6" s="105">
        <v>17</v>
      </c>
      <c r="AY6" s="105">
        <v>11607.599999999999</v>
      </c>
      <c r="AZ6" s="105">
        <v>18</v>
      </c>
      <c r="BA6" s="105">
        <v>12290.4</v>
      </c>
      <c r="BB6" s="105">
        <v>16</v>
      </c>
      <c r="BC6" s="105">
        <v>10924.8</v>
      </c>
      <c r="BD6" s="105">
        <v>14</v>
      </c>
      <c r="BE6" s="105">
        <v>9559.1999999999989</v>
      </c>
      <c r="BF6" s="105">
        <v>10</v>
      </c>
      <c r="BG6" s="105">
        <v>6828</v>
      </c>
      <c r="BH6" s="105">
        <v>9</v>
      </c>
      <c r="BI6" s="105">
        <v>6145.2</v>
      </c>
      <c r="BJ6" s="105">
        <v>16</v>
      </c>
      <c r="BK6" s="105">
        <v>10924.8</v>
      </c>
      <c r="BL6" s="105">
        <v>13</v>
      </c>
      <c r="BM6" s="105">
        <v>8876.4</v>
      </c>
      <c r="BN6" s="105">
        <v>15</v>
      </c>
      <c r="BO6" s="105">
        <v>10242</v>
      </c>
      <c r="BP6" s="105">
        <v>12</v>
      </c>
      <c r="BQ6" s="105">
        <v>8193.5999999999985</v>
      </c>
      <c r="BR6" s="105">
        <v>14</v>
      </c>
      <c r="BS6" s="105">
        <v>9559.1999999999989</v>
      </c>
      <c r="BT6" s="105">
        <v>11</v>
      </c>
      <c r="BU6" s="105">
        <v>7510.7999999999993</v>
      </c>
      <c r="BV6" s="105">
        <v>12</v>
      </c>
      <c r="BW6" s="105">
        <v>8193.5999999999985</v>
      </c>
      <c r="BX6" s="105">
        <v>13</v>
      </c>
      <c r="BY6" s="105">
        <v>8876.4</v>
      </c>
      <c r="BZ6" s="105">
        <v>14</v>
      </c>
      <c r="CA6" s="105">
        <v>9559.1999999999989</v>
      </c>
      <c r="CB6" s="105">
        <v>14</v>
      </c>
      <c r="CC6" s="105">
        <v>9559.1999999999989</v>
      </c>
      <c r="CD6" s="105">
        <v>13</v>
      </c>
      <c r="CE6" s="105">
        <v>8876.4</v>
      </c>
      <c r="CF6" s="105">
        <v>14</v>
      </c>
      <c r="CG6" s="105">
        <v>9559.1999999999989</v>
      </c>
      <c r="CH6" s="105">
        <v>17</v>
      </c>
      <c r="CI6" s="105">
        <v>11607.599999999999</v>
      </c>
      <c r="CJ6" s="105">
        <v>14</v>
      </c>
      <c r="CK6" s="105">
        <v>9559.1999999999989</v>
      </c>
      <c r="CL6" s="105">
        <v>18</v>
      </c>
      <c r="CM6" s="105">
        <v>12290.4</v>
      </c>
      <c r="CN6" s="105">
        <v>15</v>
      </c>
      <c r="CO6" s="105">
        <v>10242</v>
      </c>
      <c r="CP6" s="105">
        <v>12</v>
      </c>
      <c r="CQ6" s="105">
        <v>8193.5999999999985</v>
      </c>
      <c r="CR6" s="105">
        <v>11</v>
      </c>
      <c r="CS6" s="105">
        <v>7510.7999999999993</v>
      </c>
      <c r="CT6" s="105">
        <v>10</v>
      </c>
      <c r="CU6" s="105">
        <v>6828</v>
      </c>
    </row>
    <row r="7" spans="1:99" x14ac:dyDescent="0.2">
      <c r="C7" s="104" t="s">
        <v>175</v>
      </c>
      <c r="D7" s="105">
        <v>14</v>
      </c>
      <c r="E7" s="105">
        <v>12079.199999999999</v>
      </c>
      <c r="F7" s="105">
        <v>14</v>
      </c>
      <c r="G7" s="105">
        <v>12079.199999999999</v>
      </c>
      <c r="H7" s="105">
        <v>11</v>
      </c>
      <c r="I7" s="105">
        <v>9490.7999999999993</v>
      </c>
      <c r="J7" s="105">
        <v>14</v>
      </c>
      <c r="K7" s="105">
        <v>12079.199999999999</v>
      </c>
      <c r="L7" s="105">
        <v>13</v>
      </c>
      <c r="M7" s="105">
        <v>11216.4</v>
      </c>
      <c r="N7" s="105">
        <v>8</v>
      </c>
      <c r="O7" s="105">
        <v>6902.4</v>
      </c>
      <c r="P7" s="105">
        <v>13</v>
      </c>
      <c r="Q7" s="105">
        <v>11216.4</v>
      </c>
      <c r="R7" s="105">
        <v>13</v>
      </c>
      <c r="S7" s="105">
        <v>11216.4</v>
      </c>
      <c r="T7" s="105">
        <v>11</v>
      </c>
      <c r="U7" s="105">
        <v>9490.7999999999993</v>
      </c>
      <c r="V7" s="105">
        <v>11</v>
      </c>
      <c r="W7" s="105">
        <v>9490.7999999999993</v>
      </c>
      <c r="X7" s="105">
        <v>8</v>
      </c>
      <c r="Y7" s="105">
        <v>6902.4</v>
      </c>
      <c r="Z7" s="105">
        <v>13</v>
      </c>
      <c r="AA7" s="105">
        <v>11216.4</v>
      </c>
      <c r="AB7" s="105">
        <v>12</v>
      </c>
      <c r="AC7" s="105">
        <v>10353.599999999999</v>
      </c>
      <c r="AD7" s="105">
        <v>13</v>
      </c>
      <c r="AE7" s="105">
        <v>11216.4</v>
      </c>
      <c r="AF7" s="105">
        <v>10</v>
      </c>
      <c r="AG7" s="105">
        <v>8628</v>
      </c>
      <c r="AH7" s="105">
        <v>10</v>
      </c>
      <c r="AI7" s="105">
        <v>8628</v>
      </c>
      <c r="AJ7" s="105">
        <v>9</v>
      </c>
      <c r="AK7" s="105">
        <v>7765.2</v>
      </c>
      <c r="AL7" s="105">
        <v>15</v>
      </c>
      <c r="AM7" s="105">
        <v>12942</v>
      </c>
      <c r="AN7" s="105">
        <v>14</v>
      </c>
      <c r="AO7" s="105">
        <v>12079.199999999999</v>
      </c>
      <c r="AP7" s="105">
        <v>13</v>
      </c>
      <c r="AQ7" s="105">
        <v>11216.4</v>
      </c>
      <c r="AR7" s="105">
        <v>11</v>
      </c>
      <c r="AS7" s="105">
        <v>9490.7999999999993</v>
      </c>
      <c r="AT7" s="105">
        <v>17</v>
      </c>
      <c r="AU7" s="105">
        <v>14667.599999999999</v>
      </c>
      <c r="AV7" s="105">
        <v>13</v>
      </c>
      <c r="AW7" s="105">
        <v>11216.4</v>
      </c>
      <c r="AX7" s="105">
        <v>16</v>
      </c>
      <c r="AY7" s="105">
        <v>13804.8</v>
      </c>
      <c r="AZ7" s="105">
        <v>19</v>
      </c>
      <c r="BA7" s="105">
        <v>16393.2</v>
      </c>
      <c r="BB7" s="105">
        <v>13</v>
      </c>
      <c r="BC7" s="105">
        <v>11216.4</v>
      </c>
      <c r="BD7" s="105">
        <v>12</v>
      </c>
      <c r="BE7" s="105">
        <v>10353.599999999999</v>
      </c>
      <c r="BF7" s="105">
        <v>9</v>
      </c>
      <c r="BG7" s="105">
        <v>7765.2</v>
      </c>
      <c r="BH7" s="105">
        <v>9</v>
      </c>
      <c r="BI7" s="105">
        <v>7765.2</v>
      </c>
      <c r="BJ7" s="105">
        <v>14</v>
      </c>
      <c r="BK7" s="105">
        <v>12079.199999999999</v>
      </c>
      <c r="BL7" s="105">
        <v>11</v>
      </c>
      <c r="BM7" s="105">
        <v>9490.7999999999993</v>
      </c>
      <c r="BN7" s="105">
        <v>16</v>
      </c>
      <c r="BO7" s="105">
        <v>13804.8</v>
      </c>
      <c r="BP7" s="105">
        <v>12</v>
      </c>
      <c r="BQ7" s="105">
        <v>10353.599999999999</v>
      </c>
      <c r="BR7" s="105">
        <v>13</v>
      </c>
      <c r="BS7" s="105">
        <v>11216.4</v>
      </c>
      <c r="BT7" s="105">
        <v>13</v>
      </c>
      <c r="BU7" s="105">
        <v>11216.4</v>
      </c>
      <c r="BV7" s="105">
        <v>12</v>
      </c>
      <c r="BW7" s="105">
        <v>10353.599999999999</v>
      </c>
      <c r="BX7" s="105">
        <v>12</v>
      </c>
      <c r="BY7" s="105">
        <v>10353.599999999999</v>
      </c>
      <c r="BZ7" s="105">
        <v>14</v>
      </c>
      <c r="CA7" s="105">
        <v>12079.199999999999</v>
      </c>
      <c r="CB7" s="105">
        <v>13</v>
      </c>
      <c r="CC7" s="105">
        <v>11216.4</v>
      </c>
      <c r="CD7" s="105">
        <v>14</v>
      </c>
      <c r="CE7" s="105">
        <v>12079.199999999999</v>
      </c>
      <c r="CF7" s="105">
        <v>13</v>
      </c>
      <c r="CG7" s="105">
        <v>11216.4</v>
      </c>
      <c r="CH7" s="105">
        <v>16</v>
      </c>
      <c r="CI7" s="105">
        <v>13804.8</v>
      </c>
      <c r="CJ7" s="105">
        <v>12</v>
      </c>
      <c r="CK7" s="105">
        <v>10353.599999999999</v>
      </c>
      <c r="CL7" s="105">
        <v>18</v>
      </c>
      <c r="CM7" s="105">
        <v>15530.4</v>
      </c>
      <c r="CN7" s="105">
        <v>14</v>
      </c>
      <c r="CO7" s="105">
        <v>12079.199999999999</v>
      </c>
      <c r="CP7" s="105">
        <v>12</v>
      </c>
      <c r="CQ7" s="105">
        <v>10353.599999999999</v>
      </c>
      <c r="CR7" s="105">
        <v>11</v>
      </c>
      <c r="CS7" s="105">
        <v>9490.7999999999993</v>
      </c>
      <c r="CT7" s="105">
        <v>11</v>
      </c>
      <c r="CU7" s="105">
        <v>9490.7999999999993</v>
      </c>
    </row>
    <row r="8" spans="1:99" x14ac:dyDescent="0.2">
      <c r="C8" s="104" t="s">
        <v>176</v>
      </c>
      <c r="D8" s="105">
        <v>13</v>
      </c>
      <c r="E8" s="105">
        <v>4258.7999999999993</v>
      </c>
      <c r="F8" s="105">
        <v>14</v>
      </c>
      <c r="G8" s="105">
        <v>4586.3999999999996</v>
      </c>
      <c r="H8" s="105">
        <v>10</v>
      </c>
      <c r="I8" s="105">
        <v>3275.9999999999995</v>
      </c>
      <c r="J8" s="105">
        <v>14</v>
      </c>
      <c r="K8" s="105">
        <v>4586.3999999999996</v>
      </c>
      <c r="L8" s="105">
        <v>14</v>
      </c>
      <c r="M8" s="105">
        <v>4586.3999999999996</v>
      </c>
      <c r="N8" s="105">
        <v>8</v>
      </c>
      <c r="O8" s="105">
        <v>2620.7999999999997</v>
      </c>
      <c r="P8" s="105">
        <v>13</v>
      </c>
      <c r="Q8" s="105">
        <v>4258.7999999999993</v>
      </c>
      <c r="R8" s="105">
        <v>15</v>
      </c>
      <c r="S8" s="105">
        <v>4913.9999999999991</v>
      </c>
      <c r="T8" s="105">
        <v>13</v>
      </c>
      <c r="U8" s="105">
        <v>4258.7999999999993</v>
      </c>
      <c r="V8" s="105">
        <v>11</v>
      </c>
      <c r="W8" s="105">
        <v>3603.5999999999995</v>
      </c>
      <c r="X8" s="105">
        <v>11</v>
      </c>
      <c r="Y8" s="105">
        <v>3603.5999999999995</v>
      </c>
      <c r="Z8" s="105">
        <v>15</v>
      </c>
      <c r="AA8" s="105">
        <v>4913.9999999999991</v>
      </c>
      <c r="AB8" s="105">
        <v>15</v>
      </c>
      <c r="AC8" s="105">
        <v>4913.9999999999991</v>
      </c>
      <c r="AD8" s="105">
        <v>12</v>
      </c>
      <c r="AE8" s="105">
        <v>3931.2</v>
      </c>
      <c r="AF8" s="105">
        <v>11</v>
      </c>
      <c r="AG8" s="105">
        <v>3603.5999999999995</v>
      </c>
      <c r="AH8" s="105">
        <v>10</v>
      </c>
      <c r="AI8" s="105">
        <v>3275.9999999999995</v>
      </c>
      <c r="AJ8" s="105">
        <v>11</v>
      </c>
      <c r="AK8" s="105">
        <v>3603.5999999999995</v>
      </c>
      <c r="AL8" s="105">
        <v>15</v>
      </c>
      <c r="AM8" s="105">
        <v>4913.9999999999991</v>
      </c>
      <c r="AN8" s="105">
        <v>14</v>
      </c>
      <c r="AO8" s="105">
        <v>4586.3999999999996</v>
      </c>
      <c r="AP8" s="105">
        <v>12</v>
      </c>
      <c r="AQ8" s="105">
        <v>3931.2</v>
      </c>
      <c r="AR8" s="105">
        <v>11</v>
      </c>
      <c r="AS8" s="105">
        <v>3603.5999999999995</v>
      </c>
      <c r="AT8" s="105">
        <v>17</v>
      </c>
      <c r="AU8" s="105">
        <v>5569.2</v>
      </c>
      <c r="AV8" s="105">
        <v>15</v>
      </c>
      <c r="AW8" s="105">
        <v>4913.9999999999991</v>
      </c>
      <c r="AX8" s="105">
        <v>18</v>
      </c>
      <c r="AY8" s="105">
        <v>5896.7999999999993</v>
      </c>
      <c r="AZ8" s="105">
        <v>19</v>
      </c>
      <c r="BA8" s="105">
        <v>6224.4</v>
      </c>
      <c r="BB8" s="105">
        <v>15</v>
      </c>
      <c r="BC8" s="105">
        <v>4913.9999999999991</v>
      </c>
      <c r="BD8" s="105">
        <v>13</v>
      </c>
      <c r="BE8" s="105">
        <v>4258.7999999999993</v>
      </c>
      <c r="BF8" s="105">
        <v>10</v>
      </c>
      <c r="BG8" s="105">
        <v>3275.9999999999995</v>
      </c>
      <c r="BH8" s="105">
        <v>10</v>
      </c>
      <c r="BI8" s="105">
        <v>3275.9999999999995</v>
      </c>
      <c r="BJ8" s="105">
        <v>14</v>
      </c>
      <c r="BK8" s="105">
        <v>4586.3999999999996</v>
      </c>
      <c r="BL8" s="105">
        <v>13</v>
      </c>
      <c r="BM8" s="105">
        <v>4258.7999999999993</v>
      </c>
      <c r="BN8" s="105">
        <v>17</v>
      </c>
      <c r="BO8" s="105">
        <v>5569.2</v>
      </c>
      <c r="BP8" s="105">
        <v>14</v>
      </c>
      <c r="BQ8" s="105">
        <v>4586.3999999999996</v>
      </c>
      <c r="BR8" s="105">
        <v>15</v>
      </c>
      <c r="BS8" s="105">
        <v>4913.9999999999991</v>
      </c>
      <c r="BT8" s="105">
        <v>13</v>
      </c>
      <c r="BU8" s="105">
        <v>4258.7999999999993</v>
      </c>
      <c r="BV8" s="105">
        <v>12</v>
      </c>
      <c r="BW8" s="105">
        <v>3931.2</v>
      </c>
      <c r="BX8" s="105">
        <v>13</v>
      </c>
      <c r="BY8" s="105">
        <v>4258.7999999999993</v>
      </c>
      <c r="BZ8" s="105">
        <v>15</v>
      </c>
      <c r="CA8" s="105">
        <v>4913.9999999999991</v>
      </c>
      <c r="CB8" s="105">
        <v>16</v>
      </c>
      <c r="CC8" s="105">
        <v>5241.5999999999995</v>
      </c>
      <c r="CD8" s="105">
        <v>14</v>
      </c>
      <c r="CE8" s="105">
        <v>4586.3999999999996</v>
      </c>
      <c r="CF8" s="105">
        <v>13</v>
      </c>
      <c r="CG8" s="105">
        <v>4258.7999999999993</v>
      </c>
      <c r="CH8" s="105">
        <v>18</v>
      </c>
      <c r="CI8" s="105">
        <v>5896.7999999999993</v>
      </c>
      <c r="CJ8" s="105">
        <v>13</v>
      </c>
      <c r="CK8" s="105">
        <v>4258.7999999999993</v>
      </c>
      <c r="CL8" s="105">
        <v>19</v>
      </c>
      <c r="CM8" s="105">
        <v>6224.4</v>
      </c>
      <c r="CN8" s="105">
        <v>17</v>
      </c>
      <c r="CO8" s="105">
        <v>5569.2</v>
      </c>
      <c r="CP8" s="105">
        <v>13</v>
      </c>
      <c r="CQ8" s="105">
        <v>4258.7999999999993</v>
      </c>
      <c r="CR8" s="105">
        <v>12</v>
      </c>
      <c r="CS8" s="105">
        <v>3931.2</v>
      </c>
      <c r="CT8" s="105">
        <v>11</v>
      </c>
      <c r="CU8" s="105">
        <v>3603.5999999999995</v>
      </c>
    </row>
    <row r="9" spans="1:99" x14ac:dyDescent="0.2">
      <c r="C9" s="104" t="s">
        <v>177</v>
      </c>
      <c r="D9" s="105">
        <v>12</v>
      </c>
      <c r="E9" s="105">
        <v>9633.5999999999985</v>
      </c>
      <c r="F9" s="105">
        <v>14</v>
      </c>
      <c r="G9" s="105">
        <v>11239.199999999999</v>
      </c>
      <c r="H9" s="105">
        <v>11</v>
      </c>
      <c r="I9" s="105">
        <v>8830.7999999999993</v>
      </c>
      <c r="J9" s="105">
        <v>15</v>
      </c>
      <c r="K9" s="105">
        <v>12042</v>
      </c>
      <c r="L9" s="105">
        <v>12</v>
      </c>
      <c r="M9" s="105">
        <v>9633.5999999999985</v>
      </c>
      <c r="N9" s="105">
        <v>8</v>
      </c>
      <c r="O9" s="105">
        <v>6422.4</v>
      </c>
      <c r="P9" s="105">
        <v>14</v>
      </c>
      <c r="Q9" s="105">
        <v>11239.199999999999</v>
      </c>
      <c r="R9" s="105">
        <v>13</v>
      </c>
      <c r="S9" s="105">
        <v>10436.4</v>
      </c>
      <c r="T9" s="105">
        <v>12</v>
      </c>
      <c r="U9" s="105">
        <v>9633.5999999999985</v>
      </c>
      <c r="V9" s="105">
        <v>11</v>
      </c>
      <c r="W9" s="105">
        <v>8830.7999999999993</v>
      </c>
      <c r="X9" s="105">
        <v>10</v>
      </c>
      <c r="Y9" s="105">
        <v>8028</v>
      </c>
      <c r="Z9" s="105">
        <v>13</v>
      </c>
      <c r="AA9" s="105">
        <v>10436.4</v>
      </c>
      <c r="AB9" s="105">
        <v>13</v>
      </c>
      <c r="AC9" s="105">
        <v>10436.4</v>
      </c>
      <c r="AD9" s="105">
        <v>13</v>
      </c>
      <c r="AE9" s="105">
        <v>10436.4</v>
      </c>
      <c r="AF9" s="105">
        <v>10</v>
      </c>
      <c r="AG9" s="105">
        <v>8028</v>
      </c>
      <c r="AH9" s="105">
        <v>11</v>
      </c>
      <c r="AI9" s="105">
        <v>8830.7999999999993</v>
      </c>
      <c r="AJ9" s="105">
        <v>9</v>
      </c>
      <c r="AK9" s="105">
        <v>7225.2</v>
      </c>
      <c r="AL9" s="105">
        <v>15</v>
      </c>
      <c r="AM9" s="105">
        <v>12042</v>
      </c>
      <c r="AN9" s="105">
        <v>15</v>
      </c>
      <c r="AO9" s="105">
        <v>12042</v>
      </c>
      <c r="AP9" s="105">
        <v>12</v>
      </c>
      <c r="AQ9" s="105">
        <v>9633.5999999999985</v>
      </c>
      <c r="AR9" s="105">
        <v>11</v>
      </c>
      <c r="AS9" s="105">
        <v>8830.7999999999993</v>
      </c>
      <c r="AT9" s="105">
        <v>17</v>
      </c>
      <c r="AU9" s="105">
        <v>13647.599999999999</v>
      </c>
      <c r="AV9" s="105">
        <v>13</v>
      </c>
      <c r="AW9" s="105">
        <v>10436.4</v>
      </c>
      <c r="AX9" s="105">
        <v>16</v>
      </c>
      <c r="AY9" s="105">
        <v>12844.8</v>
      </c>
      <c r="AZ9" s="105">
        <v>18</v>
      </c>
      <c r="BA9" s="105">
        <v>14450.4</v>
      </c>
      <c r="BB9" s="105">
        <v>14</v>
      </c>
      <c r="BC9" s="105">
        <v>11239.199999999999</v>
      </c>
      <c r="BD9" s="105">
        <v>14</v>
      </c>
      <c r="BE9" s="105">
        <v>11239.199999999999</v>
      </c>
      <c r="BF9" s="105">
        <v>9</v>
      </c>
      <c r="BG9" s="105">
        <v>7225.2</v>
      </c>
      <c r="BH9" s="105">
        <v>10</v>
      </c>
      <c r="BI9" s="105">
        <v>8028</v>
      </c>
      <c r="BJ9" s="105">
        <v>15</v>
      </c>
      <c r="BK9" s="105">
        <v>12042</v>
      </c>
      <c r="BL9" s="105">
        <v>12</v>
      </c>
      <c r="BM9" s="105">
        <v>9633.5999999999985</v>
      </c>
      <c r="BN9" s="105">
        <v>16</v>
      </c>
      <c r="BO9" s="105">
        <v>12844.8</v>
      </c>
      <c r="BP9" s="105">
        <v>12</v>
      </c>
      <c r="BQ9" s="105">
        <v>9633.5999999999985</v>
      </c>
      <c r="BR9" s="105">
        <v>15</v>
      </c>
      <c r="BS9" s="105">
        <v>12042</v>
      </c>
      <c r="BT9" s="105">
        <v>13</v>
      </c>
      <c r="BU9" s="105">
        <v>10436.4</v>
      </c>
      <c r="BV9" s="105">
        <v>13</v>
      </c>
      <c r="BW9" s="105">
        <v>10436.4</v>
      </c>
      <c r="BX9" s="105">
        <v>12</v>
      </c>
      <c r="BY9" s="105">
        <v>9633.5999999999985</v>
      </c>
      <c r="BZ9" s="105">
        <v>13</v>
      </c>
      <c r="CA9" s="105">
        <v>10436.4</v>
      </c>
      <c r="CB9" s="105">
        <v>14</v>
      </c>
      <c r="CC9" s="105">
        <v>11239.199999999999</v>
      </c>
      <c r="CD9" s="105">
        <v>14</v>
      </c>
      <c r="CE9" s="105">
        <v>11239.199999999999</v>
      </c>
      <c r="CF9" s="105">
        <v>14</v>
      </c>
      <c r="CG9" s="105">
        <v>11239.199999999999</v>
      </c>
      <c r="CH9" s="105">
        <v>18</v>
      </c>
      <c r="CI9" s="105">
        <v>14450.4</v>
      </c>
      <c r="CJ9" s="105">
        <v>12</v>
      </c>
      <c r="CK9" s="105">
        <v>9633.5999999999985</v>
      </c>
      <c r="CL9" s="105">
        <v>19</v>
      </c>
      <c r="CM9" s="105">
        <v>15253.199999999999</v>
      </c>
      <c r="CN9" s="105">
        <v>17</v>
      </c>
      <c r="CO9" s="105">
        <v>13647.599999999999</v>
      </c>
      <c r="CP9" s="105">
        <v>12</v>
      </c>
      <c r="CQ9" s="105">
        <v>9633.5999999999985</v>
      </c>
      <c r="CR9" s="105">
        <v>12</v>
      </c>
      <c r="CS9" s="105">
        <v>9633.5999999999985</v>
      </c>
      <c r="CT9" s="105">
        <v>10</v>
      </c>
      <c r="CU9" s="105">
        <v>8028</v>
      </c>
    </row>
    <row r="10" spans="1:99" x14ac:dyDescent="0.2">
      <c r="C10" s="104" t="s">
        <v>178</v>
      </c>
      <c r="D10" s="105">
        <v>15</v>
      </c>
      <c r="E10" s="105">
        <v>8352</v>
      </c>
      <c r="F10" s="105">
        <v>14</v>
      </c>
      <c r="G10" s="105">
        <v>7795.1999999999989</v>
      </c>
      <c r="H10" s="105">
        <v>10</v>
      </c>
      <c r="I10" s="105">
        <v>5568</v>
      </c>
      <c r="J10" s="105">
        <v>16</v>
      </c>
      <c r="K10" s="105">
        <v>8908.7999999999993</v>
      </c>
      <c r="L10" s="105">
        <v>13</v>
      </c>
      <c r="M10" s="105">
        <v>7238.4</v>
      </c>
      <c r="N10" s="105">
        <v>9</v>
      </c>
      <c r="O10" s="105">
        <v>5011.2</v>
      </c>
      <c r="P10" s="105">
        <v>15</v>
      </c>
      <c r="Q10" s="105">
        <v>8352</v>
      </c>
      <c r="R10" s="105">
        <v>13</v>
      </c>
      <c r="S10" s="105">
        <v>7238.4</v>
      </c>
      <c r="T10" s="105">
        <v>12</v>
      </c>
      <c r="U10" s="105">
        <v>6681.5999999999995</v>
      </c>
      <c r="V10" s="105">
        <v>11</v>
      </c>
      <c r="W10" s="105">
        <v>6124.7999999999993</v>
      </c>
      <c r="X10" s="105">
        <v>10</v>
      </c>
      <c r="Y10" s="105">
        <v>5568</v>
      </c>
      <c r="Z10" s="105">
        <v>14</v>
      </c>
      <c r="AA10" s="105">
        <v>7795.1999999999989</v>
      </c>
      <c r="AB10" s="105">
        <v>15</v>
      </c>
      <c r="AC10" s="105">
        <v>8352</v>
      </c>
      <c r="AD10" s="105">
        <v>13</v>
      </c>
      <c r="AE10" s="105">
        <v>7238.4</v>
      </c>
      <c r="AF10" s="105">
        <v>11</v>
      </c>
      <c r="AG10" s="105">
        <v>6124.7999999999993</v>
      </c>
      <c r="AH10" s="105">
        <v>9</v>
      </c>
      <c r="AI10" s="105">
        <v>5011.2</v>
      </c>
      <c r="AJ10" s="105">
        <v>10</v>
      </c>
      <c r="AK10" s="105">
        <v>5568</v>
      </c>
      <c r="AL10" s="105">
        <v>14</v>
      </c>
      <c r="AM10" s="105">
        <v>7795.1999999999989</v>
      </c>
      <c r="AN10" s="105">
        <v>13</v>
      </c>
      <c r="AO10" s="105">
        <v>7238.4</v>
      </c>
      <c r="AP10" s="105">
        <v>13</v>
      </c>
      <c r="AQ10" s="105">
        <v>7238.4</v>
      </c>
      <c r="AR10" s="105">
        <v>10</v>
      </c>
      <c r="AS10" s="105">
        <v>5568</v>
      </c>
      <c r="AT10" s="105">
        <v>16</v>
      </c>
      <c r="AU10" s="105">
        <v>8908.7999999999993</v>
      </c>
      <c r="AV10" s="105">
        <v>12</v>
      </c>
      <c r="AW10" s="105">
        <v>6681.5999999999995</v>
      </c>
      <c r="AX10" s="105">
        <v>20</v>
      </c>
      <c r="AY10" s="105">
        <v>11136</v>
      </c>
      <c r="AZ10" s="105">
        <v>18</v>
      </c>
      <c r="BA10" s="105">
        <v>10022.4</v>
      </c>
      <c r="BB10" s="105">
        <v>14</v>
      </c>
      <c r="BC10" s="105">
        <v>7795.1999999999989</v>
      </c>
      <c r="BD10" s="105">
        <v>15</v>
      </c>
      <c r="BE10" s="105">
        <v>8352</v>
      </c>
      <c r="BF10" s="105">
        <v>9</v>
      </c>
      <c r="BG10" s="105">
        <v>5011.2</v>
      </c>
      <c r="BH10" s="105">
        <v>9</v>
      </c>
      <c r="BI10" s="105">
        <v>5011.2</v>
      </c>
      <c r="BJ10" s="105">
        <v>15</v>
      </c>
      <c r="BK10" s="105">
        <v>8352</v>
      </c>
      <c r="BL10" s="105">
        <v>13</v>
      </c>
      <c r="BM10" s="105">
        <v>7238.4</v>
      </c>
      <c r="BN10" s="105">
        <v>17</v>
      </c>
      <c r="BO10" s="105">
        <v>9465.5999999999985</v>
      </c>
      <c r="BP10" s="105">
        <v>12</v>
      </c>
      <c r="BQ10" s="105">
        <v>6681.5999999999995</v>
      </c>
      <c r="BR10" s="105">
        <v>15</v>
      </c>
      <c r="BS10" s="105">
        <v>8352</v>
      </c>
      <c r="BT10" s="105">
        <v>13</v>
      </c>
      <c r="BU10" s="105">
        <v>7238.4</v>
      </c>
      <c r="BV10" s="105">
        <v>13</v>
      </c>
      <c r="BW10" s="105">
        <v>7238.4</v>
      </c>
      <c r="BX10" s="105">
        <v>11</v>
      </c>
      <c r="BY10" s="105">
        <v>6124.7999999999993</v>
      </c>
      <c r="BZ10" s="105">
        <v>15</v>
      </c>
      <c r="CA10" s="105">
        <v>8352</v>
      </c>
      <c r="CB10" s="105">
        <v>14</v>
      </c>
      <c r="CC10" s="105">
        <v>7795.1999999999989</v>
      </c>
      <c r="CD10" s="105">
        <v>14</v>
      </c>
      <c r="CE10" s="105">
        <v>7795.1999999999989</v>
      </c>
      <c r="CF10" s="105">
        <v>15</v>
      </c>
      <c r="CG10" s="105">
        <v>8352</v>
      </c>
      <c r="CH10" s="105">
        <v>19</v>
      </c>
      <c r="CI10" s="105">
        <v>10579.199999999999</v>
      </c>
      <c r="CJ10" s="105">
        <v>14</v>
      </c>
      <c r="CK10" s="105">
        <v>7795.1999999999989</v>
      </c>
      <c r="CL10" s="105">
        <v>19</v>
      </c>
      <c r="CM10" s="105">
        <v>10579.199999999999</v>
      </c>
      <c r="CN10" s="105">
        <v>15</v>
      </c>
      <c r="CO10" s="105">
        <v>8352</v>
      </c>
      <c r="CP10" s="105">
        <v>11</v>
      </c>
      <c r="CQ10" s="105">
        <v>6124.7999999999993</v>
      </c>
      <c r="CR10" s="105">
        <v>10</v>
      </c>
      <c r="CS10" s="105">
        <v>5568</v>
      </c>
      <c r="CT10" s="105">
        <v>12</v>
      </c>
      <c r="CU10" s="105">
        <v>6681.5999999999995</v>
      </c>
    </row>
    <row r="11" spans="1:99" x14ac:dyDescent="0.2">
      <c r="C11" s="104" t="s">
        <v>179</v>
      </c>
      <c r="D11" s="105">
        <v>13</v>
      </c>
      <c r="E11" s="105">
        <v>7784.4</v>
      </c>
      <c r="F11" s="105">
        <v>15</v>
      </c>
      <c r="G11" s="105">
        <v>8982</v>
      </c>
      <c r="H11" s="105">
        <v>11</v>
      </c>
      <c r="I11" s="105">
        <v>6586.7999999999993</v>
      </c>
      <c r="J11" s="105">
        <v>14</v>
      </c>
      <c r="K11" s="105">
        <v>8383.1999999999989</v>
      </c>
      <c r="L11" s="105">
        <v>14</v>
      </c>
      <c r="M11" s="105">
        <v>8383.1999999999989</v>
      </c>
      <c r="N11" s="105">
        <v>8</v>
      </c>
      <c r="O11" s="105">
        <v>4790.3999999999996</v>
      </c>
      <c r="P11" s="105">
        <v>13</v>
      </c>
      <c r="Q11" s="105">
        <v>7784.4</v>
      </c>
      <c r="R11" s="105">
        <v>14</v>
      </c>
      <c r="S11" s="105">
        <v>8383.1999999999989</v>
      </c>
      <c r="T11" s="105">
        <v>12</v>
      </c>
      <c r="U11" s="105">
        <v>7185.5999999999995</v>
      </c>
      <c r="V11" s="105">
        <v>10</v>
      </c>
      <c r="W11" s="105">
        <v>5988</v>
      </c>
      <c r="X11" s="105">
        <v>9</v>
      </c>
      <c r="Y11" s="105">
        <v>5389.2</v>
      </c>
      <c r="Z11" s="105">
        <v>15</v>
      </c>
      <c r="AA11" s="105">
        <v>8982</v>
      </c>
      <c r="AB11" s="105">
        <v>12</v>
      </c>
      <c r="AC11" s="105">
        <v>7185.5999999999995</v>
      </c>
      <c r="AD11" s="105">
        <v>12</v>
      </c>
      <c r="AE11" s="105">
        <v>7185.5999999999995</v>
      </c>
      <c r="AF11" s="105">
        <v>11</v>
      </c>
      <c r="AG11" s="105">
        <v>6586.7999999999993</v>
      </c>
      <c r="AH11" s="105">
        <v>10</v>
      </c>
      <c r="AI11" s="105">
        <v>5988</v>
      </c>
      <c r="AJ11" s="105">
        <v>9</v>
      </c>
      <c r="AK11" s="105">
        <v>5389.2</v>
      </c>
      <c r="AL11" s="105">
        <v>15</v>
      </c>
      <c r="AM11" s="105">
        <v>8982</v>
      </c>
      <c r="AN11" s="105">
        <v>13</v>
      </c>
      <c r="AO11" s="105">
        <v>7784.4</v>
      </c>
      <c r="AP11" s="105">
        <v>11</v>
      </c>
      <c r="AQ11" s="105">
        <v>6586.7999999999993</v>
      </c>
      <c r="AR11" s="105">
        <v>12</v>
      </c>
      <c r="AS11" s="105">
        <v>7185.5999999999995</v>
      </c>
      <c r="AT11" s="105">
        <v>15</v>
      </c>
      <c r="AU11" s="105">
        <v>8982</v>
      </c>
      <c r="AV11" s="105">
        <v>14</v>
      </c>
      <c r="AW11" s="105">
        <v>8383.1999999999989</v>
      </c>
      <c r="AX11" s="105">
        <v>19</v>
      </c>
      <c r="AY11" s="105">
        <v>11377.199999999999</v>
      </c>
      <c r="AZ11" s="105">
        <v>18</v>
      </c>
      <c r="BA11" s="105">
        <v>10778.4</v>
      </c>
      <c r="BB11" s="105">
        <v>14</v>
      </c>
      <c r="BC11" s="105">
        <v>8383.1999999999989</v>
      </c>
      <c r="BD11" s="105">
        <v>14</v>
      </c>
      <c r="BE11" s="105">
        <v>8383.1999999999989</v>
      </c>
      <c r="BF11" s="105">
        <v>9</v>
      </c>
      <c r="BG11" s="105">
        <v>5389.2</v>
      </c>
      <c r="BH11" s="105">
        <v>9</v>
      </c>
      <c r="BI11" s="105">
        <v>5389.2</v>
      </c>
      <c r="BJ11" s="105">
        <v>16</v>
      </c>
      <c r="BK11" s="105">
        <v>9580.7999999999993</v>
      </c>
      <c r="BL11" s="105">
        <v>13</v>
      </c>
      <c r="BM11" s="105">
        <v>7784.4</v>
      </c>
      <c r="BN11" s="105">
        <v>16</v>
      </c>
      <c r="BO11" s="105">
        <v>9580.7999999999993</v>
      </c>
      <c r="BP11" s="105">
        <v>13</v>
      </c>
      <c r="BQ11" s="105">
        <v>7784.4</v>
      </c>
      <c r="BR11" s="105">
        <v>13</v>
      </c>
      <c r="BS11" s="105">
        <v>7784.4</v>
      </c>
      <c r="BT11" s="105">
        <v>12</v>
      </c>
      <c r="BU11" s="105">
        <v>7185.5999999999995</v>
      </c>
      <c r="BV11" s="105">
        <v>12</v>
      </c>
      <c r="BW11" s="105">
        <v>7185.5999999999995</v>
      </c>
      <c r="BX11" s="105">
        <v>13</v>
      </c>
      <c r="BY11" s="105">
        <v>7784.4</v>
      </c>
      <c r="BZ11" s="105">
        <v>15</v>
      </c>
      <c r="CA11" s="105">
        <v>8982</v>
      </c>
      <c r="CB11" s="105">
        <v>14</v>
      </c>
      <c r="CC11" s="105">
        <v>8383.1999999999989</v>
      </c>
      <c r="CD11" s="105">
        <v>16</v>
      </c>
      <c r="CE11" s="105">
        <v>9580.7999999999993</v>
      </c>
      <c r="CF11" s="105">
        <v>13</v>
      </c>
      <c r="CG11" s="105">
        <v>7784.4</v>
      </c>
      <c r="CH11" s="105">
        <v>19</v>
      </c>
      <c r="CI11" s="105">
        <v>11377.199999999999</v>
      </c>
      <c r="CJ11" s="105">
        <v>12</v>
      </c>
      <c r="CK11" s="105">
        <v>7185.5999999999995</v>
      </c>
      <c r="CL11" s="105">
        <v>17</v>
      </c>
      <c r="CM11" s="105">
        <v>10179.599999999999</v>
      </c>
      <c r="CN11" s="105">
        <v>15</v>
      </c>
      <c r="CO11" s="105">
        <v>8982</v>
      </c>
      <c r="CP11" s="105">
        <v>11</v>
      </c>
      <c r="CQ11" s="105">
        <v>6586.7999999999993</v>
      </c>
      <c r="CR11" s="105">
        <v>11</v>
      </c>
      <c r="CS11" s="105">
        <v>6586.7999999999993</v>
      </c>
      <c r="CT11" s="105">
        <v>10</v>
      </c>
      <c r="CU11" s="105">
        <v>5988</v>
      </c>
    </row>
    <row r="12" spans="1:99" x14ac:dyDescent="0.2">
      <c r="C12" s="104" t="s">
        <v>180</v>
      </c>
      <c r="D12" s="105">
        <v>15</v>
      </c>
      <c r="E12" s="105">
        <v>9072</v>
      </c>
      <c r="F12" s="105">
        <v>14</v>
      </c>
      <c r="G12" s="105">
        <v>8467.1999999999989</v>
      </c>
      <c r="H12" s="105">
        <v>10</v>
      </c>
      <c r="I12" s="105">
        <v>6048</v>
      </c>
      <c r="J12" s="105">
        <v>14</v>
      </c>
      <c r="K12" s="105">
        <v>8467.1999999999989</v>
      </c>
      <c r="L12" s="105">
        <v>15</v>
      </c>
      <c r="M12" s="105">
        <v>9072</v>
      </c>
      <c r="N12" s="105">
        <v>8</v>
      </c>
      <c r="O12" s="105">
        <v>4838.3999999999996</v>
      </c>
      <c r="P12" s="105">
        <v>14</v>
      </c>
      <c r="Q12" s="105">
        <v>8467.1999999999989</v>
      </c>
      <c r="R12" s="105">
        <v>12</v>
      </c>
      <c r="S12" s="105">
        <v>7257.5999999999995</v>
      </c>
      <c r="T12" s="105">
        <v>11</v>
      </c>
      <c r="U12" s="105">
        <v>6652.7999999999993</v>
      </c>
      <c r="V12" s="105">
        <v>11</v>
      </c>
      <c r="W12" s="105">
        <v>6652.7999999999993</v>
      </c>
      <c r="X12" s="105">
        <v>10</v>
      </c>
      <c r="Y12" s="105">
        <v>6048</v>
      </c>
      <c r="Z12" s="105">
        <v>13</v>
      </c>
      <c r="AA12" s="105">
        <v>7862.4</v>
      </c>
      <c r="AB12" s="105">
        <v>14</v>
      </c>
      <c r="AC12" s="105">
        <v>8467.1999999999989</v>
      </c>
      <c r="AD12" s="105">
        <v>13</v>
      </c>
      <c r="AE12" s="105">
        <v>7862.4</v>
      </c>
      <c r="AF12" s="105">
        <v>11</v>
      </c>
      <c r="AG12" s="105">
        <v>6652.7999999999993</v>
      </c>
      <c r="AH12" s="105">
        <v>10</v>
      </c>
      <c r="AI12" s="105">
        <v>6048</v>
      </c>
      <c r="AJ12" s="105">
        <v>10</v>
      </c>
      <c r="AK12" s="105">
        <v>6048</v>
      </c>
      <c r="AL12" s="105">
        <v>14</v>
      </c>
      <c r="AM12" s="105">
        <v>8467.1999999999989</v>
      </c>
      <c r="AN12" s="105">
        <v>13</v>
      </c>
      <c r="AO12" s="105">
        <v>7862.4</v>
      </c>
      <c r="AP12" s="105">
        <v>13</v>
      </c>
      <c r="AQ12" s="105">
        <v>7862.4</v>
      </c>
      <c r="AR12" s="105">
        <v>10</v>
      </c>
      <c r="AS12" s="105">
        <v>6048</v>
      </c>
      <c r="AT12" s="105">
        <v>16</v>
      </c>
      <c r="AU12" s="105">
        <v>9676.7999999999993</v>
      </c>
      <c r="AV12" s="105">
        <v>13</v>
      </c>
      <c r="AW12" s="105">
        <v>7862.4</v>
      </c>
      <c r="AX12" s="105">
        <v>19</v>
      </c>
      <c r="AY12" s="105">
        <v>11491.199999999999</v>
      </c>
      <c r="AZ12" s="105">
        <v>19</v>
      </c>
      <c r="BA12" s="105">
        <v>11491.199999999999</v>
      </c>
      <c r="BB12" s="105">
        <v>16</v>
      </c>
      <c r="BC12" s="105">
        <v>9676.7999999999993</v>
      </c>
      <c r="BD12" s="105">
        <v>14</v>
      </c>
      <c r="BE12" s="105">
        <v>8467.1999999999989</v>
      </c>
      <c r="BF12" s="105">
        <v>9</v>
      </c>
      <c r="BG12" s="105">
        <v>5443.2</v>
      </c>
      <c r="BH12" s="105">
        <v>9</v>
      </c>
      <c r="BI12" s="105">
        <v>5443.2</v>
      </c>
      <c r="BJ12" s="105">
        <v>17</v>
      </c>
      <c r="BK12" s="105">
        <v>10281.599999999999</v>
      </c>
      <c r="BL12" s="105">
        <v>12</v>
      </c>
      <c r="BM12" s="105">
        <v>7257.5999999999995</v>
      </c>
      <c r="BN12" s="105">
        <v>18</v>
      </c>
      <c r="BO12" s="105">
        <v>10886.4</v>
      </c>
      <c r="BP12" s="105">
        <v>12</v>
      </c>
      <c r="BQ12" s="105">
        <v>7257.5999999999995</v>
      </c>
      <c r="BR12" s="105">
        <v>15</v>
      </c>
      <c r="BS12" s="105">
        <v>9072</v>
      </c>
      <c r="BT12" s="105">
        <v>12</v>
      </c>
      <c r="BU12" s="105">
        <v>7257.5999999999995</v>
      </c>
      <c r="BV12" s="105">
        <v>13</v>
      </c>
      <c r="BW12" s="105">
        <v>7862.4</v>
      </c>
      <c r="BX12" s="105">
        <v>12</v>
      </c>
      <c r="BY12" s="105">
        <v>7257.5999999999995</v>
      </c>
      <c r="BZ12" s="105">
        <v>14</v>
      </c>
      <c r="CA12" s="105">
        <v>8467.1999999999989</v>
      </c>
      <c r="CB12" s="105">
        <v>15</v>
      </c>
      <c r="CC12" s="105">
        <v>9072</v>
      </c>
      <c r="CD12" s="105">
        <v>15</v>
      </c>
      <c r="CE12" s="105">
        <v>9072</v>
      </c>
      <c r="CF12" s="105">
        <v>14</v>
      </c>
      <c r="CG12" s="105">
        <v>8467.1999999999989</v>
      </c>
      <c r="CH12" s="105">
        <v>17</v>
      </c>
      <c r="CI12" s="105">
        <v>10281.599999999999</v>
      </c>
      <c r="CJ12" s="105">
        <v>13</v>
      </c>
      <c r="CK12" s="105">
        <v>7862.4</v>
      </c>
      <c r="CL12" s="105">
        <v>18</v>
      </c>
      <c r="CM12" s="105">
        <v>10886.4</v>
      </c>
      <c r="CN12" s="105">
        <v>15</v>
      </c>
      <c r="CO12" s="105">
        <v>9072</v>
      </c>
      <c r="CP12" s="105">
        <v>11</v>
      </c>
      <c r="CQ12" s="105">
        <v>6652.7999999999993</v>
      </c>
      <c r="CR12" s="105">
        <v>10</v>
      </c>
      <c r="CS12" s="105">
        <v>6048</v>
      </c>
      <c r="CT12" s="105">
        <v>10</v>
      </c>
      <c r="CU12" s="105">
        <v>6048</v>
      </c>
    </row>
    <row r="13" spans="1:99" x14ac:dyDescent="0.2">
      <c r="C13" s="104" t="s">
        <v>181</v>
      </c>
      <c r="D13" s="105">
        <v>15</v>
      </c>
      <c r="E13" s="105">
        <v>2501.9999999999995</v>
      </c>
      <c r="F13" s="105">
        <v>17</v>
      </c>
      <c r="G13" s="105">
        <v>2835.6</v>
      </c>
      <c r="H13" s="105">
        <v>11</v>
      </c>
      <c r="I13" s="105">
        <v>1834.7999999999997</v>
      </c>
      <c r="J13" s="105">
        <v>15</v>
      </c>
      <c r="K13" s="105">
        <v>2501.9999999999995</v>
      </c>
      <c r="L13" s="105">
        <v>15</v>
      </c>
      <c r="M13" s="105">
        <v>2501.9999999999995</v>
      </c>
      <c r="N13" s="105">
        <v>8</v>
      </c>
      <c r="O13" s="105">
        <v>1334.3999999999999</v>
      </c>
      <c r="P13" s="105">
        <v>15</v>
      </c>
      <c r="Q13" s="105">
        <v>2501.9999999999995</v>
      </c>
      <c r="R13" s="105">
        <v>15</v>
      </c>
      <c r="S13" s="105">
        <v>2501.9999999999995</v>
      </c>
      <c r="T13" s="105">
        <v>14</v>
      </c>
      <c r="U13" s="105">
        <v>2335.1999999999998</v>
      </c>
      <c r="V13" s="105">
        <v>10</v>
      </c>
      <c r="W13" s="105">
        <v>1667.9999999999998</v>
      </c>
      <c r="X13" s="105">
        <v>10</v>
      </c>
      <c r="Y13" s="105">
        <v>1667.9999999999998</v>
      </c>
      <c r="Z13" s="105">
        <v>14</v>
      </c>
      <c r="AA13" s="105">
        <v>2335.1999999999998</v>
      </c>
      <c r="AB13" s="105">
        <v>14</v>
      </c>
      <c r="AC13" s="105">
        <v>2335.1999999999998</v>
      </c>
      <c r="AD13" s="105">
        <v>13</v>
      </c>
      <c r="AE13" s="105">
        <v>2168.3999999999996</v>
      </c>
      <c r="AF13" s="105">
        <v>11</v>
      </c>
      <c r="AG13" s="105">
        <v>1834.7999999999997</v>
      </c>
      <c r="AH13" s="105">
        <v>10</v>
      </c>
      <c r="AI13" s="105">
        <v>1667.9999999999998</v>
      </c>
      <c r="AJ13" s="105">
        <v>10</v>
      </c>
      <c r="AK13" s="105">
        <v>1667.9999999999998</v>
      </c>
      <c r="AL13" s="105">
        <v>16</v>
      </c>
      <c r="AM13" s="105">
        <v>2668.7999999999997</v>
      </c>
      <c r="AN13" s="105">
        <v>15</v>
      </c>
      <c r="AO13" s="105">
        <v>2501.9999999999995</v>
      </c>
      <c r="AP13" s="105">
        <v>13</v>
      </c>
      <c r="AQ13" s="105">
        <v>2168.3999999999996</v>
      </c>
      <c r="AR13" s="105">
        <v>11</v>
      </c>
      <c r="AS13" s="105">
        <v>1834.7999999999997</v>
      </c>
      <c r="AT13" s="105">
        <v>19</v>
      </c>
      <c r="AU13" s="105">
        <v>3169.2</v>
      </c>
      <c r="AV13" s="105">
        <v>14</v>
      </c>
      <c r="AW13" s="105">
        <v>2335.1999999999998</v>
      </c>
      <c r="AX13" s="105">
        <v>17</v>
      </c>
      <c r="AY13" s="105">
        <v>2835.6</v>
      </c>
      <c r="AZ13" s="105">
        <v>18</v>
      </c>
      <c r="BA13" s="105">
        <v>3002.3999999999996</v>
      </c>
      <c r="BB13" s="105">
        <v>15</v>
      </c>
      <c r="BC13" s="105">
        <v>2501.9999999999995</v>
      </c>
      <c r="BD13" s="105">
        <v>16</v>
      </c>
      <c r="BE13" s="105">
        <v>2668.7999999999997</v>
      </c>
      <c r="BF13" s="105">
        <v>11</v>
      </c>
      <c r="BG13" s="105">
        <v>1834.7999999999997</v>
      </c>
      <c r="BH13" s="105">
        <v>9</v>
      </c>
      <c r="BI13" s="105">
        <v>1501.1999999999998</v>
      </c>
      <c r="BJ13" s="105">
        <v>17</v>
      </c>
      <c r="BK13" s="105">
        <v>2835.6</v>
      </c>
      <c r="BL13" s="105">
        <v>14</v>
      </c>
      <c r="BM13" s="105">
        <v>2335.1999999999998</v>
      </c>
      <c r="BN13" s="105">
        <v>18</v>
      </c>
      <c r="BO13" s="105">
        <v>3002.3999999999996</v>
      </c>
      <c r="BP13" s="105">
        <v>13</v>
      </c>
      <c r="BQ13" s="105">
        <v>2168.3999999999996</v>
      </c>
      <c r="BR13" s="105">
        <v>14</v>
      </c>
      <c r="BS13" s="105">
        <v>2335.1999999999998</v>
      </c>
      <c r="BT13" s="105">
        <v>14</v>
      </c>
      <c r="BU13" s="105">
        <v>2335.1999999999998</v>
      </c>
      <c r="BV13" s="105">
        <v>13</v>
      </c>
      <c r="BW13" s="105">
        <v>2168.3999999999996</v>
      </c>
      <c r="BX13" s="105">
        <v>13</v>
      </c>
      <c r="BY13" s="105">
        <v>2168.3999999999996</v>
      </c>
      <c r="BZ13" s="105">
        <v>16</v>
      </c>
      <c r="CA13" s="105">
        <v>2668.7999999999997</v>
      </c>
      <c r="CB13" s="105">
        <v>16</v>
      </c>
      <c r="CC13" s="105">
        <v>2668.7999999999997</v>
      </c>
      <c r="CD13" s="105">
        <v>15</v>
      </c>
      <c r="CE13" s="105">
        <v>2501.9999999999995</v>
      </c>
      <c r="CF13" s="105">
        <v>15</v>
      </c>
      <c r="CG13" s="105">
        <v>2501.9999999999995</v>
      </c>
      <c r="CH13" s="105">
        <v>20</v>
      </c>
      <c r="CI13" s="105">
        <v>3335.9999999999995</v>
      </c>
      <c r="CJ13" s="105">
        <v>14</v>
      </c>
      <c r="CK13" s="105">
        <v>2335.1999999999998</v>
      </c>
      <c r="CL13" s="105">
        <v>19</v>
      </c>
      <c r="CM13" s="105">
        <v>3169.2</v>
      </c>
      <c r="CN13" s="105">
        <v>16</v>
      </c>
      <c r="CO13" s="105">
        <v>2668.7999999999997</v>
      </c>
      <c r="CP13" s="105">
        <v>13</v>
      </c>
      <c r="CQ13" s="105">
        <v>2168.3999999999996</v>
      </c>
      <c r="CR13" s="105">
        <v>11</v>
      </c>
      <c r="CS13" s="105">
        <v>1834.7999999999997</v>
      </c>
      <c r="CT13" s="105">
        <v>12</v>
      </c>
      <c r="CU13" s="105">
        <v>2001.6</v>
      </c>
    </row>
    <row r="14" spans="1:99" x14ac:dyDescent="0.2">
      <c r="C14" s="104" t="s">
        <v>182</v>
      </c>
      <c r="D14" s="105">
        <v>15</v>
      </c>
      <c r="E14" s="105">
        <v>7488</v>
      </c>
      <c r="F14" s="105">
        <v>15</v>
      </c>
      <c r="G14" s="105">
        <v>7488</v>
      </c>
      <c r="H14" s="105">
        <v>10</v>
      </c>
      <c r="I14" s="105">
        <v>4992</v>
      </c>
      <c r="J14" s="105">
        <v>16</v>
      </c>
      <c r="K14" s="105">
        <v>7987.2</v>
      </c>
      <c r="L14" s="105">
        <v>14</v>
      </c>
      <c r="M14" s="105">
        <v>6988.8</v>
      </c>
      <c r="N14" s="105">
        <v>9</v>
      </c>
      <c r="O14" s="105">
        <v>4492.8</v>
      </c>
      <c r="P14" s="105">
        <v>13</v>
      </c>
      <c r="Q14" s="105">
        <v>6489.5999999999995</v>
      </c>
      <c r="R14" s="105">
        <v>13</v>
      </c>
      <c r="S14" s="105">
        <v>6489.5999999999995</v>
      </c>
      <c r="T14" s="105">
        <v>13</v>
      </c>
      <c r="U14" s="105">
        <v>6489.5999999999995</v>
      </c>
      <c r="V14" s="105">
        <v>10</v>
      </c>
      <c r="W14" s="105">
        <v>4992</v>
      </c>
      <c r="X14" s="105">
        <v>9</v>
      </c>
      <c r="Y14" s="105">
        <v>4492.8</v>
      </c>
      <c r="Z14" s="105">
        <v>15</v>
      </c>
      <c r="AA14" s="105">
        <v>7488</v>
      </c>
      <c r="AB14" s="105">
        <v>13</v>
      </c>
      <c r="AC14" s="105">
        <v>6489.5999999999995</v>
      </c>
      <c r="AD14" s="105">
        <v>12</v>
      </c>
      <c r="AE14" s="105">
        <v>5990.4</v>
      </c>
      <c r="AF14" s="105">
        <v>10</v>
      </c>
      <c r="AG14" s="105">
        <v>4992</v>
      </c>
      <c r="AH14" s="105">
        <v>10</v>
      </c>
      <c r="AI14" s="105">
        <v>4992</v>
      </c>
      <c r="AJ14" s="105">
        <v>10</v>
      </c>
      <c r="AK14" s="105">
        <v>4992</v>
      </c>
      <c r="AL14" s="105">
        <v>14</v>
      </c>
      <c r="AM14" s="105">
        <v>6988.8</v>
      </c>
      <c r="AN14" s="105">
        <v>13</v>
      </c>
      <c r="AO14" s="105">
        <v>6489.5999999999995</v>
      </c>
      <c r="AP14" s="105">
        <v>12</v>
      </c>
      <c r="AQ14" s="105">
        <v>5990.4</v>
      </c>
      <c r="AR14" s="105">
        <v>12</v>
      </c>
      <c r="AS14" s="105">
        <v>5990.4</v>
      </c>
      <c r="AT14" s="105">
        <v>19</v>
      </c>
      <c r="AU14" s="105">
        <v>9484.7999999999993</v>
      </c>
      <c r="AV14" s="105">
        <v>13</v>
      </c>
      <c r="AW14" s="105">
        <v>6489.5999999999995</v>
      </c>
      <c r="AX14" s="105">
        <v>18</v>
      </c>
      <c r="AY14" s="105">
        <v>8985.6</v>
      </c>
      <c r="AZ14" s="105">
        <v>17</v>
      </c>
      <c r="BA14" s="105">
        <v>8486.4</v>
      </c>
      <c r="BB14" s="105">
        <v>16</v>
      </c>
      <c r="BC14" s="105">
        <v>7987.2</v>
      </c>
      <c r="BD14" s="105">
        <v>15</v>
      </c>
      <c r="BE14" s="105">
        <v>7488</v>
      </c>
      <c r="BF14" s="105">
        <v>9</v>
      </c>
      <c r="BG14" s="105">
        <v>4492.8</v>
      </c>
      <c r="BH14" s="105">
        <v>10</v>
      </c>
      <c r="BI14" s="105">
        <v>4992</v>
      </c>
      <c r="BJ14" s="105">
        <v>14</v>
      </c>
      <c r="BK14" s="105">
        <v>6988.8</v>
      </c>
      <c r="BL14" s="105">
        <v>12</v>
      </c>
      <c r="BM14" s="105">
        <v>5990.4</v>
      </c>
      <c r="BN14" s="105">
        <v>16</v>
      </c>
      <c r="BO14" s="105">
        <v>7987.2</v>
      </c>
      <c r="BP14" s="105">
        <v>13</v>
      </c>
      <c r="BQ14" s="105">
        <v>6489.5999999999995</v>
      </c>
      <c r="BR14" s="105">
        <v>15</v>
      </c>
      <c r="BS14" s="105">
        <v>7488</v>
      </c>
      <c r="BT14" s="105">
        <v>12</v>
      </c>
      <c r="BU14" s="105">
        <v>5990.4</v>
      </c>
      <c r="BV14" s="105">
        <v>12</v>
      </c>
      <c r="BW14" s="105">
        <v>5990.4</v>
      </c>
      <c r="BX14" s="105">
        <v>12</v>
      </c>
      <c r="BY14" s="105">
        <v>5990.4</v>
      </c>
      <c r="BZ14" s="105">
        <v>16</v>
      </c>
      <c r="CA14" s="105">
        <v>7987.2</v>
      </c>
      <c r="CB14" s="105">
        <v>14</v>
      </c>
      <c r="CC14" s="105">
        <v>6988.8</v>
      </c>
      <c r="CD14" s="105">
        <v>14</v>
      </c>
      <c r="CE14" s="105">
        <v>6988.8</v>
      </c>
      <c r="CF14" s="105">
        <v>13</v>
      </c>
      <c r="CG14" s="105">
        <v>6489.5999999999995</v>
      </c>
      <c r="CH14" s="105">
        <v>18</v>
      </c>
      <c r="CI14" s="105">
        <v>8985.6</v>
      </c>
      <c r="CJ14" s="105">
        <v>13</v>
      </c>
      <c r="CK14" s="105">
        <v>6489.5999999999995</v>
      </c>
      <c r="CL14" s="105">
        <v>18</v>
      </c>
      <c r="CM14" s="105">
        <v>8985.6</v>
      </c>
      <c r="CN14" s="105">
        <v>15</v>
      </c>
      <c r="CO14" s="105">
        <v>7488</v>
      </c>
      <c r="CP14" s="105">
        <v>13</v>
      </c>
      <c r="CQ14" s="105">
        <v>6489.5999999999995</v>
      </c>
      <c r="CR14" s="105">
        <v>11</v>
      </c>
      <c r="CS14" s="105">
        <v>5491.2</v>
      </c>
      <c r="CT14" s="105">
        <v>12</v>
      </c>
      <c r="CU14" s="105">
        <v>5990.4</v>
      </c>
    </row>
    <row r="15" spans="1:99" x14ac:dyDescent="0.2">
      <c r="C15" s="104" t="s">
        <v>183</v>
      </c>
      <c r="D15" s="105">
        <v>13</v>
      </c>
      <c r="E15" s="105">
        <v>10717.199999999999</v>
      </c>
      <c r="F15" s="105">
        <v>14</v>
      </c>
      <c r="G15" s="105">
        <v>11541.6</v>
      </c>
      <c r="H15" s="105">
        <v>10</v>
      </c>
      <c r="I15" s="105">
        <v>8244</v>
      </c>
      <c r="J15" s="105">
        <v>16</v>
      </c>
      <c r="K15" s="105">
        <v>13190.4</v>
      </c>
      <c r="L15" s="105">
        <v>12</v>
      </c>
      <c r="M15" s="105">
        <v>9892.7999999999993</v>
      </c>
      <c r="N15" s="105">
        <v>7</v>
      </c>
      <c r="O15" s="105">
        <v>5770.8</v>
      </c>
      <c r="P15" s="105">
        <v>14</v>
      </c>
      <c r="Q15" s="105">
        <v>11541.6</v>
      </c>
      <c r="R15" s="105">
        <v>13</v>
      </c>
      <c r="S15" s="105">
        <v>10717.199999999999</v>
      </c>
      <c r="T15" s="105">
        <v>11</v>
      </c>
      <c r="U15" s="105">
        <v>9068.4</v>
      </c>
      <c r="V15" s="105">
        <v>11</v>
      </c>
      <c r="W15" s="105">
        <v>9068.4</v>
      </c>
      <c r="X15" s="105">
        <v>9</v>
      </c>
      <c r="Y15" s="105">
        <v>7419.5999999999995</v>
      </c>
      <c r="Z15" s="105">
        <v>13</v>
      </c>
      <c r="AA15" s="105">
        <v>10717.199999999999</v>
      </c>
      <c r="AB15" s="105">
        <v>13</v>
      </c>
      <c r="AC15" s="105">
        <v>10717.199999999999</v>
      </c>
      <c r="AD15" s="105">
        <v>12</v>
      </c>
      <c r="AE15" s="105">
        <v>9892.7999999999993</v>
      </c>
      <c r="AF15" s="105">
        <v>11</v>
      </c>
      <c r="AG15" s="105">
        <v>9068.4</v>
      </c>
      <c r="AH15" s="105">
        <v>9</v>
      </c>
      <c r="AI15" s="105">
        <v>7419.5999999999995</v>
      </c>
      <c r="AJ15" s="105">
        <v>9</v>
      </c>
      <c r="AK15" s="105">
        <v>7419.5999999999995</v>
      </c>
      <c r="AL15" s="105">
        <v>14</v>
      </c>
      <c r="AM15" s="105">
        <v>11541.6</v>
      </c>
      <c r="AN15" s="105">
        <v>15</v>
      </c>
      <c r="AO15" s="105">
        <v>12366</v>
      </c>
      <c r="AP15" s="105">
        <v>11</v>
      </c>
      <c r="AQ15" s="105">
        <v>9068.4</v>
      </c>
      <c r="AR15" s="105">
        <v>11</v>
      </c>
      <c r="AS15" s="105">
        <v>9068.4</v>
      </c>
      <c r="AT15" s="105">
        <v>17</v>
      </c>
      <c r="AU15" s="105">
        <v>14014.8</v>
      </c>
      <c r="AV15" s="105">
        <v>13</v>
      </c>
      <c r="AW15" s="105">
        <v>10717.199999999999</v>
      </c>
      <c r="AX15" s="105">
        <v>18</v>
      </c>
      <c r="AY15" s="105">
        <v>14839.199999999999</v>
      </c>
      <c r="AZ15" s="105">
        <v>16</v>
      </c>
      <c r="BA15" s="105">
        <v>13190.4</v>
      </c>
      <c r="BB15" s="105">
        <v>13</v>
      </c>
      <c r="BC15" s="105">
        <v>10717.199999999999</v>
      </c>
      <c r="BD15" s="105">
        <v>14</v>
      </c>
      <c r="BE15" s="105">
        <v>11541.6</v>
      </c>
      <c r="BF15" s="105">
        <v>10</v>
      </c>
      <c r="BG15" s="105">
        <v>8244</v>
      </c>
      <c r="BH15" s="105">
        <v>9</v>
      </c>
      <c r="BI15" s="105">
        <v>7419.5999999999995</v>
      </c>
      <c r="BJ15" s="105">
        <v>14</v>
      </c>
      <c r="BK15" s="105">
        <v>11541.6</v>
      </c>
      <c r="BL15" s="105">
        <v>13</v>
      </c>
      <c r="BM15" s="105">
        <v>10717.199999999999</v>
      </c>
      <c r="BN15" s="105">
        <v>17</v>
      </c>
      <c r="BO15" s="105">
        <v>14014.8</v>
      </c>
      <c r="BP15" s="105">
        <v>13</v>
      </c>
      <c r="BQ15" s="105">
        <v>10717.199999999999</v>
      </c>
      <c r="BR15" s="105">
        <v>13</v>
      </c>
      <c r="BS15" s="105">
        <v>10717.199999999999</v>
      </c>
      <c r="BT15" s="105">
        <v>13</v>
      </c>
      <c r="BU15" s="105">
        <v>10717.199999999999</v>
      </c>
      <c r="BV15" s="105">
        <v>12</v>
      </c>
      <c r="BW15" s="105">
        <v>9892.7999999999993</v>
      </c>
      <c r="BX15" s="105">
        <v>11</v>
      </c>
      <c r="BY15" s="105">
        <v>9068.4</v>
      </c>
      <c r="BZ15" s="105">
        <v>15</v>
      </c>
      <c r="CA15" s="105">
        <v>12366</v>
      </c>
      <c r="CB15" s="105">
        <v>13</v>
      </c>
      <c r="CC15" s="105">
        <v>10717.199999999999</v>
      </c>
      <c r="CD15" s="105">
        <v>13</v>
      </c>
      <c r="CE15" s="105">
        <v>10717.199999999999</v>
      </c>
      <c r="CF15" s="105">
        <v>14</v>
      </c>
      <c r="CG15" s="105">
        <v>11541.6</v>
      </c>
      <c r="CH15" s="105">
        <v>20</v>
      </c>
      <c r="CI15" s="105">
        <v>16488</v>
      </c>
      <c r="CJ15" s="105">
        <v>13</v>
      </c>
      <c r="CK15" s="105">
        <v>10717.199999999999</v>
      </c>
      <c r="CL15" s="105">
        <v>19</v>
      </c>
      <c r="CM15" s="105">
        <v>15663.6</v>
      </c>
      <c r="CN15" s="105">
        <v>17</v>
      </c>
      <c r="CO15" s="105">
        <v>14014.8</v>
      </c>
      <c r="CP15" s="105">
        <v>13</v>
      </c>
      <c r="CQ15" s="105">
        <v>10717.199999999999</v>
      </c>
      <c r="CR15" s="105">
        <v>11</v>
      </c>
      <c r="CS15" s="105">
        <v>9068.4</v>
      </c>
      <c r="CT15" s="105">
        <v>11</v>
      </c>
      <c r="CU15" s="105">
        <v>9068.4</v>
      </c>
    </row>
    <row r="16" spans="1:99" x14ac:dyDescent="0.2">
      <c r="C16" s="104" t="s">
        <v>184</v>
      </c>
      <c r="D16" s="105">
        <v>15</v>
      </c>
      <c r="E16" s="105">
        <v>7631.9999999999982</v>
      </c>
      <c r="F16" s="105">
        <v>16</v>
      </c>
      <c r="G16" s="105">
        <v>8140.7999999999984</v>
      </c>
      <c r="H16" s="105">
        <v>11</v>
      </c>
      <c r="I16" s="105">
        <v>5596.7999999999993</v>
      </c>
      <c r="J16" s="105">
        <v>15</v>
      </c>
      <c r="K16" s="105">
        <v>7631.9999999999982</v>
      </c>
      <c r="L16" s="105">
        <v>12</v>
      </c>
      <c r="M16" s="105">
        <v>6105.5999999999985</v>
      </c>
      <c r="N16" s="105">
        <v>8</v>
      </c>
      <c r="O16" s="105">
        <v>4070.3999999999992</v>
      </c>
      <c r="P16" s="105">
        <v>15</v>
      </c>
      <c r="Q16" s="105">
        <v>7631.9999999999982</v>
      </c>
      <c r="R16" s="105">
        <v>13</v>
      </c>
      <c r="S16" s="105">
        <v>6614.3999999999987</v>
      </c>
      <c r="T16" s="105">
        <v>12</v>
      </c>
      <c r="U16" s="105">
        <v>6105.5999999999985</v>
      </c>
      <c r="V16" s="105">
        <v>12</v>
      </c>
      <c r="W16" s="105">
        <v>6105.5999999999985</v>
      </c>
      <c r="X16" s="105">
        <v>9</v>
      </c>
      <c r="Y16" s="105">
        <v>4579.1999999999989</v>
      </c>
      <c r="Z16" s="105">
        <v>14</v>
      </c>
      <c r="AA16" s="105">
        <v>7123.1999999999989</v>
      </c>
      <c r="AB16" s="105">
        <v>14</v>
      </c>
      <c r="AC16" s="105">
        <v>7123.1999999999989</v>
      </c>
      <c r="AD16" s="105">
        <v>13</v>
      </c>
      <c r="AE16" s="105">
        <v>6614.3999999999987</v>
      </c>
      <c r="AF16" s="105">
        <v>12</v>
      </c>
      <c r="AG16" s="105">
        <v>6105.5999999999985</v>
      </c>
      <c r="AH16" s="105">
        <v>10</v>
      </c>
      <c r="AI16" s="105">
        <v>5087.9999999999991</v>
      </c>
      <c r="AJ16" s="105">
        <v>9</v>
      </c>
      <c r="AK16" s="105">
        <v>4579.1999999999989</v>
      </c>
      <c r="AL16" s="105">
        <v>15</v>
      </c>
      <c r="AM16" s="105">
        <v>7631.9999999999982</v>
      </c>
      <c r="AN16" s="105">
        <v>13</v>
      </c>
      <c r="AO16" s="105">
        <v>6614.3999999999987</v>
      </c>
      <c r="AP16" s="105">
        <v>13</v>
      </c>
      <c r="AQ16" s="105">
        <v>6614.3999999999987</v>
      </c>
      <c r="AR16" s="105">
        <v>11</v>
      </c>
      <c r="AS16" s="105">
        <v>5596.7999999999993</v>
      </c>
      <c r="AT16" s="105">
        <v>17</v>
      </c>
      <c r="AU16" s="105">
        <v>8649.5999999999985</v>
      </c>
      <c r="AV16" s="105">
        <v>12</v>
      </c>
      <c r="AW16" s="105">
        <v>6105.5999999999985</v>
      </c>
      <c r="AX16" s="105">
        <v>16</v>
      </c>
      <c r="AY16" s="105">
        <v>8140.7999999999984</v>
      </c>
      <c r="AZ16" s="105">
        <v>16</v>
      </c>
      <c r="BA16" s="105">
        <v>8140.7999999999984</v>
      </c>
      <c r="BB16" s="105">
        <v>15</v>
      </c>
      <c r="BC16" s="105">
        <v>7631.9999999999982</v>
      </c>
      <c r="BD16" s="105">
        <v>15</v>
      </c>
      <c r="BE16" s="105">
        <v>7631.9999999999982</v>
      </c>
      <c r="BF16" s="105">
        <v>9</v>
      </c>
      <c r="BG16" s="105">
        <v>4579.1999999999989</v>
      </c>
      <c r="BH16" s="105">
        <v>10</v>
      </c>
      <c r="BI16" s="105">
        <v>5087.9999999999991</v>
      </c>
      <c r="BJ16" s="105">
        <v>17</v>
      </c>
      <c r="BK16" s="105">
        <v>8649.5999999999985</v>
      </c>
      <c r="BL16" s="105">
        <v>12</v>
      </c>
      <c r="BM16" s="105">
        <v>6105.5999999999985</v>
      </c>
      <c r="BN16" s="105">
        <v>16</v>
      </c>
      <c r="BO16" s="105">
        <v>8140.7999999999984</v>
      </c>
      <c r="BP16" s="105">
        <v>13</v>
      </c>
      <c r="BQ16" s="105">
        <v>6614.3999999999987</v>
      </c>
      <c r="BR16" s="105">
        <v>14</v>
      </c>
      <c r="BS16" s="105">
        <v>7123.1999999999989</v>
      </c>
      <c r="BT16" s="105">
        <v>14</v>
      </c>
      <c r="BU16" s="105">
        <v>7123.1999999999989</v>
      </c>
      <c r="BV16" s="105">
        <v>11</v>
      </c>
      <c r="BW16" s="105">
        <v>5596.7999999999993</v>
      </c>
      <c r="BX16" s="105">
        <v>13</v>
      </c>
      <c r="BY16" s="105">
        <v>6614.3999999999987</v>
      </c>
      <c r="BZ16" s="105">
        <v>15</v>
      </c>
      <c r="CA16" s="105">
        <v>7631.9999999999982</v>
      </c>
      <c r="CB16" s="105">
        <v>16</v>
      </c>
      <c r="CC16" s="105">
        <v>8140.7999999999984</v>
      </c>
      <c r="CD16" s="105">
        <v>15</v>
      </c>
      <c r="CE16" s="105">
        <v>7631.9999999999982</v>
      </c>
      <c r="CF16" s="105">
        <v>13</v>
      </c>
      <c r="CG16" s="105">
        <v>6614.3999999999987</v>
      </c>
      <c r="CH16" s="105">
        <v>19</v>
      </c>
      <c r="CI16" s="105">
        <v>9667.1999999999989</v>
      </c>
      <c r="CJ16" s="105">
        <v>13</v>
      </c>
      <c r="CK16" s="105">
        <v>6614.3999999999987</v>
      </c>
      <c r="CL16" s="105">
        <v>16</v>
      </c>
      <c r="CM16" s="105">
        <v>8140.7999999999984</v>
      </c>
      <c r="CN16" s="105">
        <v>16</v>
      </c>
      <c r="CO16" s="105">
        <v>8140.7999999999984</v>
      </c>
      <c r="CP16" s="105">
        <v>11</v>
      </c>
      <c r="CQ16" s="105">
        <v>5596.7999999999993</v>
      </c>
      <c r="CR16" s="105">
        <v>10</v>
      </c>
      <c r="CS16" s="105">
        <v>5087.9999999999991</v>
      </c>
      <c r="CT16" s="105">
        <v>11</v>
      </c>
      <c r="CU16" s="105">
        <v>5596.7999999999993</v>
      </c>
    </row>
    <row r="17" spans="2:99" x14ac:dyDescent="0.2">
      <c r="C17" s="104" t="s">
        <v>185</v>
      </c>
      <c r="D17" s="105">
        <v>15</v>
      </c>
      <c r="E17" s="105">
        <v>7451.9999999999991</v>
      </c>
      <c r="F17" s="105">
        <v>14</v>
      </c>
      <c r="G17" s="105">
        <v>6955.1999999999989</v>
      </c>
      <c r="H17" s="105">
        <v>10</v>
      </c>
      <c r="I17" s="105">
        <v>4968</v>
      </c>
      <c r="J17" s="105">
        <v>16</v>
      </c>
      <c r="K17" s="105">
        <v>7948.7999999999993</v>
      </c>
      <c r="L17" s="105">
        <v>14</v>
      </c>
      <c r="M17" s="105">
        <v>6955.1999999999989</v>
      </c>
      <c r="N17" s="105">
        <v>9</v>
      </c>
      <c r="O17" s="105">
        <v>4471.2</v>
      </c>
      <c r="P17" s="105">
        <v>15</v>
      </c>
      <c r="Q17" s="105">
        <v>7451.9999999999991</v>
      </c>
      <c r="R17" s="105">
        <v>13</v>
      </c>
      <c r="S17" s="105">
        <v>6458.4</v>
      </c>
      <c r="T17" s="105">
        <v>13</v>
      </c>
      <c r="U17" s="105">
        <v>6458.4</v>
      </c>
      <c r="V17" s="105">
        <v>10</v>
      </c>
      <c r="W17" s="105">
        <v>4968</v>
      </c>
      <c r="X17" s="105">
        <v>10</v>
      </c>
      <c r="Y17" s="105">
        <v>4968</v>
      </c>
      <c r="Z17" s="105">
        <v>15</v>
      </c>
      <c r="AA17" s="105">
        <v>7451.9999999999991</v>
      </c>
      <c r="AB17" s="105">
        <v>12</v>
      </c>
      <c r="AC17" s="105">
        <v>5961.5999999999995</v>
      </c>
      <c r="AD17" s="105">
        <v>13</v>
      </c>
      <c r="AE17" s="105">
        <v>6458.4</v>
      </c>
      <c r="AF17" s="105">
        <v>11</v>
      </c>
      <c r="AG17" s="105">
        <v>5464.7999999999993</v>
      </c>
      <c r="AH17" s="105">
        <v>10</v>
      </c>
      <c r="AI17" s="105">
        <v>4968</v>
      </c>
      <c r="AJ17" s="105">
        <v>9</v>
      </c>
      <c r="AK17" s="105">
        <v>4471.2</v>
      </c>
      <c r="AL17" s="105">
        <v>14</v>
      </c>
      <c r="AM17" s="105">
        <v>6955.1999999999989</v>
      </c>
      <c r="AN17" s="105">
        <v>15</v>
      </c>
      <c r="AO17" s="105">
        <v>7451.9999999999991</v>
      </c>
      <c r="AP17" s="105">
        <v>13</v>
      </c>
      <c r="AQ17" s="105">
        <v>6458.4</v>
      </c>
      <c r="AR17" s="105">
        <v>11</v>
      </c>
      <c r="AS17" s="105">
        <v>5464.7999999999993</v>
      </c>
      <c r="AT17" s="105">
        <v>18</v>
      </c>
      <c r="AU17" s="105">
        <v>8942.4</v>
      </c>
      <c r="AV17" s="105">
        <v>14</v>
      </c>
      <c r="AW17" s="105">
        <v>6955.1999999999989</v>
      </c>
      <c r="AX17" s="105">
        <v>19</v>
      </c>
      <c r="AY17" s="105">
        <v>9439.1999999999989</v>
      </c>
      <c r="AZ17" s="105">
        <v>16</v>
      </c>
      <c r="BA17" s="105">
        <v>7948.7999999999993</v>
      </c>
      <c r="BB17" s="105">
        <v>15</v>
      </c>
      <c r="BC17" s="105">
        <v>7451.9999999999991</v>
      </c>
      <c r="BD17" s="105">
        <v>15</v>
      </c>
      <c r="BE17" s="105">
        <v>7451.9999999999991</v>
      </c>
      <c r="BF17" s="105">
        <v>10</v>
      </c>
      <c r="BG17" s="105">
        <v>4968</v>
      </c>
      <c r="BH17" s="105">
        <v>10</v>
      </c>
      <c r="BI17" s="105">
        <v>4968</v>
      </c>
      <c r="BJ17" s="105">
        <v>15</v>
      </c>
      <c r="BK17" s="105">
        <v>7451.9999999999991</v>
      </c>
      <c r="BL17" s="105">
        <v>12</v>
      </c>
      <c r="BM17" s="105">
        <v>5961.5999999999995</v>
      </c>
      <c r="BN17" s="105">
        <v>17</v>
      </c>
      <c r="BO17" s="105">
        <v>8445.5999999999985</v>
      </c>
      <c r="BP17" s="105">
        <v>12</v>
      </c>
      <c r="BQ17" s="105">
        <v>5961.5999999999995</v>
      </c>
      <c r="BR17" s="105">
        <v>15</v>
      </c>
      <c r="BS17" s="105">
        <v>7451.9999999999991</v>
      </c>
      <c r="BT17" s="105">
        <v>12</v>
      </c>
      <c r="BU17" s="105">
        <v>5961.5999999999995</v>
      </c>
      <c r="BV17" s="105">
        <v>13</v>
      </c>
      <c r="BW17" s="105">
        <v>6458.4</v>
      </c>
      <c r="BX17" s="105">
        <v>12</v>
      </c>
      <c r="BY17" s="105">
        <v>5961.5999999999995</v>
      </c>
      <c r="BZ17" s="105">
        <v>16</v>
      </c>
      <c r="CA17" s="105">
        <v>7948.7999999999993</v>
      </c>
      <c r="CB17" s="105">
        <v>15</v>
      </c>
      <c r="CC17" s="105">
        <v>7451.9999999999991</v>
      </c>
      <c r="CD17" s="105">
        <v>14</v>
      </c>
      <c r="CE17" s="105">
        <v>6955.1999999999989</v>
      </c>
      <c r="CF17" s="105">
        <v>13</v>
      </c>
      <c r="CG17" s="105">
        <v>6458.4</v>
      </c>
      <c r="CH17" s="105">
        <v>19</v>
      </c>
      <c r="CI17" s="105">
        <v>9439.1999999999989</v>
      </c>
      <c r="CJ17" s="105">
        <v>13</v>
      </c>
      <c r="CK17" s="105">
        <v>6458.4</v>
      </c>
      <c r="CL17" s="105">
        <v>18</v>
      </c>
      <c r="CM17" s="105">
        <v>8942.4</v>
      </c>
      <c r="CN17" s="105">
        <v>18</v>
      </c>
      <c r="CO17" s="105">
        <v>8942.4</v>
      </c>
      <c r="CP17" s="105">
        <v>13</v>
      </c>
      <c r="CQ17" s="105">
        <v>6458.4</v>
      </c>
      <c r="CR17" s="105">
        <v>12</v>
      </c>
      <c r="CS17" s="105">
        <v>5961.5999999999995</v>
      </c>
      <c r="CT17" s="105">
        <v>12</v>
      </c>
      <c r="CU17" s="105">
        <v>5961.5999999999995</v>
      </c>
    </row>
    <row r="18" spans="2:99" x14ac:dyDescent="0.2">
      <c r="C18" s="104" t="s">
        <v>186</v>
      </c>
      <c r="D18" s="105">
        <v>14</v>
      </c>
      <c r="E18" s="105">
        <v>10231.199999999999</v>
      </c>
      <c r="F18" s="105">
        <v>14</v>
      </c>
      <c r="G18" s="105">
        <v>10231.199999999999</v>
      </c>
      <c r="H18" s="105">
        <v>10</v>
      </c>
      <c r="I18" s="105">
        <v>7308</v>
      </c>
      <c r="J18" s="105">
        <v>16</v>
      </c>
      <c r="K18" s="105">
        <v>11692.8</v>
      </c>
      <c r="L18" s="105">
        <v>13</v>
      </c>
      <c r="M18" s="105">
        <v>9500.4</v>
      </c>
      <c r="N18" s="105">
        <v>9</v>
      </c>
      <c r="O18" s="105">
        <v>6577.2</v>
      </c>
      <c r="P18" s="105">
        <v>13</v>
      </c>
      <c r="Q18" s="105">
        <v>9500.4</v>
      </c>
      <c r="R18" s="105">
        <v>14</v>
      </c>
      <c r="S18" s="105">
        <v>10231.199999999999</v>
      </c>
      <c r="T18" s="105">
        <v>12</v>
      </c>
      <c r="U18" s="105">
        <v>8769.5999999999985</v>
      </c>
      <c r="V18" s="105">
        <v>11</v>
      </c>
      <c r="W18" s="105">
        <v>8038.7999999999993</v>
      </c>
      <c r="X18" s="105">
        <v>9</v>
      </c>
      <c r="Y18" s="105">
        <v>6577.2</v>
      </c>
      <c r="Z18" s="105">
        <v>14</v>
      </c>
      <c r="AA18" s="105">
        <v>10231.199999999999</v>
      </c>
      <c r="AB18" s="105">
        <v>13</v>
      </c>
      <c r="AC18" s="105">
        <v>9500.4</v>
      </c>
      <c r="AD18" s="105">
        <v>13</v>
      </c>
      <c r="AE18" s="105">
        <v>9500.4</v>
      </c>
      <c r="AF18" s="105">
        <v>10</v>
      </c>
      <c r="AG18" s="105">
        <v>7308</v>
      </c>
      <c r="AH18" s="105">
        <v>10</v>
      </c>
      <c r="AI18" s="105">
        <v>7308</v>
      </c>
      <c r="AJ18" s="105">
        <v>9</v>
      </c>
      <c r="AK18" s="105">
        <v>6577.2</v>
      </c>
      <c r="AL18" s="105">
        <v>15</v>
      </c>
      <c r="AM18" s="105">
        <v>10962</v>
      </c>
      <c r="AN18" s="105">
        <v>13</v>
      </c>
      <c r="AO18" s="105">
        <v>9500.4</v>
      </c>
      <c r="AP18" s="105">
        <v>12</v>
      </c>
      <c r="AQ18" s="105">
        <v>8769.5999999999985</v>
      </c>
      <c r="AR18" s="105">
        <v>11</v>
      </c>
      <c r="AS18" s="105">
        <v>8038.7999999999993</v>
      </c>
      <c r="AT18" s="105">
        <v>15</v>
      </c>
      <c r="AU18" s="105">
        <v>10962</v>
      </c>
      <c r="AV18" s="105">
        <v>13</v>
      </c>
      <c r="AW18" s="105">
        <v>9500.4</v>
      </c>
      <c r="AX18" s="105">
        <v>18</v>
      </c>
      <c r="AY18" s="105">
        <v>13154.4</v>
      </c>
      <c r="AZ18" s="105">
        <v>18</v>
      </c>
      <c r="BA18" s="105">
        <v>13154.4</v>
      </c>
      <c r="BB18" s="105">
        <v>15</v>
      </c>
      <c r="BC18" s="105">
        <v>10962</v>
      </c>
      <c r="BD18" s="105">
        <v>14</v>
      </c>
      <c r="BE18" s="105">
        <v>10231.199999999999</v>
      </c>
      <c r="BF18" s="105">
        <v>10</v>
      </c>
      <c r="BG18" s="105">
        <v>7308</v>
      </c>
      <c r="BH18" s="105">
        <v>9</v>
      </c>
      <c r="BI18" s="105">
        <v>6577.2</v>
      </c>
      <c r="BJ18" s="105">
        <v>14</v>
      </c>
      <c r="BK18" s="105">
        <v>10231.199999999999</v>
      </c>
      <c r="BL18" s="105">
        <v>11</v>
      </c>
      <c r="BM18" s="105">
        <v>8038.7999999999993</v>
      </c>
      <c r="BN18" s="105">
        <v>16</v>
      </c>
      <c r="BO18" s="105">
        <v>11692.8</v>
      </c>
      <c r="BP18" s="105">
        <v>13</v>
      </c>
      <c r="BQ18" s="105">
        <v>9500.4</v>
      </c>
      <c r="BR18" s="105">
        <v>15</v>
      </c>
      <c r="BS18" s="105">
        <v>10962</v>
      </c>
      <c r="BT18" s="105">
        <v>14</v>
      </c>
      <c r="BU18" s="105">
        <v>10231.199999999999</v>
      </c>
      <c r="BV18" s="105">
        <v>13</v>
      </c>
      <c r="BW18" s="105">
        <v>9500.4</v>
      </c>
      <c r="BX18" s="105">
        <v>12</v>
      </c>
      <c r="BY18" s="105">
        <v>8769.5999999999985</v>
      </c>
      <c r="BZ18" s="105">
        <v>16</v>
      </c>
      <c r="CA18" s="105">
        <v>11692.8</v>
      </c>
      <c r="CB18" s="105">
        <v>15</v>
      </c>
      <c r="CC18" s="105">
        <v>10962</v>
      </c>
      <c r="CD18" s="105">
        <v>16</v>
      </c>
      <c r="CE18" s="105">
        <v>11692.8</v>
      </c>
      <c r="CF18" s="105">
        <v>12</v>
      </c>
      <c r="CG18" s="105">
        <v>8769.5999999999985</v>
      </c>
      <c r="CH18" s="105">
        <v>16</v>
      </c>
      <c r="CI18" s="105">
        <v>11692.8</v>
      </c>
      <c r="CJ18" s="105">
        <v>13</v>
      </c>
      <c r="CK18" s="105">
        <v>9500.4</v>
      </c>
      <c r="CL18" s="105">
        <v>19</v>
      </c>
      <c r="CM18" s="105">
        <v>13885.199999999999</v>
      </c>
      <c r="CN18" s="105">
        <v>16</v>
      </c>
      <c r="CO18" s="105">
        <v>11692.8</v>
      </c>
      <c r="CP18" s="105">
        <v>11</v>
      </c>
      <c r="CQ18" s="105">
        <v>8038.7999999999993</v>
      </c>
      <c r="CR18" s="105">
        <v>12</v>
      </c>
      <c r="CS18" s="105">
        <v>8769.5999999999985</v>
      </c>
      <c r="CT18" s="105">
        <v>11</v>
      </c>
      <c r="CU18" s="105">
        <v>8038.7999999999993</v>
      </c>
    </row>
    <row r="19" spans="2:99" x14ac:dyDescent="0.2">
      <c r="C19" s="104" t="s">
        <v>187</v>
      </c>
      <c r="D19" s="105">
        <v>15</v>
      </c>
      <c r="E19" s="105">
        <v>5796</v>
      </c>
      <c r="F19" s="105">
        <v>15</v>
      </c>
      <c r="G19" s="105">
        <v>5796</v>
      </c>
      <c r="H19" s="105">
        <v>11</v>
      </c>
      <c r="I19" s="105">
        <v>4250.3999999999996</v>
      </c>
      <c r="J19" s="105">
        <v>14</v>
      </c>
      <c r="K19" s="105">
        <v>5409.5999999999995</v>
      </c>
      <c r="L19" s="105">
        <v>14</v>
      </c>
      <c r="M19" s="105">
        <v>5409.5999999999995</v>
      </c>
      <c r="N19" s="105">
        <v>9</v>
      </c>
      <c r="O19" s="105">
        <v>3477.6</v>
      </c>
      <c r="P19" s="105">
        <v>15</v>
      </c>
      <c r="Q19" s="105">
        <v>5796</v>
      </c>
      <c r="R19" s="105">
        <v>13</v>
      </c>
      <c r="S19" s="105">
        <v>5023.2</v>
      </c>
      <c r="T19" s="105">
        <v>12</v>
      </c>
      <c r="U19" s="105">
        <v>4636.7999999999993</v>
      </c>
      <c r="V19" s="105">
        <v>11</v>
      </c>
      <c r="W19" s="105">
        <v>4250.3999999999996</v>
      </c>
      <c r="X19" s="105">
        <v>10</v>
      </c>
      <c r="Y19" s="105">
        <v>3864</v>
      </c>
      <c r="Z19" s="105">
        <v>13</v>
      </c>
      <c r="AA19" s="105">
        <v>5023.2</v>
      </c>
      <c r="AB19" s="105">
        <v>13</v>
      </c>
      <c r="AC19" s="105">
        <v>5023.2</v>
      </c>
      <c r="AD19" s="105">
        <v>13</v>
      </c>
      <c r="AE19" s="105">
        <v>5023.2</v>
      </c>
      <c r="AF19" s="105">
        <v>11</v>
      </c>
      <c r="AG19" s="105">
        <v>4250.3999999999996</v>
      </c>
      <c r="AH19" s="105">
        <v>10</v>
      </c>
      <c r="AI19" s="105">
        <v>3864</v>
      </c>
      <c r="AJ19" s="105">
        <v>10</v>
      </c>
      <c r="AK19" s="105">
        <v>3864</v>
      </c>
      <c r="AL19" s="105">
        <v>16</v>
      </c>
      <c r="AM19" s="105">
        <v>6182.4</v>
      </c>
      <c r="AN19" s="105">
        <v>16</v>
      </c>
      <c r="AO19" s="105">
        <v>6182.4</v>
      </c>
      <c r="AP19" s="105">
        <v>13</v>
      </c>
      <c r="AQ19" s="105">
        <v>5023.2</v>
      </c>
      <c r="AR19" s="105">
        <v>12</v>
      </c>
      <c r="AS19" s="105">
        <v>4636.7999999999993</v>
      </c>
      <c r="AT19" s="105">
        <v>17</v>
      </c>
      <c r="AU19" s="105">
        <v>6568.7999999999993</v>
      </c>
      <c r="AV19" s="105">
        <v>13</v>
      </c>
      <c r="AW19" s="105">
        <v>5023.2</v>
      </c>
      <c r="AX19" s="105">
        <v>17</v>
      </c>
      <c r="AY19" s="105">
        <v>6568.7999999999993</v>
      </c>
      <c r="AZ19" s="105">
        <v>18</v>
      </c>
      <c r="BA19" s="105">
        <v>6955.2</v>
      </c>
      <c r="BB19" s="105">
        <v>14</v>
      </c>
      <c r="BC19" s="105">
        <v>5409.5999999999995</v>
      </c>
      <c r="BD19" s="105">
        <v>15</v>
      </c>
      <c r="BE19" s="105">
        <v>5796</v>
      </c>
      <c r="BF19" s="105">
        <v>10</v>
      </c>
      <c r="BG19" s="105">
        <v>3864</v>
      </c>
      <c r="BH19" s="105">
        <v>9</v>
      </c>
      <c r="BI19" s="105">
        <v>3477.6</v>
      </c>
      <c r="BJ19" s="105">
        <v>17</v>
      </c>
      <c r="BK19" s="105">
        <v>6568.7999999999993</v>
      </c>
      <c r="BL19" s="105">
        <v>14</v>
      </c>
      <c r="BM19" s="105">
        <v>5409.5999999999995</v>
      </c>
      <c r="BN19" s="105">
        <v>18</v>
      </c>
      <c r="BO19" s="105">
        <v>6955.2</v>
      </c>
      <c r="BP19" s="105">
        <v>13</v>
      </c>
      <c r="BQ19" s="105">
        <v>5023.2</v>
      </c>
      <c r="BR19" s="105">
        <v>14</v>
      </c>
      <c r="BS19" s="105">
        <v>5409.5999999999995</v>
      </c>
      <c r="BT19" s="105">
        <v>14</v>
      </c>
      <c r="BU19" s="105">
        <v>5409.5999999999995</v>
      </c>
      <c r="BV19" s="105">
        <v>13</v>
      </c>
      <c r="BW19" s="105">
        <v>5023.2</v>
      </c>
      <c r="BX19" s="105">
        <v>11</v>
      </c>
      <c r="BY19" s="105">
        <v>4250.3999999999996</v>
      </c>
      <c r="BZ19" s="105">
        <v>14</v>
      </c>
      <c r="CA19" s="105">
        <v>5409.5999999999995</v>
      </c>
      <c r="CB19" s="105">
        <v>15</v>
      </c>
      <c r="CC19" s="105">
        <v>5796</v>
      </c>
      <c r="CD19" s="105">
        <v>16</v>
      </c>
      <c r="CE19" s="105">
        <v>6182.4</v>
      </c>
      <c r="CF19" s="105">
        <v>13</v>
      </c>
      <c r="CG19" s="105">
        <v>5023.2</v>
      </c>
      <c r="CH19" s="105">
        <v>19</v>
      </c>
      <c r="CI19" s="105">
        <v>7341.5999999999995</v>
      </c>
      <c r="CJ19" s="105">
        <v>14</v>
      </c>
      <c r="CK19" s="105">
        <v>5409.5999999999995</v>
      </c>
      <c r="CL19" s="105">
        <v>20</v>
      </c>
      <c r="CM19" s="105">
        <v>7728</v>
      </c>
      <c r="CN19" s="105">
        <v>16</v>
      </c>
      <c r="CO19" s="105">
        <v>6182.4</v>
      </c>
      <c r="CP19" s="105">
        <v>13</v>
      </c>
      <c r="CQ19" s="105">
        <v>5023.2</v>
      </c>
      <c r="CR19" s="105">
        <v>11</v>
      </c>
      <c r="CS19" s="105">
        <v>4250.3999999999996</v>
      </c>
      <c r="CT19" s="105">
        <v>11</v>
      </c>
      <c r="CU19" s="105">
        <v>4250.3999999999996</v>
      </c>
    </row>
    <row r="20" spans="2:99" x14ac:dyDescent="0.2">
      <c r="B20" s="104" t="s">
        <v>127</v>
      </c>
      <c r="C20" s="104" t="s">
        <v>188</v>
      </c>
      <c r="D20" s="105">
        <v>15</v>
      </c>
      <c r="E20" s="105">
        <v>1440</v>
      </c>
      <c r="F20" s="105">
        <v>19</v>
      </c>
      <c r="G20" s="105">
        <v>1824</v>
      </c>
      <c r="H20" s="105">
        <v>18</v>
      </c>
      <c r="I20" s="105">
        <v>1728</v>
      </c>
      <c r="J20" s="105">
        <v>21</v>
      </c>
      <c r="K20" s="105">
        <v>2016</v>
      </c>
      <c r="L20" s="105">
        <v>24</v>
      </c>
      <c r="M20" s="105">
        <v>2304</v>
      </c>
      <c r="N20" s="105">
        <v>21</v>
      </c>
      <c r="O20" s="105">
        <v>2016</v>
      </c>
      <c r="P20" s="105">
        <v>22</v>
      </c>
      <c r="Q20" s="105">
        <v>2112</v>
      </c>
      <c r="R20" s="105">
        <v>25</v>
      </c>
      <c r="S20" s="105">
        <v>2400</v>
      </c>
      <c r="T20" s="105">
        <v>28</v>
      </c>
      <c r="U20" s="105">
        <v>2688</v>
      </c>
      <c r="V20" s="105">
        <v>17</v>
      </c>
      <c r="W20" s="105">
        <v>1632</v>
      </c>
      <c r="X20" s="105">
        <v>19</v>
      </c>
      <c r="Y20" s="105">
        <v>1824</v>
      </c>
      <c r="Z20" s="105">
        <v>24</v>
      </c>
      <c r="AA20" s="105">
        <v>2304</v>
      </c>
      <c r="AB20" s="105">
        <v>24</v>
      </c>
      <c r="AC20" s="105">
        <v>2304</v>
      </c>
      <c r="AD20" s="105">
        <v>19</v>
      </c>
      <c r="AE20" s="105">
        <v>1824</v>
      </c>
      <c r="AF20" s="105">
        <v>25</v>
      </c>
      <c r="AG20" s="105">
        <v>2400</v>
      </c>
      <c r="AH20" s="105">
        <v>21</v>
      </c>
      <c r="AI20" s="105">
        <v>2016</v>
      </c>
      <c r="AJ20" s="105">
        <v>25</v>
      </c>
      <c r="AK20" s="105">
        <v>2400</v>
      </c>
      <c r="AL20" s="105">
        <v>19</v>
      </c>
      <c r="AM20" s="105">
        <v>1824</v>
      </c>
      <c r="AN20" s="105">
        <v>24</v>
      </c>
      <c r="AO20" s="105">
        <v>2304</v>
      </c>
      <c r="AP20" s="105">
        <v>16</v>
      </c>
      <c r="AQ20" s="105">
        <v>1536</v>
      </c>
      <c r="AR20" s="105">
        <v>21</v>
      </c>
      <c r="AS20" s="105">
        <v>2016</v>
      </c>
      <c r="AT20" s="105">
        <v>23</v>
      </c>
      <c r="AU20" s="105">
        <v>2208</v>
      </c>
      <c r="AV20" s="105">
        <v>24</v>
      </c>
      <c r="AW20" s="105">
        <v>2304</v>
      </c>
      <c r="AX20" s="105">
        <v>25</v>
      </c>
      <c r="AY20" s="105">
        <v>2400</v>
      </c>
      <c r="AZ20" s="105">
        <v>19</v>
      </c>
      <c r="BA20" s="105">
        <v>1824</v>
      </c>
      <c r="BB20" s="105">
        <v>32</v>
      </c>
      <c r="BC20" s="105">
        <v>3072</v>
      </c>
      <c r="BD20" s="105">
        <v>19</v>
      </c>
      <c r="BE20" s="105">
        <v>1824</v>
      </c>
      <c r="BF20" s="105">
        <v>26</v>
      </c>
      <c r="BG20" s="105">
        <v>2496</v>
      </c>
      <c r="BH20" s="105">
        <v>27</v>
      </c>
      <c r="BI20" s="105">
        <v>2592</v>
      </c>
      <c r="BJ20" s="105">
        <v>32</v>
      </c>
      <c r="BK20" s="105">
        <v>3072</v>
      </c>
      <c r="BL20" s="105">
        <v>22</v>
      </c>
      <c r="BM20" s="105">
        <v>2112</v>
      </c>
      <c r="BN20" s="105">
        <v>30</v>
      </c>
      <c r="BO20" s="105">
        <v>2880</v>
      </c>
      <c r="BP20" s="105">
        <v>25</v>
      </c>
      <c r="BQ20" s="105">
        <v>2400</v>
      </c>
      <c r="BR20" s="105">
        <v>26</v>
      </c>
      <c r="BS20" s="105">
        <v>2496</v>
      </c>
      <c r="BT20" s="105">
        <v>22</v>
      </c>
      <c r="BU20" s="105">
        <v>2112</v>
      </c>
      <c r="BV20" s="105">
        <v>25</v>
      </c>
      <c r="BW20" s="105">
        <v>2400</v>
      </c>
      <c r="BX20" s="105">
        <v>32</v>
      </c>
      <c r="BY20" s="105">
        <v>3072</v>
      </c>
      <c r="BZ20" s="105">
        <v>26</v>
      </c>
      <c r="CA20" s="105">
        <v>2496</v>
      </c>
      <c r="CB20" s="105">
        <v>17</v>
      </c>
      <c r="CC20" s="105">
        <v>1632</v>
      </c>
      <c r="CD20" s="105">
        <v>27</v>
      </c>
      <c r="CE20" s="105">
        <v>2592</v>
      </c>
      <c r="CF20" s="105">
        <v>18</v>
      </c>
      <c r="CG20" s="105">
        <v>1728</v>
      </c>
      <c r="CH20" s="105">
        <v>20</v>
      </c>
      <c r="CI20" s="105">
        <v>1920</v>
      </c>
      <c r="CJ20" s="105">
        <v>32</v>
      </c>
      <c r="CK20" s="105">
        <v>3072</v>
      </c>
      <c r="CL20" s="105">
        <v>20</v>
      </c>
      <c r="CM20" s="105">
        <v>1920</v>
      </c>
      <c r="CN20" s="105">
        <v>18</v>
      </c>
      <c r="CO20" s="105">
        <v>1728</v>
      </c>
      <c r="CP20" s="105">
        <v>25</v>
      </c>
      <c r="CQ20" s="105">
        <v>2400</v>
      </c>
      <c r="CR20" s="105">
        <v>16</v>
      </c>
      <c r="CS20" s="105">
        <v>1536</v>
      </c>
      <c r="CT20" s="105">
        <v>20</v>
      </c>
      <c r="CU20" s="105">
        <v>1920</v>
      </c>
    </row>
    <row r="21" spans="2:99" x14ac:dyDescent="0.2">
      <c r="C21" s="104" t="s">
        <v>189</v>
      </c>
      <c r="D21" s="105">
        <v>15</v>
      </c>
      <c r="E21" s="105">
        <v>3635.9999999999995</v>
      </c>
      <c r="F21" s="105">
        <v>18</v>
      </c>
      <c r="G21" s="105">
        <v>4363.2</v>
      </c>
      <c r="H21" s="105">
        <v>17</v>
      </c>
      <c r="I21" s="105">
        <v>4120.7999999999993</v>
      </c>
      <c r="J21" s="105">
        <v>21</v>
      </c>
      <c r="K21" s="105">
        <v>5090.3999999999996</v>
      </c>
      <c r="L21" s="105">
        <v>25</v>
      </c>
      <c r="M21" s="105">
        <v>6059.9999999999991</v>
      </c>
      <c r="N21" s="105">
        <v>19</v>
      </c>
      <c r="O21" s="105">
        <v>4605.5999999999995</v>
      </c>
      <c r="P21" s="105">
        <v>19</v>
      </c>
      <c r="Q21" s="105">
        <v>4605.5999999999995</v>
      </c>
      <c r="R21" s="105">
        <v>27</v>
      </c>
      <c r="S21" s="105">
        <v>6544.7999999999993</v>
      </c>
      <c r="T21" s="105">
        <v>26</v>
      </c>
      <c r="U21" s="105">
        <v>6302.4</v>
      </c>
      <c r="V21" s="105">
        <v>16</v>
      </c>
      <c r="W21" s="105">
        <v>3878.3999999999996</v>
      </c>
      <c r="X21" s="105">
        <v>19</v>
      </c>
      <c r="Y21" s="105">
        <v>4605.5999999999995</v>
      </c>
      <c r="Z21" s="105">
        <v>24</v>
      </c>
      <c r="AA21" s="105">
        <v>5817.5999999999995</v>
      </c>
      <c r="AB21" s="105">
        <v>23</v>
      </c>
      <c r="AC21" s="105">
        <v>5575.2</v>
      </c>
      <c r="AD21" s="105">
        <v>18</v>
      </c>
      <c r="AE21" s="105">
        <v>4363.2</v>
      </c>
      <c r="AF21" s="105">
        <v>25</v>
      </c>
      <c r="AG21" s="105">
        <v>6059.9999999999991</v>
      </c>
      <c r="AH21" s="105">
        <v>22</v>
      </c>
      <c r="AI21" s="105">
        <v>5332.7999999999993</v>
      </c>
      <c r="AJ21" s="105">
        <v>25</v>
      </c>
      <c r="AK21" s="105">
        <v>6059.9999999999991</v>
      </c>
      <c r="AL21" s="105">
        <v>17</v>
      </c>
      <c r="AM21" s="105">
        <v>4120.7999999999993</v>
      </c>
      <c r="AN21" s="105">
        <v>28</v>
      </c>
      <c r="AO21" s="105">
        <v>6787.1999999999989</v>
      </c>
      <c r="AP21" s="105">
        <v>15</v>
      </c>
      <c r="AQ21" s="105">
        <v>3635.9999999999995</v>
      </c>
      <c r="AR21" s="105">
        <v>21</v>
      </c>
      <c r="AS21" s="105">
        <v>5090.3999999999996</v>
      </c>
      <c r="AT21" s="105">
        <v>21</v>
      </c>
      <c r="AU21" s="105">
        <v>5090.3999999999996</v>
      </c>
      <c r="AV21" s="105">
        <v>21</v>
      </c>
      <c r="AW21" s="105">
        <v>5090.3999999999996</v>
      </c>
      <c r="AX21" s="105">
        <v>22</v>
      </c>
      <c r="AY21" s="105">
        <v>5332.7999999999993</v>
      </c>
      <c r="AZ21" s="105">
        <v>18</v>
      </c>
      <c r="BA21" s="105">
        <v>4363.2</v>
      </c>
      <c r="BB21" s="105">
        <v>28</v>
      </c>
      <c r="BC21" s="105">
        <v>6787.1999999999989</v>
      </c>
      <c r="BD21" s="105">
        <v>18</v>
      </c>
      <c r="BE21" s="105">
        <v>4363.2</v>
      </c>
      <c r="BF21" s="105">
        <v>23</v>
      </c>
      <c r="BG21" s="105">
        <v>5575.2</v>
      </c>
      <c r="BH21" s="105">
        <v>27</v>
      </c>
      <c r="BI21" s="105">
        <v>6544.7999999999993</v>
      </c>
      <c r="BJ21" s="105">
        <v>27</v>
      </c>
      <c r="BK21" s="105">
        <v>6544.7999999999993</v>
      </c>
      <c r="BL21" s="105">
        <v>23</v>
      </c>
      <c r="BM21" s="105">
        <v>5575.2</v>
      </c>
      <c r="BN21" s="105">
        <v>30</v>
      </c>
      <c r="BO21" s="105">
        <v>7271.9999999999991</v>
      </c>
      <c r="BP21" s="105">
        <v>25</v>
      </c>
      <c r="BQ21" s="105">
        <v>6059.9999999999991</v>
      </c>
      <c r="BR21" s="105">
        <v>23</v>
      </c>
      <c r="BS21" s="105">
        <v>5575.2</v>
      </c>
      <c r="BT21" s="105">
        <v>20</v>
      </c>
      <c r="BU21" s="105">
        <v>4848</v>
      </c>
      <c r="BV21" s="105">
        <v>23</v>
      </c>
      <c r="BW21" s="105">
        <v>5575.2</v>
      </c>
      <c r="BX21" s="105">
        <v>32</v>
      </c>
      <c r="BY21" s="105">
        <v>7756.7999999999993</v>
      </c>
      <c r="BZ21" s="105">
        <v>27</v>
      </c>
      <c r="CA21" s="105">
        <v>6544.7999999999993</v>
      </c>
      <c r="CB21" s="105">
        <v>20</v>
      </c>
      <c r="CC21" s="105">
        <v>4848</v>
      </c>
      <c r="CD21" s="105">
        <v>25</v>
      </c>
      <c r="CE21" s="105">
        <v>6059.9999999999991</v>
      </c>
      <c r="CF21" s="105">
        <v>18</v>
      </c>
      <c r="CG21" s="105">
        <v>4363.2</v>
      </c>
      <c r="CH21" s="105">
        <v>21</v>
      </c>
      <c r="CI21" s="105">
        <v>5090.3999999999996</v>
      </c>
      <c r="CJ21" s="105">
        <v>32</v>
      </c>
      <c r="CK21" s="105">
        <v>7756.7999999999993</v>
      </c>
      <c r="CL21" s="105">
        <v>18</v>
      </c>
      <c r="CM21" s="105">
        <v>4363.2</v>
      </c>
      <c r="CN21" s="105">
        <v>17</v>
      </c>
      <c r="CO21" s="105">
        <v>4120.7999999999993</v>
      </c>
      <c r="CP21" s="105">
        <v>26</v>
      </c>
      <c r="CQ21" s="105">
        <v>6302.4</v>
      </c>
      <c r="CR21" s="105">
        <v>16</v>
      </c>
      <c r="CS21" s="105">
        <v>3878.3999999999996</v>
      </c>
      <c r="CT21" s="105">
        <v>22</v>
      </c>
      <c r="CU21" s="105">
        <v>5332.7999999999993</v>
      </c>
    </row>
    <row r="22" spans="2:99" x14ac:dyDescent="0.2">
      <c r="C22" s="104" t="s">
        <v>190</v>
      </c>
      <c r="D22" s="105">
        <v>14</v>
      </c>
      <c r="E22" s="105">
        <v>873.6</v>
      </c>
      <c r="F22" s="105">
        <v>20</v>
      </c>
      <c r="G22" s="105">
        <v>1248</v>
      </c>
      <c r="H22" s="105">
        <v>20</v>
      </c>
      <c r="I22" s="105">
        <v>1248</v>
      </c>
      <c r="J22" s="105">
        <v>21</v>
      </c>
      <c r="K22" s="105">
        <v>1310.3999999999999</v>
      </c>
      <c r="L22" s="105">
        <v>28</v>
      </c>
      <c r="M22" s="105">
        <v>1747.2</v>
      </c>
      <c r="N22" s="105">
        <v>21</v>
      </c>
      <c r="O22" s="105">
        <v>1310.3999999999999</v>
      </c>
      <c r="P22" s="105">
        <v>20</v>
      </c>
      <c r="Q22" s="105">
        <v>1248</v>
      </c>
      <c r="R22" s="105">
        <v>27</v>
      </c>
      <c r="S22" s="105">
        <v>1684.8</v>
      </c>
      <c r="T22" s="105">
        <v>31</v>
      </c>
      <c r="U22" s="105">
        <v>1934.3999999999999</v>
      </c>
      <c r="V22" s="105">
        <v>15</v>
      </c>
      <c r="W22" s="105">
        <v>936</v>
      </c>
      <c r="X22" s="105">
        <v>20</v>
      </c>
      <c r="Y22" s="105">
        <v>1248</v>
      </c>
      <c r="Z22" s="105">
        <v>22</v>
      </c>
      <c r="AA22" s="105">
        <v>1372.8</v>
      </c>
      <c r="AB22" s="105">
        <v>26</v>
      </c>
      <c r="AC22" s="105">
        <v>1622.3999999999999</v>
      </c>
      <c r="AD22" s="105">
        <v>20</v>
      </c>
      <c r="AE22" s="105">
        <v>1248</v>
      </c>
      <c r="AF22" s="105">
        <v>26</v>
      </c>
      <c r="AG22" s="105">
        <v>1622.3999999999999</v>
      </c>
      <c r="AH22" s="105">
        <v>22</v>
      </c>
      <c r="AI22" s="105">
        <v>1372.8</v>
      </c>
      <c r="AJ22" s="105">
        <v>28</v>
      </c>
      <c r="AK22" s="105">
        <v>1747.2</v>
      </c>
      <c r="AL22" s="105">
        <v>18</v>
      </c>
      <c r="AM22" s="105">
        <v>1123.2</v>
      </c>
      <c r="AN22" s="105">
        <v>29</v>
      </c>
      <c r="AO22" s="105">
        <v>1809.6</v>
      </c>
      <c r="AP22" s="105">
        <v>17</v>
      </c>
      <c r="AQ22" s="105">
        <v>1060.8</v>
      </c>
      <c r="AR22" s="105">
        <v>21</v>
      </c>
      <c r="AS22" s="105">
        <v>1310.3999999999999</v>
      </c>
      <c r="AT22" s="105">
        <v>22</v>
      </c>
      <c r="AU22" s="105">
        <v>1372.8</v>
      </c>
      <c r="AV22" s="105">
        <v>25</v>
      </c>
      <c r="AW22" s="105">
        <v>1560</v>
      </c>
      <c r="AX22" s="105">
        <v>24</v>
      </c>
      <c r="AY22" s="105">
        <v>1497.6</v>
      </c>
      <c r="AZ22" s="105">
        <v>21</v>
      </c>
      <c r="BA22" s="105">
        <v>1310.3999999999999</v>
      </c>
      <c r="BB22" s="105">
        <v>32</v>
      </c>
      <c r="BC22" s="105">
        <v>1996.8</v>
      </c>
      <c r="BD22" s="105">
        <v>18</v>
      </c>
      <c r="BE22" s="105">
        <v>1123.2</v>
      </c>
      <c r="BF22" s="105">
        <v>23</v>
      </c>
      <c r="BG22" s="105">
        <v>1435.2</v>
      </c>
      <c r="BH22" s="105">
        <v>25</v>
      </c>
      <c r="BI22" s="105">
        <v>1560</v>
      </c>
      <c r="BJ22" s="105">
        <v>30</v>
      </c>
      <c r="BK22" s="105">
        <v>1872</v>
      </c>
      <c r="BL22" s="105">
        <v>21</v>
      </c>
      <c r="BM22" s="105">
        <v>1310.3999999999999</v>
      </c>
      <c r="BN22" s="105">
        <v>33</v>
      </c>
      <c r="BO22" s="105">
        <v>2059.1999999999998</v>
      </c>
      <c r="BP22" s="105">
        <v>25</v>
      </c>
      <c r="BQ22" s="105">
        <v>1560</v>
      </c>
      <c r="BR22" s="105">
        <v>25</v>
      </c>
      <c r="BS22" s="105">
        <v>1560</v>
      </c>
      <c r="BT22" s="105">
        <v>21</v>
      </c>
      <c r="BU22" s="105">
        <v>1310.3999999999999</v>
      </c>
      <c r="BV22" s="105">
        <v>23</v>
      </c>
      <c r="BW22" s="105">
        <v>1435.2</v>
      </c>
      <c r="BX22" s="105">
        <v>30</v>
      </c>
      <c r="BY22" s="105">
        <v>1872</v>
      </c>
      <c r="BZ22" s="105">
        <v>26</v>
      </c>
      <c r="CA22" s="105">
        <v>1622.3999999999999</v>
      </c>
      <c r="CB22" s="105">
        <v>17</v>
      </c>
      <c r="CC22" s="105">
        <v>1060.8</v>
      </c>
      <c r="CD22" s="105">
        <v>28</v>
      </c>
      <c r="CE22" s="105">
        <v>1747.2</v>
      </c>
      <c r="CF22" s="105">
        <v>19</v>
      </c>
      <c r="CG22" s="105">
        <v>1185.5999999999999</v>
      </c>
      <c r="CH22" s="105">
        <v>19</v>
      </c>
      <c r="CI22" s="105">
        <v>1185.5999999999999</v>
      </c>
      <c r="CJ22" s="105">
        <v>29</v>
      </c>
      <c r="CK22" s="105">
        <v>1809.6</v>
      </c>
      <c r="CL22" s="105">
        <v>20</v>
      </c>
      <c r="CM22" s="105">
        <v>1248</v>
      </c>
      <c r="CN22" s="105">
        <v>18</v>
      </c>
      <c r="CO22" s="105">
        <v>1123.2</v>
      </c>
      <c r="CP22" s="105">
        <v>25</v>
      </c>
      <c r="CQ22" s="105">
        <v>1560</v>
      </c>
      <c r="CR22" s="105">
        <v>17</v>
      </c>
      <c r="CS22" s="105">
        <v>1060.8</v>
      </c>
      <c r="CT22" s="105">
        <v>19</v>
      </c>
      <c r="CU22" s="105">
        <v>1185.5999999999999</v>
      </c>
    </row>
    <row r="23" spans="2:99" x14ac:dyDescent="0.2">
      <c r="C23" s="104" t="s">
        <v>191</v>
      </c>
      <c r="D23" s="105">
        <v>16</v>
      </c>
      <c r="E23" s="105">
        <v>4473.5999999999995</v>
      </c>
      <c r="F23" s="105">
        <v>20</v>
      </c>
      <c r="G23" s="105">
        <v>5591.9999999999991</v>
      </c>
      <c r="H23" s="105">
        <v>16</v>
      </c>
      <c r="I23" s="105">
        <v>4473.5999999999995</v>
      </c>
      <c r="J23" s="105">
        <v>23</v>
      </c>
      <c r="K23" s="105">
        <v>6430.7999999999993</v>
      </c>
      <c r="L23" s="105">
        <v>24</v>
      </c>
      <c r="M23" s="105">
        <v>6710.4</v>
      </c>
      <c r="N23" s="105">
        <v>21</v>
      </c>
      <c r="O23" s="105">
        <v>5871.5999999999995</v>
      </c>
      <c r="P23" s="105">
        <v>20</v>
      </c>
      <c r="Q23" s="105">
        <v>5591.9999999999991</v>
      </c>
      <c r="R23" s="105">
        <v>25</v>
      </c>
      <c r="S23" s="105">
        <v>6989.9999999999991</v>
      </c>
      <c r="T23" s="105">
        <v>27</v>
      </c>
      <c r="U23" s="105">
        <v>7549.1999999999989</v>
      </c>
      <c r="V23" s="105">
        <v>16</v>
      </c>
      <c r="W23" s="105">
        <v>4473.5999999999995</v>
      </c>
      <c r="X23" s="105">
        <v>18</v>
      </c>
      <c r="Y23" s="105">
        <v>5032.7999999999993</v>
      </c>
      <c r="Z23" s="105">
        <v>23</v>
      </c>
      <c r="AA23" s="105">
        <v>6430.7999999999993</v>
      </c>
      <c r="AB23" s="105">
        <v>24</v>
      </c>
      <c r="AC23" s="105">
        <v>6710.4</v>
      </c>
      <c r="AD23" s="105">
        <v>22</v>
      </c>
      <c r="AE23" s="105">
        <v>6151.1999999999989</v>
      </c>
      <c r="AF23" s="105">
        <v>24</v>
      </c>
      <c r="AG23" s="105">
        <v>6710.4</v>
      </c>
      <c r="AH23" s="105">
        <v>23</v>
      </c>
      <c r="AI23" s="105">
        <v>6430.7999999999993</v>
      </c>
      <c r="AJ23" s="105">
        <v>26</v>
      </c>
      <c r="AK23" s="105">
        <v>7269.5999999999995</v>
      </c>
      <c r="AL23" s="105">
        <v>18</v>
      </c>
      <c r="AM23" s="105">
        <v>5032.7999999999993</v>
      </c>
      <c r="AN23" s="105">
        <v>24</v>
      </c>
      <c r="AO23" s="105">
        <v>6710.4</v>
      </c>
      <c r="AP23" s="105">
        <v>17</v>
      </c>
      <c r="AQ23" s="105">
        <v>4753.2</v>
      </c>
      <c r="AR23" s="105">
        <v>19</v>
      </c>
      <c r="AS23" s="105">
        <v>5312.4</v>
      </c>
      <c r="AT23" s="105">
        <v>20</v>
      </c>
      <c r="AU23" s="105">
        <v>5591.9999999999991</v>
      </c>
      <c r="AV23" s="105">
        <v>23</v>
      </c>
      <c r="AW23" s="105">
        <v>6430.7999999999993</v>
      </c>
      <c r="AX23" s="105">
        <v>25</v>
      </c>
      <c r="AY23" s="105">
        <v>6989.9999999999991</v>
      </c>
      <c r="AZ23" s="105">
        <v>19</v>
      </c>
      <c r="BA23" s="105">
        <v>5312.4</v>
      </c>
      <c r="BB23" s="105">
        <v>28</v>
      </c>
      <c r="BC23" s="105">
        <v>7828.7999999999993</v>
      </c>
      <c r="BD23" s="105">
        <v>17</v>
      </c>
      <c r="BE23" s="105">
        <v>4753.2</v>
      </c>
      <c r="BF23" s="105">
        <v>22</v>
      </c>
      <c r="BG23" s="105">
        <v>6151.1999999999989</v>
      </c>
      <c r="BH23" s="105">
        <v>25</v>
      </c>
      <c r="BI23" s="105">
        <v>6989.9999999999991</v>
      </c>
      <c r="BJ23" s="105">
        <v>27</v>
      </c>
      <c r="BK23" s="105">
        <v>7549.1999999999989</v>
      </c>
      <c r="BL23" s="105">
        <v>22</v>
      </c>
      <c r="BM23" s="105">
        <v>6151.1999999999989</v>
      </c>
      <c r="BN23" s="105">
        <v>33</v>
      </c>
      <c r="BO23" s="105">
        <v>9226.7999999999993</v>
      </c>
      <c r="BP23" s="105">
        <v>24</v>
      </c>
      <c r="BQ23" s="105">
        <v>6710.4</v>
      </c>
      <c r="BR23" s="105">
        <v>24</v>
      </c>
      <c r="BS23" s="105">
        <v>6710.4</v>
      </c>
      <c r="BT23" s="105">
        <v>22</v>
      </c>
      <c r="BU23" s="105">
        <v>6151.1999999999989</v>
      </c>
      <c r="BV23" s="105">
        <v>25</v>
      </c>
      <c r="BW23" s="105">
        <v>6989.9999999999991</v>
      </c>
      <c r="BX23" s="105">
        <v>34</v>
      </c>
      <c r="BY23" s="105">
        <v>9506.4</v>
      </c>
      <c r="BZ23" s="105">
        <v>26</v>
      </c>
      <c r="CA23" s="105">
        <v>7269.5999999999995</v>
      </c>
      <c r="CB23" s="105">
        <v>17</v>
      </c>
      <c r="CC23" s="105">
        <v>4753.2</v>
      </c>
      <c r="CD23" s="105">
        <v>29</v>
      </c>
      <c r="CE23" s="105">
        <v>8108.3999999999987</v>
      </c>
      <c r="CF23" s="105">
        <v>17</v>
      </c>
      <c r="CG23" s="105">
        <v>4753.2</v>
      </c>
      <c r="CH23" s="105">
        <v>22</v>
      </c>
      <c r="CI23" s="105">
        <v>6151.1999999999989</v>
      </c>
      <c r="CJ23" s="105">
        <v>29</v>
      </c>
      <c r="CK23" s="105">
        <v>8108.3999999999987</v>
      </c>
      <c r="CL23" s="105">
        <v>19</v>
      </c>
      <c r="CM23" s="105">
        <v>5312.4</v>
      </c>
      <c r="CN23" s="105">
        <v>18</v>
      </c>
      <c r="CO23" s="105">
        <v>5032.7999999999993</v>
      </c>
      <c r="CP23" s="105">
        <v>28</v>
      </c>
      <c r="CQ23" s="105">
        <v>7828.7999999999993</v>
      </c>
      <c r="CR23" s="105">
        <v>18</v>
      </c>
      <c r="CS23" s="105">
        <v>5032.7999999999993</v>
      </c>
      <c r="CT23" s="105">
        <v>19</v>
      </c>
      <c r="CU23" s="105">
        <v>5312.4</v>
      </c>
    </row>
    <row r="24" spans="2:99" x14ac:dyDescent="0.2">
      <c r="C24" s="104" t="s">
        <v>192</v>
      </c>
      <c r="D24" s="105">
        <v>15</v>
      </c>
      <c r="E24" s="105">
        <v>4572</v>
      </c>
      <c r="F24" s="105">
        <v>17</v>
      </c>
      <c r="G24" s="105">
        <v>5181.6000000000004</v>
      </c>
      <c r="H24" s="105">
        <v>17</v>
      </c>
      <c r="I24" s="105">
        <v>5181.6000000000004</v>
      </c>
      <c r="J24" s="105">
        <v>23</v>
      </c>
      <c r="K24" s="105">
        <v>7010.4000000000005</v>
      </c>
      <c r="L24" s="105">
        <v>25</v>
      </c>
      <c r="M24" s="105">
        <v>7620</v>
      </c>
      <c r="N24" s="105">
        <v>21</v>
      </c>
      <c r="O24" s="105">
        <v>6400.8</v>
      </c>
      <c r="P24" s="105">
        <v>18</v>
      </c>
      <c r="Q24" s="105">
        <v>5486.4000000000005</v>
      </c>
      <c r="R24" s="105">
        <v>24</v>
      </c>
      <c r="S24" s="105">
        <v>7315.2000000000007</v>
      </c>
      <c r="T24" s="105">
        <v>26</v>
      </c>
      <c r="U24" s="105">
        <v>7924.8</v>
      </c>
      <c r="V24" s="105">
        <v>17</v>
      </c>
      <c r="W24" s="105">
        <v>5181.6000000000004</v>
      </c>
      <c r="X24" s="105">
        <v>20</v>
      </c>
      <c r="Y24" s="105">
        <v>6096</v>
      </c>
      <c r="Z24" s="105">
        <v>22</v>
      </c>
      <c r="AA24" s="105">
        <v>6705.6</v>
      </c>
      <c r="AB24" s="105">
        <v>26</v>
      </c>
      <c r="AC24" s="105">
        <v>7924.8</v>
      </c>
      <c r="AD24" s="105">
        <v>19</v>
      </c>
      <c r="AE24" s="105">
        <v>5791.2</v>
      </c>
      <c r="AF24" s="105">
        <v>26</v>
      </c>
      <c r="AG24" s="105">
        <v>7924.8</v>
      </c>
      <c r="AH24" s="105">
        <v>22</v>
      </c>
      <c r="AI24" s="105">
        <v>6705.6</v>
      </c>
      <c r="AJ24" s="105">
        <v>24</v>
      </c>
      <c r="AK24" s="105">
        <v>7315.2000000000007</v>
      </c>
      <c r="AL24" s="105">
        <v>18</v>
      </c>
      <c r="AM24" s="105">
        <v>5486.4000000000005</v>
      </c>
      <c r="AN24" s="105">
        <v>26</v>
      </c>
      <c r="AO24" s="105">
        <v>7924.8</v>
      </c>
      <c r="AP24" s="105">
        <v>16</v>
      </c>
      <c r="AQ24" s="105">
        <v>4876.8</v>
      </c>
      <c r="AR24" s="105">
        <v>19</v>
      </c>
      <c r="AS24" s="105">
        <v>5791.2</v>
      </c>
      <c r="AT24" s="105">
        <v>23</v>
      </c>
      <c r="AU24" s="105">
        <v>7010.4000000000005</v>
      </c>
      <c r="AV24" s="105">
        <v>24</v>
      </c>
      <c r="AW24" s="105">
        <v>7315.2000000000007</v>
      </c>
      <c r="AX24" s="105">
        <v>25</v>
      </c>
      <c r="AY24" s="105">
        <v>7620</v>
      </c>
      <c r="AZ24" s="105">
        <v>20</v>
      </c>
      <c r="BA24" s="105">
        <v>6096</v>
      </c>
      <c r="BB24" s="105">
        <v>28</v>
      </c>
      <c r="BC24" s="105">
        <v>8534.4</v>
      </c>
      <c r="BD24" s="105">
        <v>20</v>
      </c>
      <c r="BE24" s="105">
        <v>6096</v>
      </c>
      <c r="BF24" s="105">
        <v>24</v>
      </c>
      <c r="BG24" s="105">
        <v>7315.2000000000007</v>
      </c>
      <c r="BH24" s="105">
        <v>26</v>
      </c>
      <c r="BI24" s="105">
        <v>7924.8</v>
      </c>
      <c r="BJ24" s="105">
        <v>30</v>
      </c>
      <c r="BK24" s="105">
        <v>9144</v>
      </c>
      <c r="BL24" s="105">
        <v>20</v>
      </c>
      <c r="BM24" s="105">
        <v>6096</v>
      </c>
      <c r="BN24" s="105">
        <v>32</v>
      </c>
      <c r="BO24" s="105">
        <v>9753.6</v>
      </c>
      <c r="BP24" s="105">
        <v>24</v>
      </c>
      <c r="BQ24" s="105">
        <v>7315.2000000000007</v>
      </c>
      <c r="BR24" s="105">
        <v>21</v>
      </c>
      <c r="BS24" s="105">
        <v>6400.8</v>
      </c>
      <c r="BT24" s="105">
        <v>22</v>
      </c>
      <c r="BU24" s="105">
        <v>6705.6</v>
      </c>
      <c r="BV24" s="105">
        <v>24</v>
      </c>
      <c r="BW24" s="105">
        <v>7315.2000000000007</v>
      </c>
      <c r="BX24" s="105">
        <v>34</v>
      </c>
      <c r="BY24" s="105">
        <v>10363.200000000001</v>
      </c>
      <c r="BZ24" s="105">
        <v>26</v>
      </c>
      <c r="CA24" s="105">
        <v>7924.8</v>
      </c>
      <c r="CB24" s="105">
        <v>18</v>
      </c>
      <c r="CC24" s="105">
        <v>5486.4000000000005</v>
      </c>
      <c r="CD24" s="105">
        <v>26</v>
      </c>
      <c r="CE24" s="105">
        <v>7924.8</v>
      </c>
      <c r="CF24" s="105">
        <v>19</v>
      </c>
      <c r="CG24" s="105">
        <v>5791.2</v>
      </c>
      <c r="CH24" s="105">
        <v>23</v>
      </c>
      <c r="CI24" s="105">
        <v>7010.4000000000005</v>
      </c>
      <c r="CJ24" s="105">
        <v>29</v>
      </c>
      <c r="CK24" s="105">
        <v>8839.2000000000007</v>
      </c>
      <c r="CL24" s="105">
        <v>19</v>
      </c>
      <c r="CM24" s="105">
        <v>5791.2</v>
      </c>
      <c r="CN24" s="105">
        <v>18</v>
      </c>
      <c r="CO24" s="105">
        <v>5486.4000000000005</v>
      </c>
      <c r="CP24" s="105">
        <v>25</v>
      </c>
      <c r="CQ24" s="105">
        <v>7620</v>
      </c>
      <c r="CR24" s="105">
        <v>18</v>
      </c>
      <c r="CS24" s="105">
        <v>5486.4000000000005</v>
      </c>
      <c r="CT24" s="105">
        <v>18</v>
      </c>
      <c r="CU24" s="105">
        <v>5486.4000000000005</v>
      </c>
    </row>
    <row r="25" spans="2:99" x14ac:dyDescent="0.2">
      <c r="C25" s="104" t="s">
        <v>193</v>
      </c>
      <c r="D25" s="105">
        <v>14</v>
      </c>
      <c r="E25" s="105">
        <v>4552.8</v>
      </c>
      <c r="F25" s="105">
        <v>17</v>
      </c>
      <c r="G25" s="105">
        <v>5528.4</v>
      </c>
      <c r="H25" s="105">
        <v>17</v>
      </c>
      <c r="I25" s="105">
        <v>5528.4</v>
      </c>
      <c r="J25" s="105">
        <v>20</v>
      </c>
      <c r="K25" s="105">
        <v>6504</v>
      </c>
      <c r="L25" s="105">
        <v>26</v>
      </c>
      <c r="M25" s="105">
        <v>8455.1999999999989</v>
      </c>
      <c r="N25" s="105">
        <v>22</v>
      </c>
      <c r="O25" s="105">
        <v>7154.4</v>
      </c>
      <c r="P25" s="105">
        <v>20</v>
      </c>
      <c r="Q25" s="105">
        <v>6504</v>
      </c>
      <c r="R25" s="105">
        <v>25</v>
      </c>
      <c r="S25" s="105">
        <v>8130</v>
      </c>
      <c r="T25" s="105">
        <v>30</v>
      </c>
      <c r="U25" s="105">
        <v>9756</v>
      </c>
      <c r="V25" s="105">
        <v>17</v>
      </c>
      <c r="W25" s="105">
        <v>5528.4</v>
      </c>
      <c r="X25" s="105">
        <v>17</v>
      </c>
      <c r="Y25" s="105">
        <v>5528.4</v>
      </c>
      <c r="Z25" s="105">
        <v>22</v>
      </c>
      <c r="AA25" s="105">
        <v>7154.4</v>
      </c>
      <c r="AB25" s="105">
        <v>22</v>
      </c>
      <c r="AC25" s="105">
        <v>7154.4</v>
      </c>
      <c r="AD25" s="105">
        <v>20</v>
      </c>
      <c r="AE25" s="105">
        <v>6504</v>
      </c>
      <c r="AF25" s="105">
        <v>22</v>
      </c>
      <c r="AG25" s="105">
        <v>7154.4</v>
      </c>
      <c r="AH25" s="105">
        <v>22</v>
      </c>
      <c r="AI25" s="105">
        <v>7154.4</v>
      </c>
      <c r="AJ25" s="105">
        <v>27</v>
      </c>
      <c r="AK25" s="105">
        <v>8780.4</v>
      </c>
      <c r="AL25" s="105">
        <v>18</v>
      </c>
      <c r="AM25" s="105">
        <v>5853.5999999999995</v>
      </c>
      <c r="AN25" s="105">
        <v>28</v>
      </c>
      <c r="AO25" s="105">
        <v>9105.6</v>
      </c>
      <c r="AP25" s="105">
        <v>18</v>
      </c>
      <c r="AQ25" s="105">
        <v>5853.5999999999995</v>
      </c>
      <c r="AR25" s="105">
        <v>19</v>
      </c>
      <c r="AS25" s="105">
        <v>6178.8</v>
      </c>
      <c r="AT25" s="105">
        <v>20</v>
      </c>
      <c r="AU25" s="105">
        <v>6504</v>
      </c>
      <c r="AV25" s="105">
        <v>24</v>
      </c>
      <c r="AW25" s="105">
        <v>7804.7999999999993</v>
      </c>
      <c r="AX25" s="105">
        <v>22</v>
      </c>
      <c r="AY25" s="105">
        <v>7154.4</v>
      </c>
      <c r="AZ25" s="105">
        <v>22</v>
      </c>
      <c r="BA25" s="105">
        <v>7154.4</v>
      </c>
      <c r="BB25" s="105">
        <v>28</v>
      </c>
      <c r="BC25" s="105">
        <v>9105.6</v>
      </c>
      <c r="BD25" s="105">
        <v>18</v>
      </c>
      <c r="BE25" s="105">
        <v>5853.5999999999995</v>
      </c>
      <c r="BF25" s="105">
        <v>25</v>
      </c>
      <c r="BG25" s="105">
        <v>8130</v>
      </c>
      <c r="BH25" s="105">
        <v>23</v>
      </c>
      <c r="BI25" s="105">
        <v>7479.5999999999995</v>
      </c>
      <c r="BJ25" s="105">
        <v>28</v>
      </c>
      <c r="BK25" s="105">
        <v>9105.6</v>
      </c>
      <c r="BL25" s="105">
        <v>21</v>
      </c>
      <c r="BM25" s="105">
        <v>6829.2</v>
      </c>
      <c r="BN25" s="105">
        <v>32</v>
      </c>
      <c r="BO25" s="105">
        <v>10406.4</v>
      </c>
      <c r="BP25" s="105">
        <v>26</v>
      </c>
      <c r="BQ25" s="105">
        <v>8455.1999999999989</v>
      </c>
      <c r="BR25" s="105">
        <v>22</v>
      </c>
      <c r="BS25" s="105">
        <v>7154.4</v>
      </c>
      <c r="BT25" s="105">
        <v>20</v>
      </c>
      <c r="BU25" s="105">
        <v>6504</v>
      </c>
      <c r="BV25" s="105">
        <v>22</v>
      </c>
      <c r="BW25" s="105">
        <v>7154.4</v>
      </c>
      <c r="BX25" s="105">
        <v>32</v>
      </c>
      <c r="BY25" s="105">
        <v>10406.4</v>
      </c>
      <c r="BZ25" s="105">
        <v>28</v>
      </c>
      <c r="CA25" s="105">
        <v>9105.6</v>
      </c>
      <c r="CB25" s="105">
        <v>20</v>
      </c>
      <c r="CC25" s="105">
        <v>6504</v>
      </c>
      <c r="CD25" s="105">
        <v>27</v>
      </c>
      <c r="CE25" s="105">
        <v>8780.4</v>
      </c>
      <c r="CF25" s="105">
        <v>17</v>
      </c>
      <c r="CG25" s="105">
        <v>5528.4</v>
      </c>
      <c r="CH25" s="105">
        <v>22</v>
      </c>
      <c r="CI25" s="105">
        <v>7154.4</v>
      </c>
      <c r="CJ25" s="105">
        <v>27</v>
      </c>
      <c r="CK25" s="105">
        <v>8780.4</v>
      </c>
      <c r="CL25" s="105">
        <v>17</v>
      </c>
      <c r="CM25" s="105">
        <v>5528.4</v>
      </c>
      <c r="CN25" s="105">
        <v>17</v>
      </c>
      <c r="CO25" s="105">
        <v>5528.4</v>
      </c>
      <c r="CP25" s="105">
        <v>28</v>
      </c>
      <c r="CQ25" s="105">
        <v>9105.6</v>
      </c>
      <c r="CR25" s="105">
        <v>17</v>
      </c>
      <c r="CS25" s="105">
        <v>5528.4</v>
      </c>
      <c r="CT25" s="105">
        <v>18</v>
      </c>
      <c r="CU25" s="105">
        <v>5853.5999999999995</v>
      </c>
    </row>
    <row r="26" spans="2:99" x14ac:dyDescent="0.2">
      <c r="C26" s="104" t="s">
        <v>194</v>
      </c>
      <c r="D26" s="105">
        <v>15</v>
      </c>
      <c r="E26" s="105">
        <v>4302</v>
      </c>
      <c r="F26" s="105">
        <v>17</v>
      </c>
      <c r="G26" s="105">
        <v>4875.6000000000004</v>
      </c>
      <c r="H26" s="105">
        <v>16</v>
      </c>
      <c r="I26" s="105">
        <v>4588.8</v>
      </c>
      <c r="J26" s="105">
        <v>22</v>
      </c>
      <c r="K26" s="105">
        <v>6309.6</v>
      </c>
      <c r="L26" s="105">
        <v>25</v>
      </c>
      <c r="M26" s="105">
        <v>7170</v>
      </c>
      <c r="N26" s="105">
        <v>22</v>
      </c>
      <c r="O26" s="105">
        <v>6309.6</v>
      </c>
      <c r="P26" s="105">
        <v>19</v>
      </c>
      <c r="Q26" s="105">
        <v>5449.2</v>
      </c>
      <c r="R26" s="105">
        <v>28</v>
      </c>
      <c r="S26" s="105">
        <v>8030.4000000000005</v>
      </c>
      <c r="T26" s="105">
        <v>27</v>
      </c>
      <c r="U26" s="105">
        <v>7743.6</v>
      </c>
      <c r="V26" s="105">
        <v>15</v>
      </c>
      <c r="W26" s="105">
        <v>4302</v>
      </c>
      <c r="X26" s="105">
        <v>20</v>
      </c>
      <c r="Y26" s="105">
        <v>5736</v>
      </c>
      <c r="Z26" s="105">
        <v>23</v>
      </c>
      <c r="AA26" s="105">
        <v>6596.4000000000005</v>
      </c>
      <c r="AB26" s="105">
        <v>25</v>
      </c>
      <c r="AC26" s="105">
        <v>7170</v>
      </c>
      <c r="AD26" s="105">
        <v>20</v>
      </c>
      <c r="AE26" s="105">
        <v>5736</v>
      </c>
      <c r="AF26" s="105">
        <v>25</v>
      </c>
      <c r="AG26" s="105">
        <v>7170</v>
      </c>
      <c r="AH26" s="105">
        <v>21</v>
      </c>
      <c r="AI26" s="105">
        <v>6022.8</v>
      </c>
      <c r="AJ26" s="105">
        <v>24</v>
      </c>
      <c r="AK26" s="105">
        <v>6883.2000000000007</v>
      </c>
      <c r="AL26" s="105">
        <v>17</v>
      </c>
      <c r="AM26" s="105">
        <v>4875.6000000000004</v>
      </c>
      <c r="AN26" s="105">
        <v>28</v>
      </c>
      <c r="AO26" s="105">
        <v>8030.4000000000005</v>
      </c>
      <c r="AP26" s="105">
        <v>17</v>
      </c>
      <c r="AQ26" s="105">
        <v>4875.6000000000004</v>
      </c>
      <c r="AR26" s="105">
        <v>21</v>
      </c>
      <c r="AS26" s="105">
        <v>6022.8</v>
      </c>
      <c r="AT26" s="105">
        <v>21</v>
      </c>
      <c r="AU26" s="105">
        <v>6022.8</v>
      </c>
      <c r="AV26" s="105">
        <v>24</v>
      </c>
      <c r="AW26" s="105">
        <v>6883.2000000000007</v>
      </c>
      <c r="AX26" s="105">
        <v>22</v>
      </c>
      <c r="AY26" s="105">
        <v>6309.6</v>
      </c>
      <c r="AZ26" s="105">
        <v>19</v>
      </c>
      <c r="BA26" s="105">
        <v>5449.2</v>
      </c>
      <c r="BB26" s="105">
        <v>28</v>
      </c>
      <c r="BC26" s="105">
        <v>8030.4000000000005</v>
      </c>
      <c r="BD26" s="105">
        <v>18</v>
      </c>
      <c r="BE26" s="105">
        <v>5162.4000000000005</v>
      </c>
      <c r="BF26" s="105">
        <v>21</v>
      </c>
      <c r="BG26" s="105">
        <v>6022.8</v>
      </c>
      <c r="BH26" s="105">
        <v>23</v>
      </c>
      <c r="BI26" s="105">
        <v>6596.4000000000005</v>
      </c>
      <c r="BJ26" s="105">
        <v>30</v>
      </c>
      <c r="BK26" s="105">
        <v>8604</v>
      </c>
      <c r="BL26" s="105">
        <v>20</v>
      </c>
      <c r="BM26" s="105">
        <v>5736</v>
      </c>
      <c r="BN26" s="105">
        <v>29</v>
      </c>
      <c r="BO26" s="105">
        <v>8317.2000000000007</v>
      </c>
      <c r="BP26" s="105">
        <v>26</v>
      </c>
      <c r="BQ26" s="105">
        <v>7456.8</v>
      </c>
      <c r="BR26" s="105">
        <v>23</v>
      </c>
      <c r="BS26" s="105">
        <v>6596.4000000000005</v>
      </c>
      <c r="BT26" s="105">
        <v>19</v>
      </c>
      <c r="BU26" s="105">
        <v>5449.2</v>
      </c>
      <c r="BV26" s="105">
        <v>23</v>
      </c>
      <c r="BW26" s="105">
        <v>6596.4000000000005</v>
      </c>
      <c r="BX26" s="105">
        <v>33</v>
      </c>
      <c r="BY26" s="105">
        <v>9464.4</v>
      </c>
      <c r="BZ26" s="105">
        <v>24</v>
      </c>
      <c r="CA26" s="105">
        <v>6883.2000000000007</v>
      </c>
      <c r="CB26" s="105">
        <v>17</v>
      </c>
      <c r="CC26" s="105">
        <v>4875.6000000000004</v>
      </c>
      <c r="CD26" s="105">
        <v>26</v>
      </c>
      <c r="CE26" s="105">
        <v>7456.8</v>
      </c>
      <c r="CF26" s="105">
        <v>16</v>
      </c>
      <c r="CG26" s="105">
        <v>4588.8</v>
      </c>
      <c r="CH26" s="105">
        <v>20</v>
      </c>
      <c r="CI26" s="105">
        <v>5736</v>
      </c>
      <c r="CJ26" s="105">
        <v>28</v>
      </c>
      <c r="CK26" s="105">
        <v>8030.4000000000005</v>
      </c>
      <c r="CL26" s="105">
        <v>19</v>
      </c>
      <c r="CM26" s="105">
        <v>5449.2</v>
      </c>
      <c r="CN26" s="105">
        <v>15</v>
      </c>
      <c r="CO26" s="105">
        <v>4302</v>
      </c>
      <c r="CP26" s="105">
        <v>25</v>
      </c>
      <c r="CQ26" s="105">
        <v>7170</v>
      </c>
      <c r="CR26" s="105">
        <v>16</v>
      </c>
      <c r="CS26" s="105">
        <v>4588.8</v>
      </c>
      <c r="CT26" s="105">
        <v>20</v>
      </c>
      <c r="CU26" s="105">
        <v>5736</v>
      </c>
    </row>
    <row r="27" spans="2:99" x14ac:dyDescent="0.2">
      <c r="C27" s="104" t="s">
        <v>195</v>
      </c>
      <c r="D27" s="105">
        <v>16</v>
      </c>
      <c r="E27" s="105">
        <v>5049.5999999999995</v>
      </c>
      <c r="F27" s="105">
        <v>20</v>
      </c>
      <c r="G27" s="105">
        <v>6311.9999999999991</v>
      </c>
      <c r="H27" s="105">
        <v>17</v>
      </c>
      <c r="I27" s="105">
        <v>5365.2</v>
      </c>
      <c r="J27" s="105">
        <v>22</v>
      </c>
      <c r="K27" s="105">
        <v>6943.1999999999989</v>
      </c>
      <c r="L27" s="105">
        <v>25</v>
      </c>
      <c r="M27" s="105">
        <v>7889.9999999999991</v>
      </c>
      <c r="N27" s="105">
        <v>22</v>
      </c>
      <c r="O27" s="105">
        <v>6943.1999999999989</v>
      </c>
      <c r="P27" s="105">
        <v>20</v>
      </c>
      <c r="Q27" s="105">
        <v>6311.9999999999991</v>
      </c>
      <c r="R27" s="105">
        <v>25</v>
      </c>
      <c r="S27" s="105">
        <v>7889.9999999999991</v>
      </c>
      <c r="T27" s="105">
        <v>28</v>
      </c>
      <c r="U27" s="105">
        <v>8836.7999999999993</v>
      </c>
      <c r="V27" s="105">
        <v>15</v>
      </c>
      <c r="W27" s="105">
        <v>4733.9999999999991</v>
      </c>
      <c r="X27" s="105">
        <v>18</v>
      </c>
      <c r="Y27" s="105">
        <v>5680.7999999999993</v>
      </c>
      <c r="Z27" s="105">
        <v>24</v>
      </c>
      <c r="AA27" s="105">
        <v>7574.4</v>
      </c>
      <c r="AB27" s="105">
        <v>26</v>
      </c>
      <c r="AC27" s="105">
        <v>8205.5999999999985</v>
      </c>
      <c r="AD27" s="105">
        <v>21</v>
      </c>
      <c r="AE27" s="105">
        <v>6627.5999999999995</v>
      </c>
      <c r="AF27" s="105">
        <v>22</v>
      </c>
      <c r="AG27" s="105">
        <v>6943.1999999999989</v>
      </c>
      <c r="AH27" s="105">
        <v>22</v>
      </c>
      <c r="AI27" s="105">
        <v>6943.1999999999989</v>
      </c>
      <c r="AJ27" s="105">
        <v>27</v>
      </c>
      <c r="AK27" s="105">
        <v>8521.1999999999989</v>
      </c>
      <c r="AL27" s="105">
        <v>18</v>
      </c>
      <c r="AM27" s="105">
        <v>5680.7999999999993</v>
      </c>
      <c r="AN27" s="105">
        <v>27</v>
      </c>
      <c r="AO27" s="105">
        <v>8521.1999999999989</v>
      </c>
      <c r="AP27" s="105">
        <v>17</v>
      </c>
      <c r="AQ27" s="105">
        <v>5365.2</v>
      </c>
      <c r="AR27" s="105">
        <v>18</v>
      </c>
      <c r="AS27" s="105">
        <v>5680.7999999999993</v>
      </c>
      <c r="AT27" s="105">
        <v>20</v>
      </c>
      <c r="AU27" s="105">
        <v>6311.9999999999991</v>
      </c>
      <c r="AV27" s="105">
        <v>21</v>
      </c>
      <c r="AW27" s="105">
        <v>6627.5999999999995</v>
      </c>
      <c r="AX27" s="105">
        <v>24</v>
      </c>
      <c r="AY27" s="105">
        <v>7574.4</v>
      </c>
      <c r="AZ27" s="105">
        <v>19</v>
      </c>
      <c r="BA27" s="105">
        <v>5996.4</v>
      </c>
      <c r="BB27" s="105">
        <v>30</v>
      </c>
      <c r="BC27" s="105">
        <v>9467.9999999999982</v>
      </c>
      <c r="BD27" s="105">
        <v>17</v>
      </c>
      <c r="BE27" s="105">
        <v>5365.2</v>
      </c>
      <c r="BF27" s="105">
        <v>22</v>
      </c>
      <c r="BG27" s="105">
        <v>6943.1999999999989</v>
      </c>
      <c r="BH27" s="105">
        <v>25</v>
      </c>
      <c r="BI27" s="105">
        <v>7889.9999999999991</v>
      </c>
      <c r="BJ27" s="105">
        <v>30</v>
      </c>
      <c r="BK27" s="105">
        <v>9467.9999999999982</v>
      </c>
      <c r="BL27" s="105">
        <v>20</v>
      </c>
      <c r="BM27" s="105">
        <v>6311.9999999999991</v>
      </c>
      <c r="BN27" s="105">
        <v>32</v>
      </c>
      <c r="BO27" s="105">
        <v>10099.199999999999</v>
      </c>
      <c r="BP27" s="105">
        <v>27</v>
      </c>
      <c r="BQ27" s="105">
        <v>8521.1999999999989</v>
      </c>
      <c r="BR27" s="105">
        <v>22</v>
      </c>
      <c r="BS27" s="105">
        <v>6943.1999999999989</v>
      </c>
      <c r="BT27" s="105">
        <v>20</v>
      </c>
      <c r="BU27" s="105">
        <v>6311.9999999999991</v>
      </c>
      <c r="BV27" s="105">
        <v>22</v>
      </c>
      <c r="BW27" s="105">
        <v>6943.1999999999989</v>
      </c>
      <c r="BX27" s="105">
        <v>31</v>
      </c>
      <c r="BY27" s="105">
        <v>9783.5999999999985</v>
      </c>
      <c r="BZ27" s="105">
        <v>26</v>
      </c>
      <c r="CA27" s="105">
        <v>8205.5999999999985</v>
      </c>
      <c r="CB27" s="105">
        <v>17</v>
      </c>
      <c r="CC27" s="105">
        <v>5365.2</v>
      </c>
      <c r="CD27" s="105">
        <v>26</v>
      </c>
      <c r="CE27" s="105">
        <v>8205.5999999999985</v>
      </c>
      <c r="CF27" s="105">
        <v>18</v>
      </c>
      <c r="CG27" s="105">
        <v>5680.7999999999993</v>
      </c>
      <c r="CH27" s="105">
        <v>22</v>
      </c>
      <c r="CI27" s="105">
        <v>6943.1999999999989</v>
      </c>
      <c r="CJ27" s="105">
        <v>29</v>
      </c>
      <c r="CK27" s="105">
        <v>9152.4</v>
      </c>
      <c r="CL27" s="105">
        <v>21</v>
      </c>
      <c r="CM27" s="105">
        <v>6627.5999999999995</v>
      </c>
      <c r="CN27" s="105">
        <v>16</v>
      </c>
      <c r="CO27" s="105">
        <v>5049.5999999999995</v>
      </c>
      <c r="CP27" s="105">
        <v>24</v>
      </c>
      <c r="CQ27" s="105">
        <v>7574.4</v>
      </c>
      <c r="CR27" s="105">
        <v>16</v>
      </c>
      <c r="CS27" s="105">
        <v>5049.5999999999995</v>
      </c>
      <c r="CT27" s="105">
        <v>18</v>
      </c>
      <c r="CU27" s="105">
        <v>5680.7999999999993</v>
      </c>
    </row>
    <row r="28" spans="2:99" x14ac:dyDescent="0.2">
      <c r="C28" s="104" t="s">
        <v>196</v>
      </c>
      <c r="D28" s="105">
        <v>16</v>
      </c>
      <c r="E28" s="105">
        <v>9177.6</v>
      </c>
      <c r="F28" s="105">
        <v>18</v>
      </c>
      <c r="G28" s="105">
        <v>10324.800000000001</v>
      </c>
      <c r="H28" s="105">
        <v>18</v>
      </c>
      <c r="I28" s="105">
        <v>10324.800000000001</v>
      </c>
      <c r="J28" s="105">
        <v>20</v>
      </c>
      <c r="K28" s="105">
        <v>11472</v>
      </c>
      <c r="L28" s="105">
        <v>25</v>
      </c>
      <c r="M28" s="105">
        <v>14340</v>
      </c>
      <c r="N28" s="105">
        <v>21</v>
      </c>
      <c r="O28" s="105">
        <v>12045.6</v>
      </c>
      <c r="P28" s="105">
        <v>20</v>
      </c>
      <c r="Q28" s="105">
        <v>11472</v>
      </c>
      <c r="R28" s="105">
        <v>22</v>
      </c>
      <c r="S28" s="105">
        <v>12619.2</v>
      </c>
      <c r="T28" s="105">
        <v>30</v>
      </c>
      <c r="U28" s="105">
        <v>17208</v>
      </c>
      <c r="V28" s="105">
        <v>15</v>
      </c>
      <c r="W28" s="105">
        <v>8604</v>
      </c>
      <c r="X28" s="105">
        <v>20</v>
      </c>
      <c r="Y28" s="105">
        <v>11472</v>
      </c>
      <c r="Z28" s="105">
        <v>24</v>
      </c>
      <c r="AA28" s="105">
        <v>13766.400000000001</v>
      </c>
      <c r="AB28" s="105">
        <v>22</v>
      </c>
      <c r="AC28" s="105">
        <v>12619.2</v>
      </c>
      <c r="AD28" s="105">
        <v>18</v>
      </c>
      <c r="AE28" s="105">
        <v>10324.800000000001</v>
      </c>
      <c r="AF28" s="105">
        <v>23</v>
      </c>
      <c r="AG28" s="105">
        <v>13192.800000000001</v>
      </c>
      <c r="AH28" s="105">
        <v>23</v>
      </c>
      <c r="AI28" s="105">
        <v>13192.800000000001</v>
      </c>
      <c r="AJ28" s="105">
        <v>22</v>
      </c>
      <c r="AK28" s="105">
        <v>12619.2</v>
      </c>
      <c r="AL28" s="105">
        <v>17</v>
      </c>
      <c r="AM28" s="105">
        <v>9751.2000000000007</v>
      </c>
      <c r="AN28" s="105">
        <v>24</v>
      </c>
      <c r="AO28" s="105">
        <v>13766.400000000001</v>
      </c>
      <c r="AP28" s="105">
        <v>16</v>
      </c>
      <c r="AQ28" s="105">
        <v>9177.6</v>
      </c>
      <c r="AR28" s="105">
        <v>19</v>
      </c>
      <c r="AS28" s="105">
        <v>10898.4</v>
      </c>
      <c r="AT28" s="105">
        <v>20</v>
      </c>
      <c r="AU28" s="105">
        <v>11472</v>
      </c>
      <c r="AV28" s="105">
        <v>23</v>
      </c>
      <c r="AW28" s="105">
        <v>13192.800000000001</v>
      </c>
      <c r="AX28" s="105">
        <v>22</v>
      </c>
      <c r="AY28" s="105">
        <v>12619.2</v>
      </c>
      <c r="AZ28" s="105">
        <v>20</v>
      </c>
      <c r="BA28" s="105">
        <v>11472</v>
      </c>
      <c r="BB28" s="105">
        <v>27</v>
      </c>
      <c r="BC28" s="105">
        <v>15487.2</v>
      </c>
      <c r="BD28" s="105">
        <v>18</v>
      </c>
      <c r="BE28" s="105">
        <v>10324.800000000001</v>
      </c>
      <c r="BF28" s="105">
        <v>24</v>
      </c>
      <c r="BG28" s="105">
        <v>13766.400000000001</v>
      </c>
      <c r="BH28" s="105">
        <v>24</v>
      </c>
      <c r="BI28" s="105">
        <v>13766.400000000001</v>
      </c>
      <c r="BJ28" s="105">
        <v>31</v>
      </c>
      <c r="BK28" s="105">
        <v>17781.600000000002</v>
      </c>
      <c r="BL28" s="105">
        <v>19</v>
      </c>
      <c r="BM28" s="105">
        <v>10898.4</v>
      </c>
      <c r="BN28" s="105">
        <v>27</v>
      </c>
      <c r="BO28" s="105">
        <v>15487.2</v>
      </c>
      <c r="BP28" s="105">
        <v>23</v>
      </c>
      <c r="BQ28" s="105">
        <v>13192.800000000001</v>
      </c>
      <c r="BR28" s="105">
        <v>23</v>
      </c>
      <c r="BS28" s="105">
        <v>13192.800000000001</v>
      </c>
      <c r="BT28" s="105">
        <v>21</v>
      </c>
      <c r="BU28" s="105">
        <v>12045.6</v>
      </c>
      <c r="BV28" s="105">
        <v>21</v>
      </c>
      <c r="BW28" s="105">
        <v>12045.6</v>
      </c>
      <c r="BX28" s="105">
        <v>29</v>
      </c>
      <c r="BY28" s="105">
        <v>16634.400000000001</v>
      </c>
      <c r="BZ28" s="105">
        <v>25</v>
      </c>
      <c r="CA28" s="105">
        <v>14340</v>
      </c>
      <c r="CB28" s="105">
        <v>18</v>
      </c>
      <c r="CC28" s="105">
        <v>10324.800000000001</v>
      </c>
      <c r="CD28" s="105">
        <v>27</v>
      </c>
      <c r="CE28" s="105">
        <v>15487.2</v>
      </c>
      <c r="CF28" s="105">
        <v>18</v>
      </c>
      <c r="CG28" s="105">
        <v>10324.800000000001</v>
      </c>
      <c r="CH28" s="105">
        <v>19</v>
      </c>
      <c r="CI28" s="105">
        <v>10898.4</v>
      </c>
      <c r="CJ28" s="105">
        <v>29</v>
      </c>
      <c r="CK28" s="105">
        <v>16634.400000000001</v>
      </c>
      <c r="CL28" s="105">
        <v>10.818430885786645</v>
      </c>
      <c r="CM28" s="105">
        <v>6205.4519560872195</v>
      </c>
      <c r="CN28" s="105">
        <v>10.33251310105531</v>
      </c>
      <c r="CO28" s="105">
        <v>5926.7295147653267</v>
      </c>
      <c r="CP28" s="105">
        <v>4.2696180803332657</v>
      </c>
      <c r="CQ28" s="105">
        <v>2449.0529308791615</v>
      </c>
      <c r="CR28" s="105">
        <v>2.4989249777038438</v>
      </c>
      <c r="CS28" s="105">
        <v>1433.3833672109249</v>
      </c>
      <c r="CT28" s="105">
        <v>0</v>
      </c>
      <c r="CU28" s="105">
        <v>0</v>
      </c>
    </row>
    <row r="29" spans="2:99" x14ac:dyDescent="0.2">
      <c r="C29" s="104" t="s">
        <v>197</v>
      </c>
      <c r="D29" s="105">
        <v>16</v>
      </c>
      <c r="E29" s="105">
        <v>3763.2</v>
      </c>
      <c r="F29" s="105">
        <v>19</v>
      </c>
      <c r="G29" s="105">
        <v>4468.8</v>
      </c>
      <c r="H29" s="105">
        <v>18</v>
      </c>
      <c r="I29" s="105">
        <v>4233.5999999999995</v>
      </c>
      <c r="J29" s="105">
        <v>22</v>
      </c>
      <c r="K29" s="105">
        <v>5174.3999999999996</v>
      </c>
      <c r="L29" s="105">
        <v>24</v>
      </c>
      <c r="M29" s="105">
        <v>5644.7999999999993</v>
      </c>
      <c r="N29" s="105">
        <v>22</v>
      </c>
      <c r="O29" s="105">
        <v>5174.3999999999996</v>
      </c>
      <c r="P29" s="105">
        <v>19</v>
      </c>
      <c r="Q29" s="105">
        <v>4468.8</v>
      </c>
      <c r="R29" s="105">
        <v>25</v>
      </c>
      <c r="S29" s="105">
        <v>5880</v>
      </c>
      <c r="T29" s="105">
        <v>27</v>
      </c>
      <c r="U29" s="105">
        <v>6350.4</v>
      </c>
      <c r="V29" s="105">
        <v>16</v>
      </c>
      <c r="W29" s="105">
        <v>3763.2</v>
      </c>
      <c r="X29" s="105">
        <v>17</v>
      </c>
      <c r="Y29" s="105">
        <v>3998.3999999999996</v>
      </c>
      <c r="Z29" s="105">
        <v>24</v>
      </c>
      <c r="AA29" s="105">
        <v>5644.7999999999993</v>
      </c>
      <c r="AB29" s="105">
        <v>23</v>
      </c>
      <c r="AC29" s="105">
        <v>5409.5999999999995</v>
      </c>
      <c r="AD29" s="105">
        <v>19</v>
      </c>
      <c r="AE29" s="105">
        <v>4468.8</v>
      </c>
      <c r="AF29" s="105">
        <v>25</v>
      </c>
      <c r="AG29" s="105">
        <v>5880</v>
      </c>
      <c r="AH29" s="105">
        <v>22</v>
      </c>
      <c r="AI29" s="105">
        <v>5174.3999999999996</v>
      </c>
      <c r="AJ29" s="105">
        <v>23</v>
      </c>
      <c r="AK29" s="105">
        <v>5409.5999999999995</v>
      </c>
      <c r="AL29" s="105">
        <v>19</v>
      </c>
      <c r="AM29" s="105">
        <v>4468.8</v>
      </c>
      <c r="AN29" s="105">
        <v>27</v>
      </c>
      <c r="AO29" s="105">
        <v>6350.4</v>
      </c>
      <c r="AP29" s="105">
        <v>17</v>
      </c>
      <c r="AQ29" s="105">
        <v>3998.3999999999996</v>
      </c>
      <c r="AR29" s="105">
        <v>21</v>
      </c>
      <c r="AS29" s="105">
        <v>4939.2</v>
      </c>
      <c r="AT29" s="105">
        <v>21</v>
      </c>
      <c r="AU29" s="105">
        <v>4939.2</v>
      </c>
      <c r="AV29" s="105">
        <v>23</v>
      </c>
      <c r="AW29" s="105">
        <v>5409.5999999999995</v>
      </c>
      <c r="AX29" s="105">
        <v>24</v>
      </c>
      <c r="AY29" s="105">
        <v>5644.7999999999993</v>
      </c>
      <c r="AZ29" s="105">
        <v>18</v>
      </c>
      <c r="BA29" s="105">
        <v>4233.5999999999995</v>
      </c>
      <c r="BB29" s="105">
        <v>31</v>
      </c>
      <c r="BC29" s="105">
        <v>7291.2</v>
      </c>
      <c r="BD29" s="105">
        <v>18</v>
      </c>
      <c r="BE29" s="105">
        <v>4233.5999999999995</v>
      </c>
      <c r="BF29" s="105">
        <v>21</v>
      </c>
      <c r="BG29" s="105">
        <v>4939.2</v>
      </c>
      <c r="BH29" s="105">
        <v>27</v>
      </c>
      <c r="BI29" s="105">
        <v>6350.4</v>
      </c>
      <c r="BJ29" s="105">
        <v>30</v>
      </c>
      <c r="BK29" s="105">
        <v>7056</v>
      </c>
      <c r="BL29" s="105">
        <v>19</v>
      </c>
      <c r="BM29" s="105">
        <v>4468.8</v>
      </c>
      <c r="BN29" s="105">
        <v>29</v>
      </c>
      <c r="BO29" s="105">
        <v>6820.7999999999993</v>
      </c>
      <c r="BP29" s="105">
        <v>24</v>
      </c>
      <c r="BQ29" s="105">
        <v>5644.7999999999993</v>
      </c>
      <c r="BR29" s="105">
        <v>24</v>
      </c>
      <c r="BS29" s="105">
        <v>5644.7999999999993</v>
      </c>
      <c r="BT29" s="105">
        <v>21</v>
      </c>
      <c r="BU29" s="105">
        <v>4939.2</v>
      </c>
      <c r="BV29" s="105">
        <v>23</v>
      </c>
      <c r="BW29" s="105">
        <v>5409.5999999999995</v>
      </c>
      <c r="BX29" s="105">
        <v>33</v>
      </c>
      <c r="BY29" s="105">
        <v>7761.5999999999995</v>
      </c>
      <c r="BZ29" s="105">
        <v>25</v>
      </c>
      <c r="CA29" s="105">
        <v>5880</v>
      </c>
      <c r="CB29" s="105">
        <v>19</v>
      </c>
      <c r="CC29" s="105">
        <v>4468.8</v>
      </c>
      <c r="CD29" s="105">
        <v>25</v>
      </c>
      <c r="CE29" s="105">
        <v>5880</v>
      </c>
      <c r="CF29" s="105">
        <v>19</v>
      </c>
      <c r="CG29" s="105">
        <v>4468.8</v>
      </c>
      <c r="CH29" s="105">
        <v>20</v>
      </c>
      <c r="CI29" s="105">
        <v>4704</v>
      </c>
      <c r="CJ29" s="105">
        <v>29</v>
      </c>
      <c r="CK29" s="105">
        <v>6820.7999999999993</v>
      </c>
      <c r="CL29" s="105">
        <v>20</v>
      </c>
      <c r="CM29" s="105">
        <v>4704</v>
      </c>
      <c r="CN29" s="105">
        <v>17</v>
      </c>
      <c r="CO29" s="105">
        <v>3998.3999999999996</v>
      </c>
      <c r="CP29" s="105">
        <v>25</v>
      </c>
      <c r="CQ29" s="105">
        <v>5880</v>
      </c>
      <c r="CR29" s="105">
        <v>16</v>
      </c>
      <c r="CS29" s="105">
        <v>3763.2</v>
      </c>
      <c r="CT29" s="105">
        <v>20</v>
      </c>
      <c r="CU29" s="105">
        <v>4704</v>
      </c>
    </row>
    <row r="30" spans="2:99" x14ac:dyDescent="0.2">
      <c r="C30" s="104" t="s">
        <v>198</v>
      </c>
      <c r="D30" s="105">
        <v>16</v>
      </c>
      <c r="E30" s="105">
        <v>3705.6</v>
      </c>
      <c r="F30" s="105">
        <v>20</v>
      </c>
      <c r="G30" s="105">
        <v>4632</v>
      </c>
      <c r="H30" s="105">
        <v>18</v>
      </c>
      <c r="I30" s="105">
        <v>4168.8</v>
      </c>
      <c r="J30" s="105">
        <v>24</v>
      </c>
      <c r="K30" s="105">
        <v>5558.4</v>
      </c>
      <c r="L30" s="105">
        <v>24</v>
      </c>
      <c r="M30" s="105">
        <v>5558.4</v>
      </c>
      <c r="N30" s="105">
        <v>20</v>
      </c>
      <c r="O30" s="105">
        <v>4632</v>
      </c>
      <c r="P30" s="105">
        <v>21</v>
      </c>
      <c r="Q30" s="105">
        <v>4863.5999999999995</v>
      </c>
      <c r="R30" s="105">
        <v>26</v>
      </c>
      <c r="S30" s="105">
        <v>6021.5999999999995</v>
      </c>
      <c r="T30" s="105">
        <v>27</v>
      </c>
      <c r="U30" s="105">
        <v>6253.2</v>
      </c>
      <c r="V30" s="105">
        <v>18</v>
      </c>
      <c r="W30" s="105">
        <v>4168.8</v>
      </c>
      <c r="X30" s="105">
        <v>18</v>
      </c>
      <c r="Y30" s="105">
        <v>4168.8</v>
      </c>
      <c r="Z30" s="105">
        <v>24</v>
      </c>
      <c r="AA30" s="105">
        <v>5558.4</v>
      </c>
      <c r="AB30" s="105">
        <v>22</v>
      </c>
      <c r="AC30" s="105">
        <v>5095.2</v>
      </c>
      <c r="AD30" s="105">
        <v>21</v>
      </c>
      <c r="AE30" s="105">
        <v>4863.5999999999995</v>
      </c>
      <c r="AF30" s="105">
        <v>24</v>
      </c>
      <c r="AG30" s="105">
        <v>5558.4</v>
      </c>
      <c r="AH30" s="105">
        <v>21</v>
      </c>
      <c r="AI30" s="105">
        <v>4863.5999999999995</v>
      </c>
      <c r="AJ30" s="105">
        <v>27</v>
      </c>
      <c r="AK30" s="105">
        <v>6253.2</v>
      </c>
      <c r="AL30" s="105">
        <v>17</v>
      </c>
      <c r="AM30" s="105">
        <v>3937.2</v>
      </c>
      <c r="AN30" s="105">
        <v>24</v>
      </c>
      <c r="AO30" s="105">
        <v>5558.4</v>
      </c>
      <c r="AP30" s="105">
        <v>16</v>
      </c>
      <c r="AQ30" s="105">
        <v>3705.6</v>
      </c>
      <c r="AR30" s="105">
        <v>18</v>
      </c>
      <c r="AS30" s="105">
        <v>4168.8</v>
      </c>
      <c r="AT30" s="105">
        <v>22</v>
      </c>
      <c r="AU30" s="105">
        <v>5095.2</v>
      </c>
      <c r="AV30" s="105">
        <v>22</v>
      </c>
      <c r="AW30" s="105">
        <v>5095.2</v>
      </c>
      <c r="AX30" s="105">
        <v>22</v>
      </c>
      <c r="AY30" s="105">
        <v>5095.2</v>
      </c>
      <c r="AZ30" s="105">
        <v>18</v>
      </c>
      <c r="BA30" s="105">
        <v>4168.8</v>
      </c>
      <c r="BB30" s="105">
        <v>30</v>
      </c>
      <c r="BC30" s="105">
        <v>6948</v>
      </c>
      <c r="BD30" s="105">
        <v>17</v>
      </c>
      <c r="BE30" s="105">
        <v>3937.2</v>
      </c>
      <c r="BF30" s="105">
        <v>22</v>
      </c>
      <c r="BG30" s="105">
        <v>5095.2</v>
      </c>
      <c r="BH30" s="105">
        <v>24</v>
      </c>
      <c r="BI30" s="105">
        <v>5558.4</v>
      </c>
      <c r="BJ30" s="105">
        <v>31</v>
      </c>
      <c r="BK30" s="105">
        <v>7179.5999999999995</v>
      </c>
      <c r="BL30" s="105">
        <v>23</v>
      </c>
      <c r="BM30" s="105">
        <v>5326.8</v>
      </c>
      <c r="BN30" s="105">
        <v>29</v>
      </c>
      <c r="BO30" s="105">
        <v>6716.4</v>
      </c>
      <c r="BP30" s="105">
        <v>23</v>
      </c>
      <c r="BQ30" s="105">
        <v>5326.8</v>
      </c>
      <c r="BR30" s="105">
        <v>24</v>
      </c>
      <c r="BS30" s="105">
        <v>5558.4</v>
      </c>
      <c r="BT30" s="105">
        <v>23</v>
      </c>
      <c r="BU30" s="105">
        <v>5326.8</v>
      </c>
      <c r="BV30" s="105">
        <v>24</v>
      </c>
      <c r="BW30" s="105">
        <v>5558.4</v>
      </c>
      <c r="BX30" s="105">
        <v>34</v>
      </c>
      <c r="BY30" s="105">
        <v>7874.4</v>
      </c>
      <c r="BZ30" s="105">
        <v>26</v>
      </c>
      <c r="CA30" s="105">
        <v>6021.5999999999995</v>
      </c>
      <c r="CB30" s="105">
        <v>20</v>
      </c>
      <c r="CC30" s="105">
        <v>4632</v>
      </c>
      <c r="CD30" s="105">
        <v>27</v>
      </c>
      <c r="CE30" s="105">
        <v>6253.2</v>
      </c>
      <c r="CF30" s="105">
        <v>17</v>
      </c>
      <c r="CG30" s="105">
        <v>3937.2</v>
      </c>
      <c r="CH30" s="105">
        <v>20</v>
      </c>
      <c r="CI30" s="105">
        <v>4632</v>
      </c>
      <c r="CJ30" s="105">
        <v>32</v>
      </c>
      <c r="CK30" s="105">
        <v>7411.2</v>
      </c>
      <c r="CL30" s="105">
        <v>17</v>
      </c>
      <c r="CM30" s="105">
        <v>3937.2</v>
      </c>
      <c r="CN30" s="105">
        <v>15</v>
      </c>
      <c r="CO30" s="105">
        <v>3474</v>
      </c>
      <c r="CP30" s="105">
        <v>27</v>
      </c>
      <c r="CQ30" s="105">
        <v>6253.2</v>
      </c>
      <c r="CR30" s="105">
        <v>18</v>
      </c>
      <c r="CS30" s="105">
        <v>4168.8</v>
      </c>
      <c r="CT30" s="105">
        <v>18</v>
      </c>
      <c r="CU30" s="105">
        <v>4168.8</v>
      </c>
    </row>
    <row r="31" spans="2:99" x14ac:dyDescent="0.2">
      <c r="C31" s="104" t="s">
        <v>199</v>
      </c>
      <c r="D31" s="105">
        <v>16</v>
      </c>
      <c r="E31" s="105">
        <v>2841.6</v>
      </c>
      <c r="F31" s="105">
        <v>18</v>
      </c>
      <c r="G31" s="105">
        <v>3196.7999999999997</v>
      </c>
      <c r="H31" s="105">
        <v>16</v>
      </c>
      <c r="I31" s="105">
        <v>2841.6</v>
      </c>
      <c r="J31" s="105">
        <v>23</v>
      </c>
      <c r="K31" s="105">
        <v>4084.7999999999997</v>
      </c>
      <c r="L31" s="105">
        <v>24</v>
      </c>
      <c r="M31" s="105">
        <v>4262.3999999999996</v>
      </c>
      <c r="N31" s="105">
        <v>23</v>
      </c>
      <c r="O31" s="105">
        <v>4084.7999999999997</v>
      </c>
      <c r="P31" s="105">
        <v>21</v>
      </c>
      <c r="Q31" s="105">
        <v>3729.6</v>
      </c>
      <c r="R31" s="105">
        <v>27</v>
      </c>
      <c r="S31" s="105">
        <v>4795.2</v>
      </c>
      <c r="T31" s="105">
        <v>30</v>
      </c>
      <c r="U31" s="105">
        <v>5328</v>
      </c>
      <c r="V31" s="105">
        <v>15</v>
      </c>
      <c r="W31" s="105">
        <v>2664</v>
      </c>
      <c r="X31" s="105">
        <v>17</v>
      </c>
      <c r="Y31" s="105">
        <v>3019.2</v>
      </c>
      <c r="Z31" s="105">
        <v>22</v>
      </c>
      <c r="AA31" s="105">
        <v>3907.2</v>
      </c>
      <c r="AB31" s="105">
        <v>23</v>
      </c>
      <c r="AC31" s="105">
        <v>4084.7999999999997</v>
      </c>
      <c r="AD31" s="105">
        <v>22</v>
      </c>
      <c r="AE31" s="105">
        <v>3907.2</v>
      </c>
      <c r="AF31" s="105">
        <v>25</v>
      </c>
      <c r="AG31" s="105">
        <v>4440</v>
      </c>
      <c r="AH31" s="105">
        <v>22</v>
      </c>
      <c r="AI31" s="105">
        <v>3907.2</v>
      </c>
      <c r="AJ31" s="105">
        <v>27</v>
      </c>
      <c r="AK31" s="105">
        <v>4795.2</v>
      </c>
      <c r="AL31" s="105">
        <v>17</v>
      </c>
      <c r="AM31" s="105">
        <v>3019.2</v>
      </c>
      <c r="AN31" s="105">
        <v>24</v>
      </c>
      <c r="AO31" s="105">
        <v>4262.3999999999996</v>
      </c>
      <c r="AP31" s="105">
        <v>16</v>
      </c>
      <c r="AQ31" s="105">
        <v>2841.6</v>
      </c>
      <c r="AR31" s="105">
        <v>20</v>
      </c>
      <c r="AS31" s="105">
        <v>3552</v>
      </c>
      <c r="AT31" s="105">
        <v>20</v>
      </c>
      <c r="AU31" s="105">
        <v>3552</v>
      </c>
      <c r="AV31" s="105">
        <v>24</v>
      </c>
      <c r="AW31" s="105">
        <v>4262.3999999999996</v>
      </c>
      <c r="AX31" s="105">
        <v>24</v>
      </c>
      <c r="AY31" s="105">
        <v>4262.3999999999996</v>
      </c>
      <c r="AZ31" s="105">
        <v>19</v>
      </c>
      <c r="BA31" s="105">
        <v>3374.4</v>
      </c>
      <c r="BB31" s="105">
        <v>31</v>
      </c>
      <c r="BC31" s="105">
        <v>5505.5999999999995</v>
      </c>
      <c r="BD31" s="105">
        <v>20</v>
      </c>
      <c r="BE31" s="105">
        <v>3552</v>
      </c>
      <c r="BF31" s="105">
        <v>23</v>
      </c>
      <c r="BG31" s="105">
        <v>4084.7999999999997</v>
      </c>
      <c r="BH31" s="105">
        <v>27</v>
      </c>
      <c r="BI31" s="105">
        <v>4795.2</v>
      </c>
      <c r="BJ31" s="105">
        <v>29</v>
      </c>
      <c r="BK31" s="105">
        <v>5150.3999999999996</v>
      </c>
      <c r="BL31" s="105">
        <v>22</v>
      </c>
      <c r="BM31" s="105">
        <v>3907.2</v>
      </c>
      <c r="BN31" s="105">
        <v>33</v>
      </c>
      <c r="BO31" s="105">
        <v>5860.8</v>
      </c>
      <c r="BP31" s="105">
        <v>28</v>
      </c>
      <c r="BQ31" s="105">
        <v>4972.8</v>
      </c>
      <c r="BR31" s="105">
        <v>23</v>
      </c>
      <c r="BS31" s="105">
        <v>4084.7999999999997</v>
      </c>
      <c r="BT31" s="105">
        <v>21</v>
      </c>
      <c r="BU31" s="105">
        <v>3729.6</v>
      </c>
      <c r="BV31" s="105">
        <v>22</v>
      </c>
      <c r="BW31" s="105">
        <v>3907.2</v>
      </c>
      <c r="BX31" s="105">
        <v>31</v>
      </c>
      <c r="BY31" s="105">
        <v>5505.5999999999995</v>
      </c>
      <c r="BZ31" s="105">
        <v>27</v>
      </c>
      <c r="CA31" s="105">
        <v>4795.2</v>
      </c>
      <c r="CB31" s="105">
        <v>17</v>
      </c>
      <c r="CC31" s="105">
        <v>3019.2</v>
      </c>
      <c r="CD31" s="105">
        <v>25</v>
      </c>
      <c r="CE31" s="105">
        <v>4440</v>
      </c>
      <c r="CF31" s="105">
        <v>17</v>
      </c>
      <c r="CG31" s="105">
        <v>3019.2</v>
      </c>
      <c r="CH31" s="105">
        <v>19</v>
      </c>
      <c r="CI31" s="105">
        <v>3374.4</v>
      </c>
      <c r="CJ31" s="105">
        <v>30</v>
      </c>
      <c r="CK31" s="105">
        <v>5328</v>
      </c>
      <c r="CL31" s="105">
        <v>19</v>
      </c>
      <c r="CM31" s="105">
        <v>3374.4</v>
      </c>
      <c r="CN31" s="105">
        <v>16</v>
      </c>
      <c r="CO31" s="105">
        <v>2841.6</v>
      </c>
      <c r="CP31" s="105">
        <v>26</v>
      </c>
      <c r="CQ31" s="105">
        <v>4617.5999999999995</v>
      </c>
      <c r="CR31" s="105">
        <v>17</v>
      </c>
      <c r="CS31" s="105">
        <v>3019.2</v>
      </c>
      <c r="CT31" s="105">
        <v>19</v>
      </c>
      <c r="CU31" s="105">
        <v>3374.4</v>
      </c>
    </row>
    <row r="32" spans="2:99" x14ac:dyDescent="0.2">
      <c r="C32" s="104" t="s">
        <v>200</v>
      </c>
      <c r="D32" s="105">
        <v>14</v>
      </c>
      <c r="E32" s="105">
        <v>9290.4</v>
      </c>
      <c r="F32" s="105">
        <v>20</v>
      </c>
      <c r="G32" s="105">
        <v>13272</v>
      </c>
      <c r="H32" s="105">
        <v>17</v>
      </c>
      <c r="I32" s="105">
        <v>11281.2</v>
      </c>
      <c r="J32" s="105">
        <v>22</v>
      </c>
      <c r="K32" s="105">
        <v>14599.2</v>
      </c>
      <c r="L32" s="105">
        <v>24</v>
      </c>
      <c r="M32" s="105">
        <v>15926.400000000001</v>
      </c>
      <c r="N32" s="105">
        <v>19</v>
      </c>
      <c r="O32" s="105">
        <v>12608.4</v>
      </c>
      <c r="P32" s="105">
        <v>20</v>
      </c>
      <c r="Q32" s="105">
        <v>13272</v>
      </c>
      <c r="R32" s="105">
        <v>26</v>
      </c>
      <c r="S32" s="105">
        <v>17253.600000000002</v>
      </c>
      <c r="T32" s="105">
        <v>26</v>
      </c>
      <c r="U32" s="105">
        <v>17253.600000000002</v>
      </c>
      <c r="V32" s="105">
        <v>14</v>
      </c>
      <c r="W32" s="105">
        <v>9290.4</v>
      </c>
      <c r="X32" s="105">
        <v>20</v>
      </c>
      <c r="Y32" s="105">
        <v>13272</v>
      </c>
      <c r="Z32" s="105">
        <v>21</v>
      </c>
      <c r="AA32" s="105">
        <v>13935.6</v>
      </c>
      <c r="AB32" s="105">
        <v>21</v>
      </c>
      <c r="AC32" s="105">
        <v>13935.6</v>
      </c>
      <c r="AD32" s="105">
        <v>18</v>
      </c>
      <c r="AE32" s="105">
        <v>11944.800000000001</v>
      </c>
      <c r="AF32" s="105">
        <v>23</v>
      </c>
      <c r="AG32" s="105">
        <v>15262.800000000001</v>
      </c>
      <c r="AH32" s="105">
        <v>22</v>
      </c>
      <c r="AI32" s="105">
        <v>14599.2</v>
      </c>
      <c r="AJ32" s="105">
        <v>23</v>
      </c>
      <c r="AK32" s="105">
        <v>15262.800000000001</v>
      </c>
      <c r="AL32" s="105">
        <v>18</v>
      </c>
      <c r="AM32" s="105">
        <v>11944.800000000001</v>
      </c>
      <c r="AN32" s="105">
        <v>23</v>
      </c>
      <c r="AO32" s="105">
        <v>15262.800000000001</v>
      </c>
      <c r="AP32" s="105">
        <v>16</v>
      </c>
      <c r="AQ32" s="105">
        <v>10617.6</v>
      </c>
      <c r="AR32" s="105">
        <v>20</v>
      </c>
      <c r="AS32" s="105">
        <v>13272</v>
      </c>
      <c r="AT32" s="105">
        <v>20</v>
      </c>
      <c r="AU32" s="105">
        <v>13272</v>
      </c>
      <c r="AV32" s="105">
        <v>21</v>
      </c>
      <c r="AW32" s="105">
        <v>13935.6</v>
      </c>
      <c r="AX32" s="105">
        <v>25</v>
      </c>
      <c r="AY32" s="105">
        <v>16590</v>
      </c>
      <c r="AZ32" s="105">
        <v>19</v>
      </c>
      <c r="BA32" s="105">
        <v>12608.4</v>
      </c>
      <c r="BB32" s="105">
        <v>27</v>
      </c>
      <c r="BC32" s="105">
        <v>17917.2</v>
      </c>
      <c r="BD32" s="105">
        <v>18</v>
      </c>
      <c r="BE32" s="105">
        <v>11944.800000000001</v>
      </c>
      <c r="BF32" s="105">
        <v>21</v>
      </c>
      <c r="BG32" s="105">
        <v>13935.6</v>
      </c>
      <c r="BH32" s="105">
        <v>26</v>
      </c>
      <c r="BI32" s="105">
        <v>17253.600000000002</v>
      </c>
      <c r="BJ32" s="105">
        <v>31</v>
      </c>
      <c r="BK32" s="105">
        <v>20571.600000000002</v>
      </c>
      <c r="BL32" s="105">
        <v>20</v>
      </c>
      <c r="BM32" s="105">
        <v>13272</v>
      </c>
      <c r="BN32" s="105">
        <v>28</v>
      </c>
      <c r="BO32" s="105">
        <v>18580.8</v>
      </c>
      <c r="BP32" s="105">
        <v>27</v>
      </c>
      <c r="BQ32" s="105">
        <v>17917.2</v>
      </c>
      <c r="BR32" s="105">
        <v>22</v>
      </c>
      <c r="BS32" s="105">
        <v>14599.2</v>
      </c>
      <c r="BT32" s="105">
        <v>21</v>
      </c>
      <c r="BU32" s="105">
        <v>13935.6</v>
      </c>
      <c r="BV32" s="105">
        <v>20</v>
      </c>
      <c r="BW32" s="105">
        <v>13272</v>
      </c>
      <c r="BX32" s="105">
        <v>28</v>
      </c>
      <c r="BY32" s="105">
        <v>18580.8</v>
      </c>
      <c r="BZ32" s="105">
        <v>26</v>
      </c>
      <c r="CA32" s="105">
        <v>17253.600000000002</v>
      </c>
      <c r="CB32" s="105">
        <v>16</v>
      </c>
      <c r="CC32" s="105">
        <v>10617.6</v>
      </c>
      <c r="CD32" s="105">
        <v>25</v>
      </c>
      <c r="CE32" s="105">
        <v>16590</v>
      </c>
      <c r="CF32" s="105">
        <v>17</v>
      </c>
      <c r="CG32" s="105">
        <v>11281.2</v>
      </c>
      <c r="CH32" s="105">
        <v>21</v>
      </c>
      <c r="CI32" s="105">
        <v>13935.6</v>
      </c>
      <c r="CJ32" s="105">
        <v>27</v>
      </c>
      <c r="CK32" s="105">
        <v>17917.2</v>
      </c>
      <c r="CL32" s="105">
        <v>12.020478761985162</v>
      </c>
      <c r="CM32" s="105">
        <v>7976.7897064533536</v>
      </c>
      <c r="CN32" s="105">
        <v>9.6867310322393543</v>
      </c>
      <c r="CO32" s="105">
        <v>6428.1147129940355</v>
      </c>
      <c r="CP32" s="105">
        <v>4.8265247864636915</v>
      </c>
      <c r="CQ32" s="105">
        <v>3202.8818482973056</v>
      </c>
      <c r="CR32" s="105">
        <v>2.4989249777038438</v>
      </c>
      <c r="CS32" s="105">
        <v>1658.2866152042709</v>
      </c>
      <c r="CT32" s="105">
        <v>0</v>
      </c>
      <c r="CU32" s="105">
        <v>0</v>
      </c>
    </row>
    <row r="33" spans="2:99" x14ac:dyDescent="0.2">
      <c r="C33" s="104" t="s">
        <v>201</v>
      </c>
      <c r="D33" s="105">
        <v>15</v>
      </c>
      <c r="E33" s="105">
        <v>5022</v>
      </c>
      <c r="F33" s="105">
        <v>18</v>
      </c>
      <c r="G33" s="105">
        <v>6026.4000000000005</v>
      </c>
      <c r="H33" s="105">
        <v>17</v>
      </c>
      <c r="I33" s="105">
        <v>5691.6</v>
      </c>
      <c r="J33" s="105">
        <v>20</v>
      </c>
      <c r="K33" s="105">
        <v>6696</v>
      </c>
      <c r="L33" s="105">
        <v>26</v>
      </c>
      <c r="M33" s="105">
        <v>8704.8000000000011</v>
      </c>
      <c r="N33" s="105">
        <v>20</v>
      </c>
      <c r="O33" s="105">
        <v>6696</v>
      </c>
      <c r="P33" s="105">
        <v>19</v>
      </c>
      <c r="Q33" s="105">
        <v>6361.2</v>
      </c>
      <c r="R33" s="105">
        <v>26</v>
      </c>
      <c r="S33" s="105">
        <v>8704.8000000000011</v>
      </c>
      <c r="T33" s="105">
        <v>27</v>
      </c>
      <c r="U33" s="105">
        <v>9039.6</v>
      </c>
      <c r="V33" s="105">
        <v>15</v>
      </c>
      <c r="W33" s="105">
        <v>5022</v>
      </c>
      <c r="X33" s="105">
        <v>17</v>
      </c>
      <c r="Y33" s="105">
        <v>5691.6</v>
      </c>
      <c r="Z33" s="105">
        <v>26</v>
      </c>
      <c r="AA33" s="105">
        <v>8704.8000000000011</v>
      </c>
      <c r="AB33" s="105">
        <v>24</v>
      </c>
      <c r="AC33" s="105">
        <v>8035.2000000000007</v>
      </c>
      <c r="AD33" s="105">
        <v>22</v>
      </c>
      <c r="AE33" s="105">
        <v>7365.6</v>
      </c>
      <c r="AF33" s="105">
        <v>23</v>
      </c>
      <c r="AG33" s="105">
        <v>7700.4000000000005</v>
      </c>
      <c r="AH33" s="105">
        <v>22</v>
      </c>
      <c r="AI33" s="105">
        <v>7365.6</v>
      </c>
      <c r="AJ33" s="105">
        <v>24</v>
      </c>
      <c r="AK33" s="105">
        <v>8035.2000000000007</v>
      </c>
      <c r="AL33" s="105">
        <v>17</v>
      </c>
      <c r="AM33" s="105">
        <v>5691.6</v>
      </c>
      <c r="AN33" s="105">
        <v>28</v>
      </c>
      <c r="AO33" s="105">
        <v>9374.4</v>
      </c>
      <c r="AP33" s="105">
        <v>17</v>
      </c>
      <c r="AQ33" s="105">
        <v>5691.6</v>
      </c>
      <c r="AR33" s="105">
        <v>18</v>
      </c>
      <c r="AS33" s="105">
        <v>6026.4000000000005</v>
      </c>
      <c r="AT33" s="105">
        <v>23</v>
      </c>
      <c r="AU33" s="105">
        <v>7700.4000000000005</v>
      </c>
      <c r="AV33" s="105">
        <v>21</v>
      </c>
      <c r="AW33" s="105">
        <v>7030.8</v>
      </c>
      <c r="AX33" s="105">
        <v>22</v>
      </c>
      <c r="AY33" s="105">
        <v>7365.6</v>
      </c>
      <c r="AZ33" s="105">
        <v>21</v>
      </c>
      <c r="BA33" s="105">
        <v>7030.8</v>
      </c>
      <c r="BB33" s="105">
        <v>29</v>
      </c>
      <c r="BC33" s="105">
        <v>9709.2000000000007</v>
      </c>
      <c r="BD33" s="105">
        <v>19</v>
      </c>
      <c r="BE33" s="105">
        <v>6361.2</v>
      </c>
      <c r="BF33" s="105">
        <v>22</v>
      </c>
      <c r="BG33" s="105">
        <v>7365.6</v>
      </c>
      <c r="BH33" s="105">
        <v>25</v>
      </c>
      <c r="BI33" s="105">
        <v>8370</v>
      </c>
      <c r="BJ33" s="105">
        <v>31</v>
      </c>
      <c r="BK33" s="105">
        <v>10378.800000000001</v>
      </c>
      <c r="BL33" s="105">
        <v>21</v>
      </c>
      <c r="BM33" s="105">
        <v>7030.8</v>
      </c>
      <c r="BN33" s="105">
        <v>29</v>
      </c>
      <c r="BO33" s="105">
        <v>9709.2000000000007</v>
      </c>
      <c r="BP33" s="105">
        <v>27</v>
      </c>
      <c r="BQ33" s="105">
        <v>9039.6</v>
      </c>
      <c r="BR33" s="105">
        <v>22</v>
      </c>
      <c r="BS33" s="105">
        <v>7365.6</v>
      </c>
      <c r="BT33" s="105">
        <v>21</v>
      </c>
      <c r="BU33" s="105">
        <v>7030.8</v>
      </c>
      <c r="BV33" s="105">
        <v>24</v>
      </c>
      <c r="BW33" s="105">
        <v>8035.2000000000007</v>
      </c>
      <c r="BX33" s="105">
        <v>32</v>
      </c>
      <c r="BY33" s="105">
        <v>10713.6</v>
      </c>
      <c r="BZ33" s="105">
        <v>25</v>
      </c>
      <c r="CA33" s="105">
        <v>8370</v>
      </c>
      <c r="CB33" s="105">
        <v>19</v>
      </c>
      <c r="CC33" s="105">
        <v>6361.2</v>
      </c>
      <c r="CD33" s="105">
        <v>27</v>
      </c>
      <c r="CE33" s="105">
        <v>9039.6</v>
      </c>
      <c r="CF33" s="105">
        <v>17</v>
      </c>
      <c r="CG33" s="105">
        <v>5691.6</v>
      </c>
      <c r="CH33" s="105">
        <v>20</v>
      </c>
      <c r="CI33" s="105">
        <v>6696</v>
      </c>
      <c r="CJ33" s="105">
        <v>32</v>
      </c>
      <c r="CK33" s="105">
        <v>10713.6</v>
      </c>
      <c r="CL33" s="105">
        <v>21</v>
      </c>
      <c r="CM33" s="105">
        <v>7030.8</v>
      </c>
      <c r="CN33" s="105">
        <v>17</v>
      </c>
      <c r="CO33" s="105">
        <v>5691.6</v>
      </c>
      <c r="CP33" s="105">
        <v>26</v>
      </c>
      <c r="CQ33" s="105">
        <v>8704.8000000000011</v>
      </c>
      <c r="CR33" s="105">
        <v>18</v>
      </c>
      <c r="CS33" s="105">
        <v>6026.4000000000005</v>
      </c>
      <c r="CT33" s="105">
        <v>18</v>
      </c>
      <c r="CU33" s="105">
        <v>6026.4000000000005</v>
      </c>
    </row>
    <row r="34" spans="2:99" x14ac:dyDescent="0.2">
      <c r="C34" s="104" t="s">
        <v>202</v>
      </c>
      <c r="D34" s="105">
        <v>14</v>
      </c>
      <c r="E34" s="105">
        <v>5325.5999999999995</v>
      </c>
      <c r="F34" s="105">
        <v>20</v>
      </c>
      <c r="G34" s="105">
        <v>7608</v>
      </c>
      <c r="H34" s="105">
        <v>17</v>
      </c>
      <c r="I34" s="105">
        <v>6466.7999999999993</v>
      </c>
      <c r="J34" s="105">
        <v>21</v>
      </c>
      <c r="K34" s="105">
        <v>7988.4</v>
      </c>
      <c r="L34" s="105">
        <v>25</v>
      </c>
      <c r="M34" s="105">
        <v>9510</v>
      </c>
      <c r="N34" s="105">
        <v>20</v>
      </c>
      <c r="O34" s="105">
        <v>7608</v>
      </c>
      <c r="P34" s="105">
        <v>19</v>
      </c>
      <c r="Q34" s="105">
        <v>7227.5999999999995</v>
      </c>
      <c r="R34" s="105">
        <v>24</v>
      </c>
      <c r="S34" s="105">
        <v>9129.5999999999985</v>
      </c>
      <c r="T34" s="105">
        <v>29</v>
      </c>
      <c r="U34" s="105">
        <v>11031.599999999999</v>
      </c>
      <c r="V34" s="105">
        <v>17</v>
      </c>
      <c r="W34" s="105">
        <v>6466.7999999999993</v>
      </c>
      <c r="X34" s="105">
        <v>17</v>
      </c>
      <c r="Y34" s="105">
        <v>6466.7999999999993</v>
      </c>
      <c r="Z34" s="105">
        <v>23</v>
      </c>
      <c r="AA34" s="105">
        <v>8749.1999999999989</v>
      </c>
      <c r="AB34" s="105">
        <v>22</v>
      </c>
      <c r="AC34" s="105">
        <v>8368.7999999999993</v>
      </c>
      <c r="AD34" s="105">
        <v>21</v>
      </c>
      <c r="AE34" s="105">
        <v>7988.4</v>
      </c>
      <c r="AF34" s="105">
        <v>22</v>
      </c>
      <c r="AG34" s="105">
        <v>8368.7999999999993</v>
      </c>
      <c r="AH34" s="105">
        <v>24</v>
      </c>
      <c r="AI34" s="105">
        <v>9129.5999999999985</v>
      </c>
      <c r="AJ34" s="105">
        <v>27</v>
      </c>
      <c r="AK34" s="105">
        <v>10270.799999999999</v>
      </c>
      <c r="AL34" s="105">
        <v>18</v>
      </c>
      <c r="AM34" s="105">
        <v>6847.2</v>
      </c>
      <c r="AN34" s="105">
        <v>26</v>
      </c>
      <c r="AO34" s="105">
        <v>9890.4</v>
      </c>
      <c r="AP34" s="105">
        <v>16</v>
      </c>
      <c r="AQ34" s="105">
        <v>6086.4</v>
      </c>
      <c r="AR34" s="105">
        <v>19</v>
      </c>
      <c r="AS34" s="105">
        <v>7227.5999999999995</v>
      </c>
      <c r="AT34" s="105">
        <v>23</v>
      </c>
      <c r="AU34" s="105">
        <v>8749.1999999999989</v>
      </c>
      <c r="AV34" s="105">
        <v>22</v>
      </c>
      <c r="AW34" s="105">
        <v>8368.7999999999993</v>
      </c>
      <c r="AX34" s="105">
        <v>25</v>
      </c>
      <c r="AY34" s="105">
        <v>9510</v>
      </c>
      <c r="AZ34" s="105">
        <v>21</v>
      </c>
      <c r="BA34" s="105">
        <v>7988.4</v>
      </c>
      <c r="BB34" s="105">
        <v>29</v>
      </c>
      <c r="BC34" s="105">
        <v>11031.599999999999</v>
      </c>
      <c r="BD34" s="105">
        <v>19</v>
      </c>
      <c r="BE34" s="105">
        <v>7227.5999999999995</v>
      </c>
      <c r="BF34" s="105">
        <v>24</v>
      </c>
      <c r="BG34" s="105">
        <v>9129.5999999999985</v>
      </c>
      <c r="BH34" s="105">
        <v>23</v>
      </c>
      <c r="BI34" s="105">
        <v>8749.1999999999989</v>
      </c>
      <c r="BJ34" s="105">
        <v>27</v>
      </c>
      <c r="BK34" s="105">
        <v>10270.799999999999</v>
      </c>
      <c r="BL34" s="105">
        <v>22</v>
      </c>
      <c r="BM34" s="105">
        <v>8368.7999999999993</v>
      </c>
      <c r="BN34" s="105">
        <v>29</v>
      </c>
      <c r="BO34" s="105">
        <v>11031.599999999999</v>
      </c>
      <c r="BP34" s="105">
        <v>25</v>
      </c>
      <c r="BQ34" s="105">
        <v>9510</v>
      </c>
      <c r="BR34" s="105">
        <v>23</v>
      </c>
      <c r="BS34" s="105">
        <v>8749.1999999999989</v>
      </c>
      <c r="BT34" s="105">
        <v>21</v>
      </c>
      <c r="BU34" s="105">
        <v>7988.4</v>
      </c>
      <c r="BV34" s="105">
        <v>21</v>
      </c>
      <c r="BW34" s="105">
        <v>7988.4</v>
      </c>
      <c r="BX34" s="105">
        <v>34</v>
      </c>
      <c r="BY34" s="105">
        <v>12933.599999999999</v>
      </c>
      <c r="BZ34" s="105">
        <v>28</v>
      </c>
      <c r="CA34" s="105">
        <v>10651.199999999999</v>
      </c>
      <c r="CB34" s="105">
        <v>18</v>
      </c>
      <c r="CC34" s="105">
        <v>6847.2</v>
      </c>
      <c r="CD34" s="105">
        <v>28</v>
      </c>
      <c r="CE34" s="105">
        <v>10651.199999999999</v>
      </c>
      <c r="CF34" s="105">
        <v>17</v>
      </c>
      <c r="CG34" s="105">
        <v>6466.7999999999993</v>
      </c>
      <c r="CH34" s="105">
        <v>19</v>
      </c>
      <c r="CI34" s="105">
        <v>7227.5999999999995</v>
      </c>
      <c r="CJ34" s="105">
        <v>29</v>
      </c>
      <c r="CK34" s="105">
        <v>11031.599999999999</v>
      </c>
      <c r="CL34" s="105">
        <v>19</v>
      </c>
      <c r="CM34" s="105">
        <v>7227.5999999999995</v>
      </c>
      <c r="CN34" s="105">
        <v>15</v>
      </c>
      <c r="CO34" s="105">
        <v>5706</v>
      </c>
      <c r="CP34" s="105">
        <v>27</v>
      </c>
      <c r="CQ34" s="105">
        <v>10270.799999999999</v>
      </c>
      <c r="CR34" s="105">
        <v>17</v>
      </c>
      <c r="CS34" s="105">
        <v>6466.7999999999993</v>
      </c>
      <c r="CT34" s="105">
        <v>21</v>
      </c>
      <c r="CU34" s="105">
        <v>7988.4</v>
      </c>
    </row>
    <row r="35" spans="2:99" x14ac:dyDescent="0.2">
      <c r="C35" s="104" t="s">
        <v>203</v>
      </c>
      <c r="D35" s="105">
        <v>15</v>
      </c>
      <c r="E35" s="105">
        <v>6156</v>
      </c>
      <c r="F35" s="105">
        <v>19</v>
      </c>
      <c r="G35" s="105">
        <v>7797.5999999999995</v>
      </c>
      <c r="H35" s="105">
        <v>16</v>
      </c>
      <c r="I35" s="105">
        <v>6566.4</v>
      </c>
      <c r="J35" s="105">
        <v>20</v>
      </c>
      <c r="K35" s="105">
        <v>8208</v>
      </c>
      <c r="L35" s="105">
        <v>25</v>
      </c>
      <c r="M35" s="105">
        <v>10260</v>
      </c>
      <c r="N35" s="105">
        <v>19</v>
      </c>
      <c r="O35" s="105">
        <v>7797.5999999999995</v>
      </c>
      <c r="P35" s="105">
        <v>19</v>
      </c>
      <c r="Q35" s="105">
        <v>7797.5999999999995</v>
      </c>
      <c r="R35" s="105">
        <v>24</v>
      </c>
      <c r="S35" s="105">
        <v>9849.5999999999985</v>
      </c>
      <c r="T35" s="105">
        <v>25</v>
      </c>
      <c r="U35" s="105">
        <v>10260</v>
      </c>
      <c r="V35" s="105">
        <v>17</v>
      </c>
      <c r="W35" s="105">
        <v>6976.7999999999993</v>
      </c>
      <c r="X35" s="105">
        <v>17</v>
      </c>
      <c r="Y35" s="105">
        <v>6976.7999999999993</v>
      </c>
      <c r="Z35" s="105">
        <v>25</v>
      </c>
      <c r="AA35" s="105">
        <v>10260</v>
      </c>
      <c r="AB35" s="105">
        <v>25</v>
      </c>
      <c r="AC35" s="105">
        <v>10260</v>
      </c>
      <c r="AD35" s="105">
        <v>20</v>
      </c>
      <c r="AE35" s="105">
        <v>8208</v>
      </c>
      <c r="AF35" s="105">
        <v>26</v>
      </c>
      <c r="AG35" s="105">
        <v>10670.4</v>
      </c>
      <c r="AH35" s="105">
        <v>21</v>
      </c>
      <c r="AI35" s="105">
        <v>8618.4</v>
      </c>
      <c r="AJ35" s="105">
        <v>25</v>
      </c>
      <c r="AK35" s="105">
        <v>10260</v>
      </c>
      <c r="AL35" s="105">
        <v>16</v>
      </c>
      <c r="AM35" s="105">
        <v>6566.4</v>
      </c>
      <c r="AN35" s="105">
        <v>26</v>
      </c>
      <c r="AO35" s="105">
        <v>10670.4</v>
      </c>
      <c r="AP35" s="105">
        <v>16</v>
      </c>
      <c r="AQ35" s="105">
        <v>6566.4</v>
      </c>
      <c r="AR35" s="105">
        <v>19</v>
      </c>
      <c r="AS35" s="105">
        <v>7797.5999999999995</v>
      </c>
      <c r="AT35" s="105">
        <v>21</v>
      </c>
      <c r="AU35" s="105">
        <v>8618.4</v>
      </c>
      <c r="AV35" s="105">
        <v>21</v>
      </c>
      <c r="AW35" s="105">
        <v>8618.4</v>
      </c>
      <c r="AX35" s="105">
        <v>25</v>
      </c>
      <c r="AY35" s="105">
        <v>10260</v>
      </c>
      <c r="AZ35" s="105">
        <v>19</v>
      </c>
      <c r="BA35" s="105">
        <v>7797.5999999999995</v>
      </c>
      <c r="BB35" s="105">
        <v>32</v>
      </c>
      <c r="BC35" s="105">
        <v>13132.8</v>
      </c>
      <c r="BD35" s="105">
        <v>19</v>
      </c>
      <c r="BE35" s="105">
        <v>7797.5999999999995</v>
      </c>
      <c r="BF35" s="105">
        <v>25</v>
      </c>
      <c r="BG35" s="105">
        <v>10260</v>
      </c>
      <c r="BH35" s="105">
        <v>24</v>
      </c>
      <c r="BI35" s="105">
        <v>9849.5999999999985</v>
      </c>
      <c r="BJ35" s="105">
        <v>27</v>
      </c>
      <c r="BK35" s="105">
        <v>11080.8</v>
      </c>
      <c r="BL35" s="105">
        <v>19</v>
      </c>
      <c r="BM35" s="105">
        <v>7797.5999999999995</v>
      </c>
      <c r="BN35" s="105">
        <v>28</v>
      </c>
      <c r="BO35" s="105">
        <v>11491.199999999999</v>
      </c>
      <c r="BP35" s="105">
        <v>27</v>
      </c>
      <c r="BQ35" s="105">
        <v>11080.8</v>
      </c>
      <c r="BR35" s="105">
        <v>23</v>
      </c>
      <c r="BS35" s="105">
        <v>9439.1999999999989</v>
      </c>
      <c r="BT35" s="105">
        <v>21</v>
      </c>
      <c r="BU35" s="105">
        <v>8618.4</v>
      </c>
      <c r="BV35" s="105">
        <v>20</v>
      </c>
      <c r="BW35" s="105">
        <v>8208</v>
      </c>
      <c r="BX35" s="105">
        <v>28</v>
      </c>
      <c r="BY35" s="105">
        <v>11491.199999999999</v>
      </c>
      <c r="BZ35" s="105">
        <v>27</v>
      </c>
      <c r="CA35" s="105">
        <v>11080.8</v>
      </c>
      <c r="CB35" s="105">
        <v>20</v>
      </c>
      <c r="CC35" s="105">
        <v>8208</v>
      </c>
      <c r="CD35" s="105">
        <v>25</v>
      </c>
      <c r="CE35" s="105">
        <v>10260</v>
      </c>
      <c r="CF35" s="105">
        <v>17</v>
      </c>
      <c r="CG35" s="105">
        <v>6976.7999999999993</v>
      </c>
      <c r="CH35" s="105">
        <v>23</v>
      </c>
      <c r="CI35" s="105">
        <v>9439.1999999999989</v>
      </c>
      <c r="CJ35" s="105">
        <v>30</v>
      </c>
      <c r="CK35" s="105">
        <v>12312</v>
      </c>
      <c r="CL35" s="105">
        <v>19</v>
      </c>
      <c r="CM35" s="105">
        <v>7797.5999999999995</v>
      </c>
      <c r="CN35" s="105">
        <v>17</v>
      </c>
      <c r="CO35" s="105">
        <v>6976.7999999999993</v>
      </c>
      <c r="CP35" s="105">
        <v>27</v>
      </c>
      <c r="CQ35" s="105">
        <v>11080.8</v>
      </c>
      <c r="CR35" s="105">
        <v>17</v>
      </c>
      <c r="CS35" s="105">
        <v>6976.7999999999993</v>
      </c>
      <c r="CT35" s="105">
        <v>21</v>
      </c>
      <c r="CU35" s="105">
        <v>8618.4</v>
      </c>
    </row>
    <row r="36" spans="2:99" x14ac:dyDescent="0.2">
      <c r="C36" s="104" t="s">
        <v>204</v>
      </c>
      <c r="D36" s="105">
        <v>14</v>
      </c>
      <c r="E36" s="105">
        <v>6417.5999999999995</v>
      </c>
      <c r="F36" s="105">
        <v>18</v>
      </c>
      <c r="G36" s="105">
        <v>8251.1999999999989</v>
      </c>
      <c r="H36" s="105">
        <v>18</v>
      </c>
      <c r="I36" s="105">
        <v>8251.1999999999989</v>
      </c>
      <c r="J36" s="105">
        <v>21</v>
      </c>
      <c r="K36" s="105">
        <v>9626.4</v>
      </c>
      <c r="L36" s="105">
        <v>25</v>
      </c>
      <c r="M36" s="105">
        <v>11460</v>
      </c>
      <c r="N36" s="105">
        <v>21</v>
      </c>
      <c r="O36" s="105">
        <v>9626.4</v>
      </c>
      <c r="P36" s="105">
        <v>20</v>
      </c>
      <c r="Q36" s="105">
        <v>9168</v>
      </c>
      <c r="R36" s="105">
        <v>25</v>
      </c>
      <c r="S36" s="105">
        <v>11460</v>
      </c>
      <c r="T36" s="105">
        <v>27</v>
      </c>
      <c r="U36" s="105">
        <v>12376.8</v>
      </c>
      <c r="V36" s="105">
        <v>17</v>
      </c>
      <c r="W36" s="105">
        <v>7792.7999999999993</v>
      </c>
      <c r="X36" s="105">
        <v>18</v>
      </c>
      <c r="Y36" s="105">
        <v>8251.1999999999989</v>
      </c>
      <c r="Z36" s="105">
        <v>22</v>
      </c>
      <c r="AA36" s="105">
        <v>10084.799999999999</v>
      </c>
      <c r="AB36" s="105">
        <v>23</v>
      </c>
      <c r="AC36" s="105">
        <v>10543.199999999999</v>
      </c>
      <c r="AD36" s="105">
        <v>20</v>
      </c>
      <c r="AE36" s="105">
        <v>9168</v>
      </c>
      <c r="AF36" s="105">
        <v>26</v>
      </c>
      <c r="AG36" s="105">
        <v>11918.4</v>
      </c>
      <c r="AH36" s="105">
        <v>21</v>
      </c>
      <c r="AI36" s="105">
        <v>9626.4</v>
      </c>
      <c r="AJ36" s="105">
        <v>25</v>
      </c>
      <c r="AK36" s="105">
        <v>11460</v>
      </c>
      <c r="AL36" s="105">
        <v>18</v>
      </c>
      <c r="AM36" s="105">
        <v>8251.1999999999989</v>
      </c>
      <c r="AN36" s="105">
        <v>27</v>
      </c>
      <c r="AO36" s="105">
        <v>12376.8</v>
      </c>
      <c r="AP36" s="105">
        <v>16</v>
      </c>
      <c r="AQ36" s="105">
        <v>7334.4</v>
      </c>
      <c r="AR36" s="105">
        <v>20</v>
      </c>
      <c r="AS36" s="105">
        <v>9168</v>
      </c>
      <c r="AT36" s="105">
        <v>21</v>
      </c>
      <c r="AU36" s="105">
        <v>9626.4</v>
      </c>
      <c r="AV36" s="105">
        <v>22</v>
      </c>
      <c r="AW36" s="105">
        <v>10084.799999999999</v>
      </c>
      <c r="AX36" s="105">
        <v>23</v>
      </c>
      <c r="AY36" s="105">
        <v>10543.199999999999</v>
      </c>
      <c r="AZ36" s="105">
        <v>18</v>
      </c>
      <c r="BA36" s="105">
        <v>8251.1999999999989</v>
      </c>
      <c r="BB36" s="105">
        <v>28</v>
      </c>
      <c r="BC36" s="105">
        <v>12835.199999999999</v>
      </c>
      <c r="BD36" s="105">
        <v>20</v>
      </c>
      <c r="BE36" s="105">
        <v>9168</v>
      </c>
      <c r="BF36" s="105">
        <v>24</v>
      </c>
      <c r="BG36" s="105">
        <v>11001.599999999999</v>
      </c>
      <c r="BH36" s="105">
        <v>23</v>
      </c>
      <c r="BI36" s="105">
        <v>10543.199999999999</v>
      </c>
      <c r="BJ36" s="105">
        <v>29</v>
      </c>
      <c r="BK36" s="105">
        <v>13293.599999999999</v>
      </c>
      <c r="BL36" s="105">
        <v>20</v>
      </c>
      <c r="BM36" s="105">
        <v>9168</v>
      </c>
      <c r="BN36" s="105">
        <v>29</v>
      </c>
      <c r="BO36" s="105">
        <v>13293.599999999999</v>
      </c>
      <c r="BP36" s="105">
        <v>23</v>
      </c>
      <c r="BQ36" s="105">
        <v>10543.199999999999</v>
      </c>
      <c r="BR36" s="105">
        <v>23</v>
      </c>
      <c r="BS36" s="105">
        <v>10543.199999999999</v>
      </c>
      <c r="BT36" s="105">
        <v>21</v>
      </c>
      <c r="BU36" s="105">
        <v>9626.4</v>
      </c>
      <c r="BV36" s="105">
        <v>20</v>
      </c>
      <c r="BW36" s="105">
        <v>9168</v>
      </c>
      <c r="BX36" s="105">
        <v>33</v>
      </c>
      <c r="BY36" s="105">
        <v>15127.199999999999</v>
      </c>
      <c r="BZ36" s="105">
        <v>26</v>
      </c>
      <c r="CA36" s="105">
        <v>11918.4</v>
      </c>
      <c r="CB36" s="105">
        <v>18</v>
      </c>
      <c r="CC36" s="105">
        <v>8251.1999999999989</v>
      </c>
      <c r="CD36" s="105">
        <v>26</v>
      </c>
      <c r="CE36" s="105">
        <v>11918.4</v>
      </c>
      <c r="CF36" s="105">
        <v>16</v>
      </c>
      <c r="CG36" s="105">
        <v>7334.4</v>
      </c>
      <c r="CH36" s="105">
        <v>22</v>
      </c>
      <c r="CI36" s="105">
        <v>10084.799999999999</v>
      </c>
      <c r="CJ36" s="105">
        <v>27</v>
      </c>
      <c r="CK36" s="105">
        <v>12376.8</v>
      </c>
      <c r="CL36" s="105">
        <v>11.419454823885903</v>
      </c>
      <c r="CM36" s="105">
        <v>5234.6780912692975</v>
      </c>
      <c r="CN36" s="105">
        <v>9.6867310322393543</v>
      </c>
      <c r="CO36" s="105">
        <v>4440.3975051785201</v>
      </c>
      <c r="CP36" s="105">
        <v>4.8265247864636915</v>
      </c>
      <c r="CQ36" s="105">
        <v>2212.4789621149562</v>
      </c>
      <c r="CR36" s="105">
        <v>2.6459205646275992</v>
      </c>
      <c r="CS36" s="105">
        <v>1212.8899868252913</v>
      </c>
      <c r="CT36" s="105">
        <v>0</v>
      </c>
      <c r="CU36" s="105">
        <v>0</v>
      </c>
    </row>
    <row r="37" spans="2:99" x14ac:dyDescent="0.2">
      <c r="B37" s="104" t="s">
        <v>128</v>
      </c>
      <c r="C37" s="104" t="s">
        <v>205</v>
      </c>
      <c r="D37" s="105">
        <v>10</v>
      </c>
      <c r="E37" s="105">
        <v>6516</v>
      </c>
      <c r="F37" s="105">
        <v>16</v>
      </c>
      <c r="G37" s="105">
        <v>10425.6</v>
      </c>
      <c r="H37" s="105">
        <v>12</v>
      </c>
      <c r="I37" s="105">
        <v>7819.2000000000007</v>
      </c>
      <c r="J37" s="105">
        <v>13</v>
      </c>
      <c r="K37" s="105">
        <v>8470.8000000000011</v>
      </c>
      <c r="L37" s="105">
        <v>12</v>
      </c>
      <c r="M37" s="105">
        <v>7819.2000000000007</v>
      </c>
      <c r="N37" s="105">
        <v>11</v>
      </c>
      <c r="O37" s="105">
        <v>7167.6</v>
      </c>
      <c r="P37" s="105">
        <v>11</v>
      </c>
      <c r="Q37" s="105">
        <v>7167.6</v>
      </c>
      <c r="R37" s="105">
        <v>19</v>
      </c>
      <c r="S37" s="105">
        <v>12380.4</v>
      </c>
      <c r="T37" s="105">
        <v>14</v>
      </c>
      <c r="U37" s="105">
        <v>9122.4</v>
      </c>
      <c r="V37" s="105">
        <v>12</v>
      </c>
      <c r="W37" s="105">
        <v>7819.2000000000007</v>
      </c>
      <c r="X37" s="105">
        <v>10</v>
      </c>
      <c r="Y37" s="105">
        <v>6516</v>
      </c>
      <c r="Z37" s="105">
        <v>11</v>
      </c>
      <c r="AA37" s="105">
        <v>7167.6</v>
      </c>
      <c r="AB37" s="105">
        <v>9</v>
      </c>
      <c r="AC37" s="105">
        <v>5864.4000000000005</v>
      </c>
      <c r="AD37" s="105">
        <v>12</v>
      </c>
      <c r="AE37" s="105">
        <v>7819.2000000000007</v>
      </c>
      <c r="AF37" s="105">
        <v>16</v>
      </c>
      <c r="AG37" s="105">
        <v>10425.6</v>
      </c>
      <c r="AH37" s="105">
        <v>13</v>
      </c>
      <c r="AI37" s="105">
        <v>8470.8000000000011</v>
      </c>
      <c r="AJ37" s="105">
        <v>19</v>
      </c>
      <c r="AK37" s="105">
        <v>12380.4</v>
      </c>
      <c r="AL37" s="105">
        <v>16</v>
      </c>
      <c r="AM37" s="105">
        <v>10425.6</v>
      </c>
      <c r="AN37" s="105">
        <v>18</v>
      </c>
      <c r="AO37" s="105">
        <v>11728.800000000001</v>
      </c>
      <c r="AP37" s="105">
        <v>14</v>
      </c>
      <c r="AQ37" s="105">
        <v>9122.4</v>
      </c>
      <c r="AR37" s="105">
        <v>15</v>
      </c>
      <c r="AS37" s="105">
        <v>9774</v>
      </c>
      <c r="AT37" s="105">
        <v>12</v>
      </c>
      <c r="AU37" s="105">
        <v>7819.2000000000007</v>
      </c>
      <c r="AV37" s="105">
        <v>9</v>
      </c>
      <c r="AW37" s="105">
        <v>5864.4000000000005</v>
      </c>
      <c r="AX37" s="105">
        <v>16</v>
      </c>
      <c r="AY37" s="105">
        <v>10425.6</v>
      </c>
      <c r="AZ37" s="105">
        <v>10</v>
      </c>
      <c r="BA37" s="105">
        <v>6516</v>
      </c>
      <c r="BB37" s="105">
        <v>17</v>
      </c>
      <c r="BC37" s="105">
        <v>11077.2</v>
      </c>
      <c r="BD37" s="105">
        <v>16</v>
      </c>
      <c r="BE37" s="105">
        <v>10425.6</v>
      </c>
      <c r="BF37" s="105">
        <v>10</v>
      </c>
      <c r="BG37" s="105">
        <v>6516</v>
      </c>
      <c r="BH37" s="105">
        <v>18</v>
      </c>
      <c r="BI37" s="105">
        <v>11728.800000000001</v>
      </c>
      <c r="BJ37" s="105">
        <v>11</v>
      </c>
      <c r="BK37" s="105">
        <v>7167.6</v>
      </c>
      <c r="BL37" s="105">
        <v>16</v>
      </c>
      <c r="BM37" s="105">
        <v>10425.6</v>
      </c>
      <c r="BN37" s="105">
        <v>17</v>
      </c>
      <c r="BO37" s="105">
        <v>11077.2</v>
      </c>
      <c r="BP37" s="105">
        <v>19</v>
      </c>
      <c r="BQ37" s="105">
        <v>12380.4</v>
      </c>
      <c r="BR37" s="105">
        <v>11</v>
      </c>
      <c r="BS37" s="105">
        <v>7167.6</v>
      </c>
      <c r="BT37" s="105">
        <v>11</v>
      </c>
      <c r="BU37" s="105">
        <v>7167.6</v>
      </c>
      <c r="BV37" s="105">
        <v>15</v>
      </c>
      <c r="BW37" s="105">
        <v>9774</v>
      </c>
      <c r="BX37" s="105">
        <v>14</v>
      </c>
      <c r="BY37" s="105">
        <v>9122.4</v>
      </c>
      <c r="BZ37" s="105">
        <v>18</v>
      </c>
      <c r="CA37" s="105">
        <v>11728.800000000001</v>
      </c>
      <c r="CB37" s="105">
        <v>10</v>
      </c>
      <c r="CC37" s="105">
        <v>6516</v>
      </c>
      <c r="CD37" s="105">
        <v>11</v>
      </c>
      <c r="CE37" s="105">
        <v>7167.6</v>
      </c>
      <c r="CF37" s="105">
        <v>11</v>
      </c>
      <c r="CG37" s="105">
        <v>7167.6</v>
      </c>
      <c r="CH37" s="105">
        <v>18</v>
      </c>
      <c r="CI37" s="105">
        <v>11728.800000000001</v>
      </c>
      <c r="CJ37" s="105">
        <v>12</v>
      </c>
      <c r="CK37" s="105">
        <v>7819.2000000000007</v>
      </c>
      <c r="CL37" s="105">
        <v>12</v>
      </c>
      <c r="CM37" s="105">
        <v>7819.2000000000007</v>
      </c>
      <c r="CN37" s="105">
        <v>12</v>
      </c>
      <c r="CO37" s="105">
        <v>7819.2000000000007</v>
      </c>
      <c r="CP37" s="105">
        <v>15</v>
      </c>
      <c r="CQ37" s="105">
        <v>9774</v>
      </c>
      <c r="CR37" s="105">
        <v>15</v>
      </c>
      <c r="CS37" s="105">
        <v>9774</v>
      </c>
      <c r="CT37" s="105">
        <v>11</v>
      </c>
      <c r="CU37" s="105">
        <v>7167.6</v>
      </c>
    </row>
    <row r="38" spans="2:99" x14ac:dyDescent="0.2">
      <c r="C38" s="104" t="s">
        <v>206</v>
      </c>
      <c r="D38" s="105">
        <v>9</v>
      </c>
      <c r="E38" s="105">
        <v>9288</v>
      </c>
      <c r="F38" s="105">
        <v>15</v>
      </c>
      <c r="G38" s="105">
        <v>15480</v>
      </c>
      <c r="H38" s="105">
        <v>13</v>
      </c>
      <c r="I38" s="105">
        <v>13416</v>
      </c>
      <c r="J38" s="105">
        <v>15</v>
      </c>
      <c r="K38" s="105">
        <v>15480</v>
      </c>
      <c r="L38" s="105">
        <v>12</v>
      </c>
      <c r="M38" s="105">
        <v>12384</v>
      </c>
      <c r="N38" s="105">
        <v>10</v>
      </c>
      <c r="O38" s="105">
        <v>10320</v>
      </c>
      <c r="P38" s="105">
        <v>11</v>
      </c>
      <c r="Q38" s="105">
        <v>11352</v>
      </c>
      <c r="R38" s="105">
        <v>18</v>
      </c>
      <c r="S38" s="105">
        <v>18576</v>
      </c>
      <c r="T38" s="105">
        <v>12</v>
      </c>
      <c r="U38" s="105">
        <v>12384</v>
      </c>
      <c r="V38" s="105">
        <v>11</v>
      </c>
      <c r="W38" s="105">
        <v>11352</v>
      </c>
      <c r="X38" s="105">
        <v>11</v>
      </c>
      <c r="Y38" s="105">
        <v>11352</v>
      </c>
      <c r="Z38" s="105">
        <v>11</v>
      </c>
      <c r="AA38" s="105">
        <v>11352</v>
      </c>
      <c r="AB38" s="105">
        <v>10</v>
      </c>
      <c r="AC38" s="105">
        <v>10320</v>
      </c>
      <c r="AD38" s="105">
        <v>11</v>
      </c>
      <c r="AE38" s="105">
        <v>11352</v>
      </c>
      <c r="AF38" s="105">
        <v>15</v>
      </c>
      <c r="AG38" s="105">
        <v>15480</v>
      </c>
      <c r="AH38" s="105">
        <v>11</v>
      </c>
      <c r="AI38" s="105">
        <v>11352</v>
      </c>
      <c r="AJ38" s="105">
        <v>16</v>
      </c>
      <c r="AK38" s="105">
        <v>16512</v>
      </c>
      <c r="AL38" s="105">
        <v>15</v>
      </c>
      <c r="AM38" s="105">
        <v>15480</v>
      </c>
      <c r="AN38" s="105">
        <v>16</v>
      </c>
      <c r="AO38" s="105">
        <v>16512</v>
      </c>
      <c r="AP38" s="105">
        <v>15</v>
      </c>
      <c r="AQ38" s="105">
        <v>15480</v>
      </c>
      <c r="AR38" s="105">
        <v>17</v>
      </c>
      <c r="AS38" s="105">
        <v>17544</v>
      </c>
      <c r="AT38" s="105">
        <v>11</v>
      </c>
      <c r="AU38" s="105">
        <v>11352</v>
      </c>
      <c r="AV38" s="105">
        <v>10</v>
      </c>
      <c r="AW38" s="105">
        <v>10320</v>
      </c>
      <c r="AX38" s="105">
        <v>16</v>
      </c>
      <c r="AY38" s="105">
        <v>16512</v>
      </c>
      <c r="AZ38" s="105">
        <v>10</v>
      </c>
      <c r="BA38" s="105">
        <v>10320</v>
      </c>
      <c r="BB38" s="105">
        <v>15</v>
      </c>
      <c r="BC38" s="105">
        <v>15480</v>
      </c>
      <c r="BD38" s="105">
        <v>18</v>
      </c>
      <c r="BE38" s="105">
        <v>18576</v>
      </c>
      <c r="BF38" s="105">
        <v>9</v>
      </c>
      <c r="BG38" s="105">
        <v>9288</v>
      </c>
      <c r="BH38" s="105">
        <v>15</v>
      </c>
      <c r="BI38" s="105">
        <v>15480</v>
      </c>
      <c r="BJ38" s="105">
        <v>11</v>
      </c>
      <c r="BK38" s="105">
        <v>11352</v>
      </c>
      <c r="BL38" s="105">
        <v>14</v>
      </c>
      <c r="BM38" s="105">
        <v>14448</v>
      </c>
      <c r="BN38" s="105">
        <v>16</v>
      </c>
      <c r="BO38" s="105">
        <v>16512</v>
      </c>
      <c r="BP38" s="105">
        <v>17</v>
      </c>
      <c r="BQ38" s="105">
        <v>17544</v>
      </c>
      <c r="BR38" s="105">
        <v>10</v>
      </c>
      <c r="BS38" s="105">
        <v>10320</v>
      </c>
      <c r="BT38" s="105">
        <v>10</v>
      </c>
      <c r="BU38" s="105">
        <v>10320</v>
      </c>
      <c r="BV38" s="105">
        <v>14</v>
      </c>
      <c r="BW38" s="105">
        <v>14448</v>
      </c>
      <c r="BX38" s="105">
        <v>14</v>
      </c>
      <c r="BY38" s="105">
        <v>14448</v>
      </c>
      <c r="BZ38" s="105">
        <v>16</v>
      </c>
      <c r="CA38" s="105">
        <v>16512</v>
      </c>
      <c r="CB38" s="105">
        <v>11</v>
      </c>
      <c r="CC38" s="105">
        <v>11352</v>
      </c>
      <c r="CD38" s="105">
        <v>10</v>
      </c>
      <c r="CE38" s="105">
        <v>10320</v>
      </c>
      <c r="CF38" s="105">
        <v>10</v>
      </c>
      <c r="CG38" s="105">
        <v>10320</v>
      </c>
      <c r="CH38" s="105">
        <v>18</v>
      </c>
      <c r="CI38" s="105">
        <v>18576</v>
      </c>
      <c r="CJ38" s="105">
        <v>11</v>
      </c>
      <c r="CK38" s="105">
        <v>11352</v>
      </c>
      <c r="CL38" s="105">
        <v>11</v>
      </c>
      <c r="CM38" s="105">
        <v>11352</v>
      </c>
      <c r="CN38" s="105">
        <v>12</v>
      </c>
      <c r="CO38" s="105">
        <v>12384</v>
      </c>
      <c r="CP38" s="105">
        <v>13</v>
      </c>
      <c r="CQ38" s="105">
        <v>13416</v>
      </c>
      <c r="CR38" s="105">
        <v>17</v>
      </c>
      <c r="CS38" s="105">
        <v>17544</v>
      </c>
      <c r="CT38" s="105">
        <v>11</v>
      </c>
      <c r="CU38" s="105">
        <v>11352</v>
      </c>
    </row>
    <row r="39" spans="2:99" x14ac:dyDescent="0.2">
      <c r="C39" s="104" t="s">
        <v>207</v>
      </c>
      <c r="D39" s="105">
        <v>9</v>
      </c>
      <c r="E39" s="105">
        <v>10908</v>
      </c>
      <c r="F39" s="105">
        <v>14</v>
      </c>
      <c r="G39" s="105">
        <v>16968</v>
      </c>
      <c r="H39" s="105">
        <v>12</v>
      </c>
      <c r="I39" s="105">
        <v>14544</v>
      </c>
      <c r="J39" s="105">
        <v>14</v>
      </c>
      <c r="K39" s="105">
        <v>16968</v>
      </c>
      <c r="L39" s="105">
        <v>10</v>
      </c>
      <c r="M39" s="105">
        <v>12120</v>
      </c>
      <c r="N39" s="105">
        <v>11</v>
      </c>
      <c r="O39" s="105">
        <v>13332</v>
      </c>
      <c r="P39" s="105">
        <v>12</v>
      </c>
      <c r="Q39" s="105">
        <v>14544</v>
      </c>
      <c r="R39" s="105">
        <v>17</v>
      </c>
      <c r="S39" s="105">
        <v>20604</v>
      </c>
      <c r="T39" s="105">
        <v>14</v>
      </c>
      <c r="U39" s="105">
        <v>16968</v>
      </c>
      <c r="V39" s="105">
        <v>11</v>
      </c>
      <c r="W39" s="105">
        <v>13332</v>
      </c>
      <c r="X39" s="105">
        <v>9</v>
      </c>
      <c r="Y39" s="105">
        <v>10908</v>
      </c>
      <c r="Z39" s="105">
        <v>10</v>
      </c>
      <c r="AA39" s="105">
        <v>12120</v>
      </c>
      <c r="AB39" s="105">
        <v>9</v>
      </c>
      <c r="AC39" s="105">
        <v>10908</v>
      </c>
      <c r="AD39" s="105">
        <v>12</v>
      </c>
      <c r="AE39" s="105">
        <v>14544</v>
      </c>
      <c r="AF39" s="105">
        <v>15</v>
      </c>
      <c r="AG39" s="105">
        <v>18180</v>
      </c>
      <c r="AH39" s="105">
        <v>12</v>
      </c>
      <c r="AI39" s="105">
        <v>14544</v>
      </c>
      <c r="AJ39" s="105">
        <v>18</v>
      </c>
      <c r="AK39" s="105">
        <v>21816</v>
      </c>
      <c r="AL39" s="105">
        <v>14</v>
      </c>
      <c r="AM39" s="105">
        <v>16968</v>
      </c>
      <c r="AN39" s="105">
        <v>17</v>
      </c>
      <c r="AO39" s="105">
        <v>20604</v>
      </c>
      <c r="AP39" s="105">
        <v>13</v>
      </c>
      <c r="AQ39" s="105">
        <v>15756</v>
      </c>
      <c r="AR39" s="105">
        <v>16</v>
      </c>
      <c r="AS39" s="105">
        <v>19392</v>
      </c>
      <c r="AT39" s="105">
        <v>10</v>
      </c>
      <c r="AU39" s="105">
        <v>12120</v>
      </c>
      <c r="AV39" s="105">
        <v>10</v>
      </c>
      <c r="AW39" s="105">
        <v>12120</v>
      </c>
      <c r="AX39" s="105">
        <v>14</v>
      </c>
      <c r="AY39" s="105">
        <v>16968</v>
      </c>
      <c r="AZ39" s="105">
        <v>10</v>
      </c>
      <c r="BA39" s="105">
        <v>12120</v>
      </c>
      <c r="BB39" s="105">
        <v>15</v>
      </c>
      <c r="BC39" s="105">
        <v>18180</v>
      </c>
      <c r="BD39" s="105">
        <v>16</v>
      </c>
      <c r="BE39" s="105">
        <v>19392</v>
      </c>
      <c r="BF39" s="105">
        <v>9</v>
      </c>
      <c r="BG39" s="105">
        <v>10908</v>
      </c>
      <c r="BH39" s="105">
        <v>17</v>
      </c>
      <c r="BI39" s="105">
        <v>20604</v>
      </c>
      <c r="BJ39" s="105">
        <v>11</v>
      </c>
      <c r="BK39" s="105">
        <v>13332</v>
      </c>
      <c r="BL39" s="105">
        <v>15</v>
      </c>
      <c r="BM39" s="105">
        <v>18180</v>
      </c>
      <c r="BN39" s="105">
        <v>16</v>
      </c>
      <c r="BO39" s="105">
        <v>19392</v>
      </c>
      <c r="BP39" s="105">
        <v>19</v>
      </c>
      <c r="BQ39" s="105">
        <v>23028</v>
      </c>
      <c r="BR39" s="105">
        <v>10</v>
      </c>
      <c r="BS39" s="105">
        <v>12120</v>
      </c>
      <c r="BT39" s="105">
        <v>9</v>
      </c>
      <c r="BU39" s="105">
        <v>10908</v>
      </c>
      <c r="BV39" s="105">
        <v>14</v>
      </c>
      <c r="BW39" s="105">
        <v>16968</v>
      </c>
      <c r="BX39" s="105">
        <v>12</v>
      </c>
      <c r="BY39" s="105">
        <v>14544</v>
      </c>
      <c r="BZ39" s="105">
        <v>17</v>
      </c>
      <c r="CA39" s="105">
        <v>20604</v>
      </c>
      <c r="CB39" s="105">
        <v>10</v>
      </c>
      <c r="CC39" s="105">
        <v>12120</v>
      </c>
      <c r="CD39" s="105">
        <v>11</v>
      </c>
      <c r="CE39" s="105">
        <v>13332</v>
      </c>
      <c r="CF39" s="105">
        <v>10</v>
      </c>
      <c r="CG39" s="105">
        <v>12120</v>
      </c>
      <c r="CH39" s="105">
        <v>15</v>
      </c>
      <c r="CI39" s="105">
        <v>18180</v>
      </c>
      <c r="CJ39" s="105">
        <v>11</v>
      </c>
      <c r="CK39" s="105">
        <v>13332</v>
      </c>
      <c r="CL39" s="105">
        <v>12</v>
      </c>
      <c r="CM39" s="105">
        <v>14544</v>
      </c>
      <c r="CN39" s="105">
        <v>12</v>
      </c>
      <c r="CO39" s="105">
        <v>14544</v>
      </c>
      <c r="CP39" s="105">
        <v>16</v>
      </c>
      <c r="CQ39" s="105">
        <v>19392</v>
      </c>
      <c r="CR39" s="105">
        <v>15</v>
      </c>
      <c r="CS39" s="105">
        <v>18180</v>
      </c>
      <c r="CT39" s="105">
        <v>11</v>
      </c>
      <c r="CU39" s="105">
        <v>13332</v>
      </c>
    </row>
    <row r="40" spans="2:99" x14ac:dyDescent="0.2">
      <c r="C40" s="104" t="s">
        <v>208</v>
      </c>
      <c r="D40" s="105">
        <v>10</v>
      </c>
      <c r="E40" s="105">
        <v>5171.9999999999991</v>
      </c>
      <c r="F40" s="105">
        <v>16</v>
      </c>
      <c r="G40" s="105">
        <v>8275.1999999999989</v>
      </c>
      <c r="H40" s="105">
        <v>12</v>
      </c>
      <c r="I40" s="105">
        <v>6206.4</v>
      </c>
      <c r="J40" s="105">
        <v>14</v>
      </c>
      <c r="K40" s="105">
        <v>7240.7999999999993</v>
      </c>
      <c r="L40" s="105">
        <v>13</v>
      </c>
      <c r="M40" s="105">
        <v>6723.5999999999995</v>
      </c>
      <c r="N40" s="105">
        <v>12</v>
      </c>
      <c r="O40" s="105">
        <v>6206.4</v>
      </c>
      <c r="P40" s="105">
        <v>13</v>
      </c>
      <c r="Q40" s="105">
        <v>6723.5999999999995</v>
      </c>
      <c r="R40" s="105">
        <v>18</v>
      </c>
      <c r="S40" s="105">
        <v>9309.5999999999985</v>
      </c>
      <c r="T40" s="105">
        <v>14</v>
      </c>
      <c r="U40" s="105">
        <v>7240.7999999999993</v>
      </c>
      <c r="V40" s="105">
        <v>11</v>
      </c>
      <c r="W40" s="105">
        <v>5689.1999999999989</v>
      </c>
      <c r="X40" s="105">
        <v>10</v>
      </c>
      <c r="Y40" s="105">
        <v>5171.9999999999991</v>
      </c>
      <c r="Z40" s="105">
        <v>10</v>
      </c>
      <c r="AA40" s="105">
        <v>5171.9999999999991</v>
      </c>
      <c r="AB40" s="105">
        <v>9</v>
      </c>
      <c r="AC40" s="105">
        <v>4654.7999999999993</v>
      </c>
      <c r="AD40" s="105">
        <v>12</v>
      </c>
      <c r="AE40" s="105">
        <v>6206.4</v>
      </c>
      <c r="AF40" s="105">
        <v>16</v>
      </c>
      <c r="AG40" s="105">
        <v>8275.1999999999989</v>
      </c>
      <c r="AH40" s="105">
        <v>13</v>
      </c>
      <c r="AI40" s="105">
        <v>6723.5999999999995</v>
      </c>
      <c r="AJ40" s="105">
        <v>19</v>
      </c>
      <c r="AK40" s="105">
        <v>9826.7999999999993</v>
      </c>
      <c r="AL40" s="105">
        <v>15</v>
      </c>
      <c r="AM40" s="105">
        <v>7757.9999999999991</v>
      </c>
      <c r="AN40" s="105">
        <v>17</v>
      </c>
      <c r="AO40" s="105">
        <v>8792.4</v>
      </c>
      <c r="AP40" s="105">
        <v>15</v>
      </c>
      <c r="AQ40" s="105">
        <v>7757.9999999999991</v>
      </c>
      <c r="AR40" s="105">
        <v>17</v>
      </c>
      <c r="AS40" s="105">
        <v>8792.4</v>
      </c>
      <c r="AT40" s="105">
        <v>12</v>
      </c>
      <c r="AU40" s="105">
        <v>6206.4</v>
      </c>
      <c r="AV40" s="105">
        <v>10</v>
      </c>
      <c r="AW40" s="105">
        <v>5171.9999999999991</v>
      </c>
      <c r="AX40" s="105">
        <v>16</v>
      </c>
      <c r="AY40" s="105">
        <v>8275.1999999999989</v>
      </c>
      <c r="AZ40" s="105">
        <v>11</v>
      </c>
      <c r="BA40" s="105">
        <v>5689.1999999999989</v>
      </c>
      <c r="BB40" s="105">
        <v>18</v>
      </c>
      <c r="BC40" s="105">
        <v>9309.5999999999985</v>
      </c>
      <c r="BD40" s="105">
        <v>17</v>
      </c>
      <c r="BE40" s="105">
        <v>8792.4</v>
      </c>
      <c r="BF40" s="105">
        <v>9</v>
      </c>
      <c r="BG40" s="105">
        <v>4654.7999999999993</v>
      </c>
      <c r="BH40" s="105">
        <v>17</v>
      </c>
      <c r="BI40" s="105">
        <v>8792.4</v>
      </c>
      <c r="BJ40" s="105">
        <v>10</v>
      </c>
      <c r="BK40" s="105">
        <v>5171.9999999999991</v>
      </c>
      <c r="BL40" s="105">
        <v>15</v>
      </c>
      <c r="BM40" s="105">
        <v>7757.9999999999991</v>
      </c>
      <c r="BN40" s="105">
        <v>17</v>
      </c>
      <c r="BO40" s="105">
        <v>8792.4</v>
      </c>
      <c r="BP40" s="105">
        <v>17</v>
      </c>
      <c r="BQ40" s="105">
        <v>8792.4</v>
      </c>
      <c r="BR40" s="105">
        <v>10</v>
      </c>
      <c r="BS40" s="105">
        <v>5171.9999999999991</v>
      </c>
      <c r="BT40" s="105">
        <v>10</v>
      </c>
      <c r="BU40" s="105">
        <v>5171.9999999999991</v>
      </c>
      <c r="BV40" s="105">
        <v>14</v>
      </c>
      <c r="BW40" s="105">
        <v>7240.7999999999993</v>
      </c>
      <c r="BX40" s="105">
        <v>15</v>
      </c>
      <c r="BY40" s="105">
        <v>7757.9999999999991</v>
      </c>
      <c r="BZ40" s="105">
        <v>17</v>
      </c>
      <c r="CA40" s="105">
        <v>8792.4</v>
      </c>
      <c r="CB40" s="105">
        <v>10</v>
      </c>
      <c r="CC40" s="105">
        <v>5171.9999999999991</v>
      </c>
      <c r="CD40" s="105">
        <v>11</v>
      </c>
      <c r="CE40" s="105">
        <v>5689.1999999999989</v>
      </c>
      <c r="CF40" s="105">
        <v>10</v>
      </c>
      <c r="CG40" s="105">
        <v>5171.9999999999991</v>
      </c>
      <c r="CH40" s="105">
        <v>17</v>
      </c>
      <c r="CI40" s="105">
        <v>8792.4</v>
      </c>
      <c r="CJ40" s="105">
        <v>12</v>
      </c>
      <c r="CK40" s="105">
        <v>6206.4</v>
      </c>
      <c r="CL40" s="105">
        <v>12</v>
      </c>
      <c r="CM40" s="105">
        <v>6206.4</v>
      </c>
      <c r="CN40" s="105">
        <v>13</v>
      </c>
      <c r="CO40" s="105">
        <v>6723.5999999999995</v>
      </c>
      <c r="CP40" s="105">
        <v>15</v>
      </c>
      <c r="CQ40" s="105">
        <v>7757.9999999999991</v>
      </c>
      <c r="CR40" s="105">
        <v>18</v>
      </c>
      <c r="CS40" s="105">
        <v>9309.5999999999985</v>
      </c>
      <c r="CT40" s="105">
        <v>12</v>
      </c>
      <c r="CU40" s="105">
        <v>6206.4</v>
      </c>
    </row>
    <row r="41" spans="2:99" x14ac:dyDescent="0.2">
      <c r="C41" s="104" t="s">
        <v>209</v>
      </c>
      <c r="D41" s="105">
        <v>9</v>
      </c>
      <c r="E41" s="105">
        <v>4093.2000000000003</v>
      </c>
      <c r="F41" s="105">
        <v>15</v>
      </c>
      <c r="G41" s="105">
        <v>6822</v>
      </c>
      <c r="H41" s="105">
        <v>14</v>
      </c>
      <c r="I41" s="105">
        <v>6367.2</v>
      </c>
      <c r="J41" s="105">
        <v>13</v>
      </c>
      <c r="K41" s="105">
        <v>5912.4000000000005</v>
      </c>
      <c r="L41" s="105">
        <v>12</v>
      </c>
      <c r="M41" s="105">
        <v>5457.6</v>
      </c>
      <c r="N41" s="105">
        <v>11</v>
      </c>
      <c r="O41" s="105">
        <v>5002.8</v>
      </c>
      <c r="P41" s="105">
        <v>11</v>
      </c>
      <c r="Q41" s="105">
        <v>5002.8</v>
      </c>
      <c r="R41" s="105">
        <v>17</v>
      </c>
      <c r="S41" s="105">
        <v>7731.6</v>
      </c>
      <c r="T41" s="105">
        <v>13</v>
      </c>
      <c r="U41" s="105">
        <v>5912.4000000000005</v>
      </c>
      <c r="V41" s="105">
        <v>12</v>
      </c>
      <c r="W41" s="105">
        <v>5457.6</v>
      </c>
      <c r="X41" s="105">
        <v>11</v>
      </c>
      <c r="Y41" s="105">
        <v>5002.8</v>
      </c>
      <c r="Z41" s="105">
        <v>12</v>
      </c>
      <c r="AA41" s="105">
        <v>5457.6</v>
      </c>
      <c r="AB41" s="105">
        <v>11</v>
      </c>
      <c r="AC41" s="105">
        <v>5002.8</v>
      </c>
      <c r="AD41" s="105">
        <v>12</v>
      </c>
      <c r="AE41" s="105">
        <v>5457.6</v>
      </c>
      <c r="AF41" s="105">
        <v>16</v>
      </c>
      <c r="AG41" s="105">
        <v>7276.8</v>
      </c>
      <c r="AH41" s="105">
        <v>12</v>
      </c>
      <c r="AI41" s="105">
        <v>5457.6</v>
      </c>
      <c r="AJ41" s="105">
        <v>19</v>
      </c>
      <c r="AK41" s="105">
        <v>8641.2000000000007</v>
      </c>
      <c r="AL41" s="105">
        <v>14</v>
      </c>
      <c r="AM41" s="105">
        <v>6367.2</v>
      </c>
      <c r="AN41" s="105">
        <v>16</v>
      </c>
      <c r="AO41" s="105">
        <v>7276.8</v>
      </c>
      <c r="AP41" s="105">
        <v>15</v>
      </c>
      <c r="AQ41" s="105">
        <v>6822</v>
      </c>
      <c r="AR41" s="105">
        <v>18</v>
      </c>
      <c r="AS41" s="105">
        <v>8186.4000000000005</v>
      </c>
      <c r="AT41" s="105">
        <v>12</v>
      </c>
      <c r="AU41" s="105">
        <v>5457.6</v>
      </c>
      <c r="AV41" s="105">
        <v>10</v>
      </c>
      <c r="AW41" s="105">
        <v>4548</v>
      </c>
      <c r="AX41" s="105">
        <v>16</v>
      </c>
      <c r="AY41" s="105">
        <v>7276.8</v>
      </c>
      <c r="AZ41" s="105">
        <v>10</v>
      </c>
      <c r="BA41" s="105">
        <v>4548</v>
      </c>
      <c r="BB41" s="105">
        <v>18</v>
      </c>
      <c r="BC41" s="105">
        <v>8186.4000000000005</v>
      </c>
      <c r="BD41" s="105">
        <v>17</v>
      </c>
      <c r="BE41" s="105">
        <v>7731.6</v>
      </c>
      <c r="BF41" s="105">
        <v>10</v>
      </c>
      <c r="BG41" s="105">
        <v>4548</v>
      </c>
      <c r="BH41" s="105">
        <v>15</v>
      </c>
      <c r="BI41" s="105">
        <v>6822</v>
      </c>
      <c r="BJ41" s="105">
        <v>11</v>
      </c>
      <c r="BK41" s="105">
        <v>5002.8</v>
      </c>
      <c r="BL41" s="105">
        <v>17</v>
      </c>
      <c r="BM41" s="105">
        <v>7731.6</v>
      </c>
      <c r="BN41" s="105">
        <v>18</v>
      </c>
      <c r="BO41" s="105">
        <v>8186.4000000000005</v>
      </c>
      <c r="BP41" s="105">
        <v>19</v>
      </c>
      <c r="BQ41" s="105">
        <v>8641.2000000000007</v>
      </c>
      <c r="BR41" s="105">
        <v>10</v>
      </c>
      <c r="BS41" s="105">
        <v>4548</v>
      </c>
      <c r="BT41" s="105">
        <v>10</v>
      </c>
      <c r="BU41" s="105">
        <v>4548</v>
      </c>
      <c r="BV41" s="105">
        <v>15</v>
      </c>
      <c r="BW41" s="105">
        <v>6822</v>
      </c>
      <c r="BX41" s="105">
        <v>13</v>
      </c>
      <c r="BY41" s="105">
        <v>5912.4000000000005</v>
      </c>
      <c r="BZ41" s="105">
        <v>18</v>
      </c>
      <c r="CA41" s="105">
        <v>8186.4000000000005</v>
      </c>
      <c r="CB41" s="105">
        <v>11</v>
      </c>
      <c r="CC41" s="105">
        <v>5002.8</v>
      </c>
      <c r="CD41" s="105">
        <v>11</v>
      </c>
      <c r="CE41" s="105">
        <v>5002.8</v>
      </c>
      <c r="CF41" s="105">
        <v>11</v>
      </c>
      <c r="CG41" s="105">
        <v>5002.8</v>
      </c>
      <c r="CH41" s="105">
        <v>19</v>
      </c>
      <c r="CI41" s="105">
        <v>8641.2000000000007</v>
      </c>
      <c r="CJ41" s="105">
        <v>12</v>
      </c>
      <c r="CK41" s="105">
        <v>5457.6</v>
      </c>
      <c r="CL41" s="105">
        <v>12</v>
      </c>
      <c r="CM41" s="105">
        <v>5457.6</v>
      </c>
      <c r="CN41" s="105">
        <v>12</v>
      </c>
      <c r="CO41" s="105">
        <v>5457.6</v>
      </c>
      <c r="CP41" s="105">
        <v>15</v>
      </c>
      <c r="CQ41" s="105">
        <v>6822</v>
      </c>
      <c r="CR41" s="105">
        <v>18</v>
      </c>
      <c r="CS41" s="105">
        <v>8186.4000000000005</v>
      </c>
      <c r="CT41" s="105">
        <v>12</v>
      </c>
      <c r="CU41" s="105">
        <v>5457.6</v>
      </c>
    </row>
    <row r="42" spans="2:99" x14ac:dyDescent="0.2">
      <c r="C42" s="104" t="s">
        <v>210</v>
      </c>
      <c r="D42" s="105">
        <v>10</v>
      </c>
      <c r="E42" s="105">
        <v>6960</v>
      </c>
      <c r="F42" s="105">
        <v>16</v>
      </c>
      <c r="G42" s="105">
        <v>11136</v>
      </c>
      <c r="H42" s="105">
        <v>13</v>
      </c>
      <c r="I42" s="105">
        <v>9048</v>
      </c>
      <c r="J42" s="105">
        <v>14</v>
      </c>
      <c r="K42" s="105">
        <v>9744</v>
      </c>
      <c r="L42" s="105">
        <v>12</v>
      </c>
      <c r="M42" s="105">
        <v>8352</v>
      </c>
      <c r="N42" s="105">
        <v>12</v>
      </c>
      <c r="O42" s="105">
        <v>8352</v>
      </c>
      <c r="P42" s="105">
        <v>11</v>
      </c>
      <c r="Q42" s="105">
        <v>7656</v>
      </c>
      <c r="R42" s="105">
        <v>17</v>
      </c>
      <c r="S42" s="105">
        <v>11832</v>
      </c>
      <c r="T42" s="105">
        <v>12</v>
      </c>
      <c r="U42" s="105">
        <v>8352</v>
      </c>
      <c r="V42" s="105">
        <v>12</v>
      </c>
      <c r="W42" s="105">
        <v>8352</v>
      </c>
      <c r="X42" s="105">
        <v>10</v>
      </c>
      <c r="Y42" s="105">
        <v>6960</v>
      </c>
      <c r="Z42" s="105">
        <v>12</v>
      </c>
      <c r="AA42" s="105">
        <v>8352</v>
      </c>
      <c r="AB42" s="105">
        <v>11</v>
      </c>
      <c r="AC42" s="105">
        <v>7656</v>
      </c>
      <c r="AD42" s="105">
        <v>12</v>
      </c>
      <c r="AE42" s="105">
        <v>8352</v>
      </c>
      <c r="AF42" s="105">
        <v>17</v>
      </c>
      <c r="AG42" s="105">
        <v>11832</v>
      </c>
      <c r="AH42" s="105">
        <v>13</v>
      </c>
      <c r="AI42" s="105">
        <v>9048</v>
      </c>
      <c r="AJ42" s="105">
        <v>20</v>
      </c>
      <c r="AK42" s="105">
        <v>13920</v>
      </c>
      <c r="AL42" s="105">
        <v>13</v>
      </c>
      <c r="AM42" s="105">
        <v>9048</v>
      </c>
      <c r="AN42" s="105">
        <v>16</v>
      </c>
      <c r="AO42" s="105">
        <v>11136</v>
      </c>
      <c r="AP42" s="105">
        <v>15</v>
      </c>
      <c r="AQ42" s="105">
        <v>10440</v>
      </c>
      <c r="AR42" s="105">
        <v>16</v>
      </c>
      <c r="AS42" s="105">
        <v>11136</v>
      </c>
      <c r="AT42" s="105">
        <v>12</v>
      </c>
      <c r="AU42" s="105">
        <v>8352</v>
      </c>
      <c r="AV42" s="105">
        <v>10</v>
      </c>
      <c r="AW42" s="105">
        <v>6960</v>
      </c>
      <c r="AX42" s="105">
        <v>16</v>
      </c>
      <c r="AY42" s="105">
        <v>11136</v>
      </c>
      <c r="AZ42" s="105">
        <v>9</v>
      </c>
      <c r="BA42" s="105">
        <v>6264</v>
      </c>
      <c r="BB42" s="105">
        <v>17</v>
      </c>
      <c r="BC42" s="105">
        <v>11832</v>
      </c>
      <c r="BD42" s="105">
        <v>17</v>
      </c>
      <c r="BE42" s="105">
        <v>11832</v>
      </c>
      <c r="BF42" s="105">
        <v>9</v>
      </c>
      <c r="BG42" s="105">
        <v>6264</v>
      </c>
      <c r="BH42" s="105">
        <v>15</v>
      </c>
      <c r="BI42" s="105">
        <v>10440</v>
      </c>
      <c r="BJ42" s="105">
        <v>10</v>
      </c>
      <c r="BK42" s="105">
        <v>6960</v>
      </c>
      <c r="BL42" s="105">
        <v>14</v>
      </c>
      <c r="BM42" s="105">
        <v>9744</v>
      </c>
      <c r="BN42" s="105">
        <v>16</v>
      </c>
      <c r="BO42" s="105">
        <v>11136</v>
      </c>
      <c r="BP42" s="105">
        <v>18</v>
      </c>
      <c r="BQ42" s="105">
        <v>12528</v>
      </c>
      <c r="BR42" s="105">
        <v>11</v>
      </c>
      <c r="BS42" s="105">
        <v>7656</v>
      </c>
      <c r="BT42" s="105">
        <v>11</v>
      </c>
      <c r="BU42" s="105">
        <v>7656</v>
      </c>
      <c r="BV42" s="105">
        <v>13</v>
      </c>
      <c r="BW42" s="105">
        <v>9048</v>
      </c>
      <c r="BX42" s="105">
        <v>13</v>
      </c>
      <c r="BY42" s="105">
        <v>9048</v>
      </c>
      <c r="BZ42" s="105">
        <v>19</v>
      </c>
      <c r="CA42" s="105">
        <v>13224</v>
      </c>
      <c r="CB42" s="105">
        <v>9</v>
      </c>
      <c r="CC42" s="105">
        <v>6264</v>
      </c>
      <c r="CD42" s="105">
        <v>10</v>
      </c>
      <c r="CE42" s="105">
        <v>6960</v>
      </c>
      <c r="CF42" s="105">
        <v>10</v>
      </c>
      <c r="CG42" s="105">
        <v>6960</v>
      </c>
      <c r="CH42" s="105">
        <v>18</v>
      </c>
      <c r="CI42" s="105">
        <v>12528</v>
      </c>
      <c r="CJ42" s="105">
        <v>11</v>
      </c>
      <c r="CK42" s="105">
        <v>7656</v>
      </c>
      <c r="CL42" s="105">
        <v>12</v>
      </c>
      <c r="CM42" s="105">
        <v>8352</v>
      </c>
      <c r="CN42" s="105">
        <v>12</v>
      </c>
      <c r="CO42" s="105">
        <v>8352</v>
      </c>
      <c r="CP42" s="105">
        <v>14</v>
      </c>
      <c r="CQ42" s="105">
        <v>9744</v>
      </c>
      <c r="CR42" s="105">
        <v>17</v>
      </c>
      <c r="CS42" s="105">
        <v>11832</v>
      </c>
      <c r="CT42" s="105">
        <v>11</v>
      </c>
      <c r="CU42" s="105">
        <v>7656</v>
      </c>
    </row>
    <row r="43" spans="2:99" x14ac:dyDescent="0.2">
      <c r="C43" s="104" t="s">
        <v>211</v>
      </c>
      <c r="D43" s="105">
        <v>10</v>
      </c>
      <c r="E43" s="105">
        <v>8148</v>
      </c>
      <c r="F43" s="105">
        <v>15</v>
      </c>
      <c r="G43" s="105">
        <v>12222</v>
      </c>
      <c r="H43" s="105">
        <v>13</v>
      </c>
      <c r="I43" s="105">
        <v>10592.4</v>
      </c>
      <c r="J43" s="105">
        <v>14</v>
      </c>
      <c r="K43" s="105">
        <v>11407.199999999999</v>
      </c>
      <c r="L43" s="105">
        <v>11</v>
      </c>
      <c r="M43" s="105">
        <v>8962.7999999999993</v>
      </c>
      <c r="N43" s="105">
        <v>11</v>
      </c>
      <c r="O43" s="105">
        <v>8962.7999999999993</v>
      </c>
      <c r="P43" s="105">
        <v>12</v>
      </c>
      <c r="Q43" s="105">
        <v>9777.5999999999985</v>
      </c>
      <c r="R43" s="105">
        <v>17</v>
      </c>
      <c r="S43" s="105">
        <v>13851.599999999999</v>
      </c>
      <c r="T43" s="105">
        <v>14</v>
      </c>
      <c r="U43" s="105">
        <v>11407.199999999999</v>
      </c>
      <c r="V43" s="105">
        <v>11</v>
      </c>
      <c r="W43" s="105">
        <v>8962.7999999999993</v>
      </c>
      <c r="X43" s="105">
        <v>11</v>
      </c>
      <c r="Y43" s="105">
        <v>8962.7999999999993</v>
      </c>
      <c r="Z43" s="105">
        <v>11</v>
      </c>
      <c r="AA43" s="105">
        <v>8962.7999999999993</v>
      </c>
      <c r="AB43" s="105">
        <v>9</v>
      </c>
      <c r="AC43" s="105">
        <v>7333.2</v>
      </c>
      <c r="AD43" s="105">
        <v>12</v>
      </c>
      <c r="AE43" s="105">
        <v>9777.5999999999985</v>
      </c>
      <c r="AF43" s="105">
        <v>18</v>
      </c>
      <c r="AG43" s="105">
        <v>14666.4</v>
      </c>
      <c r="AH43" s="105">
        <v>13</v>
      </c>
      <c r="AI43" s="105">
        <v>10592.4</v>
      </c>
      <c r="AJ43" s="105">
        <v>16</v>
      </c>
      <c r="AK43" s="105">
        <v>13036.8</v>
      </c>
      <c r="AL43" s="105">
        <v>14</v>
      </c>
      <c r="AM43" s="105">
        <v>11407.199999999999</v>
      </c>
      <c r="AN43" s="105">
        <v>16</v>
      </c>
      <c r="AO43" s="105">
        <v>13036.8</v>
      </c>
      <c r="AP43" s="105">
        <v>13</v>
      </c>
      <c r="AQ43" s="105">
        <v>10592.4</v>
      </c>
      <c r="AR43" s="105">
        <v>16</v>
      </c>
      <c r="AS43" s="105">
        <v>13036.8</v>
      </c>
      <c r="AT43" s="105">
        <v>12</v>
      </c>
      <c r="AU43" s="105">
        <v>9777.5999999999985</v>
      </c>
      <c r="AV43" s="105">
        <v>10</v>
      </c>
      <c r="AW43" s="105">
        <v>8148</v>
      </c>
      <c r="AX43" s="105">
        <v>14</v>
      </c>
      <c r="AY43" s="105">
        <v>11407.199999999999</v>
      </c>
      <c r="AZ43" s="105">
        <v>10</v>
      </c>
      <c r="BA43" s="105">
        <v>8148</v>
      </c>
      <c r="BB43" s="105">
        <v>17</v>
      </c>
      <c r="BC43" s="105">
        <v>13851.599999999999</v>
      </c>
      <c r="BD43" s="105">
        <v>17</v>
      </c>
      <c r="BE43" s="105">
        <v>13851.599999999999</v>
      </c>
      <c r="BF43" s="105">
        <v>10</v>
      </c>
      <c r="BG43" s="105">
        <v>8148</v>
      </c>
      <c r="BH43" s="105">
        <v>15</v>
      </c>
      <c r="BI43" s="105">
        <v>12222</v>
      </c>
      <c r="BJ43" s="105">
        <v>11</v>
      </c>
      <c r="BK43" s="105">
        <v>8962.7999999999993</v>
      </c>
      <c r="BL43" s="105">
        <v>15</v>
      </c>
      <c r="BM43" s="105">
        <v>12222</v>
      </c>
      <c r="BN43" s="105">
        <v>17</v>
      </c>
      <c r="BO43" s="105">
        <v>13851.599999999999</v>
      </c>
      <c r="BP43" s="105">
        <v>20</v>
      </c>
      <c r="BQ43" s="105">
        <v>16296</v>
      </c>
      <c r="BR43" s="105">
        <v>9</v>
      </c>
      <c r="BS43" s="105">
        <v>7333.2</v>
      </c>
      <c r="BT43" s="105">
        <v>9</v>
      </c>
      <c r="BU43" s="105">
        <v>7333.2</v>
      </c>
      <c r="BV43" s="105">
        <v>14</v>
      </c>
      <c r="BW43" s="105">
        <v>11407.199999999999</v>
      </c>
      <c r="BX43" s="105">
        <v>13</v>
      </c>
      <c r="BY43" s="105">
        <v>10592.4</v>
      </c>
      <c r="BZ43" s="105">
        <v>17</v>
      </c>
      <c r="CA43" s="105">
        <v>13851.599999999999</v>
      </c>
      <c r="CB43" s="105">
        <v>10</v>
      </c>
      <c r="CC43" s="105">
        <v>8148</v>
      </c>
      <c r="CD43" s="105">
        <v>10</v>
      </c>
      <c r="CE43" s="105">
        <v>8148</v>
      </c>
      <c r="CF43" s="105">
        <v>10</v>
      </c>
      <c r="CG43" s="105">
        <v>8148</v>
      </c>
      <c r="CH43" s="105">
        <v>16</v>
      </c>
      <c r="CI43" s="105">
        <v>13036.8</v>
      </c>
      <c r="CJ43" s="105">
        <v>11</v>
      </c>
      <c r="CK43" s="105">
        <v>8962.7999999999993</v>
      </c>
      <c r="CL43" s="105">
        <v>11</v>
      </c>
      <c r="CM43" s="105">
        <v>8962.7999999999993</v>
      </c>
      <c r="CN43" s="105">
        <v>12</v>
      </c>
      <c r="CO43" s="105">
        <v>9777.5999999999985</v>
      </c>
      <c r="CP43" s="105">
        <v>16</v>
      </c>
      <c r="CQ43" s="105">
        <v>13036.8</v>
      </c>
      <c r="CR43" s="105">
        <v>14</v>
      </c>
      <c r="CS43" s="105">
        <v>11407.199999999999</v>
      </c>
      <c r="CT43" s="105">
        <v>10</v>
      </c>
      <c r="CU43" s="105">
        <v>8148</v>
      </c>
    </row>
    <row r="44" spans="2:99" x14ac:dyDescent="0.2">
      <c r="C44" s="104" t="s">
        <v>212</v>
      </c>
      <c r="D44" s="105">
        <v>9</v>
      </c>
      <c r="E44" s="105">
        <v>7592.4000000000005</v>
      </c>
      <c r="F44" s="105">
        <v>15</v>
      </c>
      <c r="G44" s="105">
        <v>12654</v>
      </c>
      <c r="H44" s="105">
        <v>13</v>
      </c>
      <c r="I44" s="105">
        <v>10966.800000000001</v>
      </c>
      <c r="J44" s="105">
        <v>15</v>
      </c>
      <c r="K44" s="105">
        <v>12654</v>
      </c>
      <c r="L44" s="105">
        <v>13</v>
      </c>
      <c r="M44" s="105">
        <v>10966.800000000001</v>
      </c>
      <c r="N44" s="105">
        <v>11</v>
      </c>
      <c r="O44" s="105">
        <v>9279.6</v>
      </c>
      <c r="P44" s="105">
        <v>12</v>
      </c>
      <c r="Q44" s="105">
        <v>10123.200000000001</v>
      </c>
      <c r="R44" s="105">
        <v>17</v>
      </c>
      <c r="S44" s="105">
        <v>14341.2</v>
      </c>
      <c r="T44" s="105">
        <v>15</v>
      </c>
      <c r="U44" s="105">
        <v>12654</v>
      </c>
      <c r="V44" s="105">
        <v>12</v>
      </c>
      <c r="W44" s="105">
        <v>10123.200000000001</v>
      </c>
      <c r="X44" s="105">
        <v>11</v>
      </c>
      <c r="Y44" s="105">
        <v>9279.6</v>
      </c>
      <c r="Z44" s="105">
        <v>10</v>
      </c>
      <c r="AA44" s="105">
        <v>8436</v>
      </c>
      <c r="AB44" s="105">
        <v>11</v>
      </c>
      <c r="AC44" s="105">
        <v>9279.6</v>
      </c>
      <c r="AD44" s="105">
        <v>12</v>
      </c>
      <c r="AE44" s="105">
        <v>10123.200000000001</v>
      </c>
      <c r="AF44" s="105">
        <v>15</v>
      </c>
      <c r="AG44" s="105">
        <v>12654</v>
      </c>
      <c r="AH44" s="105">
        <v>12</v>
      </c>
      <c r="AI44" s="105">
        <v>10123.200000000001</v>
      </c>
      <c r="AJ44" s="105">
        <v>18</v>
      </c>
      <c r="AK44" s="105">
        <v>15184.800000000001</v>
      </c>
      <c r="AL44" s="105">
        <v>14</v>
      </c>
      <c r="AM44" s="105">
        <v>11810.4</v>
      </c>
      <c r="AN44" s="105">
        <v>16</v>
      </c>
      <c r="AO44" s="105">
        <v>13497.6</v>
      </c>
      <c r="AP44" s="105">
        <v>13</v>
      </c>
      <c r="AQ44" s="105">
        <v>10966.800000000001</v>
      </c>
      <c r="AR44" s="105">
        <v>15</v>
      </c>
      <c r="AS44" s="105">
        <v>12654</v>
      </c>
      <c r="AT44" s="105">
        <v>11</v>
      </c>
      <c r="AU44" s="105">
        <v>9279.6</v>
      </c>
      <c r="AV44" s="105">
        <v>9</v>
      </c>
      <c r="AW44" s="105">
        <v>7592.4000000000005</v>
      </c>
      <c r="AX44" s="105">
        <v>17</v>
      </c>
      <c r="AY44" s="105">
        <v>14341.2</v>
      </c>
      <c r="AZ44" s="105">
        <v>10</v>
      </c>
      <c r="BA44" s="105">
        <v>8436</v>
      </c>
      <c r="BB44" s="105">
        <v>16</v>
      </c>
      <c r="BC44" s="105">
        <v>13497.6</v>
      </c>
      <c r="BD44" s="105">
        <v>16</v>
      </c>
      <c r="BE44" s="105">
        <v>13497.6</v>
      </c>
      <c r="BF44" s="105">
        <v>9</v>
      </c>
      <c r="BG44" s="105">
        <v>7592.4000000000005</v>
      </c>
      <c r="BH44" s="105">
        <v>18</v>
      </c>
      <c r="BI44" s="105">
        <v>15184.800000000001</v>
      </c>
      <c r="BJ44" s="105">
        <v>10</v>
      </c>
      <c r="BK44" s="105">
        <v>8436</v>
      </c>
      <c r="BL44" s="105">
        <v>16</v>
      </c>
      <c r="BM44" s="105">
        <v>13497.6</v>
      </c>
      <c r="BN44" s="105">
        <v>17</v>
      </c>
      <c r="BO44" s="105">
        <v>14341.2</v>
      </c>
      <c r="BP44" s="105">
        <v>18</v>
      </c>
      <c r="BQ44" s="105">
        <v>15184.800000000001</v>
      </c>
      <c r="BR44" s="105">
        <v>10</v>
      </c>
      <c r="BS44" s="105">
        <v>8436</v>
      </c>
      <c r="BT44" s="105">
        <v>10</v>
      </c>
      <c r="BU44" s="105">
        <v>8436</v>
      </c>
      <c r="BV44" s="105">
        <v>14</v>
      </c>
      <c r="BW44" s="105">
        <v>11810.4</v>
      </c>
      <c r="BX44" s="105">
        <v>12</v>
      </c>
      <c r="BY44" s="105">
        <v>10123.200000000001</v>
      </c>
      <c r="BZ44" s="105">
        <v>18</v>
      </c>
      <c r="CA44" s="105">
        <v>15184.800000000001</v>
      </c>
      <c r="CB44" s="105">
        <v>10</v>
      </c>
      <c r="CC44" s="105">
        <v>8436</v>
      </c>
      <c r="CD44" s="105">
        <v>10</v>
      </c>
      <c r="CE44" s="105">
        <v>8436</v>
      </c>
      <c r="CF44" s="105">
        <v>10</v>
      </c>
      <c r="CG44" s="105">
        <v>8436</v>
      </c>
      <c r="CH44" s="105">
        <v>16</v>
      </c>
      <c r="CI44" s="105">
        <v>13497.6</v>
      </c>
      <c r="CJ44" s="105">
        <v>11</v>
      </c>
      <c r="CK44" s="105">
        <v>9279.6</v>
      </c>
      <c r="CL44" s="105">
        <v>11</v>
      </c>
      <c r="CM44" s="105">
        <v>9279.6</v>
      </c>
      <c r="CN44" s="105">
        <v>11</v>
      </c>
      <c r="CO44" s="105">
        <v>9279.6</v>
      </c>
      <c r="CP44" s="105">
        <v>15</v>
      </c>
      <c r="CQ44" s="105">
        <v>12654</v>
      </c>
      <c r="CR44" s="105">
        <v>14</v>
      </c>
      <c r="CS44" s="105">
        <v>11810.4</v>
      </c>
      <c r="CT44" s="105">
        <v>11</v>
      </c>
      <c r="CU44" s="105">
        <v>9279.6</v>
      </c>
    </row>
    <row r="45" spans="2:99" x14ac:dyDescent="0.2">
      <c r="C45" s="104" t="s">
        <v>213</v>
      </c>
      <c r="D45" s="105">
        <v>9</v>
      </c>
      <c r="E45" s="105">
        <v>9363.5999999999985</v>
      </c>
      <c r="F45" s="105">
        <v>15</v>
      </c>
      <c r="G45" s="105">
        <v>15605.999999999998</v>
      </c>
      <c r="H45" s="105">
        <v>12</v>
      </c>
      <c r="I45" s="105">
        <v>12484.8</v>
      </c>
      <c r="J45" s="105">
        <v>14</v>
      </c>
      <c r="K45" s="105">
        <v>14565.599999999999</v>
      </c>
      <c r="L45" s="105">
        <v>11</v>
      </c>
      <c r="M45" s="105">
        <v>11444.399999999998</v>
      </c>
      <c r="N45" s="105">
        <v>10</v>
      </c>
      <c r="O45" s="105">
        <v>10403.999999999998</v>
      </c>
      <c r="P45" s="105">
        <v>11</v>
      </c>
      <c r="Q45" s="105">
        <v>11444.399999999998</v>
      </c>
      <c r="R45" s="105">
        <v>18</v>
      </c>
      <c r="S45" s="105">
        <v>18727.199999999997</v>
      </c>
      <c r="T45" s="105">
        <v>14</v>
      </c>
      <c r="U45" s="105">
        <v>14565.599999999999</v>
      </c>
      <c r="V45" s="105">
        <v>10</v>
      </c>
      <c r="W45" s="105">
        <v>10403.999999999998</v>
      </c>
      <c r="X45" s="105">
        <v>9</v>
      </c>
      <c r="Y45" s="105">
        <v>9363.5999999999985</v>
      </c>
      <c r="Z45" s="105">
        <v>12</v>
      </c>
      <c r="AA45" s="105">
        <v>12484.8</v>
      </c>
      <c r="AB45" s="105">
        <v>10</v>
      </c>
      <c r="AC45" s="105">
        <v>10403.999999999998</v>
      </c>
      <c r="AD45" s="105">
        <v>12</v>
      </c>
      <c r="AE45" s="105">
        <v>12484.8</v>
      </c>
      <c r="AF45" s="105">
        <v>16</v>
      </c>
      <c r="AG45" s="105">
        <v>16646.399999999998</v>
      </c>
      <c r="AH45" s="105">
        <v>13</v>
      </c>
      <c r="AI45" s="105">
        <v>13525.199999999999</v>
      </c>
      <c r="AJ45" s="105">
        <v>18</v>
      </c>
      <c r="AK45" s="105">
        <v>18727.199999999997</v>
      </c>
      <c r="AL45" s="105">
        <v>13</v>
      </c>
      <c r="AM45" s="105">
        <v>13525.199999999999</v>
      </c>
      <c r="AN45" s="105">
        <v>17</v>
      </c>
      <c r="AO45" s="105">
        <v>17686.8</v>
      </c>
      <c r="AP45" s="105">
        <v>14</v>
      </c>
      <c r="AQ45" s="105">
        <v>14565.599999999999</v>
      </c>
      <c r="AR45" s="105">
        <v>16</v>
      </c>
      <c r="AS45" s="105">
        <v>16646.399999999998</v>
      </c>
      <c r="AT45" s="105">
        <v>11</v>
      </c>
      <c r="AU45" s="105">
        <v>11444.399999999998</v>
      </c>
      <c r="AV45" s="105">
        <v>9</v>
      </c>
      <c r="AW45" s="105">
        <v>9363.5999999999985</v>
      </c>
      <c r="AX45" s="105">
        <v>14</v>
      </c>
      <c r="AY45" s="105">
        <v>14565.599999999999</v>
      </c>
      <c r="AZ45" s="105">
        <v>10</v>
      </c>
      <c r="BA45" s="105">
        <v>10403.999999999998</v>
      </c>
      <c r="BB45" s="105">
        <v>18</v>
      </c>
      <c r="BC45" s="105">
        <v>18727.199999999997</v>
      </c>
      <c r="BD45" s="105">
        <v>15</v>
      </c>
      <c r="BE45" s="105">
        <v>15605.999999999998</v>
      </c>
      <c r="BF45" s="105">
        <v>10</v>
      </c>
      <c r="BG45" s="105">
        <v>10403.999999999998</v>
      </c>
      <c r="BH45" s="105">
        <v>15</v>
      </c>
      <c r="BI45" s="105">
        <v>15605.999999999998</v>
      </c>
      <c r="BJ45" s="105">
        <v>11</v>
      </c>
      <c r="BK45" s="105">
        <v>11444.399999999998</v>
      </c>
      <c r="BL45" s="105">
        <v>15</v>
      </c>
      <c r="BM45" s="105">
        <v>15605.999999999998</v>
      </c>
      <c r="BN45" s="105">
        <v>15</v>
      </c>
      <c r="BO45" s="105">
        <v>15605.999999999998</v>
      </c>
      <c r="BP45" s="105">
        <v>17</v>
      </c>
      <c r="BQ45" s="105">
        <v>17686.8</v>
      </c>
      <c r="BR45" s="105">
        <v>10</v>
      </c>
      <c r="BS45" s="105">
        <v>10403.999999999998</v>
      </c>
      <c r="BT45" s="105">
        <v>9</v>
      </c>
      <c r="BU45" s="105">
        <v>9363.5999999999985</v>
      </c>
      <c r="BV45" s="105">
        <v>12</v>
      </c>
      <c r="BW45" s="105">
        <v>12484.8</v>
      </c>
      <c r="BX45" s="105">
        <v>12</v>
      </c>
      <c r="BY45" s="105">
        <v>12484.8</v>
      </c>
      <c r="BZ45" s="105">
        <v>16</v>
      </c>
      <c r="CA45" s="105">
        <v>16646.399999999998</v>
      </c>
      <c r="CB45" s="105">
        <v>9</v>
      </c>
      <c r="CC45" s="105">
        <v>9363.5999999999985</v>
      </c>
      <c r="CD45" s="105">
        <v>11</v>
      </c>
      <c r="CE45" s="105">
        <v>11444.399999999998</v>
      </c>
      <c r="CF45" s="105">
        <v>9</v>
      </c>
      <c r="CG45" s="105">
        <v>9363.5999999999985</v>
      </c>
      <c r="CH45" s="105">
        <v>15</v>
      </c>
      <c r="CI45" s="105">
        <v>15605.999999999998</v>
      </c>
      <c r="CJ45" s="105">
        <v>11</v>
      </c>
      <c r="CK45" s="105">
        <v>11444.399999999998</v>
      </c>
      <c r="CL45" s="105">
        <v>13</v>
      </c>
      <c r="CM45" s="105">
        <v>13525.199999999999</v>
      </c>
      <c r="CN45" s="105">
        <v>12</v>
      </c>
      <c r="CO45" s="105">
        <v>12484.8</v>
      </c>
      <c r="CP45" s="105">
        <v>14</v>
      </c>
      <c r="CQ45" s="105">
        <v>14565.599999999999</v>
      </c>
      <c r="CR45" s="105">
        <v>14</v>
      </c>
      <c r="CS45" s="105">
        <v>14565.599999999999</v>
      </c>
      <c r="CT45" s="105">
        <v>11</v>
      </c>
      <c r="CU45" s="105">
        <v>11444.399999999998</v>
      </c>
    </row>
    <row r="46" spans="2:99" x14ac:dyDescent="0.2">
      <c r="C46" s="104" t="s">
        <v>214</v>
      </c>
      <c r="D46" s="105">
        <v>8</v>
      </c>
      <c r="E46" s="105">
        <v>8140.7999999999984</v>
      </c>
      <c r="F46" s="105">
        <v>14</v>
      </c>
      <c r="G46" s="105">
        <v>14246.399999999998</v>
      </c>
      <c r="H46" s="105">
        <v>13</v>
      </c>
      <c r="I46" s="105">
        <v>13228.799999999997</v>
      </c>
      <c r="J46" s="105">
        <v>14</v>
      </c>
      <c r="K46" s="105">
        <v>14246.399999999998</v>
      </c>
      <c r="L46" s="105">
        <v>12</v>
      </c>
      <c r="M46" s="105">
        <v>12211.199999999997</v>
      </c>
      <c r="N46" s="105">
        <v>10</v>
      </c>
      <c r="O46" s="105">
        <v>10175.999999999998</v>
      </c>
      <c r="P46" s="105">
        <v>11</v>
      </c>
      <c r="Q46" s="105">
        <v>11193.599999999999</v>
      </c>
      <c r="R46" s="105">
        <v>17</v>
      </c>
      <c r="S46" s="105">
        <v>17299.199999999997</v>
      </c>
      <c r="T46" s="105">
        <v>12</v>
      </c>
      <c r="U46" s="105">
        <v>12211.199999999997</v>
      </c>
      <c r="V46" s="105">
        <v>11</v>
      </c>
      <c r="W46" s="105">
        <v>11193.599999999999</v>
      </c>
      <c r="X46" s="105">
        <v>11</v>
      </c>
      <c r="Y46" s="105">
        <v>11193.599999999999</v>
      </c>
      <c r="Z46" s="105">
        <v>10</v>
      </c>
      <c r="AA46" s="105">
        <v>10175.999999999998</v>
      </c>
      <c r="AB46" s="105">
        <v>10</v>
      </c>
      <c r="AC46" s="105">
        <v>10175.999999999998</v>
      </c>
      <c r="AD46" s="105">
        <v>11</v>
      </c>
      <c r="AE46" s="105">
        <v>11193.599999999999</v>
      </c>
      <c r="AF46" s="105">
        <v>15</v>
      </c>
      <c r="AG46" s="105">
        <v>15263.999999999996</v>
      </c>
      <c r="AH46" s="105">
        <v>13</v>
      </c>
      <c r="AI46" s="105">
        <v>13228.799999999997</v>
      </c>
      <c r="AJ46" s="105">
        <v>18</v>
      </c>
      <c r="AK46" s="105">
        <v>18316.799999999996</v>
      </c>
      <c r="AL46" s="105">
        <v>15</v>
      </c>
      <c r="AM46" s="105">
        <v>15263.999999999996</v>
      </c>
      <c r="AN46" s="105">
        <v>15</v>
      </c>
      <c r="AO46" s="105">
        <v>15263.999999999996</v>
      </c>
      <c r="AP46" s="105">
        <v>14</v>
      </c>
      <c r="AQ46" s="105">
        <v>14246.399999999998</v>
      </c>
      <c r="AR46" s="105">
        <v>18</v>
      </c>
      <c r="AS46" s="105">
        <v>18316.799999999996</v>
      </c>
      <c r="AT46" s="105">
        <v>11</v>
      </c>
      <c r="AU46" s="105">
        <v>11193.599999999999</v>
      </c>
      <c r="AV46" s="105">
        <v>10</v>
      </c>
      <c r="AW46" s="105">
        <v>10175.999999999998</v>
      </c>
      <c r="AX46" s="105">
        <v>15</v>
      </c>
      <c r="AY46" s="105">
        <v>15263.999999999996</v>
      </c>
      <c r="AZ46" s="105">
        <v>9</v>
      </c>
      <c r="BA46" s="105">
        <v>9158.3999999999978</v>
      </c>
      <c r="BB46" s="105">
        <v>16</v>
      </c>
      <c r="BC46" s="105">
        <v>16281.599999999997</v>
      </c>
      <c r="BD46" s="105">
        <v>16</v>
      </c>
      <c r="BE46" s="105">
        <v>16281.599999999997</v>
      </c>
      <c r="BF46" s="105">
        <v>9</v>
      </c>
      <c r="BG46" s="105">
        <v>9158.3999999999978</v>
      </c>
      <c r="BH46" s="105">
        <v>15</v>
      </c>
      <c r="BI46" s="105">
        <v>15263.999999999996</v>
      </c>
      <c r="BJ46" s="105">
        <v>10</v>
      </c>
      <c r="BK46" s="105">
        <v>10175.999999999998</v>
      </c>
      <c r="BL46" s="105">
        <v>13</v>
      </c>
      <c r="BM46" s="105">
        <v>13228.799999999997</v>
      </c>
      <c r="BN46" s="105">
        <v>16</v>
      </c>
      <c r="BO46" s="105">
        <v>16281.599999999997</v>
      </c>
      <c r="BP46" s="105">
        <v>17</v>
      </c>
      <c r="BQ46" s="105">
        <v>17299.199999999997</v>
      </c>
      <c r="BR46" s="105">
        <v>10</v>
      </c>
      <c r="BS46" s="105">
        <v>10175.999999999998</v>
      </c>
      <c r="BT46" s="105">
        <v>9</v>
      </c>
      <c r="BU46" s="105">
        <v>9158.3999999999978</v>
      </c>
      <c r="BV46" s="105">
        <v>14</v>
      </c>
      <c r="BW46" s="105">
        <v>14246.399999999998</v>
      </c>
      <c r="BX46" s="105">
        <v>13</v>
      </c>
      <c r="BY46" s="105">
        <v>13228.799999999997</v>
      </c>
      <c r="BZ46" s="105">
        <v>17</v>
      </c>
      <c r="CA46" s="105">
        <v>17299.199999999997</v>
      </c>
      <c r="CB46" s="105">
        <v>9</v>
      </c>
      <c r="CC46" s="105">
        <v>9158.3999999999978</v>
      </c>
      <c r="CD46" s="105">
        <v>10</v>
      </c>
      <c r="CE46" s="105">
        <v>10175.999999999998</v>
      </c>
      <c r="CF46" s="105">
        <v>10</v>
      </c>
      <c r="CG46" s="105">
        <v>10175.999999999998</v>
      </c>
      <c r="CH46" s="105">
        <v>18</v>
      </c>
      <c r="CI46" s="105">
        <v>18316.799999999996</v>
      </c>
      <c r="CJ46" s="105">
        <v>11</v>
      </c>
      <c r="CK46" s="105">
        <v>11193.599999999999</v>
      </c>
      <c r="CL46" s="105">
        <v>13</v>
      </c>
      <c r="CM46" s="105">
        <v>13228.799999999997</v>
      </c>
      <c r="CN46" s="105">
        <v>11</v>
      </c>
      <c r="CO46" s="105">
        <v>11193.599999999999</v>
      </c>
      <c r="CP46" s="105">
        <v>14</v>
      </c>
      <c r="CQ46" s="105">
        <v>14246.399999999998</v>
      </c>
      <c r="CR46" s="105">
        <v>14</v>
      </c>
      <c r="CS46" s="105">
        <v>14246.399999999998</v>
      </c>
      <c r="CT46" s="105">
        <v>10</v>
      </c>
      <c r="CU46" s="105">
        <v>10175.999999999998</v>
      </c>
    </row>
    <row r="47" spans="2:99" x14ac:dyDescent="0.2">
      <c r="C47" s="104" t="s">
        <v>215</v>
      </c>
      <c r="D47" s="105">
        <v>9</v>
      </c>
      <c r="E47" s="105">
        <v>11858.4</v>
      </c>
      <c r="F47" s="105">
        <v>13</v>
      </c>
      <c r="G47" s="105">
        <v>17128.8</v>
      </c>
      <c r="H47" s="105">
        <v>12</v>
      </c>
      <c r="I47" s="105">
        <v>15811.199999999999</v>
      </c>
      <c r="J47" s="105">
        <v>13</v>
      </c>
      <c r="K47" s="105">
        <v>17128.8</v>
      </c>
      <c r="L47" s="105">
        <v>11</v>
      </c>
      <c r="M47" s="105">
        <v>14493.599999999999</v>
      </c>
      <c r="N47" s="105">
        <v>10</v>
      </c>
      <c r="O47" s="105">
        <v>13176</v>
      </c>
      <c r="P47" s="105">
        <v>12</v>
      </c>
      <c r="Q47" s="105">
        <v>15811.199999999999</v>
      </c>
      <c r="R47" s="105">
        <v>15</v>
      </c>
      <c r="S47" s="105">
        <v>19764</v>
      </c>
      <c r="T47" s="105">
        <v>14</v>
      </c>
      <c r="U47" s="105">
        <v>18446.399999999998</v>
      </c>
      <c r="V47" s="105">
        <v>11</v>
      </c>
      <c r="W47" s="105">
        <v>14493.599999999999</v>
      </c>
      <c r="X47" s="105">
        <v>9</v>
      </c>
      <c r="Y47" s="105">
        <v>11858.4</v>
      </c>
      <c r="Z47" s="105">
        <v>11</v>
      </c>
      <c r="AA47" s="105">
        <v>14493.599999999999</v>
      </c>
      <c r="AB47" s="105">
        <v>10</v>
      </c>
      <c r="AC47" s="105">
        <v>13176</v>
      </c>
      <c r="AD47" s="105">
        <v>12</v>
      </c>
      <c r="AE47" s="105">
        <v>15811.199999999999</v>
      </c>
      <c r="AF47" s="105">
        <v>15</v>
      </c>
      <c r="AG47" s="105">
        <v>19764</v>
      </c>
      <c r="AH47" s="105">
        <v>12</v>
      </c>
      <c r="AI47" s="105">
        <v>15811.199999999999</v>
      </c>
      <c r="AJ47" s="105">
        <v>16</v>
      </c>
      <c r="AK47" s="105">
        <v>21081.599999999999</v>
      </c>
      <c r="AL47" s="105">
        <v>14</v>
      </c>
      <c r="AM47" s="105">
        <v>18446.399999999998</v>
      </c>
      <c r="AN47" s="105">
        <v>17</v>
      </c>
      <c r="AO47" s="105">
        <v>22399.199999999997</v>
      </c>
      <c r="AP47" s="105">
        <v>14</v>
      </c>
      <c r="AQ47" s="105">
        <v>18446.399999999998</v>
      </c>
      <c r="AR47" s="105">
        <v>16</v>
      </c>
      <c r="AS47" s="105">
        <v>21081.599999999999</v>
      </c>
      <c r="AT47" s="105">
        <v>12</v>
      </c>
      <c r="AU47" s="105">
        <v>15811.199999999999</v>
      </c>
      <c r="AV47" s="105">
        <v>9</v>
      </c>
      <c r="AW47" s="105">
        <v>11858.4</v>
      </c>
      <c r="AX47" s="105">
        <v>14</v>
      </c>
      <c r="AY47" s="105">
        <v>18446.399999999998</v>
      </c>
      <c r="AZ47" s="105">
        <v>9</v>
      </c>
      <c r="BA47" s="105">
        <v>11858.4</v>
      </c>
      <c r="BB47" s="105">
        <v>16</v>
      </c>
      <c r="BC47" s="105">
        <v>21081.599999999999</v>
      </c>
      <c r="BD47" s="105">
        <v>15</v>
      </c>
      <c r="BE47" s="105">
        <v>19764</v>
      </c>
      <c r="BF47" s="105">
        <v>9</v>
      </c>
      <c r="BG47" s="105">
        <v>11858.4</v>
      </c>
      <c r="BH47" s="105">
        <v>16</v>
      </c>
      <c r="BI47" s="105">
        <v>21081.599999999999</v>
      </c>
      <c r="BJ47" s="105">
        <v>11</v>
      </c>
      <c r="BK47" s="105">
        <v>14493.599999999999</v>
      </c>
      <c r="BL47" s="105">
        <v>16</v>
      </c>
      <c r="BM47" s="105">
        <v>21081.599999999999</v>
      </c>
      <c r="BN47" s="105">
        <v>15</v>
      </c>
      <c r="BO47" s="105">
        <v>19764</v>
      </c>
      <c r="BP47" s="105">
        <v>17</v>
      </c>
      <c r="BQ47" s="105">
        <v>22399.199999999997</v>
      </c>
      <c r="BR47" s="105">
        <v>10</v>
      </c>
      <c r="BS47" s="105">
        <v>13176</v>
      </c>
      <c r="BT47" s="105">
        <v>10</v>
      </c>
      <c r="BU47" s="105">
        <v>13176</v>
      </c>
      <c r="BV47" s="105">
        <v>12</v>
      </c>
      <c r="BW47" s="105">
        <v>15811.199999999999</v>
      </c>
      <c r="BX47" s="105">
        <v>12</v>
      </c>
      <c r="BY47" s="105">
        <v>15811.199999999999</v>
      </c>
      <c r="BZ47" s="105">
        <v>18</v>
      </c>
      <c r="CA47" s="105">
        <v>23716.799999999999</v>
      </c>
      <c r="CB47" s="105">
        <v>10</v>
      </c>
      <c r="CC47" s="105">
        <v>13176</v>
      </c>
      <c r="CD47" s="105">
        <v>10</v>
      </c>
      <c r="CE47" s="105">
        <v>13176</v>
      </c>
      <c r="CF47" s="105">
        <v>9</v>
      </c>
      <c r="CG47" s="105">
        <v>11858.4</v>
      </c>
      <c r="CH47" s="105">
        <v>15</v>
      </c>
      <c r="CI47" s="105">
        <v>19764</v>
      </c>
      <c r="CJ47" s="105">
        <v>10</v>
      </c>
      <c r="CK47" s="105">
        <v>13176</v>
      </c>
      <c r="CL47" s="105">
        <v>12</v>
      </c>
      <c r="CM47" s="105">
        <v>15811.199999999999</v>
      </c>
      <c r="CN47" s="105">
        <v>12</v>
      </c>
      <c r="CO47" s="105">
        <v>15811.199999999999</v>
      </c>
      <c r="CP47" s="105">
        <v>13</v>
      </c>
      <c r="CQ47" s="105">
        <v>17128.8</v>
      </c>
      <c r="CR47" s="105">
        <v>14</v>
      </c>
      <c r="CS47" s="105">
        <v>18446.399999999998</v>
      </c>
      <c r="CT47" s="105">
        <v>10</v>
      </c>
      <c r="CU47" s="105">
        <v>13176</v>
      </c>
    </row>
    <row r="48" spans="2:99" x14ac:dyDescent="0.2">
      <c r="C48" s="104" t="s">
        <v>216</v>
      </c>
      <c r="D48" s="105">
        <v>10</v>
      </c>
      <c r="E48" s="105">
        <v>6576</v>
      </c>
      <c r="F48" s="105">
        <v>15</v>
      </c>
      <c r="G48" s="105">
        <v>9864</v>
      </c>
      <c r="H48" s="105">
        <v>14</v>
      </c>
      <c r="I48" s="105">
        <v>9206.4</v>
      </c>
      <c r="J48" s="105">
        <v>15</v>
      </c>
      <c r="K48" s="105">
        <v>9864</v>
      </c>
      <c r="L48" s="105">
        <v>12</v>
      </c>
      <c r="M48" s="105">
        <v>7891.2000000000007</v>
      </c>
      <c r="N48" s="105">
        <v>11</v>
      </c>
      <c r="O48" s="105">
        <v>7233.6</v>
      </c>
      <c r="P48" s="105">
        <v>11</v>
      </c>
      <c r="Q48" s="105">
        <v>7233.6</v>
      </c>
      <c r="R48" s="105">
        <v>19</v>
      </c>
      <c r="S48" s="105">
        <v>12494.4</v>
      </c>
      <c r="T48" s="105">
        <v>14</v>
      </c>
      <c r="U48" s="105">
        <v>9206.4</v>
      </c>
      <c r="V48" s="105">
        <v>11</v>
      </c>
      <c r="W48" s="105">
        <v>7233.6</v>
      </c>
      <c r="X48" s="105">
        <v>10</v>
      </c>
      <c r="Y48" s="105">
        <v>6576</v>
      </c>
      <c r="Z48" s="105">
        <v>11</v>
      </c>
      <c r="AA48" s="105">
        <v>7233.6</v>
      </c>
      <c r="AB48" s="105">
        <v>11</v>
      </c>
      <c r="AC48" s="105">
        <v>7233.6</v>
      </c>
      <c r="AD48" s="105">
        <v>13</v>
      </c>
      <c r="AE48" s="105">
        <v>8548.8000000000011</v>
      </c>
      <c r="AF48" s="105">
        <v>17</v>
      </c>
      <c r="AG48" s="105">
        <v>11179.2</v>
      </c>
      <c r="AH48" s="105">
        <v>13</v>
      </c>
      <c r="AI48" s="105">
        <v>8548.8000000000011</v>
      </c>
      <c r="AJ48" s="105">
        <v>17</v>
      </c>
      <c r="AK48" s="105">
        <v>11179.2</v>
      </c>
      <c r="AL48" s="105">
        <v>14</v>
      </c>
      <c r="AM48" s="105">
        <v>9206.4</v>
      </c>
      <c r="AN48" s="105">
        <v>18</v>
      </c>
      <c r="AO48" s="105">
        <v>11836.800000000001</v>
      </c>
      <c r="AP48" s="105">
        <v>13</v>
      </c>
      <c r="AQ48" s="105">
        <v>8548.8000000000011</v>
      </c>
      <c r="AR48" s="105">
        <v>16</v>
      </c>
      <c r="AS48" s="105">
        <v>10521.6</v>
      </c>
      <c r="AT48" s="105">
        <v>11</v>
      </c>
      <c r="AU48" s="105">
        <v>7233.6</v>
      </c>
      <c r="AV48" s="105">
        <v>9</v>
      </c>
      <c r="AW48" s="105">
        <v>5918.4000000000005</v>
      </c>
      <c r="AX48" s="105">
        <v>15</v>
      </c>
      <c r="AY48" s="105">
        <v>9864</v>
      </c>
      <c r="AZ48" s="105">
        <v>9</v>
      </c>
      <c r="BA48" s="105">
        <v>5918.4000000000005</v>
      </c>
      <c r="BB48" s="105">
        <v>16</v>
      </c>
      <c r="BC48" s="105">
        <v>10521.6</v>
      </c>
      <c r="BD48" s="105">
        <v>18</v>
      </c>
      <c r="BE48" s="105">
        <v>11836.800000000001</v>
      </c>
      <c r="BF48" s="105">
        <v>9</v>
      </c>
      <c r="BG48" s="105">
        <v>5918.4000000000005</v>
      </c>
      <c r="BH48" s="105">
        <v>17</v>
      </c>
      <c r="BI48" s="105">
        <v>11179.2</v>
      </c>
      <c r="BJ48" s="105">
        <v>10</v>
      </c>
      <c r="BK48" s="105">
        <v>6576</v>
      </c>
      <c r="BL48" s="105">
        <v>15</v>
      </c>
      <c r="BM48" s="105">
        <v>9864</v>
      </c>
      <c r="BN48" s="105">
        <v>17</v>
      </c>
      <c r="BO48" s="105">
        <v>11179.2</v>
      </c>
      <c r="BP48" s="105">
        <v>18</v>
      </c>
      <c r="BQ48" s="105">
        <v>11836.800000000001</v>
      </c>
      <c r="BR48" s="105">
        <v>9</v>
      </c>
      <c r="BS48" s="105">
        <v>5918.4000000000005</v>
      </c>
      <c r="BT48" s="105">
        <v>10</v>
      </c>
      <c r="BU48" s="105">
        <v>6576</v>
      </c>
      <c r="BV48" s="105">
        <v>14</v>
      </c>
      <c r="BW48" s="105">
        <v>9206.4</v>
      </c>
      <c r="BX48" s="105">
        <v>13</v>
      </c>
      <c r="BY48" s="105">
        <v>8548.8000000000011</v>
      </c>
      <c r="BZ48" s="105">
        <v>19</v>
      </c>
      <c r="CA48" s="105">
        <v>12494.4</v>
      </c>
      <c r="CB48" s="105">
        <v>10</v>
      </c>
      <c r="CC48" s="105">
        <v>6576</v>
      </c>
      <c r="CD48" s="105">
        <v>10</v>
      </c>
      <c r="CE48" s="105">
        <v>6576</v>
      </c>
      <c r="CF48" s="105">
        <v>10</v>
      </c>
      <c r="CG48" s="105">
        <v>6576</v>
      </c>
      <c r="CH48" s="105">
        <v>16</v>
      </c>
      <c r="CI48" s="105">
        <v>10521.6</v>
      </c>
      <c r="CJ48" s="105">
        <v>11</v>
      </c>
      <c r="CK48" s="105">
        <v>7233.6</v>
      </c>
      <c r="CL48" s="105">
        <v>12</v>
      </c>
      <c r="CM48" s="105">
        <v>7891.2000000000007</v>
      </c>
      <c r="CN48" s="105">
        <v>12</v>
      </c>
      <c r="CO48" s="105">
        <v>7891.2000000000007</v>
      </c>
      <c r="CP48" s="105">
        <v>14</v>
      </c>
      <c r="CQ48" s="105">
        <v>9206.4</v>
      </c>
      <c r="CR48" s="105">
        <v>16</v>
      </c>
      <c r="CS48" s="105">
        <v>10521.6</v>
      </c>
      <c r="CT48" s="105">
        <v>10</v>
      </c>
      <c r="CU48" s="105">
        <v>6576</v>
      </c>
    </row>
    <row r="49" spans="2:99" x14ac:dyDescent="0.2">
      <c r="B49" s="104" t="s">
        <v>129</v>
      </c>
      <c r="C49" s="104" t="s">
        <v>217</v>
      </c>
      <c r="D49" s="105">
        <v>9</v>
      </c>
      <c r="E49" s="105">
        <v>5324.4000000000005</v>
      </c>
      <c r="F49" s="105">
        <v>13</v>
      </c>
      <c r="G49" s="105">
        <v>7690.8</v>
      </c>
      <c r="H49" s="105">
        <v>10</v>
      </c>
      <c r="I49" s="105">
        <v>5916</v>
      </c>
      <c r="J49" s="105">
        <v>13</v>
      </c>
      <c r="K49" s="105">
        <v>7690.8</v>
      </c>
      <c r="L49" s="105">
        <v>10.95022624434389</v>
      </c>
      <c r="M49" s="105">
        <v>6478.1538461538457</v>
      </c>
      <c r="N49" s="105">
        <v>10.122065727699532</v>
      </c>
      <c r="O49" s="105">
        <v>5988.2140845070435</v>
      </c>
      <c r="P49" s="105">
        <v>8.2352941176470598</v>
      </c>
      <c r="Q49" s="105">
        <v>4872.0000000000009</v>
      </c>
      <c r="R49" s="105">
        <v>9.7556561085972842</v>
      </c>
      <c r="S49" s="105">
        <v>5771.4461538461537</v>
      </c>
      <c r="T49" s="105">
        <v>9.3739130434782609</v>
      </c>
      <c r="U49" s="105">
        <v>5545.6069565217394</v>
      </c>
      <c r="V49" s="105">
        <v>9.3739130434782609</v>
      </c>
      <c r="W49" s="105">
        <v>5545.6069565217394</v>
      </c>
      <c r="X49" s="105">
        <v>9.6016194331983815</v>
      </c>
      <c r="Y49" s="105">
        <v>5680.318056680163</v>
      </c>
      <c r="Z49" s="105">
        <v>9</v>
      </c>
      <c r="AA49" s="105">
        <v>5324.4000000000005</v>
      </c>
      <c r="AB49" s="105">
        <v>11</v>
      </c>
      <c r="AC49" s="105">
        <v>6507.6</v>
      </c>
      <c r="AD49" s="105">
        <v>12</v>
      </c>
      <c r="AE49" s="105">
        <v>7099.2000000000007</v>
      </c>
      <c r="AF49" s="105">
        <v>12</v>
      </c>
      <c r="AG49" s="105">
        <v>7099.2000000000007</v>
      </c>
      <c r="AH49" s="105">
        <v>15</v>
      </c>
      <c r="AI49" s="105">
        <v>8874</v>
      </c>
      <c r="AJ49" s="105">
        <v>10</v>
      </c>
      <c r="AK49" s="105">
        <v>5916</v>
      </c>
      <c r="AL49" s="105">
        <v>14</v>
      </c>
      <c r="AM49" s="105">
        <v>8282.4</v>
      </c>
      <c r="AN49" s="105">
        <v>10</v>
      </c>
      <c r="AO49" s="105">
        <v>5916</v>
      </c>
      <c r="AP49" s="105">
        <v>12</v>
      </c>
      <c r="AQ49" s="105">
        <v>7099.2000000000007</v>
      </c>
      <c r="AR49" s="105">
        <v>9</v>
      </c>
      <c r="AS49" s="105">
        <v>5324.4000000000005</v>
      </c>
      <c r="AT49" s="105">
        <v>10</v>
      </c>
      <c r="AU49" s="105">
        <v>5916</v>
      </c>
      <c r="AV49" s="105">
        <v>10</v>
      </c>
      <c r="AW49" s="105">
        <v>5916</v>
      </c>
      <c r="AX49" s="105">
        <v>12</v>
      </c>
      <c r="AY49" s="105">
        <v>7099.2000000000007</v>
      </c>
      <c r="AZ49" s="105">
        <v>10</v>
      </c>
      <c r="BA49" s="105">
        <v>5916</v>
      </c>
      <c r="BB49" s="105">
        <v>7</v>
      </c>
      <c r="BC49" s="105">
        <v>4141.2</v>
      </c>
      <c r="BD49" s="105">
        <v>10</v>
      </c>
      <c r="BE49" s="105">
        <v>5916</v>
      </c>
      <c r="BF49" s="105">
        <v>8</v>
      </c>
      <c r="BG49" s="105">
        <v>4732.8</v>
      </c>
      <c r="BH49" s="105">
        <v>12</v>
      </c>
      <c r="BI49" s="105">
        <v>7099.2000000000007</v>
      </c>
      <c r="BJ49" s="105">
        <v>8</v>
      </c>
      <c r="BK49" s="105">
        <v>4732.8</v>
      </c>
      <c r="BL49" s="105">
        <v>10</v>
      </c>
      <c r="BM49" s="105">
        <v>5916</v>
      </c>
      <c r="BN49" s="105">
        <v>10</v>
      </c>
      <c r="BO49" s="105">
        <v>5916</v>
      </c>
      <c r="BP49" s="105">
        <v>14</v>
      </c>
      <c r="BQ49" s="105">
        <v>8282.4</v>
      </c>
      <c r="BR49" s="105">
        <v>9</v>
      </c>
      <c r="BS49" s="105">
        <v>5324.4000000000005</v>
      </c>
      <c r="BT49" s="105">
        <v>11</v>
      </c>
      <c r="BU49" s="105">
        <v>6507.6</v>
      </c>
      <c r="BV49" s="105">
        <v>8</v>
      </c>
      <c r="BW49" s="105">
        <v>4732.8</v>
      </c>
      <c r="BX49" s="105">
        <v>7.7493975903614531</v>
      </c>
      <c r="BY49" s="105">
        <v>4584.5436144578362</v>
      </c>
      <c r="BZ49" s="105">
        <v>9.2992700729926998</v>
      </c>
      <c r="CA49" s="105">
        <v>5501.4481751824815</v>
      </c>
      <c r="CB49" s="105">
        <v>13.584158415841586</v>
      </c>
      <c r="CC49" s="105">
        <v>8036.3881188118821</v>
      </c>
      <c r="CD49" s="105">
        <v>7.3807531380753142</v>
      </c>
      <c r="CE49" s="105">
        <v>4366.4535564853559</v>
      </c>
      <c r="CF49" s="105">
        <v>11.124324324324323</v>
      </c>
      <c r="CG49" s="105">
        <v>6581.1502702702701</v>
      </c>
      <c r="CH49" s="105">
        <v>9</v>
      </c>
      <c r="CI49" s="105">
        <v>5324.4000000000005</v>
      </c>
      <c r="CJ49" s="105">
        <v>7.5081850533807835</v>
      </c>
      <c r="CK49" s="105">
        <v>4441.8422775800718</v>
      </c>
      <c r="CL49" s="105">
        <v>9.1962085308056878</v>
      </c>
      <c r="CM49" s="105">
        <v>5440.4769668246454</v>
      </c>
      <c r="CN49" s="105">
        <v>6.5092250922509232</v>
      </c>
      <c r="CO49" s="105">
        <v>3850.8575645756464</v>
      </c>
      <c r="CP49" s="105">
        <v>7.5384615384615392</v>
      </c>
      <c r="CQ49" s="105">
        <v>4459.753846153847</v>
      </c>
      <c r="CR49" s="105">
        <v>9.3333333333333321</v>
      </c>
      <c r="CS49" s="105">
        <v>5521.5999999999995</v>
      </c>
      <c r="CT49" s="105">
        <v>14.482758620689657</v>
      </c>
      <c r="CU49" s="105">
        <v>8568.0000000000018</v>
      </c>
    </row>
    <row r="50" spans="2:99" x14ac:dyDescent="0.2">
      <c r="C50" s="104" t="s">
        <v>218</v>
      </c>
      <c r="D50" s="105">
        <v>10</v>
      </c>
      <c r="E50" s="105">
        <v>3864</v>
      </c>
      <c r="F50" s="105">
        <v>14</v>
      </c>
      <c r="G50" s="105">
        <v>5409.5999999999995</v>
      </c>
      <c r="H50" s="105">
        <v>10</v>
      </c>
      <c r="I50" s="105">
        <v>3864</v>
      </c>
      <c r="J50" s="105">
        <v>15</v>
      </c>
      <c r="K50" s="105">
        <v>5796</v>
      </c>
      <c r="L50" s="105">
        <v>13</v>
      </c>
      <c r="M50" s="105">
        <v>5023.2</v>
      </c>
      <c r="N50" s="105">
        <v>12</v>
      </c>
      <c r="O50" s="105">
        <v>4636.7999999999993</v>
      </c>
      <c r="P50" s="105">
        <v>10</v>
      </c>
      <c r="Q50" s="105">
        <v>3864</v>
      </c>
      <c r="R50" s="105">
        <v>12</v>
      </c>
      <c r="S50" s="105">
        <v>4636.7999999999993</v>
      </c>
      <c r="T50" s="105">
        <v>10</v>
      </c>
      <c r="U50" s="105">
        <v>3864</v>
      </c>
      <c r="V50" s="105">
        <v>11</v>
      </c>
      <c r="W50" s="105">
        <v>4250.3999999999996</v>
      </c>
      <c r="X50" s="105">
        <v>10</v>
      </c>
      <c r="Y50" s="105">
        <v>3864</v>
      </c>
      <c r="Z50" s="105">
        <v>10</v>
      </c>
      <c r="AA50" s="105">
        <v>3864</v>
      </c>
      <c r="AB50" s="105">
        <v>10</v>
      </c>
      <c r="AC50" s="105">
        <v>3864</v>
      </c>
      <c r="AD50" s="105">
        <v>12</v>
      </c>
      <c r="AE50" s="105">
        <v>4636.7999999999993</v>
      </c>
      <c r="AF50" s="105">
        <v>14</v>
      </c>
      <c r="AG50" s="105">
        <v>5409.5999999999995</v>
      </c>
      <c r="AH50" s="105">
        <v>14</v>
      </c>
      <c r="AI50" s="105">
        <v>5409.5999999999995</v>
      </c>
      <c r="AJ50" s="105">
        <v>12</v>
      </c>
      <c r="AK50" s="105">
        <v>4636.7999999999993</v>
      </c>
      <c r="AL50" s="105">
        <v>15</v>
      </c>
      <c r="AM50" s="105">
        <v>5796</v>
      </c>
      <c r="AN50" s="105">
        <v>11</v>
      </c>
      <c r="AO50" s="105">
        <v>4250.3999999999996</v>
      </c>
      <c r="AP50" s="105">
        <v>12</v>
      </c>
      <c r="AQ50" s="105">
        <v>4636.7999999999993</v>
      </c>
      <c r="AR50" s="105">
        <v>9</v>
      </c>
      <c r="AS50" s="105">
        <v>3477.6</v>
      </c>
      <c r="AT50" s="105">
        <v>12</v>
      </c>
      <c r="AU50" s="105">
        <v>4636.7999999999993</v>
      </c>
      <c r="AV50" s="105">
        <v>10</v>
      </c>
      <c r="AW50" s="105">
        <v>3864</v>
      </c>
      <c r="AX50" s="105">
        <v>12</v>
      </c>
      <c r="AY50" s="105">
        <v>4636.7999999999993</v>
      </c>
      <c r="AZ50" s="105">
        <v>11</v>
      </c>
      <c r="BA50" s="105">
        <v>4250.3999999999996</v>
      </c>
      <c r="BB50" s="105">
        <v>7</v>
      </c>
      <c r="BC50" s="105">
        <v>2704.7999999999997</v>
      </c>
      <c r="BD50" s="105">
        <v>11</v>
      </c>
      <c r="BE50" s="105">
        <v>4250.3999999999996</v>
      </c>
      <c r="BF50" s="105">
        <v>9</v>
      </c>
      <c r="BG50" s="105">
        <v>3477.6</v>
      </c>
      <c r="BH50" s="105">
        <v>12</v>
      </c>
      <c r="BI50" s="105">
        <v>4636.7999999999993</v>
      </c>
      <c r="BJ50" s="105">
        <v>8</v>
      </c>
      <c r="BK50" s="105">
        <v>3091.2</v>
      </c>
      <c r="BL50" s="105">
        <v>10</v>
      </c>
      <c r="BM50" s="105">
        <v>3864</v>
      </c>
      <c r="BN50" s="105">
        <v>10</v>
      </c>
      <c r="BO50" s="105">
        <v>3864</v>
      </c>
      <c r="BP50" s="105">
        <v>14</v>
      </c>
      <c r="BQ50" s="105">
        <v>5409.5999999999995</v>
      </c>
      <c r="BR50" s="105">
        <v>9</v>
      </c>
      <c r="BS50" s="105">
        <v>3477.6</v>
      </c>
      <c r="BT50" s="105">
        <v>10</v>
      </c>
      <c r="BU50" s="105">
        <v>3864</v>
      </c>
      <c r="BV50" s="105">
        <v>9</v>
      </c>
      <c r="BW50" s="105">
        <v>3477.6</v>
      </c>
      <c r="BX50" s="105">
        <v>10</v>
      </c>
      <c r="BY50" s="105">
        <v>3864</v>
      </c>
      <c r="BZ50" s="105">
        <v>13</v>
      </c>
      <c r="CA50" s="105">
        <v>5023.2</v>
      </c>
      <c r="CB50" s="105">
        <v>15</v>
      </c>
      <c r="CC50" s="105">
        <v>5796</v>
      </c>
      <c r="CD50" s="105">
        <v>9</v>
      </c>
      <c r="CE50" s="105">
        <v>3477.6</v>
      </c>
      <c r="CF50" s="105">
        <v>13</v>
      </c>
      <c r="CG50" s="105">
        <v>5023.2</v>
      </c>
      <c r="CH50" s="105">
        <v>8</v>
      </c>
      <c r="CI50" s="105">
        <v>3091.2</v>
      </c>
      <c r="CJ50" s="105">
        <v>12</v>
      </c>
      <c r="CK50" s="105">
        <v>4636.7999999999993</v>
      </c>
      <c r="CL50" s="105">
        <v>13</v>
      </c>
      <c r="CM50" s="105">
        <v>5023.2</v>
      </c>
      <c r="CN50" s="105">
        <v>8</v>
      </c>
      <c r="CO50" s="105">
        <v>3091.2</v>
      </c>
      <c r="CP50" s="105">
        <v>9</v>
      </c>
      <c r="CQ50" s="105">
        <v>3477.6</v>
      </c>
      <c r="CR50" s="105">
        <v>12</v>
      </c>
      <c r="CS50" s="105">
        <v>4636.7999999999993</v>
      </c>
      <c r="CT50" s="105">
        <v>14</v>
      </c>
      <c r="CU50" s="105">
        <v>5409.5999999999995</v>
      </c>
    </row>
    <row r="51" spans="2:99" x14ac:dyDescent="0.2">
      <c r="C51" s="104" t="s">
        <v>219</v>
      </c>
      <c r="D51" s="105">
        <v>10</v>
      </c>
      <c r="E51" s="105">
        <v>1356</v>
      </c>
      <c r="F51" s="105">
        <v>16</v>
      </c>
      <c r="G51" s="105">
        <v>2169.6</v>
      </c>
      <c r="H51" s="105">
        <v>10</v>
      </c>
      <c r="I51" s="105">
        <v>1356</v>
      </c>
      <c r="J51" s="105">
        <v>16</v>
      </c>
      <c r="K51" s="105">
        <v>2169.6</v>
      </c>
      <c r="L51" s="105">
        <v>12</v>
      </c>
      <c r="M51" s="105">
        <v>1627.1999999999998</v>
      </c>
      <c r="N51" s="105">
        <v>12</v>
      </c>
      <c r="O51" s="105">
        <v>1627.1999999999998</v>
      </c>
      <c r="P51" s="105">
        <v>11</v>
      </c>
      <c r="Q51" s="105">
        <v>1491.6</v>
      </c>
      <c r="R51" s="105">
        <v>11</v>
      </c>
      <c r="S51" s="105">
        <v>1491.6</v>
      </c>
      <c r="T51" s="105">
        <v>12</v>
      </c>
      <c r="U51" s="105">
        <v>1627.1999999999998</v>
      </c>
      <c r="V51" s="105">
        <v>11</v>
      </c>
      <c r="W51" s="105">
        <v>1491.6</v>
      </c>
      <c r="X51" s="105">
        <v>12</v>
      </c>
      <c r="Y51" s="105">
        <v>1627.1999999999998</v>
      </c>
      <c r="Z51" s="105">
        <v>10</v>
      </c>
      <c r="AA51" s="105">
        <v>1356</v>
      </c>
      <c r="AB51" s="105">
        <v>11</v>
      </c>
      <c r="AC51" s="105">
        <v>1491.6</v>
      </c>
      <c r="AD51" s="105">
        <v>12</v>
      </c>
      <c r="AE51" s="105">
        <v>1627.1999999999998</v>
      </c>
      <c r="AF51" s="105">
        <v>15</v>
      </c>
      <c r="AG51" s="105">
        <v>2034</v>
      </c>
      <c r="AH51" s="105">
        <v>14</v>
      </c>
      <c r="AI51" s="105">
        <v>1898.3999999999999</v>
      </c>
      <c r="AJ51" s="105">
        <v>12</v>
      </c>
      <c r="AK51" s="105">
        <v>1627.1999999999998</v>
      </c>
      <c r="AL51" s="105">
        <v>16</v>
      </c>
      <c r="AM51" s="105">
        <v>2169.6</v>
      </c>
      <c r="AN51" s="105">
        <v>11</v>
      </c>
      <c r="AO51" s="105">
        <v>1491.6</v>
      </c>
      <c r="AP51" s="105">
        <v>12</v>
      </c>
      <c r="AQ51" s="105">
        <v>1627.1999999999998</v>
      </c>
      <c r="AR51" s="105">
        <v>10</v>
      </c>
      <c r="AS51" s="105">
        <v>1356</v>
      </c>
      <c r="AT51" s="105">
        <v>11</v>
      </c>
      <c r="AU51" s="105">
        <v>1491.6</v>
      </c>
      <c r="AV51" s="105">
        <v>11</v>
      </c>
      <c r="AW51" s="105">
        <v>1491.6</v>
      </c>
      <c r="AX51" s="105">
        <v>13</v>
      </c>
      <c r="AY51" s="105">
        <v>1762.8</v>
      </c>
      <c r="AZ51" s="105">
        <v>12</v>
      </c>
      <c r="BA51" s="105">
        <v>1627.1999999999998</v>
      </c>
      <c r="BB51" s="105">
        <v>8</v>
      </c>
      <c r="BC51" s="105">
        <v>1084.8</v>
      </c>
      <c r="BD51" s="105">
        <v>10</v>
      </c>
      <c r="BE51" s="105">
        <v>1356</v>
      </c>
      <c r="BF51" s="105">
        <v>8</v>
      </c>
      <c r="BG51" s="105">
        <v>1084.8</v>
      </c>
      <c r="BH51" s="105">
        <v>11</v>
      </c>
      <c r="BI51" s="105">
        <v>1491.6</v>
      </c>
      <c r="BJ51" s="105">
        <v>10</v>
      </c>
      <c r="BK51" s="105">
        <v>1356</v>
      </c>
      <c r="BL51" s="105">
        <v>10</v>
      </c>
      <c r="BM51" s="105">
        <v>1356</v>
      </c>
      <c r="BN51" s="105">
        <v>12</v>
      </c>
      <c r="BO51" s="105">
        <v>1627.1999999999998</v>
      </c>
      <c r="BP51" s="105">
        <v>15</v>
      </c>
      <c r="BQ51" s="105">
        <v>2034</v>
      </c>
      <c r="BR51" s="105">
        <v>11</v>
      </c>
      <c r="BS51" s="105">
        <v>1491.6</v>
      </c>
      <c r="BT51" s="105">
        <v>10</v>
      </c>
      <c r="BU51" s="105">
        <v>1356</v>
      </c>
      <c r="BV51" s="105">
        <v>9</v>
      </c>
      <c r="BW51" s="105">
        <v>1220.3999999999999</v>
      </c>
      <c r="BX51" s="105">
        <v>10</v>
      </c>
      <c r="BY51" s="105">
        <v>1356</v>
      </c>
      <c r="BZ51" s="105">
        <v>14</v>
      </c>
      <c r="CA51" s="105">
        <v>1898.3999999999999</v>
      </c>
      <c r="CB51" s="105">
        <v>13</v>
      </c>
      <c r="CC51" s="105">
        <v>1762.8</v>
      </c>
      <c r="CD51" s="105">
        <v>10</v>
      </c>
      <c r="CE51" s="105">
        <v>1356</v>
      </c>
      <c r="CF51" s="105">
        <v>13</v>
      </c>
      <c r="CG51" s="105">
        <v>1762.8</v>
      </c>
      <c r="CH51" s="105">
        <v>9</v>
      </c>
      <c r="CI51" s="105">
        <v>1220.3999999999999</v>
      </c>
      <c r="CJ51" s="105">
        <v>11</v>
      </c>
      <c r="CK51" s="105">
        <v>1491.6</v>
      </c>
      <c r="CL51" s="105">
        <v>8.4143351333896135</v>
      </c>
      <c r="CM51" s="105">
        <v>1140.9838440876315</v>
      </c>
      <c r="CN51" s="105">
        <v>5.8120386193436122</v>
      </c>
      <c r="CO51" s="105">
        <v>788.11243678299377</v>
      </c>
      <c r="CP51" s="105">
        <v>1.6707201183912779</v>
      </c>
      <c r="CQ51" s="105">
        <v>226.54964805385728</v>
      </c>
      <c r="CR51" s="105">
        <v>2.0579382169325773</v>
      </c>
      <c r="CS51" s="105">
        <v>279.05642221605746</v>
      </c>
      <c r="CT51" s="105">
        <v>0</v>
      </c>
      <c r="CU51" s="105">
        <v>0</v>
      </c>
    </row>
    <row r="52" spans="2:99" x14ac:dyDescent="0.2">
      <c r="C52" s="104" t="s">
        <v>220</v>
      </c>
      <c r="D52" s="105">
        <v>9</v>
      </c>
      <c r="E52" s="105">
        <v>2397.6</v>
      </c>
      <c r="F52" s="105">
        <v>15</v>
      </c>
      <c r="G52" s="105">
        <v>3995.9999999999995</v>
      </c>
      <c r="H52" s="105">
        <v>10</v>
      </c>
      <c r="I52" s="105">
        <v>2664</v>
      </c>
      <c r="J52" s="105">
        <v>15</v>
      </c>
      <c r="K52" s="105">
        <v>3995.9999999999995</v>
      </c>
      <c r="L52" s="105">
        <v>13</v>
      </c>
      <c r="M52" s="105">
        <v>3463.2</v>
      </c>
      <c r="N52" s="105">
        <v>13</v>
      </c>
      <c r="O52" s="105">
        <v>3463.2</v>
      </c>
      <c r="P52" s="105">
        <v>10</v>
      </c>
      <c r="Q52" s="105">
        <v>2664</v>
      </c>
      <c r="R52" s="105">
        <v>10</v>
      </c>
      <c r="S52" s="105">
        <v>2664</v>
      </c>
      <c r="T52" s="105">
        <v>12</v>
      </c>
      <c r="U52" s="105">
        <v>3196.7999999999997</v>
      </c>
      <c r="V52" s="105">
        <v>11</v>
      </c>
      <c r="W52" s="105">
        <v>2930.3999999999996</v>
      </c>
      <c r="X52" s="105">
        <v>10</v>
      </c>
      <c r="Y52" s="105">
        <v>2664</v>
      </c>
      <c r="Z52" s="105">
        <v>9</v>
      </c>
      <c r="AA52" s="105">
        <v>2397.6</v>
      </c>
      <c r="AB52" s="105">
        <v>12</v>
      </c>
      <c r="AC52" s="105">
        <v>3196.7999999999997</v>
      </c>
      <c r="AD52" s="105">
        <v>13</v>
      </c>
      <c r="AE52" s="105">
        <v>3463.2</v>
      </c>
      <c r="AF52" s="105">
        <v>13</v>
      </c>
      <c r="AG52" s="105">
        <v>3463.2</v>
      </c>
      <c r="AH52" s="105">
        <v>15</v>
      </c>
      <c r="AI52" s="105">
        <v>3995.9999999999995</v>
      </c>
      <c r="AJ52" s="105">
        <v>11</v>
      </c>
      <c r="AK52" s="105">
        <v>2930.3999999999996</v>
      </c>
      <c r="AL52" s="105">
        <v>14</v>
      </c>
      <c r="AM52" s="105">
        <v>3729.5999999999995</v>
      </c>
      <c r="AN52" s="105">
        <v>10</v>
      </c>
      <c r="AO52" s="105">
        <v>2664</v>
      </c>
      <c r="AP52" s="105">
        <v>11</v>
      </c>
      <c r="AQ52" s="105">
        <v>2930.3999999999996</v>
      </c>
      <c r="AR52" s="105">
        <v>10</v>
      </c>
      <c r="AS52" s="105">
        <v>2664</v>
      </c>
      <c r="AT52" s="105">
        <v>12</v>
      </c>
      <c r="AU52" s="105">
        <v>3196.7999999999997</v>
      </c>
      <c r="AV52" s="105">
        <v>10</v>
      </c>
      <c r="AW52" s="105">
        <v>2664</v>
      </c>
      <c r="AX52" s="105">
        <v>12</v>
      </c>
      <c r="AY52" s="105">
        <v>3196.7999999999997</v>
      </c>
      <c r="AZ52" s="105">
        <v>12</v>
      </c>
      <c r="BA52" s="105">
        <v>3196.7999999999997</v>
      </c>
      <c r="BB52" s="105">
        <v>8</v>
      </c>
      <c r="BC52" s="105">
        <v>2131.1999999999998</v>
      </c>
      <c r="BD52" s="105">
        <v>11</v>
      </c>
      <c r="BE52" s="105">
        <v>2930.3999999999996</v>
      </c>
      <c r="BF52" s="105">
        <v>10</v>
      </c>
      <c r="BG52" s="105">
        <v>2664</v>
      </c>
      <c r="BH52" s="105">
        <v>11</v>
      </c>
      <c r="BI52" s="105">
        <v>2930.3999999999996</v>
      </c>
      <c r="BJ52" s="105">
        <v>9</v>
      </c>
      <c r="BK52" s="105">
        <v>2397.6</v>
      </c>
      <c r="BL52" s="105">
        <v>11</v>
      </c>
      <c r="BM52" s="105">
        <v>2930.3999999999996</v>
      </c>
      <c r="BN52" s="105">
        <v>11</v>
      </c>
      <c r="BO52" s="105">
        <v>2930.3999999999996</v>
      </c>
      <c r="BP52" s="105">
        <v>15</v>
      </c>
      <c r="BQ52" s="105">
        <v>3995.9999999999995</v>
      </c>
      <c r="BR52" s="105">
        <v>10</v>
      </c>
      <c r="BS52" s="105">
        <v>2664</v>
      </c>
      <c r="BT52" s="105">
        <v>9</v>
      </c>
      <c r="BU52" s="105">
        <v>2397.6</v>
      </c>
      <c r="BV52" s="105">
        <v>9</v>
      </c>
      <c r="BW52" s="105">
        <v>2397.6</v>
      </c>
      <c r="BX52" s="105">
        <v>10</v>
      </c>
      <c r="BY52" s="105">
        <v>2664</v>
      </c>
      <c r="BZ52" s="105">
        <v>14</v>
      </c>
      <c r="CA52" s="105">
        <v>3729.5999999999995</v>
      </c>
      <c r="CB52" s="105">
        <v>13</v>
      </c>
      <c r="CC52" s="105">
        <v>3463.2</v>
      </c>
      <c r="CD52" s="105">
        <v>9</v>
      </c>
      <c r="CE52" s="105">
        <v>2397.6</v>
      </c>
      <c r="CF52" s="105">
        <v>14</v>
      </c>
      <c r="CG52" s="105">
        <v>3729.5999999999995</v>
      </c>
      <c r="CH52" s="105">
        <v>10</v>
      </c>
      <c r="CI52" s="105">
        <v>2664</v>
      </c>
      <c r="CJ52" s="105">
        <v>13</v>
      </c>
      <c r="CK52" s="105">
        <v>3463.2</v>
      </c>
      <c r="CL52" s="105">
        <v>7.8133111952903551</v>
      </c>
      <c r="CM52" s="105">
        <v>2081.4661024253505</v>
      </c>
      <c r="CN52" s="105">
        <v>5.1662565505276552</v>
      </c>
      <c r="CO52" s="105">
        <v>1376.2907450605671</v>
      </c>
      <c r="CP52" s="105">
        <v>1.4850845496811358</v>
      </c>
      <c r="CQ52" s="105">
        <v>395.62652403505456</v>
      </c>
      <c r="CR52" s="105">
        <v>1.9109426300088217</v>
      </c>
      <c r="CS52" s="105">
        <v>509.07511663435008</v>
      </c>
      <c r="CT52" s="105">
        <v>0</v>
      </c>
      <c r="CU52" s="105">
        <v>0</v>
      </c>
    </row>
    <row r="53" spans="2:99" x14ac:dyDescent="0.2">
      <c r="C53" s="104" t="s">
        <v>221</v>
      </c>
      <c r="D53" s="105">
        <v>9</v>
      </c>
      <c r="E53" s="105">
        <v>3531.6</v>
      </c>
      <c r="F53" s="105">
        <v>15</v>
      </c>
      <c r="G53" s="105">
        <v>5886</v>
      </c>
      <c r="H53" s="105">
        <v>10</v>
      </c>
      <c r="I53" s="105">
        <v>3924</v>
      </c>
      <c r="J53" s="105">
        <v>15</v>
      </c>
      <c r="K53" s="105">
        <v>5886</v>
      </c>
      <c r="L53" s="105">
        <v>13</v>
      </c>
      <c r="M53" s="105">
        <v>5101.2</v>
      </c>
      <c r="N53" s="105">
        <v>11</v>
      </c>
      <c r="O53" s="105">
        <v>4316.3999999999996</v>
      </c>
      <c r="P53" s="105">
        <v>11</v>
      </c>
      <c r="Q53" s="105">
        <v>4316.3999999999996</v>
      </c>
      <c r="R53" s="105">
        <v>10</v>
      </c>
      <c r="S53" s="105">
        <v>3924</v>
      </c>
      <c r="T53" s="105">
        <v>11</v>
      </c>
      <c r="U53" s="105">
        <v>4316.3999999999996</v>
      </c>
      <c r="V53" s="105">
        <v>12</v>
      </c>
      <c r="W53" s="105">
        <v>4708.7999999999993</v>
      </c>
      <c r="X53" s="105">
        <v>12</v>
      </c>
      <c r="Y53" s="105">
        <v>4708.7999999999993</v>
      </c>
      <c r="Z53" s="105">
        <v>10</v>
      </c>
      <c r="AA53" s="105">
        <v>3924</v>
      </c>
      <c r="AB53" s="105">
        <v>12</v>
      </c>
      <c r="AC53" s="105">
        <v>4708.7999999999993</v>
      </c>
      <c r="AD53" s="105">
        <v>12</v>
      </c>
      <c r="AE53" s="105">
        <v>4708.7999999999993</v>
      </c>
      <c r="AF53" s="105">
        <v>12</v>
      </c>
      <c r="AG53" s="105">
        <v>4708.7999999999993</v>
      </c>
      <c r="AH53" s="105">
        <v>14</v>
      </c>
      <c r="AI53" s="105">
        <v>5493.5999999999995</v>
      </c>
      <c r="AJ53" s="105">
        <v>10</v>
      </c>
      <c r="AK53" s="105">
        <v>3924</v>
      </c>
      <c r="AL53" s="105">
        <v>14</v>
      </c>
      <c r="AM53" s="105">
        <v>5493.5999999999995</v>
      </c>
      <c r="AN53" s="105">
        <v>10</v>
      </c>
      <c r="AO53" s="105">
        <v>3924</v>
      </c>
      <c r="AP53" s="105">
        <v>12</v>
      </c>
      <c r="AQ53" s="105">
        <v>4708.7999999999993</v>
      </c>
      <c r="AR53" s="105">
        <v>9</v>
      </c>
      <c r="AS53" s="105">
        <v>3531.6</v>
      </c>
      <c r="AT53" s="105">
        <v>10</v>
      </c>
      <c r="AU53" s="105">
        <v>3924</v>
      </c>
      <c r="AV53" s="105">
        <v>10</v>
      </c>
      <c r="AW53" s="105">
        <v>3924</v>
      </c>
      <c r="AX53" s="105">
        <v>14</v>
      </c>
      <c r="AY53" s="105">
        <v>5493.5999999999995</v>
      </c>
      <c r="AZ53" s="105">
        <v>11</v>
      </c>
      <c r="BA53" s="105">
        <v>4316.3999999999996</v>
      </c>
      <c r="BB53" s="105">
        <v>9</v>
      </c>
      <c r="BC53" s="105">
        <v>3531.6</v>
      </c>
      <c r="BD53" s="105">
        <v>11</v>
      </c>
      <c r="BE53" s="105">
        <v>4316.3999999999996</v>
      </c>
      <c r="BF53" s="105">
        <v>9</v>
      </c>
      <c r="BG53" s="105">
        <v>3531.6</v>
      </c>
      <c r="BH53" s="105">
        <v>12</v>
      </c>
      <c r="BI53" s="105">
        <v>4708.7999999999993</v>
      </c>
      <c r="BJ53" s="105">
        <v>9</v>
      </c>
      <c r="BK53" s="105">
        <v>3531.6</v>
      </c>
      <c r="BL53" s="105">
        <v>10</v>
      </c>
      <c r="BM53" s="105">
        <v>3924</v>
      </c>
      <c r="BN53" s="105">
        <v>11</v>
      </c>
      <c r="BO53" s="105">
        <v>4316.3999999999996</v>
      </c>
      <c r="BP53" s="105">
        <v>16</v>
      </c>
      <c r="BQ53" s="105">
        <v>6278.4</v>
      </c>
      <c r="BR53" s="105">
        <v>11</v>
      </c>
      <c r="BS53" s="105">
        <v>4316.3999999999996</v>
      </c>
      <c r="BT53" s="105">
        <v>10</v>
      </c>
      <c r="BU53" s="105">
        <v>3924</v>
      </c>
      <c r="BV53" s="105">
        <v>9</v>
      </c>
      <c r="BW53" s="105">
        <v>3531.6</v>
      </c>
      <c r="BX53" s="105">
        <v>10</v>
      </c>
      <c r="BY53" s="105">
        <v>3924</v>
      </c>
      <c r="BZ53" s="105">
        <v>13</v>
      </c>
      <c r="CA53" s="105">
        <v>5101.2</v>
      </c>
      <c r="CB53" s="105">
        <v>13</v>
      </c>
      <c r="CC53" s="105">
        <v>5101.2</v>
      </c>
      <c r="CD53" s="105">
        <v>11</v>
      </c>
      <c r="CE53" s="105">
        <v>4316.3999999999996</v>
      </c>
      <c r="CF53" s="105">
        <v>12</v>
      </c>
      <c r="CG53" s="105">
        <v>4708.7999999999993</v>
      </c>
      <c r="CH53" s="105">
        <v>9</v>
      </c>
      <c r="CI53" s="105">
        <v>3531.6</v>
      </c>
      <c r="CJ53" s="105">
        <v>12</v>
      </c>
      <c r="CK53" s="105">
        <v>4708.7999999999993</v>
      </c>
      <c r="CL53" s="105">
        <v>7.8133111952903551</v>
      </c>
      <c r="CM53" s="105">
        <v>3065.9433130319353</v>
      </c>
      <c r="CN53" s="105">
        <v>5.8120386193436122</v>
      </c>
      <c r="CO53" s="105">
        <v>2280.6439542304333</v>
      </c>
      <c r="CP53" s="105">
        <v>1.4850845496811358</v>
      </c>
      <c r="CQ53" s="105">
        <v>582.7471772948777</v>
      </c>
      <c r="CR53" s="105">
        <v>1.9109426300088217</v>
      </c>
      <c r="CS53" s="105">
        <v>749.85388801546162</v>
      </c>
      <c r="CT53" s="105">
        <v>0</v>
      </c>
      <c r="CU53" s="105">
        <v>0</v>
      </c>
    </row>
    <row r="54" spans="2:99" x14ac:dyDescent="0.2">
      <c r="C54" s="104" t="s">
        <v>222</v>
      </c>
      <c r="D54" s="105">
        <v>10</v>
      </c>
      <c r="E54" s="105">
        <v>4080</v>
      </c>
      <c r="F54" s="105">
        <v>15</v>
      </c>
      <c r="G54" s="105">
        <v>6120</v>
      </c>
      <c r="H54" s="105">
        <v>11</v>
      </c>
      <c r="I54" s="105">
        <v>4488</v>
      </c>
      <c r="J54" s="105">
        <v>13</v>
      </c>
      <c r="K54" s="105">
        <v>5304</v>
      </c>
      <c r="L54" s="105">
        <v>12</v>
      </c>
      <c r="M54" s="105">
        <v>4896</v>
      </c>
      <c r="N54" s="105">
        <v>11</v>
      </c>
      <c r="O54" s="105">
        <v>4488</v>
      </c>
      <c r="P54" s="105">
        <v>10</v>
      </c>
      <c r="Q54" s="105">
        <v>4080</v>
      </c>
      <c r="R54" s="105">
        <v>11</v>
      </c>
      <c r="S54" s="105">
        <v>4488</v>
      </c>
      <c r="T54" s="105">
        <v>12</v>
      </c>
      <c r="U54" s="105">
        <v>4896</v>
      </c>
      <c r="V54" s="105">
        <v>12</v>
      </c>
      <c r="W54" s="105">
        <v>4896</v>
      </c>
      <c r="X54" s="105">
        <v>11</v>
      </c>
      <c r="Y54" s="105">
        <v>4488</v>
      </c>
      <c r="Z54" s="105">
        <v>9</v>
      </c>
      <c r="AA54" s="105">
        <v>3672</v>
      </c>
      <c r="AB54" s="105">
        <v>12</v>
      </c>
      <c r="AC54" s="105">
        <v>4896</v>
      </c>
      <c r="AD54" s="105">
        <v>11</v>
      </c>
      <c r="AE54" s="105">
        <v>4488</v>
      </c>
      <c r="AF54" s="105">
        <v>13</v>
      </c>
      <c r="AG54" s="105">
        <v>5304</v>
      </c>
      <c r="AH54" s="105">
        <v>15</v>
      </c>
      <c r="AI54" s="105">
        <v>6120</v>
      </c>
      <c r="AJ54" s="105">
        <v>11</v>
      </c>
      <c r="AK54" s="105">
        <v>4488</v>
      </c>
      <c r="AL54" s="105">
        <v>15</v>
      </c>
      <c r="AM54" s="105">
        <v>6120</v>
      </c>
      <c r="AN54" s="105">
        <v>11</v>
      </c>
      <c r="AO54" s="105">
        <v>4488</v>
      </c>
      <c r="AP54" s="105">
        <v>12</v>
      </c>
      <c r="AQ54" s="105">
        <v>4896</v>
      </c>
      <c r="AR54" s="105">
        <v>9</v>
      </c>
      <c r="AS54" s="105">
        <v>3672</v>
      </c>
      <c r="AT54" s="105">
        <v>10</v>
      </c>
      <c r="AU54" s="105">
        <v>4080</v>
      </c>
      <c r="AV54" s="105">
        <v>10</v>
      </c>
      <c r="AW54" s="105">
        <v>4080</v>
      </c>
      <c r="AX54" s="105">
        <v>12</v>
      </c>
      <c r="AY54" s="105">
        <v>4896</v>
      </c>
      <c r="AZ54" s="105">
        <v>11</v>
      </c>
      <c r="BA54" s="105">
        <v>4488</v>
      </c>
      <c r="BB54" s="105">
        <v>8</v>
      </c>
      <c r="BC54" s="105">
        <v>3264</v>
      </c>
      <c r="BD54" s="105">
        <v>10</v>
      </c>
      <c r="BE54" s="105">
        <v>4080</v>
      </c>
      <c r="BF54" s="105">
        <v>9</v>
      </c>
      <c r="BG54" s="105">
        <v>3672</v>
      </c>
      <c r="BH54" s="105">
        <v>10</v>
      </c>
      <c r="BI54" s="105">
        <v>4080</v>
      </c>
      <c r="BJ54" s="105">
        <v>10</v>
      </c>
      <c r="BK54" s="105">
        <v>4080</v>
      </c>
      <c r="BL54" s="105">
        <v>10</v>
      </c>
      <c r="BM54" s="105">
        <v>4080</v>
      </c>
      <c r="BN54" s="105">
        <v>10</v>
      </c>
      <c r="BO54" s="105">
        <v>4080</v>
      </c>
      <c r="BP54" s="105">
        <v>14</v>
      </c>
      <c r="BQ54" s="105">
        <v>5712</v>
      </c>
      <c r="BR54" s="105">
        <v>10</v>
      </c>
      <c r="BS54" s="105">
        <v>4080</v>
      </c>
      <c r="BT54" s="105">
        <v>9</v>
      </c>
      <c r="BU54" s="105">
        <v>3672</v>
      </c>
      <c r="BV54" s="105">
        <v>8</v>
      </c>
      <c r="BW54" s="105">
        <v>3264</v>
      </c>
      <c r="BX54" s="105">
        <v>9</v>
      </c>
      <c r="BY54" s="105">
        <v>3672</v>
      </c>
      <c r="BZ54" s="105">
        <v>12</v>
      </c>
      <c r="CA54" s="105">
        <v>4896</v>
      </c>
      <c r="CB54" s="105">
        <v>15</v>
      </c>
      <c r="CC54" s="105">
        <v>6120</v>
      </c>
      <c r="CD54" s="105">
        <v>10</v>
      </c>
      <c r="CE54" s="105">
        <v>4080</v>
      </c>
      <c r="CF54" s="105">
        <v>13</v>
      </c>
      <c r="CG54" s="105">
        <v>5304</v>
      </c>
      <c r="CH54" s="105">
        <v>8</v>
      </c>
      <c r="CI54" s="105">
        <v>3264</v>
      </c>
      <c r="CJ54" s="105">
        <v>11</v>
      </c>
      <c r="CK54" s="105">
        <v>4488</v>
      </c>
      <c r="CL54" s="105">
        <v>13</v>
      </c>
      <c r="CM54" s="105">
        <v>5304</v>
      </c>
      <c r="CN54" s="105">
        <v>8</v>
      </c>
      <c r="CO54" s="105">
        <v>3264</v>
      </c>
      <c r="CP54" s="105">
        <v>9</v>
      </c>
      <c r="CQ54" s="105">
        <v>3672</v>
      </c>
      <c r="CR54" s="105">
        <v>12</v>
      </c>
      <c r="CS54" s="105">
        <v>4896</v>
      </c>
      <c r="CT54" s="105">
        <v>16</v>
      </c>
      <c r="CU54" s="105">
        <v>6528</v>
      </c>
    </row>
    <row r="55" spans="2:99" x14ac:dyDescent="0.2">
      <c r="C55" s="104" t="s">
        <v>223</v>
      </c>
      <c r="D55" s="105">
        <v>10</v>
      </c>
      <c r="E55" s="105">
        <v>2543.9999999999995</v>
      </c>
      <c r="F55" s="105">
        <v>14</v>
      </c>
      <c r="G55" s="105">
        <v>3561.5999999999995</v>
      </c>
      <c r="H55" s="105">
        <v>10</v>
      </c>
      <c r="I55" s="105">
        <v>2543.9999999999995</v>
      </c>
      <c r="J55" s="105">
        <v>13</v>
      </c>
      <c r="K55" s="105">
        <v>3307.1999999999994</v>
      </c>
      <c r="L55" s="105">
        <v>12</v>
      </c>
      <c r="M55" s="105">
        <v>3052.7999999999993</v>
      </c>
      <c r="N55" s="105">
        <v>11</v>
      </c>
      <c r="O55" s="105">
        <v>2798.3999999999996</v>
      </c>
      <c r="P55" s="105">
        <v>11</v>
      </c>
      <c r="Q55" s="105">
        <v>2798.3999999999996</v>
      </c>
      <c r="R55" s="105">
        <v>12</v>
      </c>
      <c r="S55" s="105">
        <v>3052.7999999999993</v>
      </c>
      <c r="T55" s="105">
        <v>11</v>
      </c>
      <c r="U55" s="105">
        <v>2798.3999999999996</v>
      </c>
      <c r="V55" s="105">
        <v>12</v>
      </c>
      <c r="W55" s="105">
        <v>3052.7999999999993</v>
      </c>
      <c r="X55" s="105">
        <v>12</v>
      </c>
      <c r="Y55" s="105">
        <v>3052.7999999999993</v>
      </c>
      <c r="Z55" s="105">
        <v>10</v>
      </c>
      <c r="AA55" s="105">
        <v>2543.9999999999995</v>
      </c>
      <c r="AB55" s="105">
        <v>12</v>
      </c>
      <c r="AC55" s="105">
        <v>3052.7999999999993</v>
      </c>
      <c r="AD55" s="105">
        <v>12</v>
      </c>
      <c r="AE55" s="105">
        <v>3052.7999999999993</v>
      </c>
      <c r="AF55" s="105">
        <v>12</v>
      </c>
      <c r="AG55" s="105">
        <v>3052.7999999999993</v>
      </c>
      <c r="AH55" s="105">
        <v>14</v>
      </c>
      <c r="AI55" s="105">
        <v>3561.5999999999995</v>
      </c>
      <c r="AJ55" s="105">
        <v>10</v>
      </c>
      <c r="AK55" s="105">
        <v>2543.9999999999995</v>
      </c>
      <c r="AL55" s="105">
        <v>17</v>
      </c>
      <c r="AM55" s="105">
        <v>4324.7999999999993</v>
      </c>
      <c r="AN55" s="105">
        <v>11</v>
      </c>
      <c r="AO55" s="105">
        <v>2798.3999999999996</v>
      </c>
      <c r="AP55" s="105">
        <v>11</v>
      </c>
      <c r="AQ55" s="105">
        <v>2798.3999999999996</v>
      </c>
      <c r="AR55" s="105">
        <v>10</v>
      </c>
      <c r="AS55" s="105">
        <v>2543.9999999999995</v>
      </c>
      <c r="AT55" s="105">
        <v>10</v>
      </c>
      <c r="AU55" s="105">
        <v>2543.9999999999995</v>
      </c>
      <c r="AV55" s="105">
        <v>11</v>
      </c>
      <c r="AW55" s="105">
        <v>2798.3999999999996</v>
      </c>
      <c r="AX55" s="105">
        <v>12</v>
      </c>
      <c r="AY55" s="105">
        <v>3052.7999999999993</v>
      </c>
      <c r="AZ55" s="105">
        <v>12</v>
      </c>
      <c r="BA55" s="105">
        <v>3052.7999999999993</v>
      </c>
      <c r="BB55" s="105">
        <v>8</v>
      </c>
      <c r="BC55" s="105">
        <v>2035.1999999999996</v>
      </c>
      <c r="BD55" s="105">
        <v>12</v>
      </c>
      <c r="BE55" s="105">
        <v>3052.7999999999993</v>
      </c>
      <c r="BF55" s="105">
        <v>10</v>
      </c>
      <c r="BG55" s="105">
        <v>2543.9999999999995</v>
      </c>
      <c r="BH55" s="105">
        <v>12</v>
      </c>
      <c r="BI55" s="105">
        <v>3052.7999999999993</v>
      </c>
      <c r="BJ55" s="105">
        <v>9</v>
      </c>
      <c r="BK55" s="105">
        <v>2289.5999999999995</v>
      </c>
      <c r="BL55" s="105">
        <v>11</v>
      </c>
      <c r="BM55" s="105">
        <v>2798.3999999999996</v>
      </c>
      <c r="BN55" s="105">
        <v>10</v>
      </c>
      <c r="BO55" s="105">
        <v>2543.9999999999995</v>
      </c>
      <c r="BP55" s="105">
        <v>15</v>
      </c>
      <c r="BQ55" s="105">
        <v>3815.9999999999991</v>
      </c>
      <c r="BR55" s="105">
        <v>10</v>
      </c>
      <c r="BS55" s="105">
        <v>2543.9999999999995</v>
      </c>
      <c r="BT55" s="105">
        <v>10</v>
      </c>
      <c r="BU55" s="105">
        <v>2543.9999999999995</v>
      </c>
      <c r="BV55" s="105">
        <v>9</v>
      </c>
      <c r="BW55" s="105">
        <v>2289.5999999999995</v>
      </c>
      <c r="BX55" s="105">
        <v>10</v>
      </c>
      <c r="BY55" s="105">
        <v>2543.9999999999995</v>
      </c>
      <c r="BZ55" s="105">
        <v>14</v>
      </c>
      <c r="CA55" s="105">
        <v>3561.5999999999995</v>
      </c>
      <c r="CB55" s="105">
        <v>15</v>
      </c>
      <c r="CC55" s="105">
        <v>3815.9999999999991</v>
      </c>
      <c r="CD55" s="105">
        <v>10</v>
      </c>
      <c r="CE55" s="105">
        <v>2543.9999999999995</v>
      </c>
      <c r="CF55" s="105">
        <v>14</v>
      </c>
      <c r="CG55" s="105">
        <v>3561.5999999999995</v>
      </c>
      <c r="CH55" s="105">
        <v>8</v>
      </c>
      <c r="CI55" s="105">
        <v>2035.1999999999996</v>
      </c>
      <c r="CJ55" s="105">
        <v>12</v>
      </c>
      <c r="CK55" s="105">
        <v>3052.7999999999993</v>
      </c>
      <c r="CL55" s="105">
        <v>7.8133111952903551</v>
      </c>
      <c r="CM55" s="105">
        <v>1987.706368081866</v>
      </c>
      <c r="CN55" s="105">
        <v>5.1662565505276552</v>
      </c>
      <c r="CO55" s="105">
        <v>1314.2956664542353</v>
      </c>
      <c r="CP55" s="105">
        <v>1.6707201183912779</v>
      </c>
      <c r="CQ55" s="105">
        <v>425.03119811874103</v>
      </c>
      <c r="CR55" s="105">
        <v>1.7639470430850663</v>
      </c>
      <c r="CS55" s="105">
        <v>448.74812776084076</v>
      </c>
      <c r="CT55" s="105">
        <v>0</v>
      </c>
      <c r="CU55" s="105">
        <v>0</v>
      </c>
    </row>
    <row r="56" spans="2:99" x14ac:dyDescent="0.2">
      <c r="C56" s="104" t="s">
        <v>224</v>
      </c>
      <c r="D56" s="105">
        <v>10</v>
      </c>
      <c r="E56" s="105">
        <v>7584</v>
      </c>
      <c r="F56" s="105">
        <v>15</v>
      </c>
      <c r="G56" s="105">
        <v>11376</v>
      </c>
      <c r="H56" s="105">
        <v>9</v>
      </c>
      <c r="I56" s="105">
        <v>6825.5999999999995</v>
      </c>
      <c r="J56" s="105">
        <v>12</v>
      </c>
      <c r="K56" s="105">
        <v>9100.7999999999993</v>
      </c>
      <c r="L56" s="105">
        <v>12.941176470588236</v>
      </c>
      <c r="M56" s="105">
        <v>9814.5882352941171</v>
      </c>
      <c r="N56" s="105">
        <v>11.04225352112676</v>
      </c>
      <c r="O56" s="105">
        <v>8374.4450704225346</v>
      </c>
      <c r="P56" s="105">
        <v>8.2352941176470598</v>
      </c>
      <c r="Q56" s="105">
        <v>6245.6470588235297</v>
      </c>
      <c r="R56" s="105">
        <v>8.8687782805429869</v>
      </c>
      <c r="S56" s="105">
        <v>6726.0814479638011</v>
      </c>
      <c r="T56" s="105">
        <v>10.226086956521739</v>
      </c>
      <c r="U56" s="105">
        <v>7755.4643478260869</v>
      </c>
      <c r="V56" s="105">
        <v>9.3739130434782609</v>
      </c>
      <c r="W56" s="105">
        <v>7109.1756521739126</v>
      </c>
      <c r="X56" s="105">
        <v>8.7287449392712553</v>
      </c>
      <c r="Y56" s="105">
        <v>6619.8801619433198</v>
      </c>
      <c r="Z56" s="105">
        <v>10</v>
      </c>
      <c r="AA56" s="105">
        <v>7584</v>
      </c>
      <c r="AB56" s="105">
        <v>10</v>
      </c>
      <c r="AC56" s="105">
        <v>7584</v>
      </c>
      <c r="AD56" s="105">
        <v>12</v>
      </c>
      <c r="AE56" s="105">
        <v>9100.7999999999993</v>
      </c>
      <c r="AF56" s="105">
        <v>13</v>
      </c>
      <c r="AG56" s="105">
        <v>9859.1999999999989</v>
      </c>
      <c r="AH56" s="105">
        <v>14</v>
      </c>
      <c r="AI56" s="105">
        <v>10617.6</v>
      </c>
      <c r="AJ56" s="105">
        <v>11</v>
      </c>
      <c r="AK56" s="105">
        <v>8342.4</v>
      </c>
      <c r="AL56" s="105">
        <v>14</v>
      </c>
      <c r="AM56" s="105">
        <v>10617.6</v>
      </c>
      <c r="AN56" s="105">
        <v>10</v>
      </c>
      <c r="AO56" s="105">
        <v>7584</v>
      </c>
      <c r="AP56" s="105">
        <v>11</v>
      </c>
      <c r="AQ56" s="105">
        <v>8342.4</v>
      </c>
      <c r="AR56" s="105">
        <v>10</v>
      </c>
      <c r="AS56" s="105">
        <v>7584</v>
      </c>
      <c r="AT56" s="105">
        <v>10</v>
      </c>
      <c r="AU56" s="105">
        <v>7584</v>
      </c>
      <c r="AV56" s="105">
        <v>11</v>
      </c>
      <c r="AW56" s="105">
        <v>8342.4</v>
      </c>
      <c r="AX56" s="105">
        <v>13</v>
      </c>
      <c r="AY56" s="105">
        <v>9859.1999999999989</v>
      </c>
      <c r="AZ56" s="105">
        <v>10</v>
      </c>
      <c r="BA56" s="105">
        <v>7584</v>
      </c>
      <c r="BB56" s="105">
        <v>8</v>
      </c>
      <c r="BC56" s="105">
        <v>6067.2</v>
      </c>
      <c r="BD56" s="105">
        <v>11</v>
      </c>
      <c r="BE56" s="105">
        <v>8342.4</v>
      </c>
      <c r="BF56" s="105">
        <v>8</v>
      </c>
      <c r="BG56" s="105">
        <v>6067.2</v>
      </c>
      <c r="BH56" s="105">
        <v>11</v>
      </c>
      <c r="BI56" s="105">
        <v>8342.4</v>
      </c>
      <c r="BJ56" s="105">
        <v>9</v>
      </c>
      <c r="BK56" s="105">
        <v>6825.5999999999995</v>
      </c>
      <c r="BL56" s="105">
        <v>10</v>
      </c>
      <c r="BM56" s="105">
        <v>7584</v>
      </c>
      <c r="BN56" s="105">
        <v>11</v>
      </c>
      <c r="BO56" s="105">
        <v>8342.4</v>
      </c>
      <c r="BP56" s="105">
        <v>15</v>
      </c>
      <c r="BQ56" s="105">
        <v>11376</v>
      </c>
      <c r="BR56" s="105">
        <v>9</v>
      </c>
      <c r="BS56" s="105">
        <v>6825.5999999999995</v>
      </c>
      <c r="BT56" s="105">
        <v>9</v>
      </c>
      <c r="BU56" s="105">
        <v>6825.5999999999995</v>
      </c>
      <c r="BV56" s="105">
        <v>8</v>
      </c>
      <c r="BW56" s="105">
        <v>6067.2</v>
      </c>
      <c r="BX56" s="105">
        <v>7.7493975903614531</v>
      </c>
      <c r="BY56" s="105">
        <v>5877.1431325301255</v>
      </c>
      <c r="BZ56" s="105">
        <v>8.5839416058394171</v>
      </c>
      <c r="CA56" s="105">
        <v>6510.061313868614</v>
      </c>
      <c r="CB56" s="105">
        <v>11.643564356435643</v>
      </c>
      <c r="CC56" s="105">
        <v>8830.4792079207909</v>
      </c>
      <c r="CD56" s="105">
        <v>7.3807531380753142</v>
      </c>
      <c r="CE56" s="105">
        <v>5597.5631799163184</v>
      </c>
      <c r="CF56" s="105">
        <v>11.124324324324323</v>
      </c>
      <c r="CG56" s="105">
        <v>8436.6875675675674</v>
      </c>
      <c r="CH56" s="105">
        <v>9</v>
      </c>
      <c r="CI56" s="105">
        <v>6825.5999999999995</v>
      </c>
      <c r="CJ56" s="105">
        <v>8.1907473309608552</v>
      </c>
      <c r="CK56" s="105">
        <v>6211.8627758007124</v>
      </c>
      <c r="CL56" s="105">
        <v>9.1962085308056878</v>
      </c>
      <c r="CM56" s="105">
        <v>6974.4045497630332</v>
      </c>
      <c r="CN56" s="105">
        <v>6.5092250922509232</v>
      </c>
      <c r="CO56" s="105">
        <v>4936.5963099630999</v>
      </c>
      <c r="CP56" s="105">
        <v>7.5384615384615392</v>
      </c>
      <c r="CQ56" s="105">
        <v>5717.169230769231</v>
      </c>
      <c r="CR56" s="105">
        <v>9.3333333333333321</v>
      </c>
      <c r="CS56" s="105">
        <v>7078.3999999999987</v>
      </c>
      <c r="CT56" s="105">
        <v>14.482758620689657</v>
      </c>
      <c r="CU56" s="105">
        <v>10983.724137931034</v>
      </c>
    </row>
    <row r="57" spans="2:99" x14ac:dyDescent="0.2">
      <c r="C57" s="104" t="s">
        <v>225</v>
      </c>
      <c r="D57" s="105">
        <v>9</v>
      </c>
      <c r="E57" s="105">
        <v>6296.4000000000005</v>
      </c>
      <c r="F57" s="105">
        <v>15</v>
      </c>
      <c r="G57" s="105">
        <v>10494</v>
      </c>
      <c r="H57" s="105">
        <v>11</v>
      </c>
      <c r="I57" s="105">
        <v>7695.6</v>
      </c>
      <c r="J57" s="105">
        <v>14</v>
      </c>
      <c r="K57" s="105">
        <v>9794.4</v>
      </c>
      <c r="L57" s="105">
        <v>13</v>
      </c>
      <c r="M57" s="105">
        <v>9094.8000000000011</v>
      </c>
      <c r="N57" s="105">
        <v>11</v>
      </c>
      <c r="O57" s="105">
        <v>7695.6</v>
      </c>
      <c r="P57" s="105">
        <v>11</v>
      </c>
      <c r="Q57" s="105">
        <v>7695.6</v>
      </c>
      <c r="R57" s="105">
        <v>12</v>
      </c>
      <c r="S57" s="105">
        <v>8395.2000000000007</v>
      </c>
      <c r="T57" s="105">
        <v>10</v>
      </c>
      <c r="U57" s="105">
        <v>6996</v>
      </c>
      <c r="V57" s="105">
        <v>11</v>
      </c>
      <c r="W57" s="105">
        <v>7695.6</v>
      </c>
      <c r="X57" s="105">
        <v>11</v>
      </c>
      <c r="Y57" s="105">
        <v>7695.6</v>
      </c>
      <c r="Z57" s="105">
        <v>9</v>
      </c>
      <c r="AA57" s="105">
        <v>6296.4000000000005</v>
      </c>
      <c r="AB57" s="105">
        <v>10</v>
      </c>
      <c r="AC57" s="105">
        <v>6996</v>
      </c>
      <c r="AD57" s="105">
        <v>11</v>
      </c>
      <c r="AE57" s="105">
        <v>7695.6</v>
      </c>
      <c r="AF57" s="105">
        <v>13</v>
      </c>
      <c r="AG57" s="105">
        <v>9094.8000000000011</v>
      </c>
      <c r="AH57" s="105">
        <v>14</v>
      </c>
      <c r="AI57" s="105">
        <v>9794.4</v>
      </c>
      <c r="AJ57" s="105">
        <v>11</v>
      </c>
      <c r="AK57" s="105">
        <v>7695.6</v>
      </c>
      <c r="AL57" s="105">
        <v>15</v>
      </c>
      <c r="AM57" s="105">
        <v>10494</v>
      </c>
      <c r="AN57" s="105">
        <v>11</v>
      </c>
      <c r="AO57" s="105">
        <v>7695.6</v>
      </c>
      <c r="AP57" s="105">
        <v>10</v>
      </c>
      <c r="AQ57" s="105">
        <v>6996</v>
      </c>
      <c r="AR57" s="105">
        <v>10</v>
      </c>
      <c r="AS57" s="105">
        <v>6996</v>
      </c>
      <c r="AT57" s="105">
        <v>10</v>
      </c>
      <c r="AU57" s="105">
        <v>6996</v>
      </c>
      <c r="AV57" s="105">
        <v>11</v>
      </c>
      <c r="AW57" s="105">
        <v>7695.6</v>
      </c>
      <c r="AX57" s="105">
        <v>13</v>
      </c>
      <c r="AY57" s="105">
        <v>9094.8000000000011</v>
      </c>
      <c r="AZ57" s="105">
        <v>10</v>
      </c>
      <c r="BA57" s="105">
        <v>6996</v>
      </c>
      <c r="BB57" s="105">
        <v>8</v>
      </c>
      <c r="BC57" s="105">
        <v>5596.8</v>
      </c>
      <c r="BD57" s="105">
        <v>10</v>
      </c>
      <c r="BE57" s="105">
        <v>6996</v>
      </c>
      <c r="BF57" s="105">
        <v>9</v>
      </c>
      <c r="BG57" s="105">
        <v>6296.4000000000005</v>
      </c>
      <c r="BH57" s="105">
        <v>12</v>
      </c>
      <c r="BI57" s="105">
        <v>8395.2000000000007</v>
      </c>
      <c r="BJ57" s="105">
        <v>9</v>
      </c>
      <c r="BK57" s="105">
        <v>6296.4000000000005</v>
      </c>
      <c r="BL57" s="105">
        <v>10</v>
      </c>
      <c r="BM57" s="105">
        <v>6996</v>
      </c>
      <c r="BN57" s="105">
        <v>10</v>
      </c>
      <c r="BO57" s="105">
        <v>6996</v>
      </c>
      <c r="BP57" s="105">
        <v>13</v>
      </c>
      <c r="BQ57" s="105">
        <v>9094.8000000000011</v>
      </c>
      <c r="BR57" s="105">
        <v>9</v>
      </c>
      <c r="BS57" s="105">
        <v>6296.4000000000005</v>
      </c>
      <c r="BT57" s="105">
        <v>9</v>
      </c>
      <c r="BU57" s="105">
        <v>6296.4000000000005</v>
      </c>
      <c r="BV57" s="105">
        <v>9</v>
      </c>
      <c r="BW57" s="105">
        <v>6296.4000000000005</v>
      </c>
      <c r="BX57" s="105">
        <v>10</v>
      </c>
      <c r="BY57" s="105">
        <v>6996</v>
      </c>
      <c r="BZ57" s="105">
        <v>12</v>
      </c>
      <c r="CA57" s="105">
        <v>8395.2000000000007</v>
      </c>
      <c r="CB57" s="105">
        <v>13</v>
      </c>
      <c r="CC57" s="105">
        <v>9094.8000000000011</v>
      </c>
      <c r="CD57" s="105">
        <v>9</v>
      </c>
      <c r="CE57" s="105">
        <v>6296.4000000000005</v>
      </c>
      <c r="CF57" s="105">
        <v>12</v>
      </c>
      <c r="CG57" s="105">
        <v>8395.2000000000007</v>
      </c>
      <c r="CH57" s="105">
        <v>9</v>
      </c>
      <c r="CI57" s="105">
        <v>6296.4000000000005</v>
      </c>
      <c r="CJ57" s="105">
        <v>12</v>
      </c>
      <c r="CK57" s="105">
        <v>8395.2000000000007</v>
      </c>
      <c r="CL57" s="105">
        <v>7.2122872571910968</v>
      </c>
      <c r="CM57" s="105">
        <v>5045.7161651308916</v>
      </c>
      <c r="CN57" s="105">
        <v>5.1662565505276552</v>
      </c>
      <c r="CO57" s="105">
        <v>3614.3130827491477</v>
      </c>
      <c r="CP57" s="105">
        <v>1.4850845496811358</v>
      </c>
      <c r="CQ57" s="105">
        <v>1038.9651509569226</v>
      </c>
      <c r="CR57" s="105">
        <v>1.7639470430850663</v>
      </c>
      <c r="CS57" s="105">
        <v>1234.0573513423124</v>
      </c>
      <c r="CT57" s="105">
        <v>0</v>
      </c>
      <c r="CU57" s="105">
        <v>0</v>
      </c>
    </row>
    <row r="58" spans="2:99" x14ac:dyDescent="0.2">
      <c r="C58" s="104" t="s">
        <v>226</v>
      </c>
      <c r="D58" s="105">
        <v>9</v>
      </c>
      <c r="E58" s="105">
        <v>6804</v>
      </c>
      <c r="F58" s="105">
        <v>15</v>
      </c>
      <c r="G58" s="105">
        <v>11340</v>
      </c>
      <c r="H58" s="105">
        <v>11</v>
      </c>
      <c r="I58" s="105">
        <v>8316</v>
      </c>
      <c r="J58" s="105">
        <v>13</v>
      </c>
      <c r="K58" s="105">
        <v>9828</v>
      </c>
      <c r="L58" s="105">
        <v>12.941176470588236</v>
      </c>
      <c r="M58" s="105">
        <v>9783.5294117647063</v>
      </c>
      <c r="N58" s="105">
        <v>9.2018779342723001</v>
      </c>
      <c r="O58" s="105">
        <v>6956.6197183098584</v>
      </c>
      <c r="P58" s="105">
        <v>9.0588235294117645</v>
      </c>
      <c r="Q58" s="105">
        <v>6848.4705882352937</v>
      </c>
      <c r="R58" s="105">
        <v>9.7556561085972842</v>
      </c>
      <c r="S58" s="105">
        <v>7375.2760180995465</v>
      </c>
      <c r="T58" s="105">
        <v>10.226086956521739</v>
      </c>
      <c r="U58" s="105">
        <v>7730.9217391304346</v>
      </c>
      <c r="V58" s="105">
        <v>11.248695652173913</v>
      </c>
      <c r="W58" s="105">
        <v>8504.0139130434782</v>
      </c>
      <c r="X58" s="105">
        <v>9.6016194331983815</v>
      </c>
      <c r="Y58" s="105">
        <v>7258.8242914979764</v>
      </c>
      <c r="Z58" s="105">
        <v>8</v>
      </c>
      <c r="AA58" s="105">
        <v>6048</v>
      </c>
      <c r="AB58" s="105">
        <v>11</v>
      </c>
      <c r="AC58" s="105">
        <v>8316</v>
      </c>
      <c r="AD58" s="105">
        <v>10</v>
      </c>
      <c r="AE58" s="105">
        <v>7560</v>
      </c>
      <c r="AF58" s="105">
        <v>13</v>
      </c>
      <c r="AG58" s="105">
        <v>9828</v>
      </c>
      <c r="AH58" s="105">
        <v>13</v>
      </c>
      <c r="AI58" s="105">
        <v>9828</v>
      </c>
      <c r="AJ58" s="105">
        <v>11</v>
      </c>
      <c r="AK58" s="105">
        <v>8316</v>
      </c>
      <c r="AL58" s="105">
        <v>15</v>
      </c>
      <c r="AM58" s="105">
        <v>11340</v>
      </c>
      <c r="AN58" s="105">
        <v>10</v>
      </c>
      <c r="AO58" s="105">
        <v>7560</v>
      </c>
      <c r="AP58" s="105">
        <v>12</v>
      </c>
      <c r="AQ58" s="105">
        <v>9072</v>
      </c>
      <c r="AR58" s="105">
        <v>8</v>
      </c>
      <c r="AS58" s="105">
        <v>6048</v>
      </c>
      <c r="AT58" s="105">
        <v>10</v>
      </c>
      <c r="AU58" s="105">
        <v>7560</v>
      </c>
      <c r="AV58" s="105">
        <v>11</v>
      </c>
      <c r="AW58" s="105">
        <v>8316</v>
      </c>
      <c r="AX58" s="105">
        <v>11</v>
      </c>
      <c r="AY58" s="105">
        <v>8316</v>
      </c>
      <c r="AZ58" s="105">
        <v>11</v>
      </c>
      <c r="BA58" s="105">
        <v>8316</v>
      </c>
      <c r="BB58" s="105">
        <v>7</v>
      </c>
      <c r="BC58" s="105">
        <v>5292</v>
      </c>
      <c r="BD58" s="105">
        <v>12</v>
      </c>
      <c r="BE58" s="105">
        <v>9072</v>
      </c>
      <c r="BF58" s="105">
        <v>8</v>
      </c>
      <c r="BG58" s="105">
        <v>6048</v>
      </c>
      <c r="BH58" s="105">
        <v>10</v>
      </c>
      <c r="BI58" s="105">
        <v>7560</v>
      </c>
      <c r="BJ58" s="105">
        <v>8</v>
      </c>
      <c r="BK58" s="105">
        <v>6048</v>
      </c>
      <c r="BL58" s="105">
        <v>10</v>
      </c>
      <c r="BM58" s="105">
        <v>7560</v>
      </c>
      <c r="BN58" s="105">
        <v>10</v>
      </c>
      <c r="BO58" s="105">
        <v>7560</v>
      </c>
      <c r="BP58" s="105">
        <v>14</v>
      </c>
      <c r="BQ58" s="105">
        <v>10584</v>
      </c>
      <c r="BR58" s="105">
        <v>10</v>
      </c>
      <c r="BS58" s="105">
        <v>7560</v>
      </c>
      <c r="BT58" s="105">
        <v>10</v>
      </c>
      <c r="BU58" s="105">
        <v>7560</v>
      </c>
      <c r="BV58" s="105">
        <v>9</v>
      </c>
      <c r="BW58" s="105">
        <v>6804</v>
      </c>
      <c r="BX58" s="105">
        <v>8.6104417670682807</v>
      </c>
      <c r="BY58" s="105">
        <v>6509.4939759036206</v>
      </c>
      <c r="BZ58" s="105">
        <v>8.5839416058394171</v>
      </c>
      <c r="CA58" s="105">
        <v>6489.4598540145989</v>
      </c>
      <c r="CB58" s="105">
        <v>12.613861386138614</v>
      </c>
      <c r="CC58" s="105">
        <v>9536.0792079207931</v>
      </c>
      <c r="CD58" s="105">
        <v>7.3807531380753142</v>
      </c>
      <c r="CE58" s="105">
        <v>5579.8493723849379</v>
      </c>
      <c r="CF58" s="105">
        <v>10.329729729729729</v>
      </c>
      <c r="CG58" s="105">
        <v>7809.2756756756753</v>
      </c>
      <c r="CH58" s="105">
        <v>8</v>
      </c>
      <c r="CI58" s="105">
        <v>6048</v>
      </c>
      <c r="CJ58" s="105">
        <v>8.1907473309608552</v>
      </c>
      <c r="CK58" s="105">
        <v>6192.2049822064064</v>
      </c>
      <c r="CL58" s="105">
        <v>9.1962085308056878</v>
      </c>
      <c r="CM58" s="105">
        <v>6952.3336492891003</v>
      </c>
      <c r="CN58" s="105">
        <v>5.7859778597785976</v>
      </c>
      <c r="CO58" s="105">
        <v>4374.1992619926195</v>
      </c>
      <c r="CP58" s="105">
        <v>7.5384615384615392</v>
      </c>
      <c r="CQ58" s="105">
        <v>5699.0769230769238</v>
      </c>
      <c r="CR58" s="105">
        <v>10.051282051282051</v>
      </c>
      <c r="CS58" s="105">
        <v>7598.7692307692305</v>
      </c>
      <c r="CT58" s="105">
        <v>14.482758620689657</v>
      </c>
      <c r="CU58" s="105">
        <v>10948.96551724138</v>
      </c>
    </row>
    <row r="59" spans="2:99" x14ac:dyDescent="0.2">
      <c r="C59" s="104" t="s">
        <v>227</v>
      </c>
      <c r="D59" s="105">
        <v>9</v>
      </c>
      <c r="E59" s="105">
        <v>3952.7999999999997</v>
      </c>
      <c r="F59" s="105">
        <v>13</v>
      </c>
      <c r="G59" s="105">
        <v>5709.5999999999995</v>
      </c>
      <c r="H59" s="105">
        <v>10</v>
      </c>
      <c r="I59" s="105">
        <v>4392</v>
      </c>
      <c r="J59" s="105">
        <v>14</v>
      </c>
      <c r="K59" s="105">
        <v>6148.8</v>
      </c>
      <c r="L59" s="105">
        <v>12</v>
      </c>
      <c r="M59" s="105">
        <v>5270.4</v>
      </c>
      <c r="N59" s="105">
        <v>12</v>
      </c>
      <c r="O59" s="105">
        <v>5270.4</v>
      </c>
      <c r="P59" s="105">
        <v>11</v>
      </c>
      <c r="Q59" s="105">
        <v>4831.2</v>
      </c>
      <c r="R59" s="105">
        <v>12</v>
      </c>
      <c r="S59" s="105">
        <v>5270.4</v>
      </c>
      <c r="T59" s="105">
        <v>11</v>
      </c>
      <c r="U59" s="105">
        <v>4831.2</v>
      </c>
      <c r="V59" s="105">
        <v>11</v>
      </c>
      <c r="W59" s="105">
        <v>4831.2</v>
      </c>
      <c r="X59" s="105">
        <v>11</v>
      </c>
      <c r="Y59" s="105">
        <v>4831.2</v>
      </c>
      <c r="Z59" s="105">
        <v>10</v>
      </c>
      <c r="AA59" s="105">
        <v>4392</v>
      </c>
      <c r="AB59" s="105">
        <v>10</v>
      </c>
      <c r="AC59" s="105">
        <v>4392</v>
      </c>
      <c r="AD59" s="105">
        <v>12</v>
      </c>
      <c r="AE59" s="105">
        <v>5270.4</v>
      </c>
      <c r="AF59" s="105">
        <v>12</v>
      </c>
      <c r="AG59" s="105">
        <v>5270.4</v>
      </c>
      <c r="AH59" s="105">
        <v>13</v>
      </c>
      <c r="AI59" s="105">
        <v>5709.5999999999995</v>
      </c>
      <c r="AJ59" s="105">
        <v>10</v>
      </c>
      <c r="AK59" s="105">
        <v>4392</v>
      </c>
      <c r="AL59" s="105">
        <v>15</v>
      </c>
      <c r="AM59" s="105">
        <v>6588</v>
      </c>
      <c r="AN59" s="105">
        <v>10</v>
      </c>
      <c r="AO59" s="105">
        <v>4392</v>
      </c>
      <c r="AP59" s="105">
        <v>10</v>
      </c>
      <c r="AQ59" s="105">
        <v>4392</v>
      </c>
      <c r="AR59" s="105">
        <v>10</v>
      </c>
      <c r="AS59" s="105">
        <v>4392</v>
      </c>
      <c r="AT59" s="105">
        <v>11</v>
      </c>
      <c r="AU59" s="105">
        <v>4831.2</v>
      </c>
      <c r="AV59" s="105">
        <v>11</v>
      </c>
      <c r="AW59" s="105">
        <v>4831.2</v>
      </c>
      <c r="AX59" s="105">
        <v>12</v>
      </c>
      <c r="AY59" s="105">
        <v>5270.4</v>
      </c>
      <c r="AZ59" s="105">
        <v>11</v>
      </c>
      <c r="BA59" s="105">
        <v>4831.2</v>
      </c>
      <c r="BB59" s="105">
        <v>7</v>
      </c>
      <c r="BC59" s="105">
        <v>3074.4</v>
      </c>
      <c r="BD59" s="105">
        <v>11</v>
      </c>
      <c r="BE59" s="105">
        <v>4831.2</v>
      </c>
      <c r="BF59" s="105">
        <v>8</v>
      </c>
      <c r="BG59" s="105">
        <v>3513.6</v>
      </c>
      <c r="BH59" s="105">
        <v>11</v>
      </c>
      <c r="BI59" s="105">
        <v>4831.2</v>
      </c>
      <c r="BJ59" s="105">
        <v>8</v>
      </c>
      <c r="BK59" s="105">
        <v>3513.6</v>
      </c>
      <c r="BL59" s="105">
        <v>11</v>
      </c>
      <c r="BM59" s="105">
        <v>4831.2</v>
      </c>
      <c r="BN59" s="105">
        <v>10</v>
      </c>
      <c r="BO59" s="105">
        <v>4392</v>
      </c>
      <c r="BP59" s="105">
        <v>15</v>
      </c>
      <c r="BQ59" s="105">
        <v>6588</v>
      </c>
      <c r="BR59" s="105">
        <v>11</v>
      </c>
      <c r="BS59" s="105">
        <v>4831.2</v>
      </c>
      <c r="BT59" s="105">
        <v>10</v>
      </c>
      <c r="BU59" s="105">
        <v>4392</v>
      </c>
      <c r="BV59" s="105">
        <v>8</v>
      </c>
      <c r="BW59" s="105">
        <v>3513.6</v>
      </c>
      <c r="BX59" s="105">
        <v>11</v>
      </c>
      <c r="BY59" s="105">
        <v>4831.2</v>
      </c>
      <c r="BZ59" s="105">
        <v>12</v>
      </c>
      <c r="CA59" s="105">
        <v>5270.4</v>
      </c>
      <c r="CB59" s="105">
        <v>14</v>
      </c>
      <c r="CC59" s="105">
        <v>6148.8</v>
      </c>
      <c r="CD59" s="105">
        <v>10</v>
      </c>
      <c r="CE59" s="105">
        <v>4392</v>
      </c>
      <c r="CF59" s="105">
        <v>14</v>
      </c>
      <c r="CG59" s="105">
        <v>6148.8</v>
      </c>
      <c r="CH59" s="105">
        <v>9</v>
      </c>
      <c r="CI59" s="105">
        <v>3952.7999999999997</v>
      </c>
      <c r="CJ59" s="105">
        <v>13</v>
      </c>
      <c r="CK59" s="105">
        <v>5709.5999999999995</v>
      </c>
      <c r="CL59" s="105">
        <v>13</v>
      </c>
      <c r="CM59" s="105">
        <v>5709.5999999999995</v>
      </c>
      <c r="CN59" s="105">
        <v>9</v>
      </c>
      <c r="CO59" s="105">
        <v>3952.7999999999997</v>
      </c>
      <c r="CP59" s="105">
        <v>8</v>
      </c>
      <c r="CQ59" s="105">
        <v>3513.6</v>
      </c>
      <c r="CR59" s="105">
        <v>13</v>
      </c>
      <c r="CS59" s="105">
        <v>5709.5999999999995</v>
      </c>
      <c r="CT59" s="105">
        <v>14</v>
      </c>
      <c r="CU59" s="105">
        <v>6148.8</v>
      </c>
    </row>
    <row r="60" spans="2:99" x14ac:dyDescent="0.2">
      <c r="C60" s="104" t="s">
        <v>228</v>
      </c>
      <c r="D60" s="105">
        <v>9</v>
      </c>
      <c r="E60" s="105">
        <v>1890</v>
      </c>
      <c r="F60" s="105">
        <v>14</v>
      </c>
      <c r="G60" s="105">
        <v>2940</v>
      </c>
      <c r="H60" s="105">
        <v>11</v>
      </c>
      <c r="I60" s="105">
        <v>2310</v>
      </c>
      <c r="J60" s="105">
        <v>15</v>
      </c>
      <c r="K60" s="105">
        <v>3150</v>
      </c>
      <c r="L60" s="105">
        <v>12</v>
      </c>
      <c r="M60" s="105">
        <v>2520</v>
      </c>
      <c r="N60" s="105">
        <v>13</v>
      </c>
      <c r="O60" s="105">
        <v>2730</v>
      </c>
      <c r="P60" s="105">
        <v>11</v>
      </c>
      <c r="Q60" s="105">
        <v>2310</v>
      </c>
      <c r="R60" s="105">
        <v>11</v>
      </c>
      <c r="S60" s="105">
        <v>2310</v>
      </c>
      <c r="T60" s="105">
        <v>12</v>
      </c>
      <c r="U60" s="105">
        <v>2520</v>
      </c>
      <c r="V60" s="105">
        <v>11</v>
      </c>
      <c r="W60" s="105">
        <v>2310</v>
      </c>
      <c r="X60" s="105">
        <v>11</v>
      </c>
      <c r="Y60" s="105">
        <v>2310</v>
      </c>
      <c r="Z60" s="105">
        <v>10</v>
      </c>
      <c r="AA60" s="105">
        <v>2100</v>
      </c>
      <c r="AB60" s="105">
        <v>10</v>
      </c>
      <c r="AC60" s="105">
        <v>2100</v>
      </c>
      <c r="AD60" s="105">
        <v>12</v>
      </c>
      <c r="AE60" s="105">
        <v>2520</v>
      </c>
      <c r="AF60" s="105">
        <v>14</v>
      </c>
      <c r="AG60" s="105">
        <v>2940</v>
      </c>
      <c r="AH60" s="105">
        <v>14</v>
      </c>
      <c r="AI60" s="105">
        <v>2940</v>
      </c>
      <c r="AJ60" s="105">
        <v>11</v>
      </c>
      <c r="AK60" s="105">
        <v>2310</v>
      </c>
      <c r="AL60" s="105">
        <v>14</v>
      </c>
      <c r="AM60" s="105">
        <v>2940</v>
      </c>
      <c r="AN60" s="105">
        <v>11</v>
      </c>
      <c r="AO60" s="105">
        <v>2310</v>
      </c>
      <c r="AP60" s="105">
        <v>12</v>
      </c>
      <c r="AQ60" s="105">
        <v>2520</v>
      </c>
      <c r="AR60" s="105">
        <v>10</v>
      </c>
      <c r="AS60" s="105">
        <v>2100</v>
      </c>
      <c r="AT60" s="105">
        <v>12</v>
      </c>
      <c r="AU60" s="105">
        <v>2520</v>
      </c>
      <c r="AV60" s="105">
        <v>11</v>
      </c>
      <c r="AW60" s="105">
        <v>2310</v>
      </c>
      <c r="AX60" s="105">
        <v>14</v>
      </c>
      <c r="AY60" s="105">
        <v>2940</v>
      </c>
      <c r="AZ60" s="105">
        <v>12</v>
      </c>
      <c r="BA60" s="105">
        <v>2520</v>
      </c>
      <c r="BB60" s="105">
        <v>8</v>
      </c>
      <c r="BC60" s="105">
        <v>1680</v>
      </c>
      <c r="BD60" s="105">
        <v>12</v>
      </c>
      <c r="BE60" s="105">
        <v>2520</v>
      </c>
      <c r="BF60" s="105">
        <v>10</v>
      </c>
      <c r="BG60" s="105">
        <v>2100</v>
      </c>
      <c r="BH60" s="105">
        <v>10</v>
      </c>
      <c r="BI60" s="105">
        <v>2100</v>
      </c>
      <c r="BJ60" s="105">
        <v>8</v>
      </c>
      <c r="BK60" s="105">
        <v>1680</v>
      </c>
      <c r="BL60" s="105">
        <v>11</v>
      </c>
      <c r="BM60" s="105">
        <v>2310</v>
      </c>
      <c r="BN60" s="105">
        <v>11</v>
      </c>
      <c r="BO60" s="105">
        <v>2310</v>
      </c>
      <c r="BP60" s="105">
        <v>15</v>
      </c>
      <c r="BQ60" s="105">
        <v>3150</v>
      </c>
      <c r="BR60" s="105">
        <v>10</v>
      </c>
      <c r="BS60" s="105">
        <v>2100</v>
      </c>
      <c r="BT60" s="105">
        <v>10</v>
      </c>
      <c r="BU60" s="105">
        <v>2100</v>
      </c>
      <c r="BV60" s="105">
        <v>8</v>
      </c>
      <c r="BW60" s="105">
        <v>1680</v>
      </c>
      <c r="BX60" s="105">
        <v>10</v>
      </c>
      <c r="BY60" s="105">
        <v>2100</v>
      </c>
      <c r="BZ60" s="105">
        <v>13</v>
      </c>
      <c r="CA60" s="105">
        <v>2730</v>
      </c>
      <c r="CB60" s="105">
        <v>13</v>
      </c>
      <c r="CC60" s="105">
        <v>2730</v>
      </c>
      <c r="CD60" s="105">
        <v>11</v>
      </c>
      <c r="CE60" s="105">
        <v>2310</v>
      </c>
      <c r="CF60" s="105">
        <v>14</v>
      </c>
      <c r="CG60" s="105">
        <v>2940</v>
      </c>
      <c r="CH60" s="105">
        <v>9</v>
      </c>
      <c r="CI60" s="105">
        <v>1890</v>
      </c>
      <c r="CJ60" s="105">
        <v>13</v>
      </c>
      <c r="CK60" s="105">
        <v>2730</v>
      </c>
      <c r="CL60" s="105">
        <v>7.8133111952903551</v>
      </c>
      <c r="CM60" s="105">
        <v>1640.7953510109746</v>
      </c>
      <c r="CN60" s="105">
        <v>5.1662565505276552</v>
      </c>
      <c r="CO60" s="105">
        <v>1084.9138756108075</v>
      </c>
      <c r="CP60" s="105">
        <v>1.6707201183912779</v>
      </c>
      <c r="CQ60" s="105">
        <v>350.85122486216835</v>
      </c>
      <c r="CR60" s="105">
        <v>1.9109426300088217</v>
      </c>
      <c r="CS60" s="105">
        <v>401.29795230185255</v>
      </c>
      <c r="CT60" s="105">
        <v>0</v>
      </c>
      <c r="CU60" s="105">
        <v>0</v>
      </c>
    </row>
    <row r="61" spans="2:99" x14ac:dyDescent="0.2">
      <c r="C61" s="104" t="s">
        <v>229</v>
      </c>
      <c r="D61" s="105">
        <v>10</v>
      </c>
      <c r="E61" s="105">
        <v>1980</v>
      </c>
      <c r="F61" s="105">
        <v>16</v>
      </c>
      <c r="G61" s="105">
        <v>3168</v>
      </c>
      <c r="H61" s="105">
        <v>11</v>
      </c>
      <c r="I61" s="105">
        <v>2178</v>
      </c>
      <c r="J61" s="105">
        <v>15</v>
      </c>
      <c r="K61" s="105">
        <v>2970</v>
      </c>
      <c r="L61" s="105">
        <v>13</v>
      </c>
      <c r="M61" s="105">
        <v>2574</v>
      </c>
      <c r="N61" s="105">
        <v>12</v>
      </c>
      <c r="O61" s="105">
        <v>2376</v>
      </c>
      <c r="P61" s="105">
        <v>11</v>
      </c>
      <c r="Q61" s="105">
        <v>2178</v>
      </c>
      <c r="R61" s="105">
        <v>11</v>
      </c>
      <c r="S61" s="105">
        <v>2178</v>
      </c>
      <c r="T61" s="105">
        <v>12</v>
      </c>
      <c r="U61" s="105">
        <v>2376</v>
      </c>
      <c r="V61" s="105">
        <v>11</v>
      </c>
      <c r="W61" s="105">
        <v>2178</v>
      </c>
      <c r="X61" s="105">
        <v>10</v>
      </c>
      <c r="Y61" s="105">
        <v>1980</v>
      </c>
      <c r="Z61" s="105">
        <v>9</v>
      </c>
      <c r="AA61" s="105">
        <v>1782</v>
      </c>
      <c r="AB61" s="105">
        <v>10</v>
      </c>
      <c r="AC61" s="105">
        <v>1980</v>
      </c>
      <c r="AD61" s="105">
        <v>12</v>
      </c>
      <c r="AE61" s="105">
        <v>2376</v>
      </c>
      <c r="AF61" s="105">
        <v>14</v>
      </c>
      <c r="AG61" s="105">
        <v>2772</v>
      </c>
      <c r="AH61" s="105">
        <v>15</v>
      </c>
      <c r="AI61" s="105">
        <v>2970</v>
      </c>
      <c r="AJ61" s="105">
        <v>10</v>
      </c>
      <c r="AK61" s="105">
        <v>1980</v>
      </c>
      <c r="AL61" s="105">
        <v>15</v>
      </c>
      <c r="AM61" s="105">
        <v>2970</v>
      </c>
      <c r="AN61" s="105">
        <v>11</v>
      </c>
      <c r="AO61" s="105">
        <v>2178</v>
      </c>
      <c r="AP61" s="105">
        <v>11</v>
      </c>
      <c r="AQ61" s="105">
        <v>2178</v>
      </c>
      <c r="AR61" s="105">
        <v>10</v>
      </c>
      <c r="AS61" s="105">
        <v>1980</v>
      </c>
      <c r="AT61" s="105">
        <v>11</v>
      </c>
      <c r="AU61" s="105">
        <v>2178</v>
      </c>
      <c r="AV61" s="105">
        <v>11</v>
      </c>
      <c r="AW61" s="105">
        <v>2178</v>
      </c>
      <c r="AX61" s="105">
        <v>12</v>
      </c>
      <c r="AY61" s="105">
        <v>2376</v>
      </c>
      <c r="AZ61" s="105">
        <v>12</v>
      </c>
      <c r="BA61" s="105">
        <v>2376</v>
      </c>
      <c r="BB61" s="105">
        <v>9</v>
      </c>
      <c r="BC61" s="105">
        <v>1782</v>
      </c>
      <c r="BD61" s="105">
        <v>10</v>
      </c>
      <c r="BE61" s="105">
        <v>1980</v>
      </c>
      <c r="BF61" s="105">
        <v>10</v>
      </c>
      <c r="BG61" s="105">
        <v>1980</v>
      </c>
      <c r="BH61" s="105">
        <v>12</v>
      </c>
      <c r="BI61" s="105">
        <v>2376</v>
      </c>
      <c r="BJ61" s="105">
        <v>10</v>
      </c>
      <c r="BK61" s="105">
        <v>1980</v>
      </c>
      <c r="BL61" s="105">
        <v>10</v>
      </c>
      <c r="BM61" s="105">
        <v>1980</v>
      </c>
      <c r="BN61" s="105">
        <v>10</v>
      </c>
      <c r="BO61" s="105">
        <v>1980</v>
      </c>
      <c r="BP61" s="105">
        <v>14</v>
      </c>
      <c r="BQ61" s="105">
        <v>2772</v>
      </c>
      <c r="BR61" s="105">
        <v>11</v>
      </c>
      <c r="BS61" s="105">
        <v>2178</v>
      </c>
      <c r="BT61" s="105">
        <v>11</v>
      </c>
      <c r="BU61" s="105">
        <v>2178</v>
      </c>
      <c r="BV61" s="105">
        <v>9</v>
      </c>
      <c r="BW61" s="105">
        <v>1782</v>
      </c>
      <c r="BX61" s="105">
        <v>11</v>
      </c>
      <c r="BY61" s="105">
        <v>2178</v>
      </c>
      <c r="BZ61" s="105">
        <v>12</v>
      </c>
      <c r="CA61" s="105">
        <v>2376</v>
      </c>
      <c r="CB61" s="105">
        <v>14</v>
      </c>
      <c r="CC61" s="105">
        <v>2772</v>
      </c>
      <c r="CD61" s="105">
        <v>10</v>
      </c>
      <c r="CE61" s="105">
        <v>1980</v>
      </c>
      <c r="CF61" s="105">
        <v>13</v>
      </c>
      <c r="CG61" s="105">
        <v>2574</v>
      </c>
      <c r="CH61" s="105">
        <v>10</v>
      </c>
      <c r="CI61" s="105">
        <v>1980</v>
      </c>
      <c r="CJ61" s="105">
        <v>13</v>
      </c>
      <c r="CK61" s="105">
        <v>2574</v>
      </c>
      <c r="CL61" s="105">
        <v>7.2122872571910968</v>
      </c>
      <c r="CM61" s="105">
        <v>1428.0328769238372</v>
      </c>
      <c r="CN61" s="105">
        <v>5.1662565505276552</v>
      </c>
      <c r="CO61" s="105">
        <v>1022.9187970044758</v>
      </c>
      <c r="CP61" s="105">
        <v>1.4850845496811358</v>
      </c>
      <c r="CQ61" s="105">
        <v>294.0467408368649</v>
      </c>
      <c r="CR61" s="105">
        <v>2.0579382169325773</v>
      </c>
      <c r="CS61" s="105">
        <v>407.47176695265028</v>
      </c>
      <c r="CT61" s="105">
        <v>0</v>
      </c>
      <c r="CU61" s="105">
        <v>0</v>
      </c>
    </row>
    <row r="62" spans="2:99" x14ac:dyDescent="0.2">
      <c r="C62" s="104" t="s">
        <v>230</v>
      </c>
      <c r="D62" s="105">
        <v>9</v>
      </c>
      <c r="E62" s="105">
        <v>8607.6</v>
      </c>
      <c r="F62" s="105">
        <v>12</v>
      </c>
      <c r="G62" s="105">
        <v>11476.8</v>
      </c>
      <c r="H62" s="105">
        <v>9</v>
      </c>
      <c r="I62" s="105">
        <v>8607.6</v>
      </c>
      <c r="J62" s="105">
        <v>14</v>
      </c>
      <c r="K62" s="105">
        <v>13389.6</v>
      </c>
      <c r="L62" s="105">
        <v>12</v>
      </c>
      <c r="M62" s="105">
        <v>11476.8</v>
      </c>
      <c r="N62" s="105">
        <v>10</v>
      </c>
      <c r="O62" s="105">
        <v>9564</v>
      </c>
      <c r="P62" s="105">
        <v>9</v>
      </c>
      <c r="Q62" s="105">
        <v>8607.6</v>
      </c>
      <c r="R62" s="105">
        <v>12</v>
      </c>
      <c r="S62" s="105">
        <v>11476.8</v>
      </c>
      <c r="T62" s="105">
        <v>11</v>
      </c>
      <c r="U62" s="105">
        <v>10520.4</v>
      </c>
      <c r="V62" s="105">
        <v>11</v>
      </c>
      <c r="W62" s="105">
        <v>10520.4</v>
      </c>
      <c r="X62" s="105">
        <v>10</v>
      </c>
      <c r="Y62" s="105">
        <v>9564</v>
      </c>
      <c r="Z62" s="105">
        <v>9</v>
      </c>
      <c r="AA62" s="105">
        <v>8607.6</v>
      </c>
      <c r="AB62" s="105">
        <v>11</v>
      </c>
      <c r="AC62" s="105">
        <v>10520.4</v>
      </c>
      <c r="AD62" s="105">
        <v>10</v>
      </c>
      <c r="AE62" s="105">
        <v>9564</v>
      </c>
      <c r="AF62" s="105">
        <v>12</v>
      </c>
      <c r="AG62" s="105">
        <v>11476.8</v>
      </c>
      <c r="AH62" s="105">
        <v>14</v>
      </c>
      <c r="AI62" s="105">
        <v>13389.6</v>
      </c>
      <c r="AJ62" s="105">
        <v>10</v>
      </c>
      <c r="AK62" s="105">
        <v>9564</v>
      </c>
      <c r="AL62" s="105">
        <v>15</v>
      </c>
      <c r="AM62" s="105">
        <v>14346</v>
      </c>
      <c r="AN62" s="105">
        <v>10</v>
      </c>
      <c r="AO62" s="105">
        <v>9564</v>
      </c>
      <c r="AP62" s="105">
        <v>11</v>
      </c>
      <c r="AQ62" s="105">
        <v>10520.4</v>
      </c>
      <c r="AR62" s="105">
        <v>9</v>
      </c>
      <c r="AS62" s="105">
        <v>8607.6</v>
      </c>
      <c r="AT62" s="105">
        <v>9</v>
      </c>
      <c r="AU62" s="105">
        <v>8607.6</v>
      </c>
      <c r="AV62" s="105">
        <v>10</v>
      </c>
      <c r="AW62" s="105">
        <v>9564</v>
      </c>
      <c r="AX62" s="105">
        <v>12</v>
      </c>
      <c r="AY62" s="105">
        <v>11476.8</v>
      </c>
      <c r="AZ62" s="105">
        <v>11</v>
      </c>
      <c r="BA62" s="105">
        <v>10520.4</v>
      </c>
      <c r="BB62" s="105">
        <v>8</v>
      </c>
      <c r="BC62" s="105">
        <v>7651.2</v>
      </c>
      <c r="BD62" s="105">
        <v>10</v>
      </c>
      <c r="BE62" s="105">
        <v>9564</v>
      </c>
      <c r="BF62" s="105">
        <v>9</v>
      </c>
      <c r="BG62" s="105">
        <v>8607.6</v>
      </c>
      <c r="BH62" s="105">
        <v>12</v>
      </c>
      <c r="BI62" s="105">
        <v>11476.8</v>
      </c>
      <c r="BJ62" s="105">
        <v>8</v>
      </c>
      <c r="BK62" s="105">
        <v>7651.2</v>
      </c>
      <c r="BL62" s="105">
        <v>10</v>
      </c>
      <c r="BM62" s="105">
        <v>9564</v>
      </c>
      <c r="BN62" s="105">
        <v>9</v>
      </c>
      <c r="BO62" s="105">
        <v>8607.6</v>
      </c>
      <c r="BP62" s="105">
        <v>13</v>
      </c>
      <c r="BQ62" s="105">
        <v>12433.199999999999</v>
      </c>
      <c r="BR62" s="105">
        <v>9</v>
      </c>
      <c r="BS62" s="105">
        <v>8607.6</v>
      </c>
      <c r="BT62" s="105">
        <v>10</v>
      </c>
      <c r="BU62" s="105">
        <v>9564</v>
      </c>
      <c r="BV62" s="105">
        <v>8</v>
      </c>
      <c r="BW62" s="105">
        <v>7651.2</v>
      </c>
      <c r="BX62" s="105">
        <v>10</v>
      </c>
      <c r="BY62" s="105">
        <v>9564</v>
      </c>
      <c r="BZ62" s="105">
        <v>11</v>
      </c>
      <c r="CA62" s="105">
        <v>10520.4</v>
      </c>
      <c r="CB62" s="105">
        <v>12</v>
      </c>
      <c r="CC62" s="105">
        <v>11476.8</v>
      </c>
      <c r="CD62" s="105">
        <v>10</v>
      </c>
      <c r="CE62" s="105">
        <v>9564</v>
      </c>
      <c r="CF62" s="105">
        <v>14</v>
      </c>
      <c r="CG62" s="105">
        <v>13389.6</v>
      </c>
      <c r="CH62" s="105">
        <v>9</v>
      </c>
      <c r="CI62" s="105">
        <v>8607.6</v>
      </c>
      <c r="CJ62" s="105">
        <v>11</v>
      </c>
      <c r="CK62" s="105">
        <v>10520.4</v>
      </c>
      <c r="CL62" s="105">
        <v>7.2122872571910968</v>
      </c>
      <c r="CM62" s="105">
        <v>6897.8315327775645</v>
      </c>
      <c r="CN62" s="105">
        <v>5.1662565505276552</v>
      </c>
      <c r="CO62" s="105">
        <v>4941.0077649246496</v>
      </c>
      <c r="CP62" s="105">
        <v>1.2994489809709939</v>
      </c>
      <c r="CQ62" s="105">
        <v>1242.7930054006586</v>
      </c>
      <c r="CR62" s="105">
        <v>1.9109426300088217</v>
      </c>
      <c r="CS62" s="105">
        <v>1827.625531340437</v>
      </c>
      <c r="CT62" s="105">
        <v>0</v>
      </c>
      <c r="CU62" s="105">
        <v>0</v>
      </c>
    </row>
    <row r="63" spans="2:99" x14ac:dyDescent="0.2">
      <c r="C63" s="104" t="s">
        <v>231</v>
      </c>
      <c r="D63" s="105">
        <v>9</v>
      </c>
      <c r="E63" s="105">
        <v>270</v>
      </c>
      <c r="F63" s="105">
        <v>16</v>
      </c>
      <c r="G63" s="105">
        <v>480</v>
      </c>
      <c r="H63" s="105">
        <v>10</v>
      </c>
      <c r="I63" s="105">
        <v>300</v>
      </c>
      <c r="J63" s="105">
        <v>15</v>
      </c>
      <c r="K63" s="105">
        <v>450</v>
      </c>
      <c r="L63" s="105">
        <v>12</v>
      </c>
      <c r="M63" s="105">
        <v>360</v>
      </c>
      <c r="N63" s="105">
        <v>13</v>
      </c>
      <c r="O63" s="105">
        <v>390</v>
      </c>
      <c r="P63" s="105">
        <v>12</v>
      </c>
      <c r="Q63" s="105">
        <v>360</v>
      </c>
      <c r="R63" s="105">
        <v>11</v>
      </c>
      <c r="S63" s="105">
        <v>330</v>
      </c>
      <c r="T63" s="105">
        <v>11</v>
      </c>
      <c r="U63" s="105">
        <v>330</v>
      </c>
      <c r="V63" s="105">
        <v>12</v>
      </c>
      <c r="W63" s="105">
        <v>360</v>
      </c>
      <c r="X63" s="105">
        <v>12</v>
      </c>
      <c r="Y63" s="105">
        <v>360</v>
      </c>
      <c r="Z63" s="105">
        <v>9</v>
      </c>
      <c r="AA63" s="105">
        <v>270</v>
      </c>
      <c r="AB63" s="105">
        <v>10</v>
      </c>
      <c r="AC63" s="105">
        <v>300</v>
      </c>
      <c r="AD63" s="105">
        <v>13</v>
      </c>
      <c r="AE63" s="105">
        <v>390</v>
      </c>
      <c r="AF63" s="105">
        <v>14</v>
      </c>
      <c r="AG63" s="105">
        <v>420</v>
      </c>
      <c r="AH63" s="105">
        <v>14</v>
      </c>
      <c r="AI63" s="105">
        <v>420</v>
      </c>
      <c r="AJ63" s="105">
        <v>12</v>
      </c>
      <c r="AK63" s="105">
        <v>360</v>
      </c>
      <c r="AL63" s="105">
        <v>16</v>
      </c>
      <c r="AM63" s="105">
        <v>480</v>
      </c>
      <c r="AN63" s="105">
        <v>12</v>
      </c>
      <c r="AO63" s="105">
        <v>360</v>
      </c>
      <c r="AP63" s="105">
        <v>11</v>
      </c>
      <c r="AQ63" s="105">
        <v>330</v>
      </c>
      <c r="AR63" s="105">
        <v>11</v>
      </c>
      <c r="AS63" s="105">
        <v>330</v>
      </c>
      <c r="AT63" s="105">
        <v>10</v>
      </c>
      <c r="AU63" s="105">
        <v>300</v>
      </c>
      <c r="AV63" s="105">
        <v>11</v>
      </c>
      <c r="AW63" s="105">
        <v>330</v>
      </c>
      <c r="AX63" s="105">
        <v>13</v>
      </c>
      <c r="AY63" s="105">
        <v>390</v>
      </c>
      <c r="AZ63" s="105">
        <v>11</v>
      </c>
      <c r="BA63" s="105">
        <v>330</v>
      </c>
      <c r="BB63" s="105">
        <v>8</v>
      </c>
      <c r="BC63" s="105">
        <v>240</v>
      </c>
      <c r="BD63" s="105">
        <v>11</v>
      </c>
      <c r="BE63" s="105">
        <v>330</v>
      </c>
      <c r="BF63" s="105">
        <v>10</v>
      </c>
      <c r="BG63" s="105">
        <v>300</v>
      </c>
      <c r="BH63" s="105">
        <v>12</v>
      </c>
      <c r="BI63" s="105">
        <v>360</v>
      </c>
      <c r="BJ63" s="105">
        <v>9</v>
      </c>
      <c r="BK63" s="105">
        <v>270</v>
      </c>
      <c r="BL63" s="105">
        <v>12</v>
      </c>
      <c r="BM63" s="105">
        <v>360</v>
      </c>
      <c r="BN63" s="105">
        <v>11</v>
      </c>
      <c r="BO63" s="105">
        <v>330</v>
      </c>
      <c r="BP63" s="105">
        <v>16</v>
      </c>
      <c r="BQ63" s="105">
        <v>480</v>
      </c>
      <c r="BR63" s="105">
        <v>10</v>
      </c>
      <c r="BS63" s="105">
        <v>300</v>
      </c>
      <c r="BT63" s="105">
        <v>11</v>
      </c>
      <c r="BU63" s="105">
        <v>330</v>
      </c>
      <c r="BV63" s="105">
        <v>10</v>
      </c>
      <c r="BW63" s="105">
        <v>300</v>
      </c>
      <c r="BX63" s="105">
        <v>10</v>
      </c>
      <c r="BY63" s="105">
        <v>300</v>
      </c>
      <c r="BZ63" s="105">
        <v>15</v>
      </c>
      <c r="CA63" s="105">
        <v>450</v>
      </c>
      <c r="CB63" s="105">
        <v>14</v>
      </c>
      <c r="CC63" s="105">
        <v>420</v>
      </c>
      <c r="CD63" s="105">
        <v>11</v>
      </c>
      <c r="CE63" s="105">
        <v>330</v>
      </c>
      <c r="CF63" s="105">
        <v>13</v>
      </c>
      <c r="CG63" s="105">
        <v>390</v>
      </c>
      <c r="CH63" s="105">
        <v>9</v>
      </c>
      <c r="CI63" s="105">
        <v>270</v>
      </c>
      <c r="CJ63" s="105">
        <v>13</v>
      </c>
      <c r="CK63" s="105">
        <v>390</v>
      </c>
      <c r="CL63" s="105">
        <v>7.8133111952903551</v>
      </c>
      <c r="CM63" s="105">
        <v>234.39933585871066</v>
      </c>
      <c r="CN63" s="105">
        <v>6.4578206881595692</v>
      </c>
      <c r="CO63" s="105">
        <v>193.73462064478707</v>
      </c>
      <c r="CP63" s="105">
        <v>1.4850845496811358</v>
      </c>
      <c r="CQ63" s="105">
        <v>44.552536490434072</v>
      </c>
      <c r="CR63" s="105">
        <v>1.9109426300088217</v>
      </c>
      <c r="CS63" s="105">
        <v>57.32827890026465</v>
      </c>
      <c r="CT63" s="105">
        <v>0</v>
      </c>
      <c r="CU63" s="105">
        <v>0</v>
      </c>
    </row>
    <row r="64" spans="2:99" x14ac:dyDescent="0.2">
      <c r="C64" s="104" t="s">
        <v>232</v>
      </c>
      <c r="D64" s="105">
        <v>9</v>
      </c>
      <c r="E64" s="105">
        <v>2019.6000000000001</v>
      </c>
      <c r="F64" s="105">
        <v>14</v>
      </c>
      <c r="G64" s="105">
        <v>3141.6</v>
      </c>
      <c r="H64" s="105">
        <v>10</v>
      </c>
      <c r="I64" s="105">
        <v>2244</v>
      </c>
      <c r="J64" s="105">
        <v>13</v>
      </c>
      <c r="K64" s="105">
        <v>2917.2000000000003</v>
      </c>
      <c r="L64" s="105">
        <v>14</v>
      </c>
      <c r="M64" s="105">
        <v>3141.6</v>
      </c>
      <c r="N64" s="105">
        <v>12</v>
      </c>
      <c r="O64" s="105">
        <v>2692.8</v>
      </c>
      <c r="P64" s="105">
        <v>11</v>
      </c>
      <c r="Q64" s="105">
        <v>2468.4</v>
      </c>
      <c r="R64" s="105">
        <v>11</v>
      </c>
      <c r="S64" s="105">
        <v>2468.4</v>
      </c>
      <c r="T64" s="105">
        <v>11</v>
      </c>
      <c r="U64" s="105">
        <v>2468.4</v>
      </c>
      <c r="V64" s="105">
        <v>13</v>
      </c>
      <c r="W64" s="105">
        <v>2917.2000000000003</v>
      </c>
      <c r="X64" s="105">
        <v>10</v>
      </c>
      <c r="Y64" s="105">
        <v>2244</v>
      </c>
      <c r="Z64" s="105">
        <v>10</v>
      </c>
      <c r="AA64" s="105">
        <v>2244</v>
      </c>
      <c r="AB64" s="105">
        <v>12</v>
      </c>
      <c r="AC64" s="105">
        <v>2692.8</v>
      </c>
      <c r="AD64" s="105">
        <v>13</v>
      </c>
      <c r="AE64" s="105">
        <v>2917.2000000000003</v>
      </c>
      <c r="AF64" s="105">
        <v>15</v>
      </c>
      <c r="AG64" s="105">
        <v>3366</v>
      </c>
      <c r="AH64" s="105">
        <v>14</v>
      </c>
      <c r="AI64" s="105">
        <v>3141.6</v>
      </c>
      <c r="AJ64" s="105">
        <v>12</v>
      </c>
      <c r="AK64" s="105">
        <v>2692.8</v>
      </c>
      <c r="AL64" s="105">
        <v>14</v>
      </c>
      <c r="AM64" s="105">
        <v>3141.6</v>
      </c>
      <c r="AN64" s="105">
        <v>11</v>
      </c>
      <c r="AO64" s="105">
        <v>2468.4</v>
      </c>
      <c r="AP64" s="105">
        <v>11</v>
      </c>
      <c r="AQ64" s="105">
        <v>2468.4</v>
      </c>
      <c r="AR64" s="105">
        <v>11</v>
      </c>
      <c r="AS64" s="105">
        <v>2468.4</v>
      </c>
      <c r="AT64" s="105">
        <v>10</v>
      </c>
      <c r="AU64" s="105">
        <v>2244</v>
      </c>
      <c r="AV64" s="105">
        <v>11</v>
      </c>
      <c r="AW64" s="105">
        <v>2468.4</v>
      </c>
      <c r="AX64" s="105">
        <v>13</v>
      </c>
      <c r="AY64" s="105">
        <v>2917.2000000000003</v>
      </c>
      <c r="AZ64" s="105">
        <v>11</v>
      </c>
      <c r="BA64" s="105">
        <v>2468.4</v>
      </c>
      <c r="BB64" s="105">
        <v>8</v>
      </c>
      <c r="BC64" s="105">
        <v>1795.2</v>
      </c>
      <c r="BD64" s="105">
        <v>10</v>
      </c>
      <c r="BE64" s="105">
        <v>2244</v>
      </c>
      <c r="BF64" s="105">
        <v>9</v>
      </c>
      <c r="BG64" s="105">
        <v>2019.6000000000001</v>
      </c>
      <c r="BH64" s="105">
        <v>11</v>
      </c>
      <c r="BI64" s="105">
        <v>2468.4</v>
      </c>
      <c r="BJ64" s="105">
        <v>8</v>
      </c>
      <c r="BK64" s="105">
        <v>1795.2</v>
      </c>
      <c r="BL64" s="105">
        <v>10</v>
      </c>
      <c r="BM64" s="105">
        <v>2244</v>
      </c>
      <c r="BN64" s="105">
        <v>10</v>
      </c>
      <c r="BO64" s="105">
        <v>2244</v>
      </c>
      <c r="BP64" s="105">
        <v>16</v>
      </c>
      <c r="BQ64" s="105">
        <v>3590.4</v>
      </c>
      <c r="BR64" s="105">
        <v>11</v>
      </c>
      <c r="BS64" s="105">
        <v>2468.4</v>
      </c>
      <c r="BT64" s="105">
        <v>10</v>
      </c>
      <c r="BU64" s="105">
        <v>2244</v>
      </c>
      <c r="BV64" s="105">
        <v>9</v>
      </c>
      <c r="BW64" s="105">
        <v>2019.6000000000001</v>
      </c>
      <c r="BX64" s="105">
        <v>11</v>
      </c>
      <c r="BY64" s="105">
        <v>2468.4</v>
      </c>
      <c r="BZ64" s="105">
        <v>14</v>
      </c>
      <c r="CA64" s="105">
        <v>3141.6</v>
      </c>
      <c r="CB64" s="105">
        <v>15</v>
      </c>
      <c r="CC64" s="105">
        <v>3366</v>
      </c>
      <c r="CD64" s="105">
        <v>9</v>
      </c>
      <c r="CE64" s="105">
        <v>2019.6000000000001</v>
      </c>
      <c r="CF64" s="105">
        <v>12</v>
      </c>
      <c r="CG64" s="105">
        <v>2692.8</v>
      </c>
      <c r="CH64" s="105">
        <v>10</v>
      </c>
      <c r="CI64" s="105">
        <v>2244</v>
      </c>
      <c r="CJ64" s="105">
        <v>12</v>
      </c>
      <c r="CK64" s="105">
        <v>2692.8</v>
      </c>
      <c r="CL64" s="105">
        <v>7.2122872571910968</v>
      </c>
      <c r="CM64" s="105">
        <v>1618.4372605136821</v>
      </c>
      <c r="CN64" s="105">
        <v>5.8120386193436122</v>
      </c>
      <c r="CO64" s="105">
        <v>1304.2214661807066</v>
      </c>
      <c r="CP64" s="105">
        <v>1.6707201183912779</v>
      </c>
      <c r="CQ64" s="105">
        <v>374.90959456700278</v>
      </c>
      <c r="CR64" s="105">
        <v>2.0579382169325773</v>
      </c>
      <c r="CS64" s="105">
        <v>461.80133587967038</v>
      </c>
      <c r="CT64" s="105">
        <v>0</v>
      </c>
      <c r="CU64" s="105">
        <v>0</v>
      </c>
    </row>
    <row r="65" spans="2:99" x14ac:dyDescent="0.2">
      <c r="C65" s="104" t="s">
        <v>233</v>
      </c>
      <c r="D65" s="105">
        <v>9</v>
      </c>
      <c r="E65" s="105">
        <v>4449.5999999999995</v>
      </c>
      <c r="F65" s="105">
        <v>14</v>
      </c>
      <c r="G65" s="105">
        <v>6921.5999999999995</v>
      </c>
      <c r="H65" s="105">
        <v>9</v>
      </c>
      <c r="I65" s="105">
        <v>4449.5999999999995</v>
      </c>
      <c r="J65" s="105">
        <v>14</v>
      </c>
      <c r="K65" s="105">
        <v>6921.5999999999995</v>
      </c>
      <c r="L65" s="105">
        <v>12</v>
      </c>
      <c r="M65" s="105">
        <v>5932.7999999999993</v>
      </c>
      <c r="N65" s="105">
        <v>12</v>
      </c>
      <c r="O65" s="105">
        <v>5932.7999999999993</v>
      </c>
      <c r="P65" s="105">
        <v>10</v>
      </c>
      <c r="Q65" s="105">
        <v>4944</v>
      </c>
      <c r="R65" s="105">
        <v>12</v>
      </c>
      <c r="S65" s="105">
        <v>5932.7999999999993</v>
      </c>
      <c r="T65" s="105">
        <v>12</v>
      </c>
      <c r="U65" s="105">
        <v>5932.7999999999993</v>
      </c>
      <c r="V65" s="105">
        <v>11</v>
      </c>
      <c r="W65" s="105">
        <v>5438.4</v>
      </c>
      <c r="X65" s="105">
        <v>12</v>
      </c>
      <c r="Y65" s="105">
        <v>5932.7999999999993</v>
      </c>
      <c r="Z65" s="105">
        <v>10</v>
      </c>
      <c r="AA65" s="105">
        <v>4944</v>
      </c>
      <c r="AB65" s="105">
        <v>11</v>
      </c>
      <c r="AC65" s="105">
        <v>5438.4</v>
      </c>
      <c r="AD65" s="105">
        <v>10</v>
      </c>
      <c r="AE65" s="105">
        <v>4944</v>
      </c>
      <c r="AF65" s="105">
        <v>14</v>
      </c>
      <c r="AG65" s="105">
        <v>6921.5999999999995</v>
      </c>
      <c r="AH65" s="105">
        <v>15</v>
      </c>
      <c r="AI65" s="105">
        <v>7416</v>
      </c>
      <c r="AJ65" s="105">
        <v>11</v>
      </c>
      <c r="AK65" s="105">
        <v>5438.4</v>
      </c>
      <c r="AL65" s="105">
        <v>15</v>
      </c>
      <c r="AM65" s="105">
        <v>7416</v>
      </c>
      <c r="AN65" s="105">
        <v>10</v>
      </c>
      <c r="AO65" s="105">
        <v>4944</v>
      </c>
      <c r="AP65" s="105">
        <v>11</v>
      </c>
      <c r="AQ65" s="105">
        <v>5438.4</v>
      </c>
      <c r="AR65" s="105">
        <v>10</v>
      </c>
      <c r="AS65" s="105">
        <v>4944</v>
      </c>
      <c r="AT65" s="105">
        <v>10</v>
      </c>
      <c r="AU65" s="105">
        <v>4944</v>
      </c>
      <c r="AV65" s="105">
        <v>11</v>
      </c>
      <c r="AW65" s="105">
        <v>5438.4</v>
      </c>
      <c r="AX65" s="105">
        <v>12</v>
      </c>
      <c r="AY65" s="105">
        <v>5932.7999999999993</v>
      </c>
      <c r="AZ65" s="105">
        <v>12</v>
      </c>
      <c r="BA65" s="105">
        <v>5932.7999999999993</v>
      </c>
      <c r="BB65" s="105">
        <v>8</v>
      </c>
      <c r="BC65" s="105">
        <v>3955.2</v>
      </c>
      <c r="BD65" s="105">
        <v>12</v>
      </c>
      <c r="BE65" s="105">
        <v>5932.7999999999993</v>
      </c>
      <c r="BF65" s="105">
        <v>9</v>
      </c>
      <c r="BG65" s="105">
        <v>4449.5999999999995</v>
      </c>
      <c r="BH65" s="105">
        <v>12</v>
      </c>
      <c r="BI65" s="105">
        <v>5932.7999999999993</v>
      </c>
      <c r="BJ65" s="105">
        <v>10</v>
      </c>
      <c r="BK65" s="105">
        <v>4944</v>
      </c>
      <c r="BL65" s="105">
        <v>11</v>
      </c>
      <c r="BM65" s="105">
        <v>5438.4</v>
      </c>
      <c r="BN65" s="105">
        <v>10</v>
      </c>
      <c r="BO65" s="105">
        <v>4944</v>
      </c>
      <c r="BP65" s="105">
        <v>16</v>
      </c>
      <c r="BQ65" s="105">
        <v>7910.4</v>
      </c>
      <c r="BR65" s="105">
        <v>10</v>
      </c>
      <c r="BS65" s="105">
        <v>4944</v>
      </c>
      <c r="BT65" s="105">
        <v>9</v>
      </c>
      <c r="BU65" s="105">
        <v>4449.5999999999995</v>
      </c>
      <c r="BV65" s="105">
        <v>9</v>
      </c>
      <c r="BW65" s="105">
        <v>4449.5999999999995</v>
      </c>
      <c r="BX65" s="105">
        <v>10</v>
      </c>
      <c r="BY65" s="105">
        <v>4944</v>
      </c>
      <c r="BZ65" s="105">
        <v>14</v>
      </c>
      <c r="CA65" s="105">
        <v>6921.5999999999995</v>
      </c>
      <c r="CB65" s="105">
        <v>14</v>
      </c>
      <c r="CC65" s="105">
        <v>6921.5999999999995</v>
      </c>
      <c r="CD65" s="105">
        <v>9</v>
      </c>
      <c r="CE65" s="105">
        <v>4449.5999999999995</v>
      </c>
      <c r="CF65" s="105">
        <v>13</v>
      </c>
      <c r="CG65" s="105">
        <v>6427.2</v>
      </c>
      <c r="CH65" s="105">
        <v>10</v>
      </c>
      <c r="CI65" s="105">
        <v>4944</v>
      </c>
      <c r="CJ65" s="105">
        <v>11</v>
      </c>
      <c r="CK65" s="105">
        <v>5438.4</v>
      </c>
      <c r="CL65" s="105">
        <v>7.2122872571910968</v>
      </c>
      <c r="CM65" s="105">
        <v>3565.754819955278</v>
      </c>
      <c r="CN65" s="105">
        <v>5.1662565505276552</v>
      </c>
      <c r="CO65" s="105">
        <v>2554.1972385808726</v>
      </c>
      <c r="CP65" s="105">
        <v>1.6707201183912779</v>
      </c>
      <c r="CQ65" s="105">
        <v>826.0040265326478</v>
      </c>
      <c r="CR65" s="105">
        <v>1.7639470430850663</v>
      </c>
      <c r="CS65" s="105">
        <v>872.09541810125677</v>
      </c>
      <c r="CT65" s="105">
        <v>0</v>
      </c>
      <c r="CU65" s="105">
        <v>0</v>
      </c>
    </row>
    <row r="66" spans="2:99" x14ac:dyDescent="0.2">
      <c r="C66" s="104" t="s">
        <v>234</v>
      </c>
      <c r="D66" s="105">
        <v>9</v>
      </c>
      <c r="E66" s="105">
        <v>3585.6</v>
      </c>
      <c r="F66" s="105">
        <v>14</v>
      </c>
      <c r="G66" s="105">
        <v>5577.5999999999995</v>
      </c>
      <c r="H66" s="105">
        <v>10</v>
      </c>
      <c r="I66" s="105">
        <v>3984</v>
      </c>
      <c r="J66" s="105">
        <v>13</v>
      </c>
      <c r="K66" s="105">
        <v>5179.2</v>
      </c>
      <c r="L66" s="105">
        <v>12</v>
      </c>
      <c r="M66" s="105">
        <v>4780.7999999999993</v>
      </c>
      <c r="N66" s="105">
        <v>12</v>
      </c>
      <c r="O66" s="105">
        <v>4780.7999999999993</v>
      </c>
      <c r="P66" s="105">
        <v>10</v>
      </c>
      <c r="Q66" s="105">
        <v>3984</v>
      </c>
      <c r="R66" s="105">
        <v>11</v>
      </c>
      <c r="S66" s="105">
        <v>4382.3999999999996</v>
      </c>
      <c r="T66" s="105">
        <v>11</v>
      </c>
      <c r="U66" s="105">
        <v>4382.3999999999996</v>
      </c>
      <c r="V66" s="105">
        <v>11</v>
      </c>
      <c r="W66" s="105">
        <v>4382.3999999999996</v>
      </c>
      <c r="X66" s="105">
        <v>10</v>
      </c>
      <c r="Y66" s="105">
        <v>3984</v>
      </c>
      <c r="Z66" s="105">
        <v>10</v>
      </c>
      <c r="AA66" s="105">
        <v>3984</v>
      </c>
      <c r="AB66" s="105">
        <v>12</v>
      </c>
      <c r="AC66" s="105">
        <v>4780.7999999999993</v>
      </c>
      <c r="AD66" s="105">
        <v>12</v>
      </c>
      <c r="AE66" s="105">
        <v>4780.7999999999993</v>
      </c>
      <c r="AF66" s="105">
        <v>15</v>
      </c>
      <c r="AG66" s="105">
        <v>5976</v>
      </c>
      <c r="AH66" s="105">
        <v>14</v>
      </c>
      <c r="AI66" s="105">
        <v>5577.5999999999995</v>
      </c>
      <c r="AJ66" s="105">
        <v>12</v>
      </c>
      <c r="AK66" s="105">
        <v>4780.7999999999993</v>
      </c>
      <c r="AL66" s="105">
        <v>15</v>
      </c>
      <c r="AM66" s="105">
        <v>5976</v>
      </c>
      <c r="AN66" s="105">
        <v>10</v>
      </c>
      <c r="AO66" s="105">
        <v>3984</v>
      </c>
      <c r="AP66" s="105">
        <v>10</v>
      </c>
      <c r="AQ66" s="105">
        <v>3984</v>
      </c>
      <c r="AR66" s="105">
        <v>9</v>
      </c>
      <c r="AS66" s="105">
        <v>3585.6</v>
      </c>
      <c r="AT66" s="105">
        <v>11</v>
      </c>
      <c r="AU66" s="105">
        <v>4382.3999999999996</v>
      </c>
      <c r="AV66" s="105">
        <v>11</v>
      </c>
      <c r="AW66" s="105">
        <v>4382.3999999999996</v>
      </c>
      <c r="AX66" s="105">
        <v>14</v>
      </c>
      <c r="AY66" s="105">
        <v>5577.5999999999995</v>
      </c>
      <c r="AZ66" s="105">
        <v>11</v>
      </c>
      <c r="BA66" s="105">
        <v>4382.3999999999996</v>
      </c>
      <c r="BB66" s="105">
        <v>8</v>
      </c>
      <c r="BC66" s="105">
        <v>3187.2</v>
      </c>
      <c r="BD66" s="105">
        <v>11</v>
      </c>
      <c r="BE66" s="105">
        <v>4382.3999999999996</v>
      </c>
      <c r="BF66" s="105">
        <v>8</v>
      </c>
      <c r="BG66" s="105">
        <v>3187.2</v>
      </c>
      <c r="BH66" s="105">
        <v>11</v>
      </c>
      <c r="BI66" s="105">
        <v>4382.3999999999996</v>
      </c>
      <c r="BJ66" s="105">
        <v>9</v>
      </c>
      <c r="BK66" s="105">
        <v>3585.6</v>
      </c>
      <c r="BL66" s="105">
        <v>10</v>
      </c>
      <c r="BM66" s="105">
        <v>3984</v>
      </c>
      <c r="BN66" s="105">
        <v>11</v>
      </c>
      <c r="BO66" s="105">
        <v>4382.3999999999996</v>
      </c>
      <c r="BP66" s="105">
        <v>16</v>
      </c>
      <c r="BQ66" s="105">
        <v>6374.4</v>
      </c>
      <c r="BR66" s="105">
        <v>9</v>
      </c>
      <c r="BS66" s="105">
        <v>3585.6</v>
      </c>
      <c r="BT66" s="105">
        <v>9</v>
      </c>
      <c r="BU66" s="105">
        <v>3585.6</v>
      </c>
      <c r="BV66" s="105">
        <v>9</v>
      </c>
      <c r="BW66" s="105">
        <v>3585.6</v>
      </c>
      <c r="BX66" s="105">
        <v>9</v>
      </c>
      <c r="BY66" s="105">
        <v>3585.6</v>
      </c>
      <c r="BZ66" s="105">
        <v>13</v>
      </c>
      <c r="CA66" s="105">
        <v>5179.2</v>
      </c>
      <c r="CB66" s="105">
        <v>14</v>
      </c>
      <c r="CC66" s="105">
        <v>5577.5999999999995</v>
      </c>
      <c r="CD66" s="105">
        <v>10</v>
      </c>
      <c r="CE66" s="105">
        <v>3984</v>
      </c>
      <c r="CF66" s="105">
        <v>12</v>
      </c>
      <c r="CG66" s="105">
        <v>4780.7999999999993</v>
      </c>
      <c r="CH66" s="105">
        <v>9</v>
      </c>
      <c r="CI66" s="105">
        <v>3585.6</v>
      </c>
      <c r="CJ66" s="105">
        <v>12</v>
      </c>
      <c r="CK66" s="105">
        <v>4780.7999999999993</v>
      </c>
      <c r="CL66" s="105">
        <v>7.8133111952903551</v>
      </c>
      <c r="CM66" s="105">
        <v>3112.8231802036771</v>
      </c>
      <c r="CN66" s="105">
        <v>5.1662565505276552</v>
      </c>
      <c r="CO66" s="105">
        <v>2058.2366097302179</v>
      </c>
      <c r="CP66" s="105">
        <v>1.4850845496811358</v>
      </c>
      <c r="CQ66" s="105">
        <v>591.65768459296442</v>
      </c>
      <c r="CR66" s="105">
        <v>1.7639470430850663</v>
      </c>
      <c r="CS66" s="105">
        <v>702.75650196509037</v>
      </c>
      <c r="CT66" s="105">
        <v>0</v>
      </c>
      <c r="CU66" s="105">
        <v>0</v>
      </c>
    </row>
    <row r="67" spans="2:99" x14ac:dyDescent="0.2">
      <c r="C67" s="104" t="s">
        <v>235</v>
      </c>
      <c r="D67" s="105">
        <v>10</v>
      </c>
      <c r="E67" s="105">
        <v>4740</v>
      </c>
      <c r="F67" s="105">
        <v>13</v>
      </c>
      <c r="G67" s="105">
        <v>6162</v>
      </c>
      <c r="H67" s="105">
        <v>10</v>
      </c>
      <c r="I67" s="105">
        <v>4740</v>
      </c>
      <c r="J67" s="105">
        <v>13</v>
      </c>
      <c r="K67" s="105">
        <v>6162</v>
      </c>
      <c r="L67" s="105">
        <v>13</v>
      </c>
      <c r="M67" s="105">
        <v>6162</v>
      </c>
      <c r="N67" s="105">
        <v>12</v>
      </c>
      <c r="O67" s="105">
        <v>5688</v>
      </c>
      <c r="P67" s="105">
        <v>11</v>
      </c>
      <c r="Q67" s="105">
        <v>5214</v>
      </c>
      <c r="R67" s="105">
        <v>12</v>
      </c>
      <c r="S67" s="105">
        <v>5688</v>
      </c>
      <c r="T67" s="105">
        <v>12</v>
      </c>
      <c r="U67" s="105">
        <v>5688</v>
      </c>
      <c r="V67" s="105">
        <v>11</v>
      </c>
      <c r="W67" s="105">
        <v>5214</v>
      </c>
      <c r="X67" s="105">
        <v>11</v>
      </c>
      <c r="Y67" s="105">
        <v>5214</v>
      </c>
      <c r="Z67" s="105">
        <v>10</v>
      </c>
      <c r="AA67" s="105">
        <v>4740</v>
      </c>
      <c r="AB67" s="105">
        <v>11</v>
      </c>
      <c r="AC67" s="105">
        <v>5214</v>
      </c>
      <c r="AD67" s="105">
        <v>12</v>
      </c>
      <c r="AE67" s="105">
        <v>5688</v>
      </c>
      <c r="AF67" s="105">
        <v>12</v>
      </c>
      <c r="AG67" s="105">
        <v>5688</v>
      </c>
      <c r="AH67" s="105">
        <v>14</v>
      </c>
      <c r="AI67" s="105">
        <v>6636</v>
      </c>
      <c r="AJ67" s="105">
        <v>11</v>
      </c>
      <c r="AK67" s="105">
        <v>5214</v>
      </c>
      <c r="AL67" s="105">
        <v>15</v>
      </c>
      <c r="AM67" s="105">
        <v>7110</v>
      </c>
      <c r="AN67" s="105">
        <v>11</v>
      </c>
      <c r="AO67" s="105">
        <v>5214</v>
      </c>
      <c r="AP67" s="105">
        <v>11</v>
      </c>
      <c r="AQ67" s="105">
        <v>5214</v>
      </c>
      <c r="AR67" s="105">
        <v>10</v>
      </c>
      <c r="AS67" s="105">
        <v>4740</v>
      </c>
      <c r="AT67" s="105">
        <v>10</v>
      </c>
      <c r="AU67" s="105">
        <v>4740</v>
      </c>
      <c r="AV67" s="105">
        <v>10</v>
      </c>
      <c r="AW67" s="105">
        <v>4740</v>
      </c>
      <c r="AX67" s="105">
        <v>13</v>
      </c>
      <c r="AY67" s="105">
        <v>6162</v>
      </c>
      <c r="AZ67" s="105">
        <v>11</v>
      </c>
      <c r="BA67" s="105">
        <v>5214</v>
      </c>
      <c r="BB67" s="105">
        <v>7</v>
      </c>
      <c r="BC67" s="105">
        <v>3318</v>
      </c>
      <c r="BD67" s="105">
        <v>11</v>
      </c>
      <c r="BE67" s="105">
        <v>5214</v>
      </c>
      <c r="BF67" s="105">
        <v>9</v>
      </c>
      <c r="BG67" s="105">
        <v>4266</v>
      </c>
      <c r="BH67" s="105">
        <v>11</v>
      </c>
      <c r="BI67" s="105">
        <v>5214</v>
      </c>
      <c r="BJ67" s="105">
        <v>9</v>
      </c>
      <c r="BK67" s="105">
        <v>4266</v>
      </c>
      <c r="BL67" s="105">
        <v>10</v>
      </c>
      <c r="BM67" s="105">
        <v>4740</v>
      </c>
      <c r="BN67" s="105">
        <v>10</v>
      </c>
      <c r="BO67" s="105">
        <v>4740</v>
      </c>
      <c r="BP67" s="105">
        <v>15</v>
      </c>
      <c r="BQ67" s="105">
        <v>7110</v>
      </c>
      <c r="BR67" s="105">
        <v>10</v>
      </c>
      <c r="BS67" s="105">
        <v>4740</v>
      </c>
      <c r="BT67" s="105">
        <v>10</v>
      </c>
      <c r="BU67" s="105">
        <v>4740</v>
      </c>
      <c r="BV67" s="105">
        <v>8</v>
      </c>
      <c r="BW67" s="105">
        <v>3792</v>
      </c>
      <c r="BX67" s="105">
        <v>9</v>
      </c>
      <c r="BY67" s="105">
        <v>4266</v>
      </c>
      <c r="BZ67" s="105">
        <v>14</v>
      </c>
      <c r="CA67" s="105">
        <v>6636</v>
      </c>
      <c r="CB67" s="105">
        <v>15</v>
      </c>
      <c r="CC67" s="105">
        <v>7110</v>
      </c>
      <c r="CD67" s="105">
        <v>9</v>
      </c>
      <c r="CE67" s="105">
        <v>4266</v>
      </c>
      <c r="CF67" s="105">
        <v>12</v>
      </c>
      <c r="CG67" s="105">
        <v>5688</v>
      </c>
      <c r="CH67" s="105">
        <v>9</v>
      </c>
      <c r="CI67" s="105">
        <v>4266</v>
      </c>
      <c r="CJ67" s="105">
        <v>12</v>
      </c>
      <c r="CK67" s="105">
        <v>5688</v>
      </c>
      <c r="CL67" s="105">
        <v>6.6112633190918393</v>
      </c>
      <c r="CM67" s="105">
        <v>3133.7388132495316</v>
      </c>
      <c r="CN67" s="105">
        <v>5.8120386193436122</v>
      </c>
      <c r="CO67" s="105">
        <v>2754.9063055688721</v>
      </c>
      <c r="CP67" s="105">
        <v>1.2994489809709939</v>
      </c>
      <c r="CQ67" s="105">
        <v>615.93881698025109</v>
      </c>
      <c r="CR67" s="105">
        <v>1.9109426300088217</v>
      </c>
      <c r="CS67" s="105">
        <v>905.78680662418151</v>
      </c>
      <c r="CT67" s="105">
        <v>0</v>
      </c>
      <c r="CU67" s="105">
        <v>0</v>
      </c>
    </row>
    <row r="68" spans="2:99" x14ac:dyDescent="0.2">
      <c r="C68" s="104" t="s">
        <v>236</v>
      </c>
      <c r="D68" s="105">
        <v>10</v>
      </c>
      <c r="E68" s="105">
        <v>2700</v>
      </c>
      <c r="F68" s="105">
        <v>15</v>
      </c>
      <c r="G68" s="105">
        <v>4050</v>
      </c>
      <c r="H68" s="105">
        <v>11</v>
      </c>
      <c r="I68" s="105">
        <v>2970</v>
      </c>
      <c r="J68" s="105">
        <v>14</v>
      </c>
      <c r="K68" s="105">
        <v>3780</v>
      </c>
      <c r="L68" s="105">
        <v>13</v>
      </c>
      <c r="M68" s="105">
        <v>3510</v>
      </c>
      <c r="N68" s="105">
        <v>12</v>
      </c>
      <c r="O68" s="105">
        <v>3240</v>
      </c>
      <c r="P68" s="105">
        <v>11</v>
      </c>
      <c r="Q68" s="105">
        <v>2970</v>
      </c>
      <c r="R68" s="105">
        <v>12</v>
      </c>
      <c r="S68" s="105">
        <v>3240</v>
      </c>
      <c r="T68" s="105">
        <v>11</v>
      </c>
      <c r="U68" s="105">
        <v>2970</v>
      </c>
      <c r="V68" s="105">
        <v>12</v>
      </c>
      <c r="W68" s="105">
        <v>3240</v>
      </c>
      <c r="X68" s="105">
        <v>12</v>
      </c>
      <c r="Y68" s="105">
        <v>3240</v>
      </c>
      <c r="Z68" s="105">
        <v>10</v>
      </c>
      <c r="AA68" s="105">
        <v>2700</v>
      </c>
      <c r="AB68" s="105">
        <v>11</v>
      </c>
      <c r="AC68" s="105">
        <v>2970</v>
      </c>
      <c r="AD68" s="105">
        <v>11</v>
      </c>
      <c r="AE68" s="105">
        <v>2970</v>
      </c>
      <c r="AF68" s="105">
        <v>14</v>
      </c>
      <c r="AG68" s="105">
        <v>3780</v>
      </c>
      <c r="AH68" s="105">
        <v>16</v>
      </c>
      <c r="AI68" s="105">
        <v>4320</v>
      </c>
      <c r="AJ68" s="105">
        <v>10</v>
      </c>
      <c r="AK68" s="105">
        <v>2700</v>
      </c>
      <c r="AL68" s="105">
        <v>16</v>
      </c>
      <c r="AM68" s="105">
        <v>4320</v>
      </c>
      <c r="AN68" s="105">
        <v>10</v>
      </c>
      <c r="AO68" s="105">
        <v>2700</v>
      </c>
      <c r="AP68" s="105">
        <v>12</v>
      </c>
      <c r="AQ68" s="105">
        <v>3240</v>
      </c>
      <c r="AR68" s="105">
        <v>9</v>
      </c>
      <c r="AS68" s="105">
        <v>2430</v>
      </c>
      <c r="AT68" s="105">
        <v>11</v>
      </c>
      <c r="AU68" s="105">
        <v>2970</v>
      </c>
      <c r="AV68" s="105">
        <v>11</v>
      </c>
      <c r="AW68" s="105">
        <v>2970</v>
      </c>
      <c r="AX68" s="105">
        <v>13</v>
      </c>
      <c r="AY68" s="105">
        <v>3510</v>
      </c>
      <c r="AZ68" s="105">
        <v>11</v>
      </c>
      <c r="BA68" s="105">
        <v>2970</v>
      </c>
      <c r="BB68" s="105">
        <v>7</v>
      </c>
      <c r="BC68" s="105">
        <v>1890</v>
      </c>
      <c r="BD68" s="105">
        <v>10</v>
      </c>
      <c r="BE68" s="105">
        <v>2700</v>
      </c>
      <c r="BF68" s="105">
        <v>9</v>
      </c>
      <c r="BG68" s="105">
        <v>2430</v>
      </c>
      <c r="BH68" s="105">
        <v>12</v>
      </c>
      <c r="BI68" s="105">
        <v>3240</v>
      </c>
      <c r="BJ68" s="105">
        <v>9</v>
      </c>
      <c r="BK68" s="105">
        <v>2430</v>
      </c>
      <c r="BL68" s="105">
        <v>11</v>
      </c>
      <c r="BM68" s="105">
        <v>2970</v>
      </c>
      <c r="BN68" s="105">
        <v>12</v>
      </c>
      <c r="BO68" s="105">
        <v>3240</v>
      </c>
      <c r="BP68" s="105">
        <v>15</v>
      </c>
      <c r="BQ68" s="105">
        <v>4050</v>
      </c>
      <c r="BR68" s="105">
        <v>10</v>
      </c>
      <c r="BS68" s="105">
        <v>2700</v>
      </c>
      <c r="BT68" s="105">
        <v>10</v>
      </c>
      <c r="BU68" s="105">
        <v>2700</v>
      </c>
      <c r="BV68" s="105">
        <v>8</v>
      </c>
      <c r="BW68" s="105">
        <v>2160</v>
      </c>
      <c r="BX68" s="105">
        <v>9</v>
      </c>
      <c r="BY68" s="105">
        <v>2430</v>
      </c>
      <c r="BZ68" s="105">
        <v>13</v>
      </c>
      <c r="CA68" s="105">
        <v>3510</v>
      </c>
      <c r="CB68" s="105">
        <v>16</v>
      </c>
      <c r="CC68" s="105">
        <v>4320</v>
      </c>
      <c r="CD68" s="105">
        <v>10</v>
      </c>
      <c r="CE68" s="105">
        <v>2700</v>
      </c>
      <c r="CF68" s="105">
        <v>13</v>
      </c>
      <c r="CG68" s="105">
        <v>3510</v>
      </c>
      <c r="CH68" s="105">
        <v>9</v>
      </c>
      <c r="CI68" s="105">
        <v>2430</v>
      </c>
      <c r="CJ68" s="105">
        <v>13</v>
      </c>
      <c r="CK68" s="105">
        <v>3510</v>
      </c>
      <c r="CL68" s="105">
        <v>7.8133111952903551</v>
      </c>
      <c r="CM68" s="105">
        <v>2109.5940227283959</v>
      </c>
      <c r="CN68" s="105">
        <v>5.1662565505276552</v>
      </c>
      <c r="CO68" s="105">
        <v>1394.889268642467</v>
      </c>
      <c r="CP68" s="105">
        <v>1.4850845496811358</v>
      </c>
      <c r="CQ68" s="105">
        <v>400.97282841390665</v>
      </c>
      <c r="CR68" s="105">
        <v>1.9109426300088217</v>
      </c>
      <c r="CS68" s="105">
        <v>515.95451010238185</v>
      </c>
      <c r="CT68" s="105">
        <v>0</v>
      </c>
      <c r="CU68" s="105">
        <v>0</v>
      </c>
    </row>
    <row r="69" spans="2:99" x14ac:dyDescent="0.2">
      <c r="C69" s="104" t="s">
        <v>237</v>
      </c>
      <c r="D69" s="105">
        <v>9</v>
      </c>
      <c r="E69" s="105">
        <v>1555.1999999999998</v>
      </c>
      <c r="F69" s="105">
        <v>16</v>
      </c>
      <c r="G69" s="105">
        <v>2764.7999999999997</v>
      </c>
      <c r="H69" s="105">
        <v>11</v>
      </c>
      <c r="I69" s="105">
        <v>1900.7999999999997</v>
      </c>
      <c r="J69" s="105">
        <v>13</v>
      </c>
      <c r="K69" s="105">
        <v>2246.3999999999996</v>
      </c>
      <c r="L69" s="105">
        <v>12</v>
      </c>
      <c r="M69" s="105">
        <v>2073.6</v>
      </c>
      <c r="N69" s="105">
        <v>13</v>
      </c>
      <c r="O69" s="105">
        <v>2246.3999999999996</v>
      </c>
      <c r="P69" s="105">
        <v>10</v>
      </c>
      <c r="Q69" s="105">
        <v>1727.9999999999998</v>
      </c>
      <c r="R69" s="105">
        <v>11</v>
      </c>
      <c r="S69" s="105">
        <v>1900.7999999999997</v>
      </c>
      <c r="T69" s="105">
        <v>11</v>
      </c>
      <c r="U69" s="105">
        <v>1900.7999999999997</v>
      </c>
      <c r="V69" s="105">
        <v>12</v>
      </c>
      <c r="W69" s="105">
        <v>2073.6</v>
      </c>
      <c r="X69" s="105">
        <v>12</v>
      </c>
      <c r="Y69" s="105">
        <v>2073.6</v>
      </c>
      <c r="Z69" s="105">
        <v>9</v>
      </c>
      <c r="AA69" s="105">
        <v>1555.1999999999998</v>
      </c>
      <c r="AB69" s="105">
        <v>12</v>
      </c>
      <c r="AC69" s="105">
        <v>2073.6</v>
      </c>
      <c r="AD69" s="105">
        <v>11</v>
      </c>
      <c r="AE69" s="105">
        <v>1900.7999999999997</v>
      </c>
      <c r="AF69" s="105">
        <v>14</v>
      </c>
      <c r="AG69" s="105">
        <v>2419.1999999999998</v>
      </c>
      <c r="AH69" s="105">
        <v>15</v>
      </c>
      <c r="AI69" s="105">
        <v>2591.9999999999995</v>
      </c>
      <c r="AJ69" s="105">
        <v>12</v>
      </c>
      <c r="AK69" s="105">
        <v>2073.6</v>
      </c>
      <c r="AL69" s="105">
        <v>16</v>
      </c>
      <c r="AM69" s="105">
        <v>2764.7999999999997</v>
      </c>
      <c r="AN69" s="105">
        <v>11</v>
      </c>
      <c r="AO69" s="105">
        <v>1900.7999999999997</v>
      </c>
      <c r="AP69" s="105">
        <v>12</v>
      </c>
      <c r="AQ69" s="105">
        <v>2073.6</v>
      </c>
      <c r="AR69" s="105">
        <v>9</v>
      </c>
      <c r="AS69" s="105">
        <v>1555.1999999999998</v>
      </c>
      <c r="AT69" s="105">
        <v>11</v>
      </c>
      <c r="AU69" s="105">
        <v>1900.7999999999997</v>
      </c>
      <c r="AV69" s="105">
        <v>10</v>
      </c>
      <c r="AW69" s="105">
        <v>1727.9999999999998</v>
      </c>
      <c r="AX69" s="105">
        <v>13</v>
      </c>
      <c r="AY69" s="105">
        <v>2246.3999999999996</v>
      </c>
      <c r="AZ69" s="105">
        <v>12</v>
      </c>
      <c r="BA69" s="105">
        <v>2073.6</v>
      </c>
      <c r="BB69" s="105">
        <v>7</v>
      </c>
      <c r="BC69" s="105">
        <v>1209.5999999999999</v>
      </c>
      <c r="BD69" s="105">
        <v>12</v>
      </c>
      <c r="BE69" s="105">
        <v>2073.6</v>
      </c>
      <c r="BF69" s="105">
        <v>10</v>
      </c>
      <c r="BG69" s="105">
        <v>1727.9999999999998</v>
      </c>
      <c r="BH69" s="105">
        <v>11</v>
      </c>
      <c r="BI69" s="105">
        <v>1900.7999999999997</v>
      </c>
      <c r="BJ69" s="105">
        <v>9</v>
      </c>
      <c r="BK69" s="105">
        <v>1555.1999999999998</v>
      </c>
      <c r="BL69" s="105">
        <v>10</v>
      </c>
      <c r="BM69" s="105">
        <v>1727.9999999999998</v>
      </c>
      <c r="BN69" s="105">
        <v>10</v>
      </c>
      <c r="BO69" s="105">
        <v>1727.9999999999998</v>
      </c>
      <c r="BP69" s="105">
        <v>16</v>
      </c>
      <c r="BQ69" s="105">
        <v>2764.7999999999997</v>
      </c>
      <c r="BR69" s="105">
        <v>10</v>
      </c>
      <c r="BS69" s="105">
        <v>1727.9999999999998</v>
      </c>
      <c r="BT69" s="105">
        <v>11</v>
      </c>
      <c r="BU69" s="105">
        <v>1900.7999999999997</v>
      </c>
      <c r="BV69" s="105">
        <v>9</v>
      </c>
      <c r="BW69" s="105">
        <v>1555.1999999999998</v>
      </c>
      <c r="BX69" s="105">
        <v>9</v>
      </c>
      <c r="BY69" s="105">
        <v>1555.1999999999998</v>
      </c>
      <c r="BZ69" s="105">
        <v>13</v>
      </c>
      <c r="CA69" s="105">
        <v>2246.3999999999996</v>
      </c>
      <c r="CB69" s="105">
        <v>15</v>
      </c>
      <c r="CC69" s="105">
        <v>2591.9999999999995</v>
      </c>
      <c r="CD69" s="105">
        <v>10</v>
      </c>
      <c r="CE69" s="105">
        <v>1727.9999999999998</v>
      </c>
      <c r="CF69" s="105">
        <v>13</v>
      </c>
      <c r="CG69" s="105">
        <v>2246.3999999999996</v>
      </c>
      <c r="CH69" s="105">
        <v>10</v>
      </c>
      <c r="CI69" s="105">
        <v>1727.9999999999998</v>
      </c>
      <c r="CJ69" s="105">
        <v>11</v>
      </c>
      <c r="CK69" s="105">
        <v>1900.7999999999997</v>
      </c>
      <c r="CL69" s="105">
        <v>7.2122872571910968</v>
      </c>
      <c r="CM69" s="105">
        <v>1246.2832380426214</v>
      </c>
      <c r="CN69" s="105">
        <v>5.8120386193436122</v>
      </c>
      <c r="CO69" s="105">
        <v>1004.3202734225761</v>
      </c>
      <c r="CP69" s="105">
        <v>1.6707201183912779</v>
      </c>
      <c r="CQ69" s="105">
        <v>288.7004364580128</v>
      </c>
      <c r="CR69" s="105">
        <v>2.0579382169325773</v>
      </c>
      <c r="CS69" s="105">
        <v>355.61172388594935</v>
      </c>
      <c r="CT69" s="105">
        <v>0</v>
      </c>
      <c r="CU69" s="105">
        <v>0</v>
      </c>
    </row>
    <row r="70" spans="2:99" x14ac:dyDescent="0.2">
      <c r="C70" s="104" t="s">
        <v>238</v>
      </c>
      <c r="D70" s="105">
        <v>8</v>
      </c>
      <c r="E70" s="105">
        <v>3436.7999999999997</v>
      </c>
      <c r="F70" s="105">
        <v>14</v>
      </c>
      <c r="G70" s="105">
        <v>6014.4</v>
      </c>
      <c r="H70" s="105">
        <v>11</v>
      </c>
      <c r="I70" s="105">
        <v>4725.5999999999995</v>
      </c>
      <c r="J70" s="105">
        <v>13</v>
      </c>
      <c r="K70" s="105">
        <v>5584.7999999999993</v>
      </c>
      <c r="L70" s="105">
        <v>12</v>
      </c>
      <c r="M70" s="105">
        <v>5155.2</v>
      </c>
      <c r="N70" s="105">
        <v>12</v>
      </c>
      <c r="O70" s="105">
        <v>5155.2</v>
      </c>
      <c r="P70" s="105">
        <v>10</v>
      </c>
      <c r="Q70" s="105">
        <v>4296</v>
      </c>
      <c r="R70" s="105">
        <v>10</v>
      </c>
      <c r="S70" s="105">
        <v>4296</v>
      </c>
      <c r="T70" s="105">
        <v>10</v>
      </c>
      <c r="U70" s="105">
        <v>4296</v>
      </c>
      <c r="V70" s="105">
        <v>11</v>
      </c>
      <c r="W70" s="105">
        <v>4725.5999999999995</v>
      </c>
      <c r="X70" s="105">
        <v>12</v>
      </c>
      <c r="Y70" s="105">
        <v>5155.2</v>
      </c>
      <c r="Z70" s="105">
        <v>10</v>
      </c>
      <c r="AA70" s="105">
        <v>4296</v>
      </c>
      <c r="AB70" s="105">
        <v>12</v>
      </c>
      <c r="AC70" s="105">
        <v>5155.2</v>
      </c>
      <c r="AD70" s="105">
        <v>12</v>
      </c>
      <c r="AE70" s="105">
        <v>5155.2</v>
      </c>
      <c r="AF70" s="105">
        <v>14</v>
      </c>
      <c r="AG70" s="105">
        <v>6014.4</v>
      </c>
      <c r="AH70" s="105">
        <v>14</v>
      </c>
      <c r="AI70" s="105">
        <v>6014.4</v>
      </c>
      <c r="AJ70" s="105">
        <v>10</v>
      </c>
      <c r="AK70" s="105">
        <v>4296</v>
      </c>
      <c r="AL70" s="105">
        <v>15</v>
      </c>
      <c r="AM70" s="105">
        <v>6443.9999999999991</v>
      </c>
      <c r="AN70" s="105">
        <v>11</v>
      </c>
      <c r="AO70" s="105">
        <v>4725.5999999999995</v>
      </c>
      <c r="AP70" s="105">
        <v>11</v>
      </c>
      <c r="AQ70" s="105">
        <v>4725.5999999999995</v>
      </c>
      <c r="AR70" s="105">
        <v>9</v>
      </c>
      <c r="AS70" s="105">
        <v>3866.3999999999996</v>
      </c>
      <c r="AT70" s="105">
        <v>10</v>
      </c>
      <c r="AU70" s="105">
        <v>4296</v>
      </c>
      <c r="AV70" s="105">
        <v>11</v>
      </c>
      <c r="AW70" s="105">
        <v>4725.5999999999995</v>
      </c>
      <c r="AX70" s="105">
        <v>13</v>
      </c>
      <c r="AY70" s="105">
        <v>5584.7999999999993</v>
      </c>
      <c r="AZ70" s="105">
        <v>11</v>
      </c>
      <c r="BA70" s="105">
        <v>4725.5999999999995</v>
      </c>
      <c r="BB70" s="105">
        <v>8</v>
      </c>
      <c r="BC70" s="105">
        <v>3436.7999999999997</v>
      </c>
      <c r="BD70" s="105">
        <v>12</v>
      </c>
      <c r="BE70" s="105">
        <v>5155.2</v>
      </c>
      <c r="BF70" s="105">
        <v>9</v>
      </c>
      <c r="BG70" s="105">
        <v>3866.3999999999996</v>
      </c>
      <c r="BH70" s="105">
        <v>11</v>
      </c>
      <c r="BI70" s="105">
        <v>4725.5999999999995</v>
      </c>
      <c r="BJ70" s="105">
        <v>8</v>
      </c>
      <c r="BK70" s="105">
        <v>3436.7999999999997</v>
      </c>
      <c r="BL70" s="105">
        <v>11</v>
      </c>
      <c r="BM70" s="105">
        <v>4725.5999999999995</v>
      </c>
      <c r="BN70" s="105">
        <v>11</v>
      </c>
      <c r="BO70" s="105">
        <v>4725.5999999999995</v>
      </c>
      <c r="BP70" s="105">
        <v>14</v>
      </c>
      <c r="BQ70" s="105">
        <v>6014.4</v>
      </c>
      <c r="BR70" s="105">
        <v>9</v>
      </c>
      <c r="BS70" s="105">
        <v>3866.3999999999996</v>
      </c>
      <c r="BT70" s="105">
        <v>10</v>
      </c>
      <c r="BU70" s="105">
        <v>4296</v>
      </c>
      <c r="BV70" s="105">
        <v>9</v>
      </c>
      <c r="BW70" s="105">
        <v>3866.3999999999996</v>
      </c>
      <c r="BX70" s="105">
        <v>10</v>
      </c>
      <c r="BY70" s="105">
        <v>4296</v>
      </c>
      <c r="BZ70" s="105">
        <v>14</v>
      </c>
      <c r="CA70" s="105">
        <v>6014.4</v>
      </c>
      <c r="CB70" s="105">
        <v>15</v>
      </c>
      <c r="CC70" s="105">
        <v>6443.9999999999991</v>
      </c>
      <c r="CD70" s="105">
        <v>9</v>
      </c>
      <c r="CE70" s="105">
        <v>3866.3999999999996</v>
      </c>
      <c r="CF70" s="105">
        <v>14</v>
      </c>
      <c r="CG70" s="105">
        <v>6014.4</v>
      </c>
      <c r="CH70" s="105">
        <v>8</v>
      </c>
      <c r="CI70" s="105">
        <v>3436.7999999999997</v>
      </c>
      <c r="CJ70" s="105">
        <v>13</v>
      </c>
      <c r="CK70" s="105">
        <v>5584.7999999999993</v>
      </c>
      <c r="CL70" s="105">
        <v>7.2122872571910968</v>
      </c>
      <c r="CM70" s="105">
        <v>3098.398605689295</v>
      </c>
      <c r="CN70" s="105">
        <v>5.1662565505276552</v>
      </c>
      <c r="CO70" s="105">
        <v>2219.4238141066803</v>
      </c>
      <c r="CP70" s="105">
        <v>1.4850845496811358</v>
      </c>
      <c r="CQ70" s="105">
        <v>637.99232254301592</v>
      </c>
      <c r="CR70" s="105">
        <v>1.9109426300088217</v>
      </c>
      <c r="CS70" s="105">
        <v>820.94095385178969</v>
      </c>
      <c r="CT70" s="105">
        <v>0</v>
      </c>
      <c r="CU70" s="105">
        <v>0</v>
      </c>
    </row>
    <row r="71" spans="2:99" x14ac:dyDescent="0.2">
      <c r="B71" s="104" t="s">
        <v>130</v>
      </c>
      <c r="C71" s="104" t="s">
        <v>239</v>
      </c>
      <c r="D71" s="105">
        <v>8</v>
      </c>
      <c r="E71" s="105">
        <v>1468.8</v>
      </c>
      <c r="F71" s="105">
        <v>7</v>
      </c>
      <c r="G71" s="105">
        <v>1285.2</v>
      </c>
      <c r="H71" s="105">
        <v>9</v>
      </c>
      <c r="I71" s="105">
        <v>1652.3999999999999</v>
      </c>
      <c r="J71" s="105">
        <v>11</v>
      </c>
      <c r="K71" s="105">
        <v>2019.6</v>
      </c>
      <c r="L71" s="105">
        <v>10.95022624434389</v>
      </c>
      <c r="M71" s="105">
        <v>2010.4615384615381</v>
      </c>
      <c r="N71" s="105">
        <v>10.122065727699532</v>
      </c>
      <c r="O71" s="105">
        <v>1858.4112676056341</v>
      </c>
      <c r="P71" s="105">
        <v>10.705882352941176</v>
      </c>
      <c r="Q71" s="105">
        <v>1965.6</v>
      </c>
      <c r="R71" s="105">
        <v>10.642533936651583</v>
      </c>
      <c r="S71" s="105">
        <v>1953.9692307692305</v>
      </c>
      <c r="T71" s="105">
        <v>11.930434782608696</v>
      </c>
      <c r="U71" s="105">
        <v>2190.4278260869564</v>
      </c>
      <c r="V71" s="105">
        <v>10.311304347826088</v>
      </c>
      <c r="W71" s="105">
        <v>1893.1554782608696</v>
      </c>
      <c r="X71" s="105">
        <v>10.474493927125508</v>
      </c>
      <c r="Y71" s="105">
        <v>1923.1170850202432</v>
      </c>
      <c r="Z71" s="105">
        <v>8</v>
      </c>
      <c r="AA71" s="105">
        <v>1468.8</v>
      </c>
      <c r="AB71" s="105">
        <v>10</v>
      </c>
      <c r="AC71" s="105">
        <v>1836</v>
      </c>
      <c r="AD71" s="105">
        <v>8</v>
      </c>
      <c r="AE71" s="105">
        <v>1468.8</v>
      </c>
      <c r="AF71" s="105">
        <v>11</v>
      </c>
      <c r="AG71" s="105">
        <v>2019.6</v>
      </c>
      <c r="AH71" s="105">
        <v>10</v>
      </c>
      <c r="AI71" s="105">
        <v>1836</v>
      </c>
      <c r="AJ71" s="105">
        <v>10</v>
      </c>
      <c r="AK71" s="105">
        <v>1836</v>
      </c>
      <c r="AL71" s="105">
        <v>9</v>
      </c>
      <c r="AM71" s="105">
        <v>1652.3999999999999</v>
      </c>
      <c r="AN71" s="105">
        <v>8</v>
      </c>
      <c r="AO71" s="105">
        <v>1468.8</v>
      </c>
      <c r="AP71" s="105">
        <v>13</v>
      </c>
      <c r="AQ71" s="105">
        <v>2386.7999999999997</v>
      </c>
      <c r="AR71" s="105">
        <v>11</v>
      </c>
      <c r="AS71" s="105">
        <v>2019.6</v>
      </c>
      <c r="AT71" s="105">
        <v>7</v>
      </c>
      <c r="AU71" s="105">
        <v>1285.2</v>
      </c>
      <c r="AV71" s="105">
        <v>12</v>
      </c>
      <c r="AW71" s="105">
        <v>2203.1999999999998</v>
      </c>
      <c r="AX71" s="105">
        <v>9</v>
      </c>
      <c r="AY71" s="105">
        <v>1652.3999999999999</v>
      </c>
      <c r="AZ71" s="105">
        <v>11</v>
      </c>
      <c r="BA71" s="105">
        <v>2019.6</v>
      </c>
      <c r="BB71" s="105">
        <v>10</v>
      </c>
      <c r="BC71" s="105">
        <v>1836</v>
      </c>
      <c r="BD71" s="105">
        <v>11</v>
      </c>
      <c r="BE71" s="105">
        <v>2019.6</v>
      </c>
      <c r="BF71" s="105">
        <v>14</v>
      </c>
      <c r="BG71" s="105">
        <v>2570.4</v>
      </c>
      <c r="BH71" s="105">
        <v>8</v>
      </c>
      <c r="BI71" s="105">
        <v>1468.8</v>
      </c>
      <c r="BJ71" s="105">
        <v>7</v>
      </c>
      <c r="BK71" s="105">
        <v>1285.2</v>
      </c>
      <c r="BL71" s="105">
        <v>7</v>
      </c>
      <c r="BM71" s="105">
        <v>1285.2</v>
      </c>
      <c r="BN71" s="105">
        <v>8</v>
      </c>
      <c r="BO71" s="105">
        <v>1468.8</v>
      </c>
      <c r="BP71" s="105">
        <v>13</v>
      </c>
      <c r="BQ71" s="105">
        <v>2386.7999999999997</v>
      </c>
      <c r="BR71" s="105">
        <v>11</v>
      </c>
      <c r="BS71" s="105">
        <v>2019.6</v>
      </c>
      <c r="BT71" s="105">
        <v>9</v>
      </c>
      <c r="BU71" s="105">
        <v>1652.3999999999999</v>
      </c>
      <c r="BV71" s="105">
        <v>12</v>
      </c>
      <c r="BW71" s="105">
        <v>2203.1999999999998</v>
      </c>
      <c r="BX71" s="105">
        <v>11.193574297188764</v>
      </c>
      <c r="BY71" s="105">
        <v>2055.1402409638572</v>
      </c>
      <c r="BZ71" s="105">
        <v>10.014598540145986</v>
      </c>
      <c r="CA71" s="105">
        <v>1838.680291970803</v>
      </c>
      <c r="CB71" s="105">
        <v>8.7326732673267315</v>
      </c>
      <c r="CC71" s="105">
        <v>1603.3188118811879</v>
      </c>
      <c r="CD71" s="105">
        <v>10.661087866108787</v>
      </c>
      <c r="CE71" s="105">
        <v>1957.3757322175732</v>
      </c>
      <c r="CF71" s="105">
        <v>7.9459459459459456</v>
      </c>
      <c r="CG71" s="105">
        <v>1458.8756756756757</v>
      </c>
      <c r="CH71" s="105">
        <v>8</v>
      </c>
      <c r="CI71" s="105">
        <v>1468.8</v>
      </c>
      <c r="CJ71" s="105">
        <v>8.8733096085409251</v>
      </c>
      <c r="CK71" s="105">
        <v>1629.1396441281138</v>
      </c>
      <c r="CL71" s="105">
        <v>9.1962085308056878</v>
      </c>
      <c r="CM71" s="105">
        <v>1688.4238862559241</v>
      </c>
      <c r="CN71" s="105">
        <v>9.4022140221402211</v>
      </c>
      <c r="CO71" s="105">
        <v>1726.2464944649446</v>
      </c>
      <c r="CP71" s="105">
        <v>9.4230769230769234</v>
      </c>
      <c r="CQ71" s="105">
        <v>1730.0769230769231</v>
      </c>
      <c r="CR71" s="105">
        <v>9.3333333333333321</v>
      </c>
      <c r="CS71" s="105">
        <v>1713.5999999999997</v>
      </c>
      <c r="CT71" s="105">
        <v>8.6896551724137936</v>
      </c>
      <c r="CU71" s="105">
        <v>1595.4206896551725</v>
      </c>
    </row>
    <row r="72" spans="2:99" x14ac:dyDescent="0.2">
      <c r="C72" s="104" t="s">
        <v>240</v>
      </c>
      <c r="D72" s="105">
        <v>9</v>
      </c>
      <c r="E72" s="105">
        <v>4406.3999999999996</v>
      </c>
      <c r="F72" s="105">
        <v>7</v>
      </c>
      <c r="G72" s="105">
        <v>3427.2</v>
      </c>
      <c r="H72" s="105">
        <v>9</v>
      </c>
      <c r="I72" s="105">
        <v>4406.3999999999996</v>
      </c>
      <c r="J72" s="105">
        <v>12</v>
      </c>
      <c r="K72" s="105">
        <v>5875.2</v>
      </c>
      <c r="L72" s="105">
        <v>10.95022624434389</v>
      </c>
      <c r="M72" s="105">
        <v>5361.2307692307677</v>
      </c>
      <c r="N72" s="105">
        <v>10.122065727699532</v>
      </c>
      <c r="O72" s="105">
        <v>4955.7633802816908</v>
      </c>
      <c r="P72" s="105">
        <v>9.882352941176471</v>
      </c>
      <c r="Q72" s="105">
        <v>4838.3999999999996</v>
      </c>
      <c r="R72" s="105">
        <v>9.7556561085972842</v>
      </c>
      <c r="S72" s="105">
        <v>4776.3692307692299</v>
      </c>
      <c r="T72" s="105">
        <v>11.078260869565218</v>
      </c>
      <c r="U72" s="105">
        <v>5423.9165217391301</v>
      </c>
      <c r="V72" s="105">
        <v>10.311304347826088</v>
      </c>
      <c r="W72" s="105">
        <v>5048.4146086956525</v>
      </c>
      <c r="X72" s="105">
        <v>10.474493927125508</v>
      </c>
      <c r="Y72" s="105">
        <v>5128.3122267206481</v>
      </c>
      <c r="Z72" s="105">
        <v>7</v>
      </c>
      <c r="AA72" s="105">
        <v>3427.2</v>
      </c>
      <c r="AB72" s="105">
        <v>11</v>
      </c>
      <c r="AC72" s="105">
        <v>5385.5999999999995</v>
      </c>
      <c r="AD72" s="105">
        <v>7</v>
      </c>
      <c r="AE72" s="105">
        <v>3427.2</v>
      </c>
      <c r="AF72" s="105">
        <v>11</v>
      </c>
      <c r="AG72" s="105">
        <v>5385.5999999999995</v>
      </c>
      <c r="AH72" s="105">
        <v>9</v>
      </c>
      <c r="AI72" s="105">
        <v>4406.3999999999996</v>
      </c>
      <c r="AJ72" s="105">
        <v>8</v>
      </c>
      <c r="AK72" s="105">
        <v>3916.7999999999997</v>
      </c>
      <c r="AL72" s="105">
        <v>11</v>
      </c>
      <c r="AM72" s="105">
        <v>5385.5999999999995</v>
      </c>
      <c r="AN72" s="105">
        <v>8</v>
      </c>
      <c r="AO72" s="105">
        <v>3916.7999999999997</v>
      </c>
      <c r="AP72" s="105">
        <v>11</v>
      </c>
      <c r="AQ72" s="105">
        <v>5385.5999999999995</v>
      </c>
      <c r="AR72" s="105">
        <v>11</v>
      </c>
      <c r="AS72" s="105">
        <v>5385.5999999999995</v>
      </c>
      <c r="AT72" s="105">
        <v>7</v>
      </c>
      <c r="AU72" s="105">
        <v>3427.2</v>
      </c>
      <c r="AV72" s="105">
        <v>12</v>
      </c>
      <c r="AW72" s="105">
        <v>5875.2</v>
      </c>
      <c r="AX72" s="105">
        <v>8</v>
      </c>
      <c r="AY72" s="105">
        <v>3916.7999999999997</v>
      </c>
      <c r="AZ72" s="105">
        <v>12</v>
      </c>
      <c r="BA72" s="105">
        <v>5875.2</v>
      </c>
      <c r="BB72" s="105">
        <v>10</v>
      </c>
      <c r="BC72" s="105">
        <v>4896</v>
      </c>
      <c r="BD72" s="105">
        <v>10</v>
      </c>
      <c r="BE72" s="105">
        <v>4896</v>
      </c>
      <c r="BF72" s="105">
        <v>13</v>
      </c>
      <c r="BG72" s="105">
        <v>6364.7999999999993</v>
      </c>
      <c r="BH72" s="105">
        <v>9</v>
      </c>
      <c r="BI72" s="105">
        <v>4406.3999999999996</v>
      </c>
      <c r="BJ72" s="105">
        <v>8</v>
      </c>
      <c r="BK72" s="105">
        <v>3916.7999999999997</v>
      </c>
      <c r="BL72" s="105">
        <v>7</v>
      </c>
      <c r="BM72" s="105">
        <v>3427.2</v>
      </c>
      <c r="BN72" s="105">
        <v>8</v>
      </c>
      <c r="BO72" s="105">
        <v>3916.7999999999997</v>
      </c>
      <c r="BP72" s="105">
        <v>11</v>
      </c>
      <c r="BQ72" s="105">
        <v>5385.5999999999995</v>
      </c>
      <c r="BR72" s="105">
        <v>11</v>
      </c>
      <c r="BS72" s="105">
        <v>5385.5999999999995</v>
      </c>
      <c r="BT72" s="105">
        <v>8</v>
      </c>
      <c r="BU72" s="105">
        <v>3916.7999999999997</v>
      </c>
      <c r="BV72" s="105">
        <v>11</v>
      </c>
      <c r="BW72" s="105">
        <v>5385.5999999999995</v>
      </c>
      <c r="BX72" s="105">
        <v>11.193574297188764</v>
      </c>
      <c r="BY72" s="105">
        <v>5480.3739759036189</v>
      </c>
      <c r="BZ72" s="105">
        <v>10.729927007299271</v>
      </c>
      <c r="CA72" s="105">
        <v>5253.3722627737225</v>
      </c>
      <c r="CB72" s="105">
        <v>8.7326732673267315</v>
      </c>
      <c r="CC72" s="105">
        <v>4275.5168316831678</v>
      </c>
      <c r="CD72" s="105">
        <v>9.8410041841004183</v>
      </c>
      <c r="CE72" s="105">
        <v>4818.1556485355641</v>
      </c>
      <c r="CF72" s="105">
        <v>7.9459459459459456</v>
      </c>
      <c r="CG72" s="105">
        <v>3890.3351351351348</v>
      </c>
      <c r="CH72" s="105">
        <v>8</v>
      </c>
      <c r="CI72" s="105">
        <v>3916.7999999999997</v>
      </c>
      <c r="CJ72" s="105">
        <v>9.5558718861209968</v>
      </c>
      <c r="CK72" s="105">
        <v>4678.55487544484</v>
      </c>
      <c r="CL72" s="105">
        <v>9.1962085308056878</v>
      </c>
      <c r="CM72" s="105">
        <v>4502.4636966824646</v>
      </c>
      <c r="CN72" s="105">
        <v>10.125461254612546</v>
      </c>
      <c r="CO72" s="105">
        <v>4957.4258302583021</v>
      </c>
      <c r="CP72" s="105">
        <v>10.365384615384615</v>
      </c>
      <c r="CQ72" s="105">
        <v>5074.8923076923074</v>
      </c>
      <c r="CR72" s="105">
        <v>9.3333333333333321</v>
      </c>
      <c r="CS72" s="105">
        <v>4569.5999999999995</v>
      </c>
      <c r="CT72" s="105">
        <v>7.7241379310344831</v>
      </c>
      <c r="CU72" s="105">
        <v>3781.7379310344827</v>
      </c>
    </row>
    <row r="73" spans="2:99" x14ac:dyDescent="0.2">
      <c r="C73" s="104" t="s">
        <v>241</v>
      </c>
      <c r="D73" s="105">
        <v>9</v>
      </c>
      <c r="E73" s="105">
        <v>5108.4000000000005</v>
      </c>
      <c r="F73" s="105">
        <v>7</v>
      </c>
      <c r="G73" s="105">
        <v>3973.2000000000003</v>
      </c>
      <c r="H73" s="105">
        <v>8</v>
      </c>
      <c r="I73" s="105">
        <v>4540.8</v>
      </c>
      <c r="J73" s="105">
        <v>11</v>
      </c>
      <c r="K73" s="105">
        <v>6243.6</v>
      </c>
      <c r="L73" s="105">
        <v>10.95022624434389</v>
      </c>
      <c r="M73" s="105">
        <v>6215.348416289592</v>
      </c>
      <c r="N73" s="105">
        <v>8.28169014084507</v>
      </c>
      <c r="O73" s="105">
        <v>4700.6873239436618</v>
      </c>
      <c r="P73" s="105">
        <v>9.0588235294117645</v>
      </c>
      <c r="Q73" s="105">
        <v>5141.7882352941178</v>
      </c>
      <c r="R73" s="105">
        <v>9.7556561085972842</v>
      </c>
      <c r="S73" s="105">
        <v>5537.3104072398191</v>
      </c>
      <c r="T73" s="105">
        <v>9.3739130434782609</v>
      </c>
      <c r="U73" s="105">
        <v>5320.6330434782612</v>
      </c>
      <c r="V73" s="105">
        <v>11.248695652173913</v>
      </c>
      <c r="W73" s="105">
        <v>6384.7596521739133</v>
      </c>
      <c r="X73" s="105">
        <v>11.347368421052632</v>
      </c>
      <c r="Y73" s="105">
        <v>6440.766315789474</v>
      </c>
      <c r="Z73" s="105">
        <v>8</v>
      </c>
      <c r="AA73" s="105">
        <v>4540.8</v>
      </c>
      <c r="AB73" s="105">
        <v>11</v>
      </c>
      <c r="AC73" s="105">
        <v>6243.6</v>
      </c>
      <c r="AD73" s="105">
        <v>7</v>
      </c>
      <c r="AE73" s="105">
        <v>3973.2000000000003</v>
      </c>
      <c r="AF73" s="105">
        <v>12</v>
      </c>
      <c r="AG73" s="105">
        <v>6811.2000000000007</v>
      </c>
      <c r="AH73" s="105">
        <v>9</v>
      </c>
      <c r="AI73" s="105">
        <v>5108.4000000000005</v>
      </c>
      <c r="AJ73" s="105">
        <v>9</v>
      </c>
      <c r="AK73" s="105">
        <v>5108.4000000000005</v>
      </c>
      <c r="AL73" s="105">
        <v>10</v>
      </c>
      <c r="AM73" s="105">
        <v>5676</v>
      </c>
      <c r="AN73" s="105">
        <v>8</v>
      </c>
      <c r="AO73" s="105">
        <v>4540.8</v>
      </c>
      <c r="AP73" s="105">
        <v>12</v>
      </c>
      <c r="AQ73" s="105">
        <v>6811.2000000000007</v>
      </c>
      <c r="AR73" s="105">
        <v>10</v>
      </c>
      <c r="AS73" s="105">
        <v>5676</v>
      </c>
      <c r="AT73" s="105">
        <v>7</v>
      </c>
      <c r="AU73" s="105">
        <v>3973.2000000000003</v>
      </c>
      <c r="AV73" s="105">
        <v>13</v>
      </c>
      <c r="AW73" s="105">
        <v>7378.8</v>
      </c>
      <c r="AX73" s="105">
        <v>8</v>
      </c>
      <c r="AY73" s="105">
        <v>4540.8</v>
      </c>
      <c r="AZ73" s="105">
        <v>11</v>
      </c>
      <c r="BA73" s="105">
        <v>6243.6</v>
      </c>
      <c r="BB73" s="105">
        <v>9</v>
      </c>
      <c r="BC73" s="105">
        <v>5108.4000000000005</v>
      </c>
      <c r="BD73" s="105">
        <v>10</v>
      </c>
      <c r="BE73" s="105">
        <v>5676</v>
      </c>
      <c r="BF73" s="105">
        <v>12</v>
      </c>
      <c r="BG73" s="105">
        <v>6811.2000000000007</v>
      </c>
      <c r="BH73" s="105">
        <v>8</v>
      </c>
      <c r="BI73" s="105">
        <v>4540.8</v>
      </c>
      <c r="BJ73" s="105">
        <v>9</v>
      </c>
      <c r="BK73" s="105">
        <v>5108.4000000000005</v>
      </c>
      <c r="BL73" s="105">
        <v>7</v>
      </c>
      <c r="BM73" s="105">
        <v>3973.2000000000003</v>
      </c>
      <c r="BN73" s="105">
        <v>8</v>
      </c>
      <c r="BO73" s="105">
        <v>4540.8</v>
      </c>
      <c r="BP73" s="105">
        <v>11</v>
      </c>
      <c r="BQ73" s="105">
        <v>6243.6</v>
      </c>
      <c r="BR73" s="105">
        <v>11</v>
      </c>
      <c r="BS73" s="105">
        <v>6243.6</v>
      </c>
      <c r="BT73" s="105">
        <v>8</v>
      </c>
      <c r="BU73" s="105">
        <v>4540.8</v>
      </c>
      <c r="BV73" s="105">
        <v>11</v>
      </c>
      <c r="BW73" s="105">
        <v>6243.6</v>
      </c>
      <c r="BX73" s="105">
        <v>11.193574297188764</v>
      </c>
      <c r="BY73" s="105">
        <v>6353.4727710843426</v>
      </c>
      <c r="BZ73" s="105">
        <v>9.2992700729926998</v>
      </c>
      <c r="CA73" s="105">
        <v>5278.2656934306569</v>
      </c>
      <c r="CB73" s="105">
        <v>7.7623762376237622</v>
      </c>
      <c r="CC73" s="105">
        <v>4405.9247524752473</v>
      </c>
      <c r="CD73" s="105">
        <v>9.02092050209205</v>
      </c>
      <c r="CE73" s="105">
        <v>5120.274476987448</v>
      </c>
      <c r="CF73" s="105">
        <v>7.9459459459459456</v>
      </c>
      <c r="CG73" s="105">
        <v>4510.118918918919</v>
      </c>
      <c r="CH73" s="105">
        <v>8</v>
      </c>
      <c r="CI73" s="105">
        <v>4540.8</v>
      </c>
      <c r="CJ73" s="105">
        <v>9.5558718861209968</v>
      </c>
      <c r="CK73" s="105">
        <v>5423.9128825622784</v>
      </c>
      <c r="CL73" s="105">
        <v>8.3601895734597154</v>
      </c>
      <c r="CM73" s="105">
        <v>4745.2436018957351</v>
      </c>
      <c r="CN73" s="105">
        <v>9.4022140221402211</v>
      </c>
      <c r="CO73" s="105">
        <v>5336.6966789667895</v>
      </c>
      <c r="CP73" s="105">
        <v>10.365384615384615</v>
      </c>
      <c r="CQ73" s="105">
        <v>5883.3923076923074</v>
      </c>
      <c r="CR73" s="105">
        <v>9.3333333333333321</v>
      </c>
      <c r="CS73" s="105">
        <v>5297.5999999999995</v>
      </c>
      <c r="CT73" s="105">
        <v>8.6896551724137936</v>
      </c>
      <c r="CU73" s="105">
        <v>4932.248275862069</v>
      </c>
    </row>
    <row r="74" spans="2:99" x14ac:dyDescent="0.2">
      <c r="C74" s="104" t="s">
        <v>242</v>
      </c>
      <c r="D74" s="105">
        <v>9</v>
      </c>
      <c r="E74" s="105">
        <v>2829.6</v>
      </c>
      <c r="F74" s="105">
        <v>7</v>
      </c>
      <c r="G74" s="105">
        <v>2200.7999999999997</v>
      </c>
      <c r="H74" s="105">
        <v>8</v>
      </c>
      <c r="I74" s="105">
        <v>2515.1999999999998</v>
      </c>
      <c r="J74" s="105">
        <v>12</v>
      </c>
      <c r="K74" s="105">
        <v>3772.7999999999997</v>
      </c>
      <c r="L74" s="105">
        <v>11.945701357466064</v>
      </c>
      <c r="M74" s="105">
        <v>3755.7285067873299</v>
      </c>
      <c r="N74" s="105">
        <v>10.122065727699532</v>
      </c>
      <c r="O74" s="105">
        <v>3182.3774647887326</v>
      </c>
      <c r="P74" s="105">
        <v>9.0588235294117645</v>
      </c>
      <c r="Q74" s="105">
        <v>2848.0941176470587</v>
      </c>
      <c r="R74" s="105">
        <v>9.7556561085972842</v>
      </c>
      <c r="S74" s="105">
        <v>3067.1782805429857</v>
      </c>
      <c r="T74" s="105">
        <v>11.078260869565218</v>
      </c>
      <c r="U74" s="105">
        <v>3483.0052173913045</v>
      </c>
      <c r="V74" s="105">
        <v>11.248695652173913</v>
      </c>
      <c r="W74" s="105">
        <v>3536.5899130434777</v>
      </c>
      <c r="X74" s="105">
        <v>10.474493927125508</v>
      </c>
      <c r="Y74" s="105">
        <v>3293.1808906882593</v>
      </c>
      <c r="Z74" s="105">
        <v>9</v>
      </c>
      <c r="AA74" s="105">
        <v>2829.6</v>
      </c>
      <c r="AB74" s="105">
        <v>10</v>
      </c>
      <c r="AC74" s="105">
        <v>3144</v>
      </c>
      <c r="AD74" s="105">
        <v>8</v>
      </c>
      <c r="AE74" s="105">
        <v>2515.1999999999998</v>
      </c>
      <c r="AF74" s="105">
        <v>13</v>
      </c>
      <c r="AG74" s="105">
        <v>4087.2</v>
      </c>
      <c r="AH74" s="105">
        <v>9</v>
      </c>
      <c r="AI74" s="105">
        <v>2829.6</v>
      </c>
      <c r="AJ74" s="105">
        <v>10</v>
      </c>
      <c r="AK74" s="105">
        <v>3144</v>
      </c>
      <c r="AL74" s="105">
        <v>10</v>
      </c>
      <c r="AM74" s="105">
        <v>3144</v>
      </c>
      <c r="AN74" s="105">
        <v>8</v>
      </c>
      <c r="AO74" s="105">
        <v>2515.1999999999998</v>
      </c>
      <c r="AP74" s="105">
        <v>12</v>
      </c>
      <c r="AQ74" s="105">
        <v>3772.7999999999997</v>
      </c>
      <c r="AR74" s="105">
        <v>10</v>
      </c>
      <c r="AS74" s="105">
        <v>3144</v>
      </c>
      <c r="AT74" s="105">
        <v>8</v>
      </c>
      <c r="AU74" s="105">
        <v>2515.1999999999998</v>
      </c>
      <c r="AV74" s="105">
        <v>12</v>
      </c>
      <c r="AW74" s="105">
        <v>3772.7999999999997</v>
      </c>
      <c r="AX74" s="105">
        <v>8</v>
      </c>
      <c r="AY74" s="105">
        <v>2515.1999999999998</v>
      </c>
      <c r="AZ74" s="105">
        <v>11</v>
      </c>
      <c r="BA74" s="105">
        <v>3458.3999999999996</v>
      </c>
      <c r="BB74" s="105">
        <v>9</v>
      </c>
      <c r="BC74" s="105">
        <v>2829.6</v>
      </c>
      <c r="BD74" s="105">
        <v>9</v>
      </c>
      <c r="BE74" s="105">
        <v>2829.6</v>
      </c>
      <c r="BF74" s="105">
        <v>12</v>
      </c>
      <c r="BG74" s="105">
        <v>3772.7999999999997</v>
      </c>
      <c r="BH74" s="105">
        <v>8</v>
      </c>
      <c r="BI74" s="105">
        <v>2515.1999999999998</v>
      </c>
      <c r="BJ74" s="105">
        <v>8</v>
      </c>
      <c r="BK74" s="105">
        <v>2515.1999999999998</v>
      </c>
      <c r="BL74" s="105">
        <v>8</v>
      </c>
      <c r="BM74" s="105">
        <v>2515.1999999999998</v>
      </c>
      <c r="BN74" s="105">
        <v>8</v>
      </c>
      <c r="BO74" s="105">
        <v>2515.1999999999998</v>
      </c>
      <c r="BP74" s="105">
        <v>11</v>
      </c>
      <c r="BQ74" s="105">
        <v>3458.3999999999996</v>
      </c>
      <c r="BR74" s="105">
        <v>12</v>
      </c>
      <c r="BS74" s="105">
        <v>3772.7999999999997</v>
      </c>
      <c r="BT74" s="105">
        <v>9</v>
      </c>
      <c r="BU74" s="105">
        <v>2829.6</v>
      </c>
      <c r="BV74" s="105">
        <v>11</v>
      </c>
      <c r="BW74" s="105">
        <v>3458.3999999999996</v>
      </c>
      <c r="BX74" s="105">
        <v>11.193574297188764</v>
      </c>
      <c r="BY74" s="105">
        <v>3519.259759036147</v>
      </c>
      <c r="BZ74" s="105">
        <v>10.014598540145986</v>
      </c>
      <c r="CA74" s="105">
        <v>3148.5897810218976</v>
      </c>
      <c r="CB74" s="105">
        <v>9.7029702970297027</v>
      </c>
      <c r="CC74" s="105">
        <v>3050.6138613861385</v>
      </c>
      <c r="CD74" s="105">
        <v>9.02092050209205</v>
      </c>
      <c r="CE74" s="105">
        <v>2836.1774058577403</v>
      </c>
      <c r="CF74" s="105">
        <v>7.9459459459459456</v>
      </c>
      <c r="CG74" s="105">
        <v>2498.2054054054051</v>
      </c>
      <c r="CH74" s="105">
        <v>7</v>
      </c>
      <c r="CI74" s="105">
        <v>2200.7999999999997</v>
      </c>
      <c r="CJ74" s="105">
        <v>10.238434163701069</v>
      </c>
      <c r="CK74" s="105">
        <v>3218.9637010676156</v>
      </c>
      <c r="CL74" s="105">
        <v>7.5241706161137447</v>
      </c>
      <c r="CM74" s="105">
        <v>2365.5992417061611</v>
      </c>
      <c r="CN74" s="105">
        <v>10.84870848708487</v>
      </c>
      <c r="CO74" s="105">
        <v>3410.833948339483</v>
      </c>
      <c r="CP74" s="105">
        <v>10.365384615384615</v>
      </c>
      <c r="CQ74" s="105">
        <v>3258.8769230769226</v>
      </c>
      <c r="CR74" s="105">
        <v>9.3333333333333321</v>
      </c>
      <c r="CS74" s="105">
        <v>2934.3999999999996</v>
      </c>
      <c r="CT74" s="105">
        <v>8.6896551724137936</v>
      </c>
      <c r="CU74" s="105">
        <v>2732.0275862068966</v>
      </c>
    </row>
    <row r="75" spans="2:99" x14ac:dyDescent="0.2">
      <c r="C75" s="104" t="s">
        <v>243</v>
      </c>
      <c r="D75" s="105">
        <v>8</v>
      </c>
      <c r="E75" s="105">
        <v>4790.3999999999996</v>
      </c>
      <c r="F75" s="105">
        <v>7</v>
      </c>
      <c r="G75" s="105">
        <v>4191.5999999999995</v>
      </c>
      <c r="H75" s="105">
        <v>9</v>
      </c>
      <c r="I75" s="105">
        <v>5389.2</v>
      </c>
      <c r="J75" s="105">
        <v>10</v>
      </c>
      <c r="K75" s="105">
        <v>5988</v>
      </c>
      <c r="L75" s="105">
        <v>10.95022624434389</v>
      </c>
      <c r="M75" s="105">
        <v>6556.9954751131208</v>
      </c>
      <c r="N75" s="105">
        <v>10.122065727699532</v>
      </c>
      <c r="O75" s="105">
        <v>6061.0929577464794</v>
      </c>
      <c r="P75" s="105">
        <v>10.705882352941176</v>
      </c>
      <c r="Q75" s="105">
        <v>6410.6823529411758</v>
      </c>
      <c r="R75" s="105">
        <v>8.8687782805429869</v>
      </c>
      <c r="S75" s="105">
        <v>5310.6244343891403</v>
      </c>
      <c r="T75" s="105">
        <v>11.078260869565218</v>
      </c>
      <c r="U75" s="105">
        <v>6633.6626086956521</v>
      </c>
      <c r="V75" s="105">
        <v>10.311304347826088</v>
      </c>
      <c r="W75" s="105">
        <v>6174.4090434782611</v>
      </c>
      <c r="X75" s="105">
        <v>11.347368421052632</v>
      </c>
      <c r="Y75" s="105">
        <v>6794.8042105263157</v>
      </c>
      <c r="Z75" s="105">
        <v>7</v>
      </c>
      <c r="AA75" s="105">
        <v>4191.5999999999995</v>
      </c>
      <c r="AB75" s="105">
        <v>10</v>
      </c>
      <c r="AC75" s="105">
        <v>5988</v>
      </c>
      <c r="AD75" s="105">
        <v>7</v>
      </c>
      <c r="AE75" s="105">
        <v>4191.5999999999995</v>
      </c>
      <c r="AF75" s="105">
        <v>10</v>
      </c>
      <c r="AG75" s="105">
        <v>5988</v>
      </c>
      <c r="AH75" s="105">
        <v>9</v>
      </c>
      <c r="AI75" s="105">
        <v>5389.2</v>
      </c>
      <c r="AJ75" s="105">
        <v>8</v>
      </c>
      <c r="AK75" s="105">
        <v>4790.3999999999996</v>
      </c>
      <c r="AL75" s="105">
        <v>10</v>
      </c>
      <c r="AM75" s="105">
        <v>5988</v>
      </c>
      <c r="AN75" s="105">
        <v>7</v>
      </c>
      <c r="AO75" s="105">
        <v>4191.5999999999995</v>
      </c>
      <c r="AP75" s="105">
        <v>13</v>
      </c>
      <c r="AQ75" s="105">
        <v>7784.4</v>
      </c>
      <c r="AR75" s="105">
        <v>11</v>
      </c>
      <c r="AS75" s="105">
        <v>6586.7999999999993</v>
      </c>
      <c r="AT75" s="105">
        <v>6</v>
      </c>
      <c r="AU75" s="105">
        <v>3592.7999999999997</v>
      </c>
      <c r="AV75" s="105">
        <v>12</v>
      </c>
      <c r="AW75" s="105">
        <v>7185.5999999999995</v>
      </c>
      <c r="AX75" s="105">
        <v>8</v>
      </c>
      <c r="AY75" s="105">
        <v>4790.3999999999996</v>
      </c>
      <c r="AZ75" s="105">
        <v>10</v>
      </c>
      <c r="BA75" s="105">
        <v>5988</v>
      </c>
      <c r="BB75" s="105">
        <v>8</v>
      </c>
      <c r="BC75" s="105">
        <v>4790.3999999999996</v>
      </c>
      <c r="BD75" s="105">
        <v>9</v>
      </c>
      <c r="BE75" s="105">
        <v>5389.2</v>
      </c>
      <c r="BF75" s="105">
        <v>13</v>
      </c>
      <c r="BG75" s="105">
        <v>7784.4</v>
      </c>
      <c r="BH75" s="105">
        <v>8</v>
      </c>
      <c r="BI75" s="105">
        <v>4790.3999999999996</v>
      </c>
      <c r="BJ75" s="105">
        <v>7</v>
      </c>
      <c r="BK75" s="105">
        <v>4191.5999999999995</v>
      </c>
      <c r="BL75" s="105">
        <v>6</v>
      </c>
      <c r="BM75" s="105">
        <v>3592.7999999999997</v>
      </c>
      <c r="BN75" s="105">
        <v>8</v>
      </c>
      <c r="BO75" s="105">
        <v>4790.3999999999996</v>
      </c>
      <c r="BP75" s="105">
        <v>12</v>
      </c>
      <c r="BQ75" s="105">
        <v>7185.5999999999995</v>
      </c>
      <c r="BR75" s="105">
        <v>10</v>
      </c>
      <c r="BS75" s="105">
        <v>5988</v>
      </c>
      <c r="BT75" s="105">
        <v>9</v>
      </c>
      <c r="BU75" s="105">
        <v>5389.2</v>
      </c>
      <c r="BV75" s="105">
        <v>11</v>
      </c>
      <c r="BW75" s="105">
        <v>6586.7999999999993</v>
      </c>
      <c r="BX75" s="105">
        <v>11.193574297188764</v>
      </c>
      <c r="BY75" s="105">
        <v>6702.7122891566314</v>
      </c>
      <c r="BZ75" s="105">
        <v>10.729927007299271</v>
      </c>
      <c r="CA75" s="105">
        <v>6425.080291970803</v>
      </c>
      <c r="CB75" s="105">
        <v>7.7623762376237622</v>
      </c>
      <c r="CC75" s="105">
        <v>4648.110891089108</v>
      </c>
      <c r="CD75" s="105">
        <v>10.661087866108787</v>
      </c>
      <c r="CE75" s="105">
        <v>6383.8594142259408</v>
      </c>
      <c r="CF75" s="105">
        <v>7.9459459459459456</v>
      </c>
      <c r="CG75" s="105">
        <v>4758.032432432432</v>
      </c>
      <c r="CH75" s="105">
        <v>8</v>
      </c>
      <c r="CI75" s="105">
        <v>4790.3999999999996</v>
      </c>
      <c r="CJ75" s="105">
        <v>10.238434163701069</v>
      </c>
      <c r="CK75" s="105">
        <v>6130.7743772241993</v>
      </c>
      <c r="CL75" s="105">
        <v>8.3601895734597154</v>
      </c>
      <c r="CM75" s="105">
        <v>5006.0815165876775</v>
      </c>
      <c r="CN75" s="105">
        <v>10.84870848708487</v>
      </c>
      <c r="CO75" s="105">
        <v>6496.2066420664196</v>
      </c>
      <c r="CP75" s="105">
        <v>9.4230769230769234</v>
      </c>
      <c r="CQ75" s="105">
        <v>5642.538461538461</v>
      </c>
      <c r="CR75" s="105">
        <v>8.6153846153846168</v>
      </c>
      <c r="CS75" s="105">
        <v>5158.8923076923083</v>
      </c>
      <c r="CT75" s="105">
        <v>8.6896551724137936</v>
      </c>
      <c r="CU75" s="105">
        <v>5203.3655172413792</v>
      </c>
    </row>
    <row r="76" spans="2:99" x14ac:dyDescent="0.2">
      <c r="C76" s="104" t="s">
        <v>244</v>
      </c>
      <c r="D76" s="105">
        <v>9</v>
      </c>
      <c r="E76" s="105">
        <v>7765.2</v>
      </c>
      <c r="F76" s="105">
        <v>6</v>
      </c>
      <c r="G76" s="105">
        <v>5176.7999999999993</v>
      </c>
      <c r="H76" s="105">
        <v>9</v>
      </c>
      <c r="I76" s="105">
        <v>7765.2</v>
      </c>
      <c r="J76" s="105">
        <v>11</v>
      </c>
      <c r="K76" s="105">
        <v>9490.7999999999993</v>
      </c>
      <c r="L76" s="105">
        <v>10.95022624434389</v>
      </c>
      <c r="M76" s="105">
        <v>9447.8552036199071</v>
      </c>
      <c r="N76" s="105">
        <v>8.28169014084507</v>
      </c>
      <c r="O76" s="105">
        <v>7145.4422535211261</v>
      </c>
      <c r="P76" s="105">
        <v>8.2352941176470598</v>
      </c>
      <c r="Q76" s="105">
        <v>7105.4117647058829</v>
      </c>
      <c r="R76" s="105">
        <v>8.8687782805429869</v>
      </c>
      <c r="S76" s="105">
        <v>7651.9819004524888</v>
      </c>
      <c r="T76" s="105">
        <v>11.078260869565218</v>
      </c>
      <c r="U76" s="105">
        <v>9558.3234782608706</v>
      </c>
      <c r="V76" s="105">
        <v>10.311304347826088</v>
      </c>
      <c r="W76" s="105">
        <v>8896.5933913043482</v>
      </c>
      <c r="X76" s="105">
        <v>9.6016194331983815</v>
      </c>
      <c r="Y76" s="105">
        <v>8284.2772469635638</v>
      </c>
      <c r="Z76" s="105">
        <v>7</v>
      </c>
      <c r="AA76" s="105">
        <v>6039.5999999999995</v>
      </c>
      <c r="AB76" s="105">
        <v>11</v>
      </c>
      <c r="AC76" s="105">
        <v>9490.7999999999993</v>
      </c>
      <c r="AD76" s="105">
        <v>6</v>
      </c>
      <c r="AE76" s="105">
        <v>5176.7999999999993</v>
      </c>
      <c r="AF76" s="105">
        <v>11</v>
      </c>
      <c r="AG76" s="105">
        <v>9490.7999999999993</v>
      </c>
      <c r="AH76" s="105">
        <v>9</v>
      </c>
      <c r="AI76" s="105">
        <v>7765.2</v>
      </c>
      <c r="AJ76" s="105">
        <v>8</v>
      </c>
      <c r="AK76" s="105">
        <v>6902.4</v>
      </c>
      <c r="AL76" s="105">
        <v>9</v>
      </c>
      <c r="AM76" s="105">
        <v>7765.2</v>
      </c>
      <c r="AN76" s="105">
        <v>7</v>
      </c>
      <c r="AO76" s="105">
        <v>6039.5999999999995</v>
      </c>
      <c r="AP76" s="105">
        <v>11</v>
      </c>
      <c r="AQ76" s="105">
        <v>9490.7999999999993</v>
      </c>
      <c r="AR76" s="105">
        <v>10</v>
      </c>
      <c r="AS76" s="105">
        <v>8628</v>
      </c>
      <c r="AT76" s="105">
        <v>7</v>
      </c>
      <c r="AU76" s="105">
        <v>6039.5999999999995</v>
      </c>
      <c r="AV76" s="105">
        <v>12</v>
      </c>
      <c r="AW76" s="105">
        <v>10353.599999999999</v>
      </c>
      <c r="AX76" s="105">
        <v>7</v>
      </c>
      <c r="AY76" s="105">
        <v>6039.5999999999995</v>
      </c>
      <c r="AZ76" s="105">
        <v>11</v>
      </c>
      <c r="BA76" s="105">
        <v>9490.7999999999993</v>
      </c>
      <c r="BB76" s="105">
        <v>8</v>
      </c>
      <c r="BC76" s="105">
        <v>6902.4</v>
      </c>
      <c r="BD76" s="105">
        <v>9</v>
      </c>
      <c r="BE76" s="105">
        <v>7765.2</v>
      </c>
      <c r="BF76" s="105">
        <v>13</v>
      </c>
      <c r="BG76" s="105">
        <v>11216.4</v>
      </c>
      <c r="BH76" s="105">
        <v>8</v>
      </c>
      <c r="BI76" s="105">
        <v>6902.4</v>
      </c>
      <c r="BJ76" s="105">
        <v>8</v>
      </c>
      <c r="BK76" s="105">
        <v>6902.4</v>
      </c>
      <c r="BL76" s="105">
        <v>7</v>
      </c>
      <c r="BM76" s="105">
        <v>6039.5999999999995</v>
      </c>
      <c r="BN76" s="105">
        <v>7</v>
      </c>
      <c r="BO76" s="105">
        <v>6039.5999999999995</v>
      </c>
      <c r="BP76" s="105">
        <v>11</v>
      </c>
      <c r="BQ76" s="105">
        <v>9490.7999999999993</v>
      </c>
      <c r="BR76" s="105">
        <v>10</v>
      </c>
      <c r="BS76" s="105">
        <v>8628</v>
      </c>
      <c r="BT76" s="105">
        <v>9</v>
      </c>
      <c r="BU76" s="105">
        <v>7765.2</v>
      </c>
      <c r="BV76" s="105">
        <v>10</v>
      </c>
      <c r="BW76" s="105">
        <v>8628</v>
      </c>
      <c r="BX76" s="105">
        <v>10.332530120481938</v>
      </c>
      <c r="BY76" s="105">
        <v>8914.9069879518156</v>
      </c>
      <c r="BZ76" s="105">
        <v>8.5839416058394171</v>
      </c>
      <c r="CA76" s="105">
        <v>7406.2248175182485</v>
      </c>
      <c r="CB76" s="105">
        <v>7.7623762376237622</v>
      </c>
      <c r="CC76" s="105">
        <v>6697.3782178217816</v>
      </c>
      <c r="CD76" s="105">
        <v>9.8410041841004183</v>
      </c>
      <c r="CE76" s="105">
        <v>8490.8184100418403</v>
      </c>
      <c r="CF76" s="105">
        <v>7.1513513513513516</v>
      </c>
      <c r="CG76" s="105">
        <v>6170.1859459459456</v>
      </c>
      <c r="CH76" s="105">
        <v>8</v>
      </c>
      <c r="CI76" s="105">
        <v>6902.4</v>
      </c>
      <c r="CJ76" s="105">
        <v>9.5558718861209968</v>
      </c>
      <c r="CK76" s="105">
        <v>8244.8062633451955</v>
      </c>
      <c r="CL76" s="105">
        <v>8.3601895734597154</v>
      </c>
      <c r="CM76" s="105">
        <v>7213.1715639810418</v>
      </c>
      <c r="CN76" s="105">
        <v>9.4022140221402211</v>
      </c>
      <c r="CO76" s="105">
        <v>8112.2302583025821</v>
      </c>
      <c r="CP76" s="105">
        <v>9.4230769230769234</v>
      </c>
      <c r="CQ76" s="105">
        <v>8130.2307692307686</v>
      </c>
      <c r="CR76" s="105">
        <v>10.051282051282051</v>
      </c>
      <c r="CS76" s="105">
        <v>8672.2461538461539</v>
      </c>
      <c r="CT76" s="105">
        <v>7.7241379310344831</v>
      </c>
      <c r="CU76" s="105">
        <v>6664.3862068965518</v>
      </c>
    </row>
    <row r="77" spans="2:99" x14ac:dyDescent="0.2">
      <c r="C77" s="104" t="s">
        <v>245</v>
      </c>
      <c r="D77" s="105">
        <v>9</v>
      </c>
      <c r="E77" s="105">
        <v>6210</v>
      </c>
      <c r="F77" s="105">
        <v>6</v>
      </c>
      <c r="G77" s="105">
        <v>4140</v>
      </c>
      <c r="H77" s="105">
        <v>9</v>
      </c>
      <c r="I77" s="105">
        <v>6210</v>
      </c>
      <c r="J77" s="105">
        <v>11</v>
      </c>
      <c r="K77" s="105">
        <v>7590</v>
      </c>
      <c r="L77" s="105">
        <v>11.945701357466064</v>
      </c>
      <c r="M77" s="105">
        <v>8242.5339366515836</v>
      </c>
      <c r="N77" s="105">
        <v>10.122065727699532</v>
      </c>
      <c r="O77" s="105">
        <v>6984.2253521126768</v>
      </c>
      <c r="P77" s="105">
        <v>9.882352941176471</v>
      </c>
      <c r="Q77" s="105">
        <v>6818.8235294117649</v>
      </c>
      <c r="R77" s="105">
        <v>9.7556561085972842</v>
      </c>
      <c r="S77" s="105">
        <v>6731.4027149321264</v>
      </c>
      <c r="T77" s="105">
        <v>10.226086956521739</v>
      </c>
      <c r="U77" s="105">
        <v>7056</v>
      </c>
      <c r="V77" s="105">
        <v>9.3739130434782609</v>
      </c>
      <c r="W77" s="105">
        <v>6468</v>
      </c>
      <c r="X77" s="105">
        <v>11.347368421052632</v>
      </c>
      <c r="Y77" s="105">
        <v>7829.6842105263158</v>
      </c>
      <c r="Z77" s="105">
        <v>8</v>
      </c>
      <c r="AA77" s="105">
        <v>5520</v>
      </c>
      <c r="AB77" s="105">
        <v>10</v>
      </c>
      <c r="AC77" s="105">
        <v>6900</v>
      </c>
      <c r="AD77" s="105">
        <v>6</v>
      </c>
      <c r="AE77" s="105">
        <v>4140</v>
      </c>
      <c r="AF77" s="105">
        <v>11</v>
      </c>
      <c r="AG77" s="105">
        <v>7590</v>
      </c>
      <c r="AH77" s="105">
        <v>9</v>
      </c>
      <c r="AI77" s="105">
        <v>6210</v>
      </c>
      <c r="AJ77" s="105">
        <v>10</v>
      </c>
      <c r="AK77" s="105">
        <v>6900</v>
      </c>
      <c r="AL77" s="105">
        <v>10</v>
      </c>
      <c r="AM77" s="105">
        <v>6900</v>
      </c>
      <c r="AN77" s="105">
        <v>7</v>
      </c>
      <c r="AO77" s="105">
        <v>4830</v>
      </c>
      <c r="AP77" s="105">
        <v>12</v>
      </c>
      <c r="AQ77" s="105">
        <v>8280</v>
      </c>
      <c r="AR77" s="105">
        <v>11</v>
      </c>
      <c r="AS77" s="105">
        <v>7590</v>
      </c>
      <c r="AT77" s="105">
        <v>7</v>
      </c>
      <c r="AU77" s="105">
        <v>4830</v>
      </c>
      <c r="AV77" s="105">
        <v>12</v>
      </c>
      <c r="AW77" s="105">
        <v>8280</v>
      </c>
      <c r="AX77" s="105">
        <v>8</v>
      </c>
      <c r="AY77" s="105">
        <v>5520</v>
      </c>
      <c r="AZ77" s="105">
        <v>11</v>
      </c>
      <c r="BA77" s="105">
        <v>7590</v>
      </c>
      <c r="BB77" s="105">
        <v>10</v>
      </c>
      <c r="BC77" s="105">
        <v>6900</v>
      </c>
      <c r="BD77" s="105">
        <v>10</v>
      </c>
      <c r="BE77" s="105">
        <v>6900</v>
      </c>
      <c r="BF77" s="105">
        <v>13</v>
      </c>
      <c r="BG77" s="105">
        <v>8970</v>
      </c>
      <c r="BH77" s="105">
        <v>9</v>
      </c>
      <c r="BI77" s="105">
        <v>6210</v>
      </c>
      <c r="BJ77" s="105">
        <v>8</v>
      </c>
      <c r="BK77" s="105">
        <v>5520</v>
      </c>
      <c r="BL77" s="105">
        <v>7</v>
      </c>
      <c r="BM77" s="105">
        <v>4830</v>
      </c>
      <c r="BN77" s="105">
        <v>7</v>
      </c>
      <c r="BO77" s="105">
        <v>4830</v>
      </c>
      <c r="BP77" s="105">
        <v>11</v>
      </c>
      <c r="BQ77" s="105">
        <v>7590</v>
      </c>
      <c r="BR77" s="105">
        <v>11</v>
      </c>
      <c r="BS77" s="105">
        <v>7590</v>
      </c>
      <c r="BT77" s="105">
        <v>9</v>
      </c>
      <c r="BU77" s="105">
        <v>6210</v>
      </c>
      <c r="BV77" s="105">
        <v>11</v>
      </c>
      <c r="BW77" s="105">
        <v>7590</v>
      </c>
      <c r="BX77" s="105">
        <v>12.054618473895593</v>
      </c>
      <c r="BY77" s="105">
        <v>8317.686746987958</v>
      </c>
      <c r="BZ77" s="105">
        <v>10.014598540145986</v>
      </c>
      <c r="CA77" s="105">
        <v>6910.0729927007305</v>
      </c>
      <c r="CB77" s="105">
        <v>8.7326732673267315</v>
      </c>
      <c r="CC77" s="105">
        <v>6025.544554455445</v>
      </c>
      <c r="CD77" s="105">
        <v>10.661087866108787</v>
      </c>
      <c r="CE77" s="105">
        <v>7356.1506276150631</v>
      </c>
      <c r="CF77" s="105">
        <v>8.7405405405405414</v>
      </c>
      <c r="CG77" s="105">
        <v>6030.9729729729734</v>
      </c>
      <c r="CH77" s="105">
        <v>7</v>
      </c>
      <c r="CI77" s="105">
        <v>4830</v>
      </c>
      <c r="CJ77" s="105">
        <v>10.238434163701069</v>
      </c>
      <c r="CK77" s="105">
        <v>7064.5195729537372</v>
      </c>
      <c r="CL77" s="105">
        <v>8.3601895734597154</v>
      </c>
      <c r="CM77" s="105">
        <v>5768.5308056872036</v>
      </c>
      <c r="CN77" s="105">
        <v>10.84870848708487</v>
      </c>
      <c r="CO77" s="105">
        <v>7485.608856088561</v>
      </c>
      <c r="CP77" s="105">
        <v>11.307692307692308</v>
      </c>
      <c r="CQ77" s="105">
        <v>7802.3076923076924</v>
      </c>
      <c r="CR77" s="105">
        <v>9.3333333333333321</v>
      </c>
      <c r="CS77" s="105">
        <v>6439.9999999999991</v>
      </c>
      <c r="CT77" s="105">
        <v>8.6896551724137936</v>
      </c>
      <c r="CU77" s="105">
        <v>5995.8620689655172</v>
      </c>
    </row>
    <row r="78" spans="2:99" x14ac:dyDescent="0.2">
      <c r="C78" s="104" t="s">
        <v>246</v>
      </c>
      <c r="D78" s="105">
        <v>9</v>
      </c>
      <c r="E78" s="105">
        <v>1166.3999999999999</v>
      </c>
      <c r="F78" s="105">
        <v>7</v>
      </c>
      <c r="G78" s="105">
        <v>907.19999999999993</v>
      </c>
      <c r="H78" s="105">
        <v>8</v>
      </c>
      <c r="I78" s="105">
        <v>1036.8</v>
      </c>
      <c r="J78" s="105">
        <v>12</v>
      </c>
      <c r="K78" s="105">
        <v>1555.1999999999998</v>
      </c>
      <c r="L78" s="105">
        <v>9.9547511312217196</v>
      </c>
      <c r="M78" s="105">
        <v>1290.1357466063348</v>
      </c>
      <c r="N78" s="105">
        <v>10.122065727699532</v>
      </c>
      <c r="O78" s="105">
        <v>1311.8197183098594</v>
      </c>
      <c r="P78" s="105">
        <v>9.882352941176471</v>
      </c>
      <c r="Q78" s="105">
        <v>1280.7529411764706</v>
      </c>
      <c r="R78" s="105">
        <v>9.7556561085972842</v>
      </c>
      <c r="S78" s="105">
        <v>1264.3330316742079</v>
      </c>
      <c r="T78" s="105">
        <v>11.930434782608696</v>
      </c>
      <c r="U78" s="105">
        <v>1546.1843478260869</v>
      </c>
      <c r="V78" s="105">
        <v>11.248695652173913</v>
      </c>
      <c r="W78" s="105">
        <v>1457.8309565217389</v>
      </c>
      <c r="X78" s="105">
        <v>10.474493927125508</v>
      </c>
      <c r="Y78" s="105">
        <v>1357.4944129554658</v>
      </c>
      <c r="Z78" s="105">
        <v>8</v>
      </c>
      <c r="AA78" s="105">
        <v>1036.8</v>
      </c>
      <c r="AB78" s="105">
        <v>10</v>
      </c>
      <c r="AC78" s="105">
        <v>1296</v>
      </c>
      <c r="AD78" s="105">
        <v>7</v>
      </c>
      <c r="AE78" s="105">
        <v>907.19999999999993</v>
      </c>
      <c r="AF78" s="105">
        <v>13</v>
      </c>
      <c r="AG78" s="105">
        <v>1684.8</v>
      </c>
      <c r="AH78" s="105">
        <v>10</v>
      </c>
      <c r="AI78" s="105">
        <v>1296</v>
      </c>
      <c r="AJ78" s="105">
        <v>10</v>
      </c>
      <c r="AK78" s="105">
        <v>1296</v>
      </c>
      <c r="AL78" s="105">
        <v>10</v>
      </c>
      <c r="AM78" s="105">
        <v>1296</v>
      </c>
      <c r="AN78" s="105">
        <v>8</v>
      </c>
      <c r="AO78" s="105">
        <v>1036.8</v>
      </c>
      <c r="AP78" s="105">
        <v>13</v>
      </c>
      <c r="AQ78" s="105">
        <v>1684.8</v>
      </c>
      <c r="AR78" s="105">
        <v>11</v>
      </c>
      <c r="AS78" s="105">
        <v>1425.6</v>
      </c>
      <c r="AT78" s="105">
        <v>7</v>
      </c>
      <c r="AU78" s="105">
        <v>907.19999999999993</v>
      </c>
      <c r="AV78" s="105">
        <v>13</v>
      </c>
      <c r="AW78" s="105">
        <v>1684.8</v>
      </c>
      <c r="AX78" s="105">
        <v>8</v>
      </c>
      <c r="AY78" s="105">
        <v>1036.8</v>
      </c>
      <c r="AZ78" s="105">
        <v>12</v>
      </c>
      <c r="BA78" s="105">
        <v>1555.1999999999998</v>
      </c>
      <c r="BB78" s="105">
        <v>10</v>
      </c>
      <c r="BC78" s="105">
        <v>1296</v>
      </c>
      <c r="BD78" s="105">
        <v>11</v>
      </c>
      <c r="BE78" s="105">
        <v>1425.6</v>
      </c>
      <c r="BF78" s="105">
        <v>13</v>
      </c>
      <c r="BG78" s="105">
        <v>1684.8</v>
      </c>
      <c r="BH78" s="105">
        <v>8</v>
      </c>
      <c r="BI78" s="105">
        <v>1036.8</v>
      </c>
      <c r="BJ78" s="105">
        <v>8</v>
      </c>
      <c r="BK78" s="105">
        <v>1036.8</v>
      </c>
      <c r="BL78" s="105">
        <v>7</v>
      </c>
      <c r="BM78" s="105">
        <v>907.19999999999993</v>
      </c>
      <c r="BN78" s="105">
        <v>8</v>
      </c>
      <c r="BO78" s="105">
        <v>1036.8</v>
      </c>
      <c r="BP78" s="105">
        <v>12</v>
      </c>
      <c r="BQ78" s="105">
        <v>1555.1999999999998</v>
      </c>
      <c r="BR78" s="105">
        <v>12</v>
      </c>
      <c r="BS78" s="105">
        <v>1555.1999999999998</v>
      </c>
      <c r="BT78" s="105">
        <v>10</v>
      </c>
      <c r="BU78" s="105">
        <v>1296</v>
      </c>
      <c r="BV78" s="105">
        <v>11</v>
      </c>
      <c r="BW78" s="105">
        <v>1425.6</v>
      </c>
      <c r="BX78" s="105">
        <v>11.193574297188764</v>
      </c>
      <c r="BY78" s="105">
        <v>1450.6872289156638</v>
      </c>
      <c r="BZ78" s="105">
        <v>10.014598540145986</v>
      </c>
      <c r="CA78" s="105">
        <v>1297.8919708029198</v>
      </c>
      <c r="CB78" s="105">
        <v>8.7326732673267315</v>
      </c>
      <c r="CC78" s="105">
        <v>1131.7544554455444</v>
      </c>
      <c r="CD78" s="105">
        <v>10.661087866108787</v>
      </c>
      <c r="CE78" s="105">
        <v>1381.6769874476986</v>
      </c>
      <c r="CF78" s="105">
        <v>8.7405405405405414</v>
      </c>
      <c r="CG78" s="105">
        <v>1132.7740540540542</v>
      </c>
      <c r="CH78" s="105">
        <v>8</v>
      </c>
      <c r="CI78" s="105">
        <v>1036.8</v>
      </c>
      <c r="CJ78" s="105">
        <v>8.8733096085409251</v>
      </c>
      <c r="CK78" s="105">
        <v>1149.9809252669038</v>
      </c>
      <c r="CL78" s="105">
        <v>9.1962085308056878</v>
      </c>
      <c r="CM78" s="105">
        <v>1191.828625592417</v>
      </c>
      <c r="CN78" s="105">
        <v>10.84870848708487</v>
      </c>
      <c r="CO78" s="105">
        <v>1405.992619926199</v>
      </c>
      <c r="CP78" s="105">
        <v>11.307692307692308</v>
      </c>
      <c r="CQ78" s="105">
        <v>1465.4769230769232</v>
      </c>
      <c r="CR78" s="105">
        <v>10.051282051282051</v>
      </c>
      <c r="CS78" s="105">
        <v>1302.6461538461538</v>
      </c>
      <c r="CT78" s="105">
        <v>9.6551724137931032</v>
      </c>
      <c r="CU78" s="105">
        <v>1251.3103448275861</v>
      </c>
    </row>
    <row r="79" spans="2:99" x14ac:dyDescent="0.2">
      <c r="C79" s="104" t="s">
        <v>247</v>
      </c>
      <c r="D79" s="105">
        <v>8</v>
      </c>
      <c r="E79" s="105">
        <v>3840</v>
      </c>
      <c r="F79" s="105">
        <v>7</v>
      </c>
      <c r="G79" s="105">
        <v>3360</v>
      </c>
      <c r="H79" s="105">
        <v>8</v>
      </c>
      <c r="I79" s="105">
        <v>3840</v>
      </c>
      <c r="J79" s="105">
        <v>10</v>
      </c>
      <c r="K79" s="105">
        <v>4800</v>
      </c>
      <c r="L79" s="105">
        <v>9.9547511312217196</v>
      </c>
      <c r="M79" s="105">
        <v>4778.2805429864256</v>
      </c>
      <c r="N79" s="105">
        <v>10.122065727699532</v>
      </c>
      <c r="O79" s="105">
        <v>4858.5915492957756</v>
      </c>
      <c r="P79" s="105">
        <v>9.0588235294117645</v>
      </c>
      <c r="Q79" s="105">
        <v>4348.2352941176468</v>
      </c>
      <c r="R79" s="105">
        <v>9.7556561085972842</v>
      </c>
      <c r="S79" s="105">
        <v>4682.7149321266961</v>
      </c>
      <c r="T79" s="105">
        <v>11.078260869565218</v>
      </c>
      <c r="U79" s="105">
        <v>5317.5652173913049</v>
      </c>
      <c r="V79" s="105">
        <v>10.311304347826088</v>
      </c>
      <c r="W79" s="105">
        <v>4949.4260869565223</v>
      </c>
      <c r="X79" s="105">
        <v>10.474493927125508</v>
      </c>
      <c r="Y79" s="105">
        <v>5027.7570850202437</v>
      </c>
      <c r="Z79" s="105">
        <v>7</v>
      </c>
      <c r="AA79" s="105">
        <v>3360</v>
      </c>
      <c r="AB79" s="105">
        <v>11</v>
      </c>
      <c r="AC79" s="105">
        <v>5280</v>
      </c>
      <c r="AD79" s="105">
        <v>7</v>
      </c>
      <c r="AE79" s="105">
        <v>3360</v>
      </c>
      <c r="AF79" s="105">
        <v>12</v>
      </c>
      <c r="AG79" s="105">
        <v>5760</v>
      </c>
      <c r="AH79" s="105">
        <v>10</v>
      </c>
      <c r="AI79" s="105">
        <v>4800</v>
      </c>
      <c r="AJ79" s="105">
        <v>8</v>
      </c>
      <c r="AK79" s="105">
        <v>3840</v>
      </c>
      <c r="AL79" s="105">
        <v>10</v>
      </c>
      <c r="AM79" s="105">
        <v>4800</v>
      </c>
      <c r="AN79" s="105">
        <v>7</v>
      </c>
      <c r="AO79" s="105">
        <v>3360</v>
      </c>
      <c r="AP79" s="105">
        <v>13</v>
      </c>
      <c r="AQ79" s="105">
        <v>6240</v>
      </c>
      <c r="AR79" s="105">
        <v>11</v>
      </c>
      <c r="AS79" s="105">
        <v>5280</v>
      </c>
      <c r="AT79" s="105">
        <v>7</v>
      </c>
      <c r="AU79" s="105">
        <v>3360</v>
      </c>
      <c r="AV79" s="105">
        <v>14</v>
      </c>
      <c r="AW79" s="105">
        <v>6720</v>
      </c>
      <c r="AX79" s="105">
        <v>9</v>
      </c>
      <c r="AY79" s="105">
        <v>4320</v>
      </c>
      <c r="AZ79" s="105">
        <v>11</v>
      </c>
      <c r="BA79" s="105">
        <v>5280</v>
      </c>
      <c r="BB79" s="105">
        <v>8</v>
      </c>
      <c r="BC79" s="105">
        <v>3840</v>
      </c>
      <c r="BD79" s="105">
        <v>11</v>
      </c>
      <c r="BE79" s="105">
        <v>5280</v>
      </c>
      <c r="BF79" s="105">
        <v>12</v>
      </c>
      <c r="BG79" s="105">
        <v>5760</v>
      </c>
      <c r="BH79" s="105">
        <v>8</v>
      </c>
      <c r="BI79" s="105">
        <v>3840</v>
      </c>
      <c r="BJ79" s="105">
        <v>9</v>
      </c>
      <c r="BK79" s="105">
        <v>4320</v>
      </c>
      <c r="BL79" s="105">
        <v>6</v>
      </c>
      <c r="BM79" s="105">
        <v>2880</v>
      </c>
      <c r="BN79" s="105">
        <v>8</v>
      </c>
      <c r="BO79" s="105">
        <v>3840</v>
      </c>
      <c r="BP79" s="105">
        <v>11</v>
      </c>
      <c r="BQ79" s="105">
        <v>5280</v>
      </c>
      <c r="BR79" s="105">
        <v>12</v>
      </c>
      <c r="BS79" s="105">
        <v>5760</v>
      </c>
      <c r="BT79" s="105">
        <v>8</v>
      </c>
      <c r="BU79" s="105">
        <v>3840</v>
      </c>
      <c r="BV79" s="105">
        <v>11</v>
      </c>
      <c r="BW79" s="105">
        <v>5280</v>
      </c>
      <c r="BX79" s="105">
        <v>10.332530120481938</v>
      </c>
      <c r="BY79" s="105">
        <v>4959.6144578313297</v>
      </c>
      <c r="BZ79" s="105">
        <v>10.729927007299271</v>
      </c>
      <c r="CA79" s="105">
        <v>5150.36496350365</v>
      </c>
      <c r="CB79" s="105">
        <v>9.7029702970297027</v>
      </c>
      <c r="CC79" s="105">
        <v>4657.4257425742571</v>
      </c>
      <c r="CD79" s="105">
        <v>10.661087866108787</v>
      </c>
      <c r="CE79" s="105">
        <v>5117.3221757322171</v>
      </c>
      <c r="CF79" s="105">
        <v>8.7405405405405414</v>
      </c>
      <c r="CG79" s="105">
        <v>4195.45945945946</v>
      </c>
      <c r="CH79" s="105">
        <v>7</v>
      </c>
      <c r="CI79" s="105">
        <v>3360</v>
      </c>
      <c r="CJ79" s="105">
        <v>10.238434163701069</v>
      </c>
      <c r="CK79" s="105">
        <v>4914.4483985765128</v>
      </c>
      <c r="CL79" s="105">
        <v>7.5241706161137447</v>
      </c>
      <c r="CM79" s="105">
        <v>3611.6018957345973</v>
      </c>
      <c r="CN79" s="105">
        <v>10.125461254612546</v>
      </c>
      <c r="CO79" s="105">
        <v>4860.2214022140215</v>
      </c>
      <c r="CP79" s="105">
        <v>9.4230769230769234</v>
      </c>
      <c r="CQ79" s="105">
        <v>4523.0769230769229</v>
      </c>
      <c r="CR79" s="105">
        <v>10.051282051282051</v>
      </c>
      <c r="CS79" s="105">
        <v>4824.6153846153848</v>
      </c>
      <c r="CT79" s="105">
        <v>7.7241379310344831</v>
      </c>
      <c r="CU79" s="105">
        <v>3707.5862068965521</v>
      </c>
    </row>
    <row r="80" spans="2:99" x14ac:dyDescent="0.2">
      <c r="C80" s="104" t="s">
        <v>248</v>
      </c>
      <c r="D80" s="105">
        <v>8</v>
      </c>
      <c r="E80" s="105">
        <v>6096</v>
      </c>
      <c r="F80" s="105">
        <v>7</v>
      </c>
      <c r="G80" s="105">
        <v>5334</v>
      </c>
      <c r="H80" s="105">
        <v>9</v>
      </c>
      <c r="I80" s="105">
        <v>6858</v>
      </c>
      <c r="J80" s="105">
        <v>10</v>
      </c>
      <c r="K80" s="105">
        <v>7620</v>
      </c>
      <c r="L80" s="105">
        <v>8.9592760180995477</v>
      </c>
      <c r="M80" s="105">
        <v>6826.968325791855</v>
      </c>
      <c r="N80" s="105">
        <v>9.2018779342723001</v>
      </c>
      <c r="O80" s="105">
        <v>7011.8309859154924</v>
      </c>
      <c r="P80" s="105">
        <v>9.882352941176471</v>
      </c>
      <c r="Q80" s="105">
        <v>7530.3529411764712</v>
      </c>
      <c r="R80" s="105">
        <v>9.7556561085972842</v>
      </c>
      <c r="S80" s="105">
        <v>7433.8099547511301</v>
      </c>
      <c r="T80" s="105">
        <v>11.078260869565218</v>
      </c>
      <c r="U80" s="105">
        <v>8441.6347826086967</v>
      </c>
      <c r="V80" s="105">
        <v>10.311304347826088</v>
      </c>
      <c r="W80" s="105">
        <v>7857.2139130434789</v>
      </c>
      <c r="X80" s="105">
        <v>10.474493927125508</v>
      </c>
      <c r="Y80" s="105">
        <v>7981.5643724696365</v>
      </c>
      <c r="Z80" s="105">
        <v>7</v>
      </c>
      <c r="AA80" s="105">
        <v>5334</v>
      </c>
      <c r="AB80" s="105">
        <v>11</v>
      </c>
      <c r="AC80" s="105">
        <v>8382</v>
      </c>
      <c r="AD80" s="105">
        <v>7</v>
      </c>
      <c r="AE80" s="105">
        <v>5334</v>
      </c>
      <c r="AF80" s="105">
        <v>11</v>
      </c>
      <c r="AG80" s="105">
        <v>8382</v>
      </c>
      <c r="AH80" s="105">
        <v>9</v>
      </c>
      <c r="AI80" s="105">
        <v>6858</v>
      </c>
      <c r="AJ80" s="105">
        <v>8</v>
      </c>
      <c r="AK80" s="105">
        <v>6096</v>
      </c>
      <c r="AL80" s="105">
        <v>10</v>
      </c>
      <c r="AM80" s="105">
        <v>7620</v>
      </c>
      <c r="AN80" s="105">
        <v>7</v>
      </c>
      <c r="AO80" s="105">
        <v>5334</v>
      </c>
      <c r="AP80" s="105">
        <v>11</v>
      </c>
      <c r="AQ80" s="105">
        <v>8382</v>
      </c>
      <c r="AR80" s="105">
        <v>11</v>
      </c>
      <c r="AS80" s="105">
        <v>8382</v>
      </c>
      <c r="AT80" s="105">
        <v>7</v>
      </c>
      <c r="AU80" s="105">
        <v>5334</v>
      </c>
      <c r="AV80" s="105">
        <v>11</v>
      </c>
      <c r="AW80" s="105">
        <v>8382</v>
      </c>
      <c r="AX80" s="105">
        <v>7</v>
      </c>
      <c r="AY80" s="105">
        <v>5334</v>
      </c>
      <c r="AZ80" s="105">
        <v>12</v>
      </c>
      <c r="BA80" s="105">
        <v>9144</v>
      </c>
      <c r="BB80" s="105">
        <v>8</v>
      </c>
      <c r="BC80" s="105">
        <v>6096</v>
      </c>
      <c r="BD80" s="105">
        <v>10</v>
      </c>
      <c r="BE80" s="105">
        <v>7620</v>
      </c>
      <c r="BF80" s="105">
        <v>14</v>
      </c>
      <c r="BG80" s="105">
        <v>10668</v>
      </c>
      <c r="BH80" s="105">
        <v>8</v>
      </c>
      <c r="BI80" s="105">
        <v>6096</v>
      </c>
      <c r="BJ80" s="105">
        <v>7</v>
      </c>
      <c r="BK80" s="105">
        <v>5334</v>
      </c>
      <c r="BL80" s="105">
        <v>7</v>
      </c>
      <c r="BM80" s="105">
        <v>5334</v>
      </c>
      <c r="BN80" s="105">
        <v>7</v>
      </c>
      <c r="BO80" s="105">
        <v>5334</v>
      </c>
      <c r="BP80" s="105">
        <v>10</v>
      </c>
      <c r="BQ80" s="105">
        <v>7620</v>
      </c>
      <c r="BR80" s="105">
        <v>12</v>
      </c>
      <c r="BS80" s="105">
        <v>9144</v>
      </c>
      <c r="BT80" s="105">
        <v>8</v>
      </c>
      <c r="BU80" s="105">
        <v>6096</v>
      </c>
      <c r="BV80" s="105">
        <v>11</v>
      </c>
      <c r="BW80" s="105">
        <v>8382</v>
      </c>
      <c r="BX80" s="105">
        <v>11.193574297188764</v>
      </c>
      <c r="BY80" s="105">
        <v>8529.5036144578389</v>
      </c>
      <c r="BZ80" s="105">
        <v>10.014598540145986</v>
      </c>
      <c r="CA80" s="105">
        <v>7631.1240875912417</v>
      </c>
      <c r="CB80" s="105">
        <v>7.7623762376237622</v>
      </c>
      <c r="CC80" s="105">
        <v>5914.9306930693065</v>
      </c>
      <c r="CD80" s="105">
        <v>9.8410041841004183</v>
      </c>
      <c r="CE80" s="105">
        <v>7498.8451882845184</v>
      </c>
      <c r="CF80" s="105">
        <v>7.1513513513513516</v>
      </c>
      <c r="CG80" s="105">
        <v>5449.3297297297295</v>
      </c>
      <c r="CH80" s="105">
        <v>7</v>
      </c>
      <c r="CI80" s="105">
        <v>5334</v>
      </c>
      <c r="CJ80" s="105">
        <v>9.5558718861209968</v>
      </c>
      <c r="CK80" s="105">
        <v>7281.5743772241995</v>
      </c>
      <c r="CL80" s="105">
        <v>9.1962085308056878</v>
      </c>
      <c r="CM80" s="105">
        <v>7007.5109004739343</v>
      </c>
      <c r="CN80" s="105">
        <v>10.125461254612546</v>
      </c>
      <c r="CO80" s="105">
        <v>7715.60147601476</v>
      </c>
      <c r="CP80" s="105">
        <v>10.365384615384615</v>
      </c>
      <c r="CQ80" s="105">
        <v>7898.4230769230762</v>
      </c>
      <c r="CR80" s="105">
        <v>9.3333333333333321</v>
      </c>
      <c r="CS80" s="105">
        <v>7111.9999999999991</v>
      </c>
      <c r="CT80" s="105">
        <v>8.6896551724137936</v>
      </c>
      <c r="CU80" s="105">
        <v>6621.5172413793107</v>
      </c>
    </row>
    <row r="81" spans="2:99" x14ac:dyDescent="0.2">
      <c r="C81" s="104" t="s">
        <v>249</v>
      </c>
      <c r="D81" s="105">
        <v>9</v>
      </c>
      <c r="E81" s="105">
        <v>5616</v>
      </c>
      <c r="F81" s="105">
        <v>6</v>
      </c>
      <c r="G81" s="105">
        <v>3744</v>
      </c>
      <c r="H81" s="105">
        <v>8</v>
      </c>
      <c r="I81" s="105">
        <v>4992</v>
      </c>
      <c r="J81" s="105">
        <v>11</v>
      </c>
      <c r="K81" s="105">
        <v>6864</v>
      </c>
      <c r="L81" s="105">
        <v>9.9547511312217196</v>
      </c>
      <c r="M81" s="105">
        <v>6211.7647058823532</v>
      </c>
      <c r="N81" s="105">
        <v>9.2018779342723001</v>
      </c>
      <c r="O81" s="105">
        <v>5741.9718309859154</v>
      </c>
      <c r="P81" s="105">
        <v>10.705882352941176</v>
      </c>
      <c r="Q81" s="105">
        <v>6680.4705882352937</v>
      </c>
      <c r="R81" s="105">
        <v>9.7556561085972842</v>
      </c>
      <c r="S81" s="105">
        <v>6087.5294117647054</v>
      </c>
      <c r="T81" s="105">
        <v>9.3739130434782609</v>
      </c>
      <c r="U81" s="105">
        <v>5849.3217391304352</v>
      </c>
      <c r="V81" s="105">
        <v>11.248695652173913</v>
      </c>
      <c r="W81" s="105">
        <v>7019.1860869565216</v>
      </c>
      <c r="X81" s="105">
        <v>11.347368421052632</v>
      </c>
      <c r="Y81" s="105">
        <v>7080.7578947368429</v>
      </c>
      <c r="Z81" s="105">
        <v>8</v>
      </c>
      <c r="AA81" s="105">
        <v>4992</v>
      </c>
      <c r="AB81" s="105">
        <v>10</v>
      </c>
      <c r="AC81" s="105">
        <v>6240</v>
      </c>
      <c r="AD81" s="105">
        <v>7</v>
      </c>
      <c r="AE81" s="105">
        <v>4368</v>
      </c>
      <c r="AF81" s="105">
        <v>10</v>
      </c>
      <c r="AG81" s="105">
        <v>6240</v>
      </c>
      <c r="AH81" s="105">
        <v>9</v>
      </c>
      <c r="AI81" s="105">
        <v>5616</v>
      </c>
      <c r="AJ81" s="105">
        <v>9</v>
      </c>
      <c r="AK81" s="105">
        <v>5616</v>
      </c>
      <c r="AL81" s="105">
        <v>9</v>
      </c>
      <c r="AM81" s="105">
        <v>5616</v>
      </c>
      <c r="AN81" s="105">
        <v>7</v>
      </c>
      <c r="AO81" s="105">
        <v>4368</v>
      </c>
      <c r="AP81" s="105">
        <v>13</v>
      </c>
      <c r="AQ81" s="105">
        <v>8112</v>
      </c>
      <c r="AR81" s="105">
        <v>11</v>
      </c>
      <c r="AS81" s="105">
        <v>6864</v>
      </c>
      <c r="AT81" s="105">
        <v>7</v>
      </c>
      <c r="AU81" s="105">
        <v>4368</v>
      </c>
      <c r="AV81" s="105">
        <v>12</v>
      </c>
      <c r="AW81" s="105">
        <v>7488</v>
      </c>
      <c r="AX81" s="105">
        <v>9</v>
      </c>
      <c r="AY81" s="105">
        <v>5616</v>
      </c>
      <c r="AZ81" s="105">
        <v>11</v>
      </c>
      <c r="BA81" s="105">
        <v>6864</v>
      </c>
      <c r="BB81" s="105">
        <v>8</v>
      </c>
      <c r="BC81" s="105">
        <v>4992</v>
      </c>
      <c r="BD81" s="105">
        <v>10</v>
      </c>
      <c r="BE81" s="105">
        <v>6240</v>
      </c>
      <c r="BF81" s="105">
        <v>14</v>
      </c>
      <c r="BG81" s="105">
        <v>8736</v>
      </c>
      <c r="BH81" s="105">
        <v>8</v>
      </c>
      <c r="BI81" s="105">
        <v>4992</v>
      </c>
      <c r="BJ81" s="105">
        <v>7</v>
      </c>
      <c r="BK81" s="105">
        <v>4368</v>
      </c>
      <c r="BL81" s="105">
        <v>7</v>
      </c>
      <c r="BM81" s="105">
        <v>4368</v>
      </c>
      <c r="BN81" s="105">
        <v>7</v>
      </c>
      <c r="BO81" s="105">
        <v>4368</v>
      </c>
      <c r="BP81" s="105">
        <v>12</v>
      </c>
      <c r="BQ81" s="105">
        <v>7488</v>
      </c>
      <c r="BR81" s="105">
        <v>12</v>
      </c>
      <c r="BS81" s="105">
        <v>7488</v>
      </c>
      <c r="BT81" s="105">
        <v>8</v>
      </c>
      <c r="BU81" s="105">
        <v>4992</v>
      </c>
      <c r="BV81" s="105">
        <v>11</v>
      </c>
      <c r="BW81" s="105">
        <v>6864</v>
      </c>
      <c r="BX81" s="105">
        <v>11.193574297188764</v>
      </c>
      <c r="BY81" s="105">
        <v>6984.7903614457891</v>
      </c>
      <c r="BZ81" s="105">
        <v>10.014598540145986</v>
      </c>
      <c r="CA81" s="105">
        <v>6249.1094890510949</v>
      </c>
      <c r="CB81" s="105">
        <v>7.7623762376237622</v>
      </c>
      <c r="CC81" s="105">
        <v>4843.7227722772277</v>
      </c>
      <c r="CD81" s="105">
        <v>9.02092050209205</v>
      </c>
      <c r="CE81" s="105">
        <v>5629.0543933054396</v>
      </c>
      <c r="CF81" s="105">
        <v>8.7405405405405414</v>
      </c>
      <c r="CG81" s="105">
        <v>5454.0972972972977</v>
      </c>
      <c r="CH81" s="105">
        <v>7</v>
      </c>
      <c r="CI81" s="105">
        <v>4368</v>
      </c>
      <c r="CJ81" s="105">
        <v>9.5558718861209968</v>
      </c>
      <c r="CK81" s="105">
        <v>5962.864056939502</v>
      </c>
      <c r="CL81" s="105">
        <v>8.3601895734597154</v>
      </c>
      <c r="CM81" s="105">
        <v>5216.7582938388623</v>
      </c>
      <c r="CN81" s="105">
        <v>9.4022140221402211</v>
      </c>
      <c r="CO81" s="105">
        <v>5866.9815498154976</v>
      </c>
      <c r="CP81" s="105">
        <v>10.365384615384615</v>
      </c>
      <c r="CQ81" s="105">
        <v>6468</v>
      </c>
      <c r="CR81" s="105">
        <v>9.3333333333333321</v>
      </c>
      <c r="CS81" s="105">
        <v>5823.9999999999991</v>
      </c>
      <c r="CT81" s="105">
        <v>7.7241379310344831</v>
      </c>
      <c r="CU81" s="105">
        <v>4819.8620689655172</v>
      </c>
    </row>
    <row r="82" spans="2:99" x14ac:dyDescent="0.2">
      <c r="C82" s="104" t="s">
        <v>250</v>
      </c>
      <c r="D82" s="105">
        <v>9</v>
      </c>
      <c r="E82" s="105">
        <v>3218.3999999999996</v>
      </c>
      <c r="F82" s="105">
        <v>7</v>
      </c>
      <c r="G82" s="105">
        <v>2503.1999999999998</v>
      </c>
      <c r="H82" s="105">
        <v>8</v>
      </c>
      <c r="I82" s="105">
        <v>2860.7999999999997</v>
      </c>
      <c r="J82" s="105">
        <v>10</v>
      </c>
      <c r="K82" s="105">
        <v>3575.9999999999995</v>
      </c>
      <c r="L82" s="105">
        <v>10.95022624434389</v>
      </c>
      <c r="M82" s="105">
        <v>3915.8009049773746</v>
      </c>
      <c r="N82" s="105">
        <v>10.122065727699532</v>
      </c>
      <c r="O82" s="105">
        <v>3619.6507042253525</v>
      </c>
      <c r="P82" s="105">
        <v>10.705882352941176</v>
      </c>
      <c r="Q82" s="105">
        <v>3828.4235294117639</v>
      </c>
      <c r="R82" s="105">
        <v>9.7556561085972842</v>
      </c>
      <c r="S82" s="105">
        <v>3488.6226244343884</v>
      </c>
      <c r="T82" s="105">
        <v>11.930434782608696</v>
      </c>
      <c r="U82" s="105">
        <v>4266.3234782608697</v>
      </c>
      <c r="V82" s="105">
        <v>10.311304347826088</v>
      </c>
      <c r="W82" s="105">
        <v>3687.3224347826085</v>
      </c>
      <c r="X82" s="105">
        <v>11.347368421052632</v>
      </c>
      <c r="Y82" s="105">
        <v>4057.818947368421</v>
      </c>
      <c r="Z82" s="105">
        <v>7</v>
      </c>
      <c r="AA82" s="105">
        <v>2503.1999999999998</v>
      </c>
      <c r="AB82" s="105">
        <v>11</v>
      </c>
      <c r="AC82" s="105">
        <v>3933.5999999999995</v>
      </c>
      <c r="AD82" s="105">
        <v>7</v>
      </c>
      <c r="AE82" s="105">
        <v>2503.1999999999998</v>
      </c>
      <c r="AF82" s="105">
        <v>11</v>
      </c>
      <c r="AG82" s="105">
        <v>3933.5999999999995</v>
      </c>
      <c r="AH82" s="105">
        <v>10</v>
      </c>
      <c r="AI82" s="105">
        <v>3575.9999999999995</v>
      </c>
      <c r="AJ82" s="105">
        <v>10</v>
      </c>
      <c r="AK82" s="105">
        <v>3575.9999999999995</v>
      </c>
      <c r="AL82" s="105">
        <v>10</v>
      </c>
      <c r="AM82" s="105">
        <v>3575.9999999999995</v>
      </c>
      <c r="AN82" s="105">
        <v>8</v>
      </c>
      <c r="AO82" s="105">
        <v>2860.7999999999997</v>
      </c>
      <c r="AP82" s="105">
        <v>11</v>
      </c>
      <c r="AQ82" s="105">
        <v>3933.5999999999995</v>
      </c>
      <c r="AR82" s="105">
        <v>10</v>
      </c>
      <c r="AS82" s="105">
        <v>3575.9999999999995</v>
      </c>
      <c r="AT82" s="105">
        <v>7</v>
      </c>
      <c r="AU82" s="105">
        <v>2503.1999999999998</v>
      </c>
      <c r="AV82" s="105">
        <v>13</v>
      </c>
      <c r="AW82" s="105">
        <v>4648.7999999999993</v>
      </c>
      <c r="AX82" s="105">
        <v>8</v>
      </c>
      <c r="AY82" s="105">
        <v>2860.7999999999997</v>
      </c>
      <c r="AZ82" s="105">
        <v>11</v>
      </c>
      <c r="BA82" s="105">
        <v>3933.5999999999995</v>
      </c>
      <c r="BB82" s="105">
        <v>9</v>
      </c>
      <c r="BC82" s="105">
        <v>3218.3999999999996</v>
      </c>
      <c r="BD82" s="105">
        <v>11</v>
      </c>
      <c r="BE82" s="105">
        <v>3933.5999999999995</v>
      </c>
      <c r="BF82" s="105">
        <v>14</v>
      </c>
      <c r="BG82" s="105">
        <v>5006.3999999999996</v>
      </c>
      <c r="BH82" s="105">
        <v>9</v>
      </c>
      <c r="BI82" s="105">
        <v>3218.3999999999996</v>
      </c>
      <c r="BJ82" s="105">
        <v>7</v>
      </c>
      <c r="BK82" s="105">
        <v>2503.1999999999998</v>
      </c>
      <c r="BL82" s="105">
        <v>7</v>
      </c>
      <c r="BM82" s="105">
        <v>2503.1999999999998</v>
      </c>
      <c r="BN82" s="105">
        <v>8</v>
      </c>
      <c r="BO82" s="105">
        <v>2860.7999999999997</v>
      </c>
      <c r="BP82" s="105">
        <v>11</v>
      </c>
      <c r="BQ82" s="105">
        <v>3933.5999999999995</v>
      </c>
      <c r="BR82" s="105">
        <v>12</v>
      </c>
      <c r="BS82" s="105">
        <v>4291.2</v>
      </c>
      <c r="BT82" s="105">
        <v>9</v>
      </c>
      <c r="BU82" s="105">
        <v>3218.3999999999996</v>
      </c>
      <c r="BV82" s="105">
        <v>11</v>
      </c>
      <c r="BW82" s="105">
        <v>3933.5999999999995</v>
      </c>
      <c r="BX82" s="105">
        <v>11.193574297188764</v>
      </c>
      <c r="BY82" s="105">
        <v>4002.8221686747015</v>
      </c>
      <c r="BZ82" s="105">
        <v>10.014598540145986</v>
      </c>
      <c r="CA82" s="105">
        <v>3581.2204379562045</v>
      </c>
      <c r="CB82" s="105">
        <v>8.7326732673267315</v>
      </c>
      <c r="CC82" s="105">
        <v>3122.8039603960387</v>
      </c>
      <c r="CD82" s="105">
        <v>10.661087866108787</v>
      </c>
      <c r="CE82" s="105">
        <v>3812.4050209205016</v>
      </c>
      <c r="CF82" s="105">
        <v>7.9459459459459456</v>
      </c>
      <c r="CG82" s="105">
        <v>2841.4702702702698</v>
      </c>
      <c r="CH82" s="105">
        <v>8</v>
      </c>
      <c r="CI82" s="105">
        <v>2860.7999999999997</v>
      </c>
      <c r="CJ82" s="105">
        <v>9.5558718861209968</v>
      </c>
      <c r="CK82" s="105">
        <v>3417.1797864768682</v>
      </c>
      <c r="CL82" s="105">
        <v>8.3601895734597154</v>
      </c>
      <c r="CM82" s="105">
        <v>2989.6037914691938</v>
      </c>
      <c r="CN82" s="105">
        <v>10.125461254612546</v>
      </c>
      <c r="CO82" s="105">
        <v>3620.864944649446</v>
      </c>
      <c r="CP82" s="105">
        <v>9.4230769230769234</v>
      </c>
      <c r="CQ82" s="105">
        <v>3369.6923076923076</v>
      </c>
      <c r="CR82" s="105">
        <v>10.769230769230768</v>
      </c>
      <c r="CS82" s="105">
        <v>3851.0769230769224</v>
      </c>
      <c r="CT82" s="105">
        <v>8.6896551724137936</v>
      </c>
      <c r="CU82" s="105">
        <v>3107.4206896551723</v>
      </c>
    </row>
    <row r="83" spans="2:99" x14ac:dyDescent="0.2">
      <c r="C83" s="104" t="s">
        <v>251</v>
      </c>
      <c r="D83" s="105">
        <v>8</v>
      </c>
      <c r="E83" s="105">
        <v>4780.8</v>
      </c>
      <c r="F83" s="105">
        <v>7</v>
      </c>
      <c r="G83" s="105">
        <v>4183.2</v>
      </c>
      <c r="H83" s="105">
        <v>9</v>
      </c>
      <c r="I83" s="105">
        <v>5378.4000000000005</v>
      </c>
      <c r="J83" s="105">
        <v>11</v>
      </c>
      <c r="K83" s="105">
        <v>6573.6</v>
      </c>
      <c r="L83" s="105">
        <v>10.95022624434389</v>
      </c>
      <c r="M83" s="105">
        <v>6543.8552036199089</v>
      </c>
      <c r="N83" s="105">
        <v>10.122065727699532</v>
      </c>
      <c r="O83" s="105">
        <v>6048.9464788732403</v>
      </c>
      <c r="P83" s="105">
        <v>9.0588235294117645</v>
      </c>
      <c r="Q83" s="105">
        <v>5413.552941176471</v>
      </c>
      <c r="R83" s="105">
        <v>10.642533936651583</v>
      </c>
      <c r="S83" s="105">
        <v>6359.9782805429868</v>
      </c>
      <c r="T83" s="105">
        <v>9.3739130434782609</v>
      </c>
      <c r="U83" s="105">
        <v>5601.8504347826092</v>
      </c>
      <c r="V83" s="105">
        <v>10.311304347826088</v>
      </c>
      <c r="W83" s="105">
        <v>6162.0354782608701</v>
      </c>
      <c r="X83" s="105">
        <v>11.347368421052632</v>
      </c>
      <c r="Y83" s="105">
        <v>6781.1873684210532</v>
      </c>
      <c r="Z83" s="105">
        <v>7</v>
      </c>
      <c r="AA83" s="105">
        <v>4183.2</v>
      </c>
      <c r="AB83" s="105">
        <v>10</v>
      </c>
      <c r="AC83" s="105">
        <v>5976</v>
      </c>
      <c r="AD83" s="105">
        <v>7</v>
      </c>
      <c r="AE83" s="105">
        <v>4183.2</v>
      </c>
      <c r="AF83" s="105">
        <v>11</v>
      </c>
      <c r="AG83" s="105">
        <v>6573.6</v>
      </c>
      <c r="AH83" s="105">
        <v>9</v>
      </c>
      <c r="AI83" s="105">
        <v>5378.4000000000005</v>
      </c>
      <c r="AJ83" s="105">
        <v>9</v>
      </c>
      <c r="AK83" s="105">
        <v>5378.4000000000005</v>
      </c>
      <c r="AL83" s="105">
        <v>10</v>
      </c>
      <c r="AM83" s="105">
        <v>5976</v>
      </c>
      <c r="AN83" s="105">
        <v>7</v>
      </c>
      <c r="AO83" s="105">
        <v>4183.2</v>
      </c>
      <c r="AP83" s="105">
        <v>12</v>
      </c>
      <c r="AQ83" s="105">
        <v>7171.2000000000007</v>
      </c>
      <c r="AR83" s="105">
        <v>11</v>
      </c>
      <c r="AS83" s="105">
        <v>6573.6</v>
      </c>
      <c r="AT83" s="105">
        <v>7</v>
      </c>
      <c r="AU83" s="105">
        <v>4183.2</v>
      </c>
      <c r="AV83" s="105">
        <v>11</v>
      </c>
      <c r="AW83" s="105">
        <v>6573.6</v>
      </c>
      <c r="AX83" s="105">
        <v>8</v>
      </c>
      <c r="AY83" s="105">
        <v>4780.8</v>
      </c>
      <c r="AZ83" s="105">
        <v>10</v>
      </c>
      <c r="BA83" s="105">
        <v>5976</v>
      </c>
      <c r="BB83" s="105">
        <v>10</v>
      </c>
      <c r="BC83" s="105">
        <v>5976</v>
      </c>
      <c r="BD83" s="105">
        <v>9</v>
      </c>
      <c r="BE83" s="105">
        <v>5378.4000000000005</v>
      </c>
      <c r="BF83" s="105">
        <v>12</v>
      </c>
      <c r="BG83" s="105">
        <v>7171.2000000000007</v>
      </c>
      <c r="BH83" s="105">
        <v>9</v>
      </c>
      <c r="BI83" s="105">
        <v>5378.4000000000005</v>
      </c>
      <c r="BJ83" s="105">
        <v>8</v>
      </c>
      <c r="BK83" s="105">
        <v>4780.8</v>
      </c>
      <c r="BL83" s="105">
        <v>7</v>
      </c>
      <c r="BM83" s="105">
        <v>4183.2</v>
      </c>
      <c r="BN83" s="105">
        <v>8</v>
      </c>
      <c r="BO83" s="105">
        <v>4780.8</v>
      </c>
      <c r="BP83" s="105">
        <v>11</v>
      </c>
      <c r="BQ83" s="105">
        <v>6573.6</v>
      </c>
      <c r="BR83" s="105">
        <v>12</v>
      </c>
      <c r="BS83" s="105">
        <v>7171.2000000000007</v>
      </c>
      <c r="BT83" s="105">
        <v>8</v>
      </c>
      <c r="BU83" s="105">
        <v>4780.8</v>
      </c>
      <c r="BV83" s="105">
        <v>9</v>
      </c>
      <c r="BW83" s="105">
        <v>5378.4000000000005</v>
      </c>
      <c r="BX83" s="105">
        <v>11.193574297188764</v>
      </c>
      <c r="BY83" s="105">
        <v>6689.2800000000061</v>
      </c>
      <c r="BZ83" s="105">
        <v>10.014598540145986</v>
      </c>
      <c r="CA83" s="105">
        <v>5984.7240875912412</v>
      </c>
      <c r="CB83" s="105">
        <v>8.7326732673267315</v>
      </c>
      <c r="CC83" s="105">
        <v>5218.6455445544552</v>
      </c>
      <c r="CD83" s="105">
        <v>9.02092050209205</v>
      </c>
      <c r="CE83" s="105">
        <v>5390.9020920502089</v>
      </c>
      <c r="CF83" s="105">
        <v>8.7405405405405414</v>
      </c>
      <c r="CG83" s="105">
        <v>5223.3470270270282</v>
      </c>
      <c r="CH83" s="105">
        <v>7</v>
      </c>
      <c r="CI83" s="105">
        <v>4183.2</v>
      </c>
      <c r="CJ83" s="105">
        <v>10.238434163701069</v>
      </c>
      <c r="CK83" s="105">
        <v>6118.4882562277589</v>
      </c>
      <c r="CL83" s="105">
        <v>7.5241706161137447</v>
      </c>
      <c r="CM83" s="105">
        <v>4496.4443601895737</v>
      </c>
      <c r="CN83" s="105">
        <v>10.84870848708487</v>
      </c>
      <c r="CO83" s="105">
        <v>6483.188191881919</v>
      </c>
      <c r="CP83" s="105">
        <v>10.365384615384615</v>
      </c>
      <c r="CQ83" s="105">
        <v>6194.3538461538465</v>
      </c>
      <c r="CR83" s="105">
        <v>10.051282051282051</v>
      </c>
      <c r="CS83" s="105">
        <v>6006.6461538461535</v>
      </c>
      <c r="CT83" s="105">
        <v>8.6896551724137936</v>
      </c>
      <c r="CU83" s="105">
        <v>5192.937931034483</v>
      </c>
    </row>
    <row r="84" spans="2:99" x14ac:dyDescent="0.2">
      <c r="C84" s="104" t="s">
        <v>252</v>
      </c>
      <c r="D84" s="105">
        <v>8</v>
      </c>
      <c r="E84" s="105">
        <v>4089.6</v>
      </c>
      <c r="F84" s="105">
        <v>7</v>
      </c>
      <c r="G84" s="105">
        <v>3578.4</v>
      </c>
      <c r="H84" s="105">
        <v>8</v>
      </c>
      <c r="I84" s="105">
        <v>4089.6</v>
      </c>
      <c r="J84" s="105">
        <v>11</v>
      </c>
      <c r="K84" s="105">
        <v>5623.2</v>
      </c>
      <c r="L84" s="105">
        <v>9.9547511312217196</v>
      </c>
      <c r="M84" s="105">
        <v>5088.8687782805428</v>
      </c>
      <c r="N84" s="105">
        <v>9.2018779342723001</v>
      </c>
      <c r="O84" s="105">
        <v>4704</v>
      </c>
      <c r="P84" s="105">
        <v>9.0588235294117645</v>
      </c>
      <c r="Q84" s="105">
        <v>4630.8705882352942</v>
      </c>
      <c r="R84" s="105">
        <v>8.8687782805429869</v>
      </c>
      <c r="S84" s="105">
        <v>4533.7194570135744</v>
      </c>
      <c r="T84" s="105">
        <v>10.226086956521739</v>
      </c>
      <c r="U84" s="105">
        <v>5227.5756521739131</v>
      </c>
      <c r="V84" s="105">
        <v>10.311304347826088</v>
      </c>
      <c r="W84" s="105">
        <v>5271.1387826086957</v>
      </c>
      <c r="X84" s="105">
        <v>11.347368421052632</v>
      </c>
      <c r="Y84" s="105">
        <v>5800.7747368421051</v>
      </c>
      <c r="Z84" s="105">
        <v>7</v>
      </c>
      <c r="AA84" s="105">
        <v>3578.4</v>
      </c>
      <c r="AB84" s="105">
        <v>12</v>
      </c>
      <c r="AC84" s="105">
        <v>6134.4</v>
      </c>
      <c r="AD84" s="105">
        <v>8</v>
      </c>
      <c r="AE84" s="105">
        <v>4089.6</v>
      </c>
      <c r="AF84" s="105">
        <v>11</v>
      </c>
      <c r="AG84" s="105">
        <v>5623.2</v>
      </c>
      <c r="AH84" s="105">
        <v>10</v>
      </c>
      <c r="AI84" s="105">
        <v>5112</v>
      </c>
      <c r="AJ84" s="105">
        <v>8</v>
      </c>
      <c r="AK84" s="105">
        <v>4089.6</v>
      </c>
      <c r="AL84" s="105">
        <v>9</v>
      </c>
      <c r="AM84" s="105">
        <v>4600.8</v>
      </c>
      <c r="AN84" s="105">
        <v>7</v>
      </c>
      <c r="AO84" s="105">
        <v>3578.4</v>
      </c>
      <c r="AP84" s="105">
        <v>13</v>
      </c>
      <c r="AQ84" s="105">
        <v>6645.5999999999995</v>
      </c>
      <c r="AR84" s="105">
        <v>11</v>
      </c>
      <c r="AS84" s="105">
        <v>5623.2</v>
      </c>
      <c r="AT84" s="105">
        <v>8</v>
      </c>
      <c r="AU84" s="105">
        <v>4089.6</v>
      </c>
      <c r="AV84" s="105">
        <v>12</v>
      </c>
      <c r="AW84" s="105">
        <v>6134.4</v>
      </c>
      <c r="AX84" s="105">
        <v>8</v>
      </c>
      <c r="AY84" s="105">
        <v>4089.6</v>
      </c>
      <c r="AZ84" s="105">
        <v>11</v>
      </c>
      <c r="BA84" s="105">
        <v>5623.2</v>
      </c>
      <c r="BB84" s="105">
        <v>10</v>
      </c>
      <c r="BC84" s="105">
        <v>5112</v>
      </c>
      <c r="BD84" s="105">
        <v>9</v>
      </c>
      <c r="BE84" s="105">
        <v>4600.8</v>
      </c>
      <c r="BF84" s="105">
        <v>14</v>
      </c>
      <c r="BG84" s="105">
        <v>7156.8</v>
      </c>
      <c r="BH84" s="105">
        <v>8</v>
      </c>
      <c r="BI84" s="105">
        <v>4089.6</v>
      </c>
      <c r="BJ84" s="105">
        <v>9</v>
      </c>
      <c r="BK84" s="105">
        <v>4600.8</v>
      </c>
      <c r="BL84" s="105">
        <v>7</v>
      </c>
      <c r="BM84" s="105">
        <v>3578.4</v>
      </c>
      <c r="BN84" s="105">
        <v>8</v>
      </c>
      <c r="BO84" s="105">
        <v>4089.6</v>
      </c>
      <c r="BP84" s="105">
        <v>12</v>
      </c>
      <c r="BQ84" s="105">
        <v>6134.4</v>
      </c>
      <c r="BR84" s="105">
        <v>11</v>
      </c>
      <c r="BS84" s="105">
        <v>5623.2</v>
      </c>
      <c r="BT84" s="105">
        <v>9</v>
      </c>
      <c r="BU84" s="105">
        <v>4600.8</v>
      </c>
      <c r="BV84" s="105">
        <v>11</v>
      </c>
      <c r="BW84" s="105">
        <v>5623.2</v>
      </c>
      <c r="BX84" s="105">
        <v>12.054618473895593</v>
      </c>
      <c r="BY84" s="105">
        <v>6162.3209638554272</v>
      </c>
      <c r="BZ84" s="105">
        <v>10.729927007299271</v>
      </c>
      <c r="CA84" s="105">
        <v>5485.1386861313867</v>
      </c>
      <c r="CB84" s="105">
        <v>9.7029702970297027</v>
      </c>
      <c r="CC84" s="105">
        <v>4960.1584158415835</v>
      </c>
      <c r="CD84" s="105">
        <v>10.661087866108787</v>
      </c>
      <c r="CE84" s="105">
        <v>5449.9481171548114</v>
      </c>
      <c r="CF84" s="105">
        <v>7.9459459459459456</v>
      </c>
      <c r="CG84" s="105">
        <v>4061.9675675675671</v>
      </c>
      <c r="CH84" s="105">
        <v>8</v>
      </c>
      <c r="CI84" s="105">
        <v>4089.6</v>
      </c>
      <c r="CJ84" s="105">
        <v>8.8733096085409251</v>
      </c>
      <c r="CK84" s="105">
        <v>4536.0358718861207</v>
      </c>
      <c r="CL84" s="105">
        <v>8.3601895734597154</v>
      </c>
      <c r="CM84" s="105">
        <v>4273.728909952606</v>
      </c>
      <c r="CN84" s="105">
        <v>9.4022140221402211</v>
      </c>
      <c r="CO84" s="105">
        <v>4806.4118081180814</v>
      </c>
      <c r="CP84" s="105">
        <v>9.4230769230769234</v>
      </c>
      <c r="CQ84" s="105">
        <v>4817.0769230769229</v>
      </c>
      <c r="CR84" s="105">
        <v>10.051282051282051</v>
      </c>
      <c r="CS84" s="105">
        <v>5138.2153846153842</v>
      </c>
      <c r="CT84" s="105">
        <v>7.7241379310344831</v>
      </c>
      <c r="CU84" s="105">
        <v>3948.5793103448277</v>
      </c>
    </row>
    <row r="85" spans="2:99" x14ac:dyDescent="0.2">
      <c r="C85" s="104" t="s">
        <v>253</v>
      </c>
      <c r="D85" s="105">
        <v>8</v>
      </c>
      <c r="E85" s="105">
        <v>2179.1999999999998</v>
      </c>
      <c r="F85" s="105">
        <v>7</v>
      </c>
      <c r="G85" s="105">
        <v>1906.7999999999997</v>
      </c>
      <c r="H85" s="105">
        <v>9</v>
      </c>
      <c r="I85" s="105">
        <v>2451.6</v>
      </c>
      <c r="J85" s="105">
        <v>11</v>
      </c>
      <c r="K85" s="105">
        <v>2996.3999999999996</v>
      </c>
      <c r="L85" s="105">
        <v>9.9547511312217196</v>
      </c>
      <c r="M85" s="105">
        <v>2711.674208144796</v>
      </c>
      <c r="N85" s="105">
        <v>10.122065727699532</v>
      </c>
      <c r="O85" s="105">
        <v>2757.2507042253524</v>
      </c>
      <c r="P85" s="105">
        <v>9.882352941176471</v>
      </c>
      <c r="Q85" s="105">
        <v>2691.9529411764706</v>
      </c>
      <c r="R85" s="105">
        <v>10.642533936651583</v>
      </c>
      <c r="S85" s="105">
        <v>2899.026244343891</v>
      </c>
      <c r="T85" s="105">
        <v>11.078260869565218</v>
      </c>
      <c r="U85" s="105">
        <v>3017.7182608695653</v>
      </c>
      <c r="V85" s="105">
        <v>11.248695652173913</v>
      </c>
      <c r="W85" s="105">
        <v>3064.1446956521736</v>
      </c>
      <c r="X85" s="105">
        <v>10.474493927125508</v>
      </c>
      <c r="Y85" s="105">
        <v>2853.2521457489879</v>
      </c>
      <c r="Z85" s="105">
        <v>8</v>
      </c>
      <c r="AA85" s="105">
        <v>2179.1999999999998</v>
      </c>
      <c r="AB85" s="105">
        <v>11</v>
      </c>
      <c r="AC85" s="105">
        <v>2996.3999999999996</v>
      </c>
      <c r="AD85" s="105">
        <v>7</v>
      </c>
      <c r="AE85" s="105">
        <v>1906.7999999999997</v>
      </c>
      <c r="AF85" s="105">
        <v>13</v>
      </c>
      <c r="AG85" s="105">
        <v>3541.2</v>
      </c>
      <c r="AH85" s="105">
        <v>11</v>
      </c>
      <c r="AI85" s="105">
        <v>2996.3999999999996</v>
      </c>
      <c r="AJ85" s="105">
        <v>10</v>
      </c>
      <c r="AK85" s="105">
        <v>2724</v>
      </c>
      <c r="AL85" s="105">
        <v>10</v>
      </c>
      <c r="AM85" s="105">
        <v>2724</v>
      </c>
      <c r="AN85" s="105">
        <v>8</v>
      </c>
      <c r="AO85" s="105">
        <v>2179.1999999999998</v>
      </c>
      <c r="AP85" s="105">
        <v>13</v>
      </c>
      <c r="AQ85" s="105">
        <v>3541.2</v>
      </c>
      <c r="AR85" s="105">
        <v>11</v>
      </c>
      <c r="AS85" s="105">
        <v>2996.3999999999996</v>
      </c>
      <c r="AT85" s="105">
        <v>7</v>
      </c>
      <c r="AU85" s="105">
        <v>1906.7999999999997</v>
      </c>
      <c r="AV85" s="105">
        <v>12</v>
      </c>
      <c r="AW85" s="105">
        <v>3268.7999999999997</v>
      </c>
      <c r="AX85" s="105">
        <v>9</v>
      </c>
      <c r="AY85" s="105">
        <v>2451.6</v>
      </c>
      <c r="AZ85" s="105">
        <v>11</v>
      </c>
      <c r="BA85" s="105">
        <v>2996.3999999999996</v>
      </c>
      <c r="BB85" s="105">
        <v>9</v>
      </c>
      <c r="BC85" s="105">
        <v>2451.6</v>
      </c>
      <c r="BD85" s="105">
        <v>11</v>
      </c>
      <c r="BE85" s="105">
        <v>2996.3999999999996</v>
      </c>
      <c r="BF85" s="105">
        <v>15</v>
      </c>
      <c r="BG85" s="105">
        <v>4085.9999999999995</v>
      </c>
      <c r="BH85" s="105">
        <v>8</v>
      </c>
      <c r="BI85" s="105">
        <v>2179.1999999999998</v>
      </c>
      <c r="BJ85" s="105">
        <v>8</v>
      </c>
      <c r="BK85" s="105">
        <v>2179.1999999999998</v>
      </c>
      <c r="BL85" s="105">
        <v>7</v>
      </c>
      <c r="BM85" s="105">
        <v>1906.7999999999997</v>
      </c>
      <c r="BN85" s="105">
        <v>8</v>
      </c>
      <c r="BO85" s="105">
        <v>2179.1999999999998</v>
      </c>
      <c r="BP85" s="105">
        <v>12</v>
      </c>
      <c r="BQ85" s="105">
        <v>3268.7999999999997</v>
      </c>
      <c r="BR85" s="105">
        <v>11</v>
      </c>
      <c r="BS85" s="105">
        <v>2996.3999999999996</v>
      </c>
      <c r="BT85" s="105">
        <v>10</v>
      </c>
      <c r="BU85" s="105">
        <v>2724</v>
      </c>
      <c r="BV85" s="105">
        <v>10</v>
      </c>
      <c r="BW85" s="105">
        <v>2724</v>
      </c>
      <c r="BX85" s="105">
        <v>11.193574297188764</v>
      </c>
      <c r="BY85" s="105">
        <v>3049.1296385542191</v>
      </c>
      <c r="BZ85" s="105">
        <v>10.729927007299271</v>
      </c>
      <c r="CA85" s="105">
        <v>2922.8321167883209</v>
      </c>
      <c r="CB85" s="105">
        <v>9.7029702970297027</v>
      </c>
      <c r="CC85" s="105">
        <v>2643.0891089108909</v>
      </c>
      <c r="CD85" s="105">
        <v>9.02092050209205</v>
      </c>
      <c r="CE85" s="105">
        <v>2457.2987447698742</v>
      </c>
      <c r="CF85" s="105">
        <v>8.7405405405405414</v>
      </c>
      <c r="CG85" s="105">
        <v>2380.9232432432432</v>
      </c>
      <c r="CH85" s="105">
        <v>8</v>
      </c>
      <c r="CI85" s="105">
        <v>2179.1999999999998</v>
      </c>
      <c r="CJ85" s="105">
        <v>9.5558718861209968</v>
      </c>
      <c r="CK85" s="105">
        <v>2603.0195017793594</v>
      </c>
      <c r="CL85" s="105">
        <v>8.3601895734597154</v>
      </c>
      <c r="CM85" s="105">
        <v>2277.3156398104261</v>
      </c>
      <c r="CN85" s="105">
        <v>10.125461254612546</v>
      </c>
      <c r="CO85" s="105">
        <v>2758.175645756457</v>
      </c>
      <c r="CP85" s="105">
        <v>10.365384615384615</v>
      </c>
      <c r="CQ85" s="105">
        <v>2823.5307692307688</v>
      </c>
      <c r="CR85" s="105">
        <v>10.769230769230768</v>
      </c>
      <c r="CS85" s="105">
        <v>2933.538461538461</v>
      </c>
      <c r="CT85" s="105">
        <v>7.7241379310344831</v>
      </c>
      <c r="CU85" s="105">
        <v>2104.0551724137931</v>
      </c>
    </row>
    <row r="86" spans="2:99" x14ac:dyDescent="0.2">
      <c r="C86" s="104" t="s">
        <v>254</v>
      </c>
      <c r="D86" s="105">
        <v>9</v>
      </c>
      <c r="E86" s="105">
        <v>4460.3999999999996</v>
      </c>
      <c r="F86" s="105">
        <v>6</v>
      </c>
      <c r="G86" s="105">
        <v>2973.6</v>
      </c>
      <c r="H86" s="105">
        <v>9</v>
      </c>
      <c r="I86" s="105">
        <v>4460.3999999999996</v>
      </c>
      <c r="J86" s="105">
        <v>11</v>
      </c>
      <c r="K86" s="105">
        <v>5451.5999999999995</v>
      </c>
      <c r="L86" s="105">
        <v>11.945701357466064</v>
      </c>
      <c r="M86" s="105">
        <v>5920.2895927601803</v>
      </c>
      <c r="N86" s="105">
        <v>9.2018779342723001</v>
      </c>
      <c r="O86" s="105">
        <v>4560.4507042253517</v>
      </c>
      <c r="P86" s="105">
        <v>9.0588235294117645</v>
      </c>
      <c r="Q86" s="105">
        <v>4489.5529411764701</v>
      </c>
      <c r="R86" s="105">
        <v>9.7556561085972842</v>
      </c>
      <c r="S86" s="105">
        <v>4834.9031674208136</v>
      </c>
      <c r="T86" s="105">
        <v>10.226086956521739</v>
      </c>
      <c r="U86" s="105">
        <v>5068.0486956521736</v>
      </c>
      <c r="V86" s="105">
        <v>11.248695652173913</v>
      </c>
      <c r="W86" s="105">
        <v>5574.8535652173905</v>
      </c>
      <c r="X86" s="105">
        <v>10.474493927125508</v>
      </c>
      <c r="Y86" s="105">
        <v>5191.1591902834016</v>
      </c>
      <c r="Z86" s="105">
        <v>7</v>
      </c>
      <c r="AA86" s="105">
        <v>3469.2</v>
      </c>
      <c r="AB86" s="105">
        <v>10</v>
      </c>
      <c r="AC86" s="105">
        <v>4956</v>
      </c>
      <c r="AD86" s="105">
        <v>7</v>
      </c>
      <c r="AE86" s="105">
        <v>3469.2</v>
      </c>
      <c r="AF86" s="105">
        <v>11</v>
      </c>
      <c r="AG86" s="105">
        <v>5451.5999999999995</v>
      </c>
      <c r="AH86" s="105">
        <v>10</v>
      </c>
      <c r="AI86" s="105">
        <v>4956</v>
      </c>
      <c r="AJ86" s="105">
        <v>8</v>
      </c>
      <c r="AK86" s="105">
        <v>3964.7999999999997</v>
      </c>
      <c r="AL86" s="105">
        <v>10</v>
      </c>
      <c r="AM86" s="105">
        <v>4956</v>
      </c>
      <c r="AN86" s="105">
        <v>8</v>
      </c>
      <c r="AO86" s="105">
        <v>3964.7999999999997</v>
      </c>
      <c r="AP86" s="105">
        <v>13</v>
      </c>
      <c r="AQ86" s="105">
        <v>6442.7999999999993</v>
      </c>
      <c r="AR86" s="105">
        <v>10</v>
      </c>
      <c r="AS86" s="105">
        <v>4956</v>
      </c>
      <c r="AT86" s="105">
        <v>6</v>
      </c>
      <c r="AU86" s="105">
        <v>2973.6</v>
      </c>
      <c r="AV86" s="105">
        <v>12</v>
      </c>
      <c r="AW86" s="105">
        <v>5947.2</v>
      </c>
      <c r="AX86" s="105">
        <v>8</v>
      </c>
      <c r="AY86" s="105">
        <v>3964.7999999999997</v>
      </c>
      <c r="AZ86" s="105">
        <v>11</v>
      </c>
      <c r="BA86" s="105">
        <v>5451.5999999999995</v>
      </c>
      <c r="BB86" s="105">
        <v>9</v>
      </c>
      <c r="BC86" s="105">
        <v>4460.3999999999996</v>
      </c>
      <c r="BD86" s="105">
        <v>11</v>
      </c>
      <c r="BE86" s="105">
        <v>5451.5999999999995</v>
      </c>
      <c r="BF86" s="105">
        <v>14</v>
      </c>
      <c r="BG86" s="105">
        <v>6938.4</v>
      </c>
      <c r="BH86" s="105">
        <v>9</v>
      </c>
      <c r="BI86" s="105">
        <v>4460.3999999999996</v>
      </c>
      <c r="BJ86" s="105">
        <v>8</v>
      </c>
      <c r="BK86" s="105">
        <v>3964.7999999999997</v>
      </c>
      <c r="BL86" s="105">
        <v>7</v>
      </c>
      <c r="BM86" s="105">
        <v>3469.2</v>
      </c>
      <c r="BN86" s="105">
        <v>8</v>
      </c>
      <c r="BO86" s="105">
        <v>3964.7999999999997</v>
      </c>
      <c r="BP86" s="105">
        <v>10</v>
      </c>
      <c r="BQ86" s="105">
        <v>4956</v>
      </c>
      <c r="BR86" s="105">
        <v>11</v>
      </c>
      <c r="BS86" s="105">
        <v>5451.5999999999995</v>
      </c>
      <c r="BT86" s="105">
        <v>8</v>
      </c>
      <c r="BU86" s="105">
        <v>3964.7999999999997</v>
      </c>
      <c r="BV86" s="105">
        <v>10</v>
      </c>
      <c r="BW86" s="105">
        <v>4956</v>
      </c>
      <c r="BX86" s="105">
        <v>12.054618473895593</v>
      </c>
      <c r="BY86" s="105">
        <v>5974.2689156626557</v>
      </c>
      <c r="BZ86" s="105">
        <v>9.2992700729926998</v>
      </c>
      <c r="CA86" s="105">
        <v>4608.7182481751815</v>
      </c>
      <c r="CB86" s="105">
        <v>8.7326732673267315</v>
      </c>
      <c r="CC86" s="105">
        <v>4327.9128712871279</v>
      </c>
      <c r="CD86" s="105">
        <v>9.8410041841004183</v>
      </c>
      <c r="CE86" s="105">
        <v>4877.2016736401674</v>
      </c>
      <c r="CF86" s="105">
        <v>7.9459459459459456</v>
      </c>
      <c r="CG86" s="105">
        <v>3938.0108108108102</v>
      </c>
      <c r="CH86" s="105">
        <v>8</v>
      </c>
      <c r="CI86" s="105">
        <v>3964.7999999999997</v>
      </c>
      <c r="CJ86" s="105">
        <v>9.5558718861209968</v>
      </c>
      <c r="CK86" s="105">
        <v>4735.8901067615661</v>
      </c>
      <c r="CL86" s="105">
        <v>9.1962085308056878</v>
      </c>
      <c r="CM86" s="105">
        <v>4557.6409478672986</v>
      </c>
      <c r="CN86" s="105">
        <v>10.84870848708487</v>
      </c>
      <c r="CO86" s="105">
        <v>5376.6199261992615</v>
      </c>
      <c r="CP86" s="105">
        <v>9.4230769230769234</v>
      </c>
      <c r="CQ86" s="105">
        <v>4670.0769230769229</v>
      </c>
      <c r="CR86" s="105">
        <v>8.6153846153846168</v>
      </c>
      <c r="CS86" s="105">
        <v>4269.7846153846158</v>
      </c>
      <c r="CT86" s="105">
        <v>7.7241379310344831</v>
      </c>
      <c r="CU86" s="105">
        <v>3828.0827586206897</v>
      </c>
    </row>
    <row r="87" spans="2:99" x14ac:dyDescent="0.2">
      <c r="B87" s="104" t="s">
        <v>131</v>
      </c>
      <c r="C87" s="104" t="s">
        <v>255</v>
      </c>
      <c r="D87" s="105">
        <v>2</v>
      </c>
      <c r="E87" s="105">
        <v>1881.6</v>
      </c>
      <c r="F87" s="105">
        <v>3</v>
      </c>
      <c r="G87" s="105">
        <v>2822.3999999999996</v>
      </c>
      <c r="H87" s="105">
        <v>4</v>
      </c>
      <c r="I87" s="105">
        <v>3763.2</v>
      </c>
      <c r="J87" s="105">
        <v>3</v>
      </c>
      <c r="K87" s="105">
        <v>2822.3999999999996</v>
      </c>
      <c r="L87" s="105">
        <v>3</v>
      </c>
      <c r="M87" s="105">
        <v>2822.3999999999996</v>
      </c>
      <c r="N87" s="105">
        <v>4</v>
      </c>
      <c r="O87" s="105">
        <v>3763.2</v>
      </c>
      <c r="P87" s="105">
        <v>4</v>
      </c>
      <c r="Q87" s="105">
        <v>3763.2</v>
      </c>
      <c r="R87" s="105">
        <v>3</v>
      </c>
      <c r="S87" s="105">
        <v>2822.3999999999996</v>
      </c>
      <c r="T87" s="105">
        <v>3</v>
      </c>
      <c r="U87" s="105">
        <v>2822.3999999999996</v>
      </c>
      <c r="V87" s="105">
        <v>3</v>
      </c>
      <c r="W87" s="105">
        <v>2822.3999999999996</v>
      </c>
      <c r="X87" s="105">
        <v>4</v>
      </c>
      <c r="Y87" s="105">
        <v>3763.2</v>
      </c>
      <c r="Z87" s="105">
        <v>2</v>
      </c>
      <c r="AA87" s="105">
        <v>1881.6</v>
      </c>
      <c r="AB87" s="105">
        <v>3</v>
      </c>
      <c r="AC87" s="105">
        <v>2822.3999999999996</v>
      </c>
      <c r="AD87" s="105">
        <v>2</v>
      </c>
      <c r="AE87" s="105">
        <v>1881.6</v>
      </c>
      <c r="AF87" s="105">
        <v>2</v>
      </c>
      <c r="AG87" s="105">
        <v>1881.6</v>
      </c>
      <c r="AH87" s="105">
        <v>4</v>
      </c>
      <c r="AI87" s="105">
        <v>3763.2</v>
      </c>
      <c r="AJ87" s="105">
        <v>3</v>
      </c>
      <c r="AK87" s="105">
        <v>2822.3999999999996</v>
      </c>
      <c r="AL87" s="105">
        <v>4</v>
      </c>
      <c r="AM87" s="105">
        <v>3763.2</v>
      </c>
      <c r="AN87" s="105">
        <v>3</v>
      </c>
      <c r="AO87" s="105">
        <v>2822.3999999999996</v>
      </c>
      <c r="AP87" s="105">
        <v>4</v>
      </c>
      <c r="AQ87" s="105">
        <v>3763.2</v>
      </c>
      <c r="AR87" s="105">
        <v>4</v>
      </c>
      <c r="AS87" s="105">
        <v>3763.2</v>
      </c>
      <c r="AT87" s="105">
        <v>4</v>
      </c>
      <c r="AU87" s="105">
        <v>3763.2</v>
      </c>
      <c r="AV87" s="105">
        <v>5</v>
      </c>
      <c r="AW87" s="105">
        <v>4704</v>
      </c>
      <c r="AX87" s="105">
        <v>4</v>
      </c>
      <c r="AY87" s="105">
        <v>3763.2</v>
      </c>
      <c r="AZ87" s="105">
        <v>3</v>
      </c>
      <c r="BA87" s="105">
        <v>2822.3999999999996</v>
      </c>
      <c r="BB87" s="105">
        <v>4</v>
      </c>
      <c r="BC87" s="105">
        <v>3763.2</v>
      </c>
      <c r="BD87" s="105">
        <v>4</v>
      </c>
      <c r="BE87" s="105">
        <v>3763.2</v>
      </c>
      <c r="BF87" s="105">
        <v>4</v>
      </c>
      <c r="BG87" s="105">
        <v>3763.2</v>
      </c>
      <c r="BH87" s="105">
        <v>5</v>
      </c>
      <c r="BI87" s="105">
        <v>4704</v>
      </c>
      <c r="BJ87" s="105">
        <v>3</v>
      </c>
      <c r="BK87" s="105">
        <v>2822.3999999999996</v>
      </c>
      <c r="BL87" s="105">
        <v>4</v>
      </c>
      <c r="BM87" s="105">
        <v>3763.2</v>
      </c>
      <c r="BN87" s="105">
        <v>4</v>
      </c>
      <c r="BO87" s="105">
        <v>3763.2</v>
      </c>
      <c r="BP87" s="105">
        <v>3</v>
      </c>
      <c r="BQ87" s="105">
        <v>2822.3999999999996</v>
      </c>
      <c r="BR87" s="105">
        <v>5</v>
      </c>
      <c r="BS87" s="105">
        <v>4704</v>
      </c>
      <c r="BT87" s="105">
        <v>4</v>
      </c>
      <c r="BU87" s="105">
        <v>3763.2</v>
      </c>
      <c r="BV87" s="105">
        <v>4</v>
      </c>
      <c r="BW87" s="105">
        <v>3763.2</v>
      </c>
      <c r="BX87" s="105">
        <v>4</v>
      </c>
      <c r="BY87" s="105">
        <v>3763.2</v>
      </c>
      <c r="BZ87" s="105">
        <v>4</v>
      </c>
      <c r="CA87" s="105">
        <v>3763.2</v>
      </c>
      <c r="CB87" s="105">
        <v>3</v>
      </c>
      <c r="CC87" s="105">
        <v>2822.3999999999996</v>
      </c>
      <c r="CD87" s="105">
        <v>3</v>
      </c>
      <c r="CE87" s="105">
        <v>2822.3999999999996</v>
      </c>
      <c r="CF87" s="105">
        <v>3</v>
      </c>
      <c r="CG87" s="105">
        <v>2822.3999999999996</v>
      </c>
      <c r="CH87" s="105">
        <v>3</v>
      </c>
      <c r="CI87" s="105">
        <v>2822.3999999999996</v>
      </c>
      <c r="CJ87" s="105">
        <v>5</v>
      </c>
      <c r="CK87" s="105">
        <v>4704</v>
      </c>
      <c r="CL87" s="105">
        <v>4</v>
      </c>
      <c r="CM87" s="105">
        <v>3763.2</v>
      </c>
      <c r="CN87" s="105">
        <v>4</v>
      </c>
      <c r="CO87" s="105">
        <v>3763.2</v>
      </c>
      <c r="CP87" s="105">
        <v>3</v>
      </c>
      <c r="CQ87" s="105">
        <v>2822.3999999999996</v>
      </c>
      <c r="CR87" s="105">
        <v>3</v>
      </c>
      <c r="CS87" s="105">
        <v>2822.3999999999996</v>
      </c>
      <c r="CT87" s="105">
        <v>4</v>
      </c>
      <c r="CU87" s="105">
        <v>3763.2</v>
      </c>
    </row>
    <row r="88" spans="2:99" x14ac:dyDescent="0.2">
      <c r="C88" s="104" t="s">
        <v>256</v>
      </c>
      <c r="D88" s="105">
        <v>2</v>
      </c>
      <c r="E88" s="105">
        <v>1752</v>
      </c>
      <c r="F88" s="105">
        <v>3</v>
      </c>
      <c r="G88" s="105">
        <v>2628</v>
      </c>
      <c r="H88" s="105">
        <v>4</v>
      </c>
      <c r="I88" s="105">
        <v>3504</v>
      </c>
      <c r="J88" s="105">
        <v>3</v>
      </c>
      <c r="K88" s="105">
        <v>2628</v>
      </c>
      <c r="L88" s="105">
        <v>2</v>
      </c>
      <c r="M88" s="105">
        <v>1752</v>
      </c>
      <c r="N88" s="105">
        <v>4</v>
      </c>
      <c r="O88" s="105">
        <v>3504</v>
      </c>
      <c r="P88" s="105">
        <v>4</v>
      </c>
      <c r="Q88" s="105">
        <v>3504</v>
      </c>
      <c r="R88" s="105">
        <v>3</v>
      </c>
      <c r="S88" s="105">
        <v>2628</v>
      </c>
      <c r="T88" s="105">
        <v>3</v>
      </c>
      <c r="U88" s="105">
        <v>2628</v>
      </c>
      <c r="V88" s="105">
        <v>3</v>
      </c>
      <c r="W88" s="105">
        <v>2628</v>
      </c>
      <c r="X88" s="105">
        <v>4</v>
      </c>
      <c r="Y88" s="105">
        <v>3504</v>
      </c>
      <c r="Z88" s="105">
        <v>2</v>
      </c>
      <c r="AA88" s="105">
        <v>1752</v>
      </c>
      <c r="AB88" s="105">
        <v>3</v>
      </c>
      <c r="AC88" s="105">
        <v>2628</v>
      </c>
      <c r="AD88" s="105">
        <v>2</v>
      </c>
      <c r="AE88" s="105">
        <v>1752</v>
      </c>
      <c r="AF88" s="105">
        <v>3</v>
      </c>
      <c r="AG88" s="105">
        <v>2628</v>
      </c>
      <c r="AH88" s="105">
        <v>4</v>
      </c>
      <c r="AI88" s="105">
        <v>3504</v>
      </c>
      <c r="AJ88" s="105">
        <v>3</v>
      </c>
      <c r="AK88" s="105">
        <v>2628</v>
      </c>
      <c r="AL88" s="105">
        <v>4</v>
      </c>
      <c r="AM88" s="105">
        <v>3504</v>
      </c>
      <c r="AN88" s="105">
        <v>3</v>
      </c>
      <c r="AO88" s="105">
        <v>2628</v>
      </c>
      <c r="AP88" s="105">
        <v>4</v>
      </c>
      <c r="AQ88" s="105">
        <v>3504</v>
      </c>
      <c r="AR88" s="105">
        <v>4</v>
      </c>
      <c r="AS88" s="105">
        <v>3504</v>
      </c>
      <c r="AT88" s="105">
        <v>5</v>
      </c>
      <c r="AU88" s="105">
        <v>4380</v>
      </c>
      <c r="AV88" s="105">
        <v>5</v>
      </c>
      <c r="AW88" s="105">
        <v>4380</v>
      </c>
      <c r="AX88" s="105">
        <v>4</v>
      </c>
      <c r="AY88" s="105">
        <v>3504</v>
      </c>
      <c r="AZ88" s="105">
        <v>3</v>
      </c>
      <c r="BA88" s="105">
        <v>2628</v>
      </c>
      <c r="BB88" s="105">
        <v>5</v>
      </c>
      <c r="BC88" s="105">
        <v>4380</v>
      </c>
      <c r="BD88" s="105">
        <v>4</v>
      </c>
      <c r="BE88" s="105">
        <v>3504</v>
      </c>
      <c r="BF88" s="105">
        <v>4</v>
      </c>
      <c r="BG88" s="105">
        <v>3504</v>
      </c>
      <c r="BH88" s="105">
        <v>4</v>
      </c>
      <c r="BI88" s="105">
        <v>3504</v>
      </c>
      <c r="BJ88" s="105">
        <v>3</v>
      </c>
      <c r="BK88" s="105">
        <v>2628</v>
      </c>
      <c r="BL88" s="105">
        <v>5</v>
      </c>
      <c r="BM88" s="105">
        <v>4380</v>
      </c>
      <c r="BN88" s="105">
        <v>5</v>
      </c>
      <c r="BO88" s="105">
        <v>4380</v>
      </c>
      <c r="BP88" s="105">
        <v>3</v>
      </c>
      <c r="BQ88" s="105">
        <v>2628</v>
      </c>
      <c r="BR88" s="105">
        <v>5</v>
      </c>
      <c r="BS88" s="105">
        <v>4380</v>
      </c>
      <c r="BT88" s="105">
        <v>4</v>
      </c>
      <c r="BU88" s="105">
        <v>3504</v>
      </c>
      <c r="BV88" s="105">
        <v>4</v>
      </c>
      <c r="BW88" s="105">
        <v>3504</v>
      </c>
      <c r="BX88" s="105">
        <v>4</v>
      </c>
      <c r="BY88" s="105">
        <v>3504</v>
      </c>
      <c r="BZ88" s="105">
        <v>3</v>
      </c>
      <c r="CA88" s="105">
        <v>2628</v>
      </c>
      <c r="CB88" s="105">
        <v>3</v>
      </c>
      <c r="CC88" s="105">
        <v>2628</v>
      </c>
      <c r="CD88" s="105">
        <v>3</v>
      </c>
      <c r="CE88" s="105">
        <v>2628</v>
      </c>
      <c r="CF88" s="105">
        <v>3</v>
      </c>
      <c r="CG88" s="105">
        <v>2628</v>
      </c>
      <c r="CH88" s="105">
        <v>3</v>
      </c>
      <c r="CI88" s="105">
        <v>2628</v>
      </c>
      <c r="CJ88" s="105">
        <v>5</v>
      </c>
      <c r="CK88" s="105">
        <v>4380</v>
      </c>
      <c r="CL88" s="105">
        <v>4</v>
      </c>
      <c r="CM88" s="105">
        <v>3504</v>
      </c>
      <c r="CN88" s="105">
        <v>4</v>
      </c>
      <c r="CO88" s="105">
        <v>3504</v>
      </c>
      <c r="CP88" s="105">
        <v>3</v>
      </c>
      <c r="CQ88" s="105">
        <v>2628</v>
      </c>
      <c r="CR88" s="105">
        <v>3</v>
      </c>
      <c r="CS88" s="105">
        <v>2628</v>
      </c>
      <c r="CT88" s="105">
        <v>5</v>
      </c>
      <c r="CU88" s="105">
        <v>4380</v>
      </c>
    </row>
    <row r="89" spans="2:99" x14ac:dyDescent="0.2">
      <c r="C89" s="104" t="s">
        <v>257</v>
      </c>
      <c r="D89" s="105">
        <v>2</v>
      </c>
      <c r="E89" s="105">
        <v>1166.3999999999999</v>
      </c>
      <c r="F89" s="105">
        <v>3</v>
      </c>
      <c r="G89" s="105">
        <v>1749.6</v>
      </c>
      <c r="H89" s="105">
        <v>4</v>
      </c>
      <c r="I89" s="105">
        <v>2332.7999999999997</v>
      </c>
      <c r="J89" s="105">
        <v>3</v>
      </c>
      <c r="K89" s="105">
        <v>1749.6</v>
      </c>
      <c r="L89" s="105">
        <v>3</v>
      </c>
      <c r="M89" s="105">
        <v>1749.6</v>
      </c>
      <c r="N89" s="105">
        <v>4</v>
      </c>
      <c r="O89" s="105">
        <v>2332.7999999999997</v>
      </c>
      <c r="P89" s="105">
        <v>4</v>
      </c>
      <c r="Q89" s="105">
        <v>2332.7999999999997</v>
      </c>
      <c r="R89" s="105">
        <v>3</v>
      </c>
      <c r="S89" s="105">
        <v>1749.6</v>
      </c>
      <c r="T89" s="105">
        <v>3</v>
      </c>
      <c r="U89" s="105">
        <v>1749.6</v>
      </c>
      <c r="V89" s="105">
        <v>3</v>
      </c>
      <c r="W89" s="105">
        <v>1749.6</v>
      </c>
      <c r="X89" s="105">
        <v>4</v>
      </c>
      <c r="Y89" s="105">
        <v>2332.7999999999997</v>
      </c>
      <c r="Z89" s="105">
        <v>3</v>
      </c>
      <c r="AA89" s="105">
        <v>1749.6</v>
      </c>
      <c r="AB89" s="105">
        <v>3</v>
      </c>
      <c r="AC89" s="105">
        <v>1749.6</v>
      </c>
      <c r="AD89" s="105">
        <v>3</v>
      </c>
      <c r="AE89" s="105">
        <v>1749.6</v>
      </c>
      <c r="AF89" s="105">
        <v>2</v>
      </c>
      <c r="AG89" s="105">
        <v>1166.3999999999999</v>
      </c>
      <c r="AH89" s="105">
        <v>4</v>
      </c>
      <c r="AI89" s="105">
        <v>2332.7999999999997</v>
      </c>
      <c r="AJ89" s="105">
        <v>4</v>
      </c>
      <c r="AK89" s="105">
        <v>2332.7999999999997</v>
      </c>
      <c r="AL89" s="105">
        <v>4</v>
      </c>
      <c r="AM89" s="105">
        <v>2332.7999999999997</v>
      </c>
      <c r="AN89" s="105">
        <v>3</v>
      </c>
      <c r="AO89" s="105">
        <v>1749.6</v>
      </c>
      <c r="AP89" s="105">
        <v>3</v>
      </c>
      <c r="AQ89" s="105">
        <v>1749.6</v>
      </c>
      <c r="AR89" s="105">
        <v>4</v>
      </c>
      <c r="AS89" s="105">
        <v>2332.7999999999997</v>
      </c>
      <c r="AT89" s="105">
        <v>5</v>
      </c>
      <c r="AU89" s="105">
        <v>2915.9999999999995</v>
      </c>
      <c r="AV89" s="105">
        <v>5</v>
      </c>
      <c r="AW89" s="105">
        <v>2915.9999999999995</v>
      </c>
      <c r="AX89" s="105">
        <v>4</v>
      </c>
      <c r="AY89" s="105">
        <v>2332.7999999999997</v>
      </c>
      <c r="AZ89" s="105">
        <v>3</v>
      </c>
      <c r="BA89" s="105">
        <v>1749.6</v>
      </c>
      <c r="BB89" s="105">
        <v>5</v>
      </c>
      <c r="BC89" s="105">
        <v>2915.9999999999995</v>
      </c>
      <c r="BD89" s="105">
        <v>4</v>
      </c>
      <c r="BE89" s="105">
        <v>2332.7999999999997</v>
      </c>
      <c r="BF89" s="105">
        <v>4</v>
      </c>
      <c r="BG89" s="105">
        <v>2332.7999999999997</v>
      </c>
      <c r="BH89" s="105">
        <v>5</v>
      </c>
      <c r="BI89" s="105">
        <v>2915.9999999999995</v>
      </c>
      <c r="BJ89" s="105">
        <v>3</v>
      </c>
      <c r="BK89" s="105">
        <v>1749.6</v>
      </c>
      <c r="BL89" s="105">
        <v>5</v>
      </c>
      <c r="BM89" s="105">
        <v>2915.9999999999995</v>
      </c>
      <c r="BN89" s="105">
        <v>5</v>
      </c>
      <c r="BO89" s="105">
        <v>2915.9999999999995</v>
      </c>
      <c r="BP89" s="105">
        <v>3</v>
      </c>
      <c r="BQ89" s="105">
        <v>1749.6</v>
      </c>
      <c r="BR89" s="105">
        <v>4</v>
      </c>
      <c r="BS89" s="105">
        <v>2332.7999999999997</v>
      </c>
      <c r="BT89" s="105">
        <v>4</v>
      </c>
      <c r="BU89" s="105">
        <v>2332.7999999999997</v>
      </c>
      <c r="BV89" s="105">
        <v>3</v>
      </c>
      <c r="BW89" s="105">
        <v>1749.6</v>
      </c>
      <c r="BX89" s="105">
        <v>3</v>
      </c>
      <c r="BY89" s="105">
        <v>1749.6</v>
      </c>
      <c r="BZ89" s="105">
        <v>4</v>
      </c>
      <c r="CA89" s="105">
        <v>2332.7999999999997</v>
      </c>
      <c r="CB89" s="105">
        <v>3</v>
      </c>
      <c r="CC89" s="105">
        <v>1749.6</v>
      </c>
      <c r="CD89" s="105">
        <v>3</v>
      </c>
      <c r="CE89" s="105">
        <v>1749.6</v>
      </c>
      <c r="CF89" s="105">
        <v>4</v>
      </c>
      <c r="CG89" s="105">
        <v>2332.7999999999997</v>
      </c>
      <c r="CH89" s="105">
        <v>4</v>
      </c>
      <c r="CI89" s="105">
        <v>2332.7999999999997</v>
      </c>
      <c r="CJ89" s="105">
        <v>5</v>
      </c>
      <c r="CK89" s="105">
        <v>2915.9999999999995</v>
      </c>
      <c r="CL89" s="105">
        <v>4</v>
      </c>
      <c r="CM89" s="105">
        <v>2332.7999999999997</v>
      </c>
      <c r="CN89" s="105">
        <v>4</v>
      </c>
      <c r="CO89" s="105">
        <v>2332.7999999999997</v>
      </c>
      <c r="CP89" s="105">
        <v>3</v>
      </c>
      <c r="CQ89" s="105">
        <v>1749.6</v>
      </c>
      <c r="CR89" s="105">
        <v>3</v>
      </c>
      <c r="CS89" s="105">
        <v>1749.6</v>
      </c>
      <c r="CT89" s="105">
        <v>5</v>
      </c>
      <c r="CU89" s="105">
        <v>2915.9999999999995</v>
      </c>
    </row>
    <row r="90" spans="2:99" x14ac:dyDescent="0.2">
      <c r="C90" s="104" t="s">
        <v>258</v>
      </c>
      <c r="D90" s="105">
        <v>3</v>
      </c>
      <c r="E90" s="105">
        <v>2455.1999999999998</v>
      </c>
      <c r="F90" s="105">
        <v>4</v>
      </c>
      <c r="G90" s="105">
        <v>3273.6</v>
      </c>
      <c r="H90" s="105">
        <v>4</v>
      </c>
      <c r="I90" s="105">
        <v>3273.6</v>
      </c>
      <c r="J90" s="105">
        <v>3</v>
      </c>
      <c r="K90" s="105">
        <v>2455.1999999999998</v>
      </c>
      <c r="L90" s="105">
        <v>2</v>
      </c>
      <c r="M90" s="105">
        <v>1636.8</v>
      </c>
      <c r="N90" s="105">
        <v>4</v>
      </c>
      <c r="O90" s="105">
        <v>3273.6</v>
      </c>
      <c r="P90" s="105">
        <v>4</v>
      </c>
      <c r="Q90" s="105">
        <v>3273.6</v>
      </c>
      <c r="R90" s="105">
        <v>3</v>
      </c>
      <c r="S90" s="105">
        <v>2455.1999999999998</v>
      </c>
      <c r="T90" s="105">
        <v>3</v>
      </c>
      <c r="U90" s="105">
        <v>2455.1999999999998</v>
      </c>
      <c r="V90" s="105">
        <v>3</v>
      </c>
      <c r="W90" s="105">
        <v>2455.1999999999998</v>
      </c>
      <c r="X90" s="105">
        <v>4</v>
      </c>
      <c r="Y90" s="105">
        <v>3273.6</v>
      </c>
      <c r="Z90" s="105">
        <v>2</v>
      </c>
      <c r="AA90" s="105">
        <v>1636.8</v>
      </c>
      <c r="AB90" s="105">
        <v>3</v>
      </c>
      <c r="AC90" s="105">
        <v>2455.1999999999998</v>
      </c>
      <c r="AD90" s="105">
        <v>2</v>
      </c>
      <c r="AE90" s="105">
        <v>1636.8</v>
      </c>
      <c r="AF90" s="105">
        <v>3</v>
      </c>
      <c r="AG90" s="105">
        <v>2455.1999999999998</v>
      </c>
      <c r="AH90" s="105">
        <v>4</v>
      </c>
      <c r="AI90" s="105">
        <v>3273.6</v>
      </c>
      <c r="AJ90" s="105">
        <v>3</v>
      </c>
      <c r="AK90" s="105">
        <v>2455.1999999999998</v>
      </c>
      <c r="AL90" s="105">
        <v>5</v>
      </c>
      <c r="AM90" s="105">
        <v>4092</v>
      </c>
      <c r="AN90" s="105">
        <v>3</v>
      </c>
      <c r="AO90" s="105">
        <v>2455.1999999999998</v>
      </c>
      <c r="AP90" s="105">
        <v>4</v>
      </c>
      <c r="AQ90" s="105">
        <v>3273.6</v>
      </c>
      <c r="AR90" s="105">
        <v>5</v>
      </c>
      <c r="AS90" s="105">
        <v>4092</v>
      </c>
      <c r="AT90" s="105">
        <v>4</v>
      </c>
      <c r="AU90" s="105">
        <v>3273.6</v>
      </c>
      <c r="AV90" s="105">
        <v>5</v>
      </c>
      <c r="AW90" s="105">
        <v>4092</v>
      </c>
      <c r="AX90" s="105">
        <v>4</v>
      </c>
      <c r="AY90" s="105">
        <v>3273.6</v>
      </c>
      <c r="AZ90" s="105">
        <v>3</v>
      </c>
      <c r="BA90" s="105">
        <v>2455.1999999999998</v>
      </c>
      <c r="BB90" s="105">
        <v>4</v>
      </c>
      <c r="BC90" s="105">
        <v>3273.6</v>
      </c>
      <c r="BD90" s="105">
        <v>4</v>
      </c>
      <c r="BE90" s="105">
        <v>3273.6</v>
      </c>
      <c r="BF90" s="105">
        <v>4</v>
      </c>
      <c r="BG90" s="105">
        <v>3273.6</v>
      </c>
      <c r="BH90" s="105">
        <v>4</v>
      </c>
      <c r="BI90" s="105">
        <v>3273.6</v>
      </c>
      <c r="BJ90" s="105">
        <v>3</v>
      </c>
      <c r="BK90" s="105">
        <v>2455.1999999999998</v>
      </c>
      <c r="BL90" s="105">
        <v>5</v>
      </c>
      <c r="BM90" s="105">
        <v>4092</v>
      </c>
      <c r="BN90" s="105">
        <v>5</v>
      </c>
      <c r="BO90" s="105">
        <v>4092</v>
      </c>
      <c r="BP90" s="105">
        <v>3</v>
      </c>
      <c r="BQ90" s="105">
        <v>2455.1999999999998</v>
      </c>
      <c r="BR90" s="105">
        <v>5</v>
      </c>
      <c r="BS90" s="105">
        <v>4092</v>
      </c>
      <c r="BT90" s="105">
        <v>3</v>
      </c>
      <c r="BU90" s="105">
        <v>2455.1999999999998</v>
      </c>
      <c r="BV90" s="105">
        <v>3</v>
      </c>
      <c r="BW90" s="105">
        <v>2455.1999999999998</v>
      </c>
      <c r="BX90" s="105">
        <v>3</v>
      </c>
      <c r="BY90" s="105">
        <v>2455.1999999999998</v>
      </c>
      <c r="BZ90" s="105">
        <v>4</v>
      </c>
      <c r="CA90" s="105">
        <v>3273.6</v>
      </c>
      <c r="CB90" s="105">
        <v>3</v>
      </c>
      <c r="CC90" s="105">
        <v>2455.1999999999998</v>
      </c>
      <c r="CD90" s="105">
        <v>3</v>
      </c>
      <c r="CE90" s="105">
        <v>2455.1999999999998</v>
      </c>
      <c r="CF90" s="105">
        <v>3</v>
      </c>
      <c r="CG90" s="105">
        <v>2455.1999999999998</v>
      </c>
      <c r="CH90" s="105">
        <v>3</v>
      </c>
      <c r="CI90" s="105">
        <v>2455.1999999999998</v>
      </c>
      <c r="CJ90" s="105">
        <v>5</v>
      </c>
      <c r="CK90" s="105">
        <v>4092</v>
      </c>
      <c r="CL90" s="105">
        <v>4</v>
      </c>
      <c r="CM90" s="105">
        <v>3273.6</v>
      </c>
      <c r="CN90" s="105">
        <v>5</v>
      </c>
      <c r="CO90" s="105">
        <v>4092</v>
      </c>
      <c r="CP90" s="105">
        <v>3</v>
      </c>
      <c r="CQ90" s="105">
        <v>2455.1999999999998</v>
      </c>
      <c r="CR90" s="105">
        <v>3</v>
      </c>
      <c r="CS90" s="105">
        <v>2455.1999999999998</v>
      </c>
      <c r="CT90" s="105">
        <v>5</v>
      </c>
      <c r="CU90" s="105">
        <v>4092</v>
      </c>
    </row>
    <row r="91" spans="2:99" x14ac:dyDescent="0.2">
      <c r="C91" s="104" t="s">
        <v>259</v>
      </c>
      <c r="D91" s="105">
        <v>2</v>
      </c>
      <c r="E91" s="105">
        <v>1572</v>
      </c>
      <c r="F91" s="105">
        <v>3</v>
      </c>
      <c r="G91" s="105">
        <v>2358</v>
      </c>
      <c r="H91" s="105">
        <v>4</v>
      </c>
      <c r="I91" s="105">
        <v>3144</v>
      </c>
      <c r="J91" s="105">
        <v>3</v>
      </c>
      <c r="K91" s="105">
        <v>2358</v>
      </c>
      <c r="L91" s="105">
        <v>3</v>
      </c>
      <c r="M91" s="105">
        <v>2358</v>
      </c>
      <c r="N91" s="105">
        <v>4</v>
      </c>
      <c r="O91" s="105">
        <v>3144</v>
      </c>
      <c r="P91" s="105">
        <v>4</v>
      </c>
      <c r="Q91" s="105">
        <v>3144</v>
      </c>
      <c r="R91" s="105">
        <v>3</v>
      </c>
      <c r="S91" s="105">
        <v>2358</v>
      </c>
      <c r="T91" s="105">
        <v>3</v>
      </c>
      <c r="U91" s="105">
        <v>2358</v>
      </c>
      <c r="V91" s="105">
        <v>3</v>
      </c>
      <c r="W91" s="105">
        <v>2358</v>
      </c>
      <c r="X91" s="105">
        <v>5</v>
      </c>
      <c r="Y91" s="105">
        <v>3930</v>
      </c>
      <c r="Z91" s="105">
        <v>2</v>
      </c>
      <c r="AA91" s="105">
        <v>1572</v>
      </c>
      <c r="AB91" s="105">
        <v>3</v>
      </c>
      <c r="AC91" s="105">
        <v>2358</v>
      </c>
      <c r="AD91" s="105">
        <v>2</v>
      </c>
      <c r="AE91" s="105">
        <v>1572</v>
      </c>
      <c r="AF91" s="105">
        <v>3</v>
      </c>
      <c r="AG91" s="105">
        <v>2358</v>
      </c>
      <c r="AH91" s="105">
        <v>4</v>
      </c>
      <c r="AI91" s="105">
        <v>3144</v>
      </c>
      <c r="AJ91" s="105">
        <v>3</v>
      </c>
      <c r="AK91" s="105">
        <v>2358</v>
      </c>
      <c r="AL91" s="105">
        <v>4</v>
      </c>
      <c r="AM91" s="105">
        <v>3144</v>
      </c>
      <c r="AN91" s="105">
        <v>3</v>
      </c>
      <c r="AO91" s="105">
        <v>2358</v>
      </c>
      <c r="AP91" s="105">
        <v>4</v>
      </c>
      <c r="AQ91" s="105">
        <v>3144</v>
      </c>
      <c r="AR91" s="105">
        <v>5</v>
      </c>
      <c r="AS91" s="105">
        <v>3930</v>
      </c>
      <c r="AT91" s="105">
        <v>5</v>
      </c>
      <c r="AU91" s="105">
        <v>3930</v>
      </c>
      <c r="AV91" s="105">
        <v>5</v>
      </c>
      <c r="AW91" s="105">
        <v>3930</v>
      </c>
      <c r="AX91" s="105">
        <v>4</v>
      </c>
      <c r="AY91" s="105">
        <v>3144</v>
      </c>
      <c r="AZ91" s="105">
        <v>2</v>
      </c>
      <c r="BA91" s="105">
        <v>1572</v>
      </c>
      <c r="BB91" s="105">
        <v>5</v>
      </c>
      <c r="BC91" s="105">
        <v>3930</v>
      </c>
      <c r="BD91" s="105">
        <v>4</v>
      </c>
      <c r="BE91" s="105">
        <v>3144</v>
      </c>
      <c r="BF91" s="105">
        <v>4</v>
      </c>
      <c r="BG91" s="105">
        <v>3144</v>
      </c>
      <c r="BH91" s="105">
        <v>5</v>
      </c>
      <c r="BI91" s="105">
        <v>3930</v>
      </c>
      <c r="BJ91" s="105">
        <v>3</v>
      </c>
      <c r="BK91" s="105">
        <v>2358</v>
      </c>
      <c r="BL91" s="105">
        <v>4</v>
      </c>
      <c r="BM91" s="105">
        <v>3144</v>
      </c>
      <c r="BN91" s="105">
        <v>5</v>
      </c>
      <c r="BO91" s="105">
        <v>3930</v>
      </c>
      <c r="BP91" s="105">
        <v>3</v>
      </c>
      <c r="BQ91" s="105">
        <v>2358</v>
      </c>
      <c r="BR91" s="105">
        <v>5</v>
      </c>
      <c r="BS91" s="105">
        <v>3930</v>
      </c>
      <c r="BT91" s="105">
        <v>4</v>
      </c>
      <c r="BU91" s="105">
        <v>3144</v>
      </c>
      <c r="BV91" s="105">
        <v>3</v>
      </c>
      <c r="BW91" s="105">
        <v>2358</v>
      </c>
      <c r="BX91" s="105">
        <v>3</v>
      </c>
      <c r="BY91" s="105">
        <v>2358</v>
      </c>
      <c r="BZ91" s="105">
        <v>3</v>
      </c>
      <c r="CA91" s="105">
        <v>2358</v>
      </c>
      <c r="CB91" s="105">
        <v>3</v>
      </c>
      <c r="CC91" s="105">
        <v>2358</v>
      </c>
      <c r="CD91" s="105">
        <v>3</v>
      </c>
      <c r="CE91" s="105">
        <v>2358</v>
      </c>
      <c r="CF91" s="105">
        <v>4</v>
      </c>
      <c r="CG91" s="105">
        <v>3144</v>
      </c>
      <c r="CH91" s="105">
        <v>3</v>
      </c>
      <c r="CI91" s="105">
        <v>2358</v>
      </c>
      <c r="CJ91" s="105">
        <v>5</v>
      </c>
      <c r="CK91" s="105">
        <v>3930</v>
      </c>
      <c r="CL91" s="105">
        <v>4</v>
      </c>
      <c r="CM91" s="105">
        <v>3144</v>
      </c>
      <c r="CN91" s="105">
        <v>5</v>
      </c>
      <c r="CO91" s="105">
        <v>3930</v>
      </c>
      <c r="CP91" s="105">
        <v>3</v>
      </c>
      <c r="CQ91" s="105">
        <v>2358</v>
      </c>
      <c r="CR91" s="105">
        <v>3</v>
      </c>
      <c r="CS91" s="105">
        <v>2358</v>
      </c>
      <c r="CT91" s="105">
        <v>5</v>
      </c>
      <c r="CU91" s="105">
        <v>3930</v>
      </c>
    </row>
    <row r="92" spans="2:99" x14ac:dyDescent="0.2">
      <c r="C92" s="104" t="s">
        <v>260</v>
      </c>
      <c r="D92" s="105">
        <v>2</v>
      </c>
      <c r="E92" s="105">
        <v>1874.3999999999999</v>
      </c>
      <c r="F92" s="105">
        <v>4</v>
      </c>
      <c r="G92" s="105">
        <v>3748.7999999999997</v>
      </c>
      <c r="H92" s="105">
        <v>4</v>
      </c>
      <c r="I92" s="105">
        <v>3748.7999999999997</v>
      </c>
      <c r="J92" s="105">
        <v>3</v>
      </c>
      <c r="K92" s="105">
        <v>2811.6</v>
      </c>
      <c r="L92" s="105">
        <v>3</v>
      </c>
      <c r="M92" s="105">
        <v>2811.6</v>
      </c>
      <c r="N92" s="105">
        <v>3</v>
      </c>
      <c r="O92" s="105">
        <v>2811.6</v>
      </c>
      <c r="P92" s="105">
        <v>4</v>
      </c>
      <c r="Q92" s="105">
        <v>3748.7999999999997</v>
      </c>
      <c r="R92" s="105">
        <v>3</v>
      </c>
      <c r="S92" s="105">
        <v>2811.6</v>
      </c>
      <c r="T92" s="105">
        <v>3</v>
      </c>
      <c r="U92" s="105">
        <v>2811.6</v>
      </c>
      <c r="V92" s="105">
        <v>3</v>
      </c>
      <c r="W92" s="105">
        <v>2811.6</v>
      </c>
      <c r="X92" s="105">
        <v>4</v>
      </c>
      <c r="Y92" s="105">
        <v>3748.7999999999997</v>
      </c>
      <c r="Z92" s="105">
        <v>2</v>
      </c>
      <c r="AA92" s="105">
        <v>1874.3999999999999</v>
      </c>
      <c r="AB92" s="105">
        <v>3</v>
      </c>
      <c r="AC92" s="105">
        <v>2811.6</v>
      </c>
      <c r="AD92" s="105">
        <v>3</v>
      </c>
      <c r="AE92" s="105">
        <v>2811.6</v>
      </c>
      <c r="AF92" s="105">
        <v>3</v>
      </c>
      <c r="AG92" s="105">
        <v>2811.6</v>
      </c>
      <c r="AH92" s="105">
        <v>4</v>
      </c>
      <c r="AI92" s="105">
        <v>3748.7999999999997</v>
      </c>
      <c r="AJ92" s="105">
        <v>3</v>
      </c>
      <c r="AK92" s="105">
        <v>2811.6</v>
      </c>
      <c r="AL92" s="105">
        <v>5</v>
      </c>
      <c r="AM92" s="105">
        <v>4686</v>
      </c>
      <c r="AN92" s="105">
        <v>3</v>
      </c>
      <c r="AO92" s="105">
        <v>2811.6</v>
      </c>
      <c r="AP92" s="105">
        <v>4</v>
      </c>
      <c r="AQ92" s="105">
        <v>3748.7999999999997</v>
      </c>
      <c r="AR92" s="105">
        <v>4</v>
      </c>
      <c r="AS92" s="105">
        <v>3748.7999999999997</v>
      </c>
      <c r="AT92" s="105">
        <v>5</v>
      </c>
      <c r="AU92" s="105">
        <v>4686</v>
      </c>
      <c r="AV92" s="105">
        <v>5</v>
      </c>
      <c r="AW92" s="105">
        <v>4686</v>
      </c>
      <c r="AX92" s="105">
        <v>4</v>
      </c>
      <c r="AY92" s="105">
        <v>3748.7999999999997</v>
      </c>
      <c r="AZ92" s="105">
        <v>2</v>
      </c>
      <c r="BA92" s="105">
        <v>1874.3999999999999</v>
      </c>
      <c r="BB92" s="105">
        <v>4</v>
      </c>
      <c r="BC92" s="105">
        <v>3748.7999999999997</v>
      </c>
      <c r="BD92" s="105">
        <v>4</v>
      </c>
      <c r="BE92" s="105">
        <v>3748.7999999999997</v>
      </c>
      <c r="BF92" s="105">
        <v>4</v>
      </c>
      <c r="BG92" s="105">
        <v>3748.7999999999997</v>
      </c>
      <c r="BH92" s="105">
        <v>5</v>
      </c>
      <c r="BI92" s="105">
        <v>4686</v>
      </c>
      <c r="BJ92" s="105">
        <v>3</v>
      </c>
      <c r="BK92" s="105">
        <v>2811.6</v>
      </c>
      <c r="BL92" s="105">
        <v>5</v>
      </c>
      <c r="BM92" s="105">
        <v>4686</v>
      </c>
      <c r="BN92" s="105">
        <v>5</v>
      </c>
      <c r="BO92" s="105">
        <v>4686</v>
      </c>
      <c r="BP92" s="105">
        <v>3</v>
      </c>
      <c r="BQ92" s="105">
        <v>2811.6</v>
      </c>
      <c r="BR92" s="105">
        <v>5</v>
      </c>
      <c r="BS92" s="105">
        <v>4686</v>
      </c>
      <c r="BT92" s="105">
        <v>4</v>
      </c>
      <c r="BU92" s="105">
        <v>3748.7999999999997</v>
      </c>
      <c r="BV92" s="105">
        <v>4</v>
      </c>
      <c r="BW92" s="105">
        <v>3748.7999999999997</v>
      </c>
      <c r="BX92" s="105">
        <v>4</v>
      </c>
      <c r="BY92" s="105">
        <v>3748.7999999999997</v>
      </c>
      <c r="BZ92" s="105">
        <v>3</v>
      </c>
      <c r="CA92" s="105">
        <v>2811.6</v>
      </c>
      <c r="CB92" s="105">
        <v>3</v>
      </c>
      <c r="CC92" s="105">
        <v>2811.6</v>
      </c>
      <c r="CD92" s="105">
        <v>3</v>
      </c>
      <c r="CE92" s="105">
        <v>2811.6</v>
      </c>
      <c r="CF92" s="105">
        <v>3</v>
      </c>
      <c r="CG92" s="105">
        <v>2811.6</v>
      </c>
      <c r="CH92" s="105">
        <v>3</v>
      </c>
      <c r="CI92" s="105">
        <v>2811.6</v>
      </c>
      <c r="CJ92" s="105">
        <v>5</v>
      </c>
      <c r="CK92" s="105">
        <v>4686</v>
      </c>
      <c r="CL92" s="105">
        <v>4</v>
      </c>
      <c r="CM92" s="105">
        <v>3748.7999999999997</v>
      </c>
      <c r="CN92" s="105">
        <v>5</v>
      </c>
      <c r="CO92" s="105">
        <v>4686</v>
      </c>
      <c r="CP92" s="105">
        <v>3</v>
      </c>
      <c r="CQ92" s="105">
        <v>2811.6</v>
      </c>
      <c r="CR92" s="105">
        <v>3</v>
      </c>
      <c r="CS92" s="105">
        <v>2811.6</v>
      </c>
      <c r="CT92" s="105">
        <v>4</v>
      </c>
      <c r="CU92" s="105">
        <v>3748.7999999999997</v>
      </c>
    </row>
    <row r="93" spans="2:99" x14ac:dyDescent="0.2">
      <c r="C93" s="104" t="s">
        <v>261</v>
      </c>
      <c r="D93" s="105">
        <v>3</v>
      </c>
      <c r="E93" s="105">
        <v>1753.1999999999998</v>
      </c>
      <c r="F93" s="105">
        <v>3</v>
      </c>
      <c r="G93" s="105">
        <v>1753.1999999999998</v>
      </c>
      <c r="H93" s="105">
        <v>4</v>
      </c>
      <c r="I93" s="105">
        <v>2337.6</v>
      </c>
      <c r="J93" s="105">
        <v>3</v>
      </c>
      <c r="K93" s="105">
        <v>1753.1999999999998</v>
      </c>
      <c r="L93" s="105">
        <v>3</v>
      </c>
      <c r="M93" s="105">
        <v>1753.1999999999998</v>
      </c>
      <c r="N93" s="105">
        <v>4</v>
      </c>
      <c r="O93" s="105">
        <v>2337.6</v>
      </c>
      <c r="P93" s="105">
        <v>4</v>
      </c>
      <c r="Q93" s="105">
        <v>2337.6</v>
      </c>
      <c r="R93" s="105">
        <v>3</v>
      </c>
      <c r="S93" s="105">
        <v>1753.1999999999998</v>
      </c>
      <c r="T93" s="105">
        <v>3</v>
      </c>
      <c r="U93" s="105">
        <v>1753.1999999999998</v>
      </c>
      <c r="V93" s="105">
        <v>3</v>
      </c>
      <c r="W93" s="105">
        <v>1753.1999999999998</v>
      </c>
      <c r="X93" s="105">
        <v>4</v>
      </c>
      <c r="Y93" s="105">
        <v>2337.6</v>
      </c>
      <c r="Z93" s="105">
        <v>2</v>
      </c>
      <c r="AA93" s="105">
        <v>1168.8</v>
      </c>
      <c r="AB93" s="105">
        <v>3</v>
      </c>
      <c r="AC93" s="105">
        <v>1753.1999999999998</v>
      </c>
      <c r="AD93" s="105">
        <v>3</v>
      </c>
      <c r="AE93" s="105">
        <v>1753.1999999999998</v>
      </c>
      <c r="AF93" s="105">
        <v>3</v>
      </c>
      <c r="AG93" s="105">
        <v>1753.1999999999998</v>
      </c>
      <c r="AH93" s="105">
        <v>4</v>
      </c>
      <c r="AI93" s="105">
        <v>2337.6</v>
      </c>
      <c r="AJ93" s="105">
        <v>3</v>
      </c>
      <c r="AK93" s="105">
        <v>1753.1999999999998</v>
      </c>
      <c r="AL93" s="105">
        <v>4</v>
      </c>
      <c r="AM93" s="105">
        <v>2337.6</v>
      </c>
      <c r="AN93" s="105">
        <v>3</v>
      </c>
      <c r="AO93" s="105">
        <v>1753.1999999999998</v>
      </c>
      <c r="AP93" s="105">
        <v>4</v>
      </c>
      <c r="AQ93" s="105">
        <v>2337.6</v>
      </c>
      <c r="AR93" s="105">
        <v>5</v>
      </c>
      <c r="AS93" s="105">
        <v>2922</v>
      </c>
      <c r="AT93" s="105">
        <v>5</v>
      </c>
      <c r="AU93" s="105">
        <v>2922</v>
      </c>
      <c r="AV93" s="105">
        <v>5</v>
      </c>
      <c r="AW93" s="105">
        <v>2922</v>
      </c>
      <c r="AX93" s="105">
        <v>4</v>
      </c>
      <c r="AY93" s="105">
        <v>2337.6</v>
      </c>
      <c r="AZ93" s="105">
        <v>2</v>
      </c>
      <c r="BA93" s="105">
        <v>1168.8</v>
      </c>
      <c r="BB93" s="105">
        <v>4</v>
      </c>
      <c r="BC93" s="105">
        <v>2337.6</v>
      </c>
      <c r="BD93" s="105">
        <v>4</v>
      </c>
      <c r="BE93" s="105">
        <v>2337.6</v>
      </c>
      <c r="BF93" s="105">
        <v>5</v>
      </c>
      <c r="BG93" s="105">
        <v>2922</v>
      </c>
      <c r="BH93" s="105">
        <v>5</v>
      </c>
      <c r="BI93" s="105">
        <v>2922</v>
      </c>
      <c r="BJ93" s="105">
        <v>3</v>
      </c>
      <c r="BK93" s="105">
        <v>1753.1999999999998</v>
      </c>
      <c r="BL93" s="105">
        <v>4</v>
      </c>
      <c r="BM93" s="105">
        <v>2337.6</v>
      </c>
      <c r="BN93" s="105">
        <v>5</v>
      </c>
      <c r="BO93" s="105">
        <v>2922</v>
      </c>
      <c r="BP93" s="105">
        <v>3</v>
      </c>
      <c r="BQ93" s="105">
        <v>1753.1999999999998</v>
      </c>
      <c r="BR93" s="105">
        <v>4</v>
      </c>
      <c r="BS93" s="105">
        <v>2337.6</v>
      </c>
      <c r="BT93" s="105">
        <v>4</v>
      </c>
      <c r="BU93" s="105">
        <v>2337.6</v>
      </c>
      <c r="BV93" s="105">
        <v>4</v>
      </c>
      <c r="BW93" s="105">
        <v>2337.6</v>
      </c>
      <c r="BX93" s="105">
        <v>3</v>
      </c>
      <c r="BY93" s="105">
        <v>1753.1999999999998</v>
      </c>
      <c r="BZ93" s="105">
        <v>3</v>
      </c>
      <c r="CA93" s="105">
        <v>1753.1999999999998</v>
      </c>
      <c r="CB93" s="105">
        <v>3</v>
      </c>
      <c r="CC93" s="105">
        <v>1753.1999999999998</v>
      </c>
      <c r="CD93" s="105">
        <v>3</v>
      </c>
      <c r="CE93" s="105">
        <v>1753.1999999999998</v>
      </c>
      <c r="CF93" s="105">
        <v>4</v>
      </c>
      <c r="CG93" s="105">
        <v>2337.6</v>
      </c>
      <c r="CH93" s="105">
        <v>3</v>
      </c>
      <c r="CI93" s="105">
        <v>1753.1999999999998</v>
      </c>
      <c r="CJ93" s="105">
        <v>5</v>
      </c>
      <c r="CK93" s="105">
        <v>2922</v>
      </c>
      <c r="CL93" s="105">
        <v>4</v>
      </c>
      <c r="CM93" s="105">
        <v>2337.6</v>
      </c>
      <c r="CN93" s="105">
        <v>4</v>
      </c>
      <c r="CO93" s="105">
        <v>2337.6</v>
      </c>
      <c r="CP93" s="105">
        <v>4</v>
      </c>
      <c r="CQ93" s="105">
        <v>2337.6</v>
      </c>
      <c r="CR93" s="105">
        <v>3</v>
      </c>
      <c r="CS93" s="105">
        <v>1753.1999999999998</v>
      </c>
      <c r="CT93" s="105">
        <v>5</v>
      </c>
      <c r="CU93" s="105">
        <v>2922</v>
      </c>
    </row>
    <row r="94" spans="2:99" x14ac:dyDescent="0.2">
      <c r="C94" s="104" t="s">
        <v>262</v>
      </c>
      <c r="D94" s="105">
        <v>2</v>
      </c>
      <c r="E94" s="105">
        <v>1603.2</v>
      </c>
      <c r="F94" s="105">
        <v>4</v>
      </c>
      <c r="G94" s="105">
        <v>3206.4</v>
      </c>
      <c r="H94" s="105">
        <v>4</v>
      </c>
      <c r="I94" s="105">
        <v>3206.4</v>
      </c>
      <c r="J94" s="105">
        <v>3</v>
      </c>
      <c r="K94" s="105">
        <v>2404.8000000000002</v>
      </c>
      <c r="L94" s="105">
        <v>3</v>
      </c>
      <c r="M94" s="105">
        <v>2404.8000000000002</v>
      </c>
      <c r="N94" s="105">
        <v>4</v>
      </c>
      <c r="O94" s="105">
        <v>3206.4</v>
      </c>
      <c r="P94" s="105">
        <v>4</v>
      </c>
      <c r="Q94" s="105">
        <v>3206.4</v>
      </c>
      <c r="R94" s="105">
        <v>3</v>
      </c>
      <c r="S94" s="105">
        <v>2404.8000000000002</v>
      </c>
      <c r="T94" s="105">
        <v>3</v>
      </c>
      <c r="U94" s="105">
        <v>2404.8000000000002</v>
      </c>
      <c r="V94" s="105">
        <v>3</v>
      </c>
      <c r="W94" s="105">
        <v>2404.8000000000002</v>
      </c>
      <c r="X94" s="105">
        <v>4</v>
      </c>
      <c r="Y94" s="105">
        <v>3206.4</v>
      </c>
      <c r="Z94" s="105">
        <v>2</v>
      </c>
      <c r="AA94" s="105">
        <v>1603.2</v>
      </c>
      <c r="AB94" s="105">
        <v>3</v>
      </c>
      <c r="AC94" s="105">
        <v>2404.8000000000002</v>
      </c>
      <c r="AD94" s="105">
        <v>2</v>
      </c>
      <c r="AE94" s="105">
        <v>1603.2</v>
      </c>
      <c r="AF94" s="105">
        <v>2</v>
      </c>
      <c r="AG94" s="105">
        <v>1603.2</v>
      </c>
      <c r="AH94" s="105">
        <v>4</v>
      </c>
      <c r="AI94" s="105">
        <v>3206.4</v>
      </c>
      <c r="AJ94" s="105">
        <v>3</v>
      </c>
      <c r="AK94" s="105">
        <v>2404.8000000000002</v>
      </c>
      <c r="AL94" s="105">
        <v>4</v>
      </c>
      <c r="AM94" s="105">
        <v>3206.4</v>
      </c>
      <c r="AN94" s="105">
        <v>3</v>
      </c>
      <c r="AO94" s="105">
        <v>2404.8000000000002</v>
      </c>
      <c r="AP94" s="105">
        <v>4</v>
      </c>
      <c r="AQ94" s="105">
        <v>3206.4</v>
      </c>
      <c r="AR94" s="105">
        <v>4</v>
      </c>
      <c r="AS94" s="105">
        <v>3206.4</v>
      </c>
      <c r="AT94" s="105">
        <v>5</v>
      </c>
      <c r="AU94" s="105">
        <v>4008</v>
      </c>
      <c r="AV94" s="105">
        <v>5</v>
      </c>
      <c r="AW94" s="105">
        <v>4008</v>
      </c>
      <c r="AX94" s="105">
        <v>4</v>
      </c>
      <c r="AY94" s="105">
        <v>3206.4</v>
      </c>
      <c r="AZ94" s="105">
        <v>3</v>
      </c>
      <c r="BA94" s="105">
        <v>2404.8000000000002</v>
      </c>
      <c r="BB94" s="105">
        <v>4</v>
      </c>
      <c r="BC94" s="105">
        <v>3206.4</v>
      </c>
      <c r="BD94" s="105">
        <v>4</v>
      </c>
      <c r="BE94" s="105">
        <v>3206.4</v>
      </c>
      <c r="BF94" s="105">
        <v>5</v>
      </c>
      <c r="BG94" s="105">
        <v>4008</v>
      </c>
      <c r="BH94" s="105">
        <v>5</v>
      </c>
      <c r="BI94" s="105">
        <v>4008</v>
      </c>
      <c r="BJ94" s="105">
        <v>3</v>
      </c>
      <c r="BK94" s="105">
        <v>2404.8000000000002</v>
      </c>
      <c r="BL94" s="105">
        <v>4</v>
      </c>
      <c r="BM94" s="105">
        <v>3206.4</v>
      </c>
      <c r="BN94" s="105">
        <v>5</v>
      </c>
      <c r="BO94" s="105">
        <v>4008</v>
      </c>
      <c r="BP94" s="105">
        <v>3</v>
      </c>
      <c r="BQ94" s="105">
        <v>2404.8000000000002</v>
      </c>
      <c r="BR94" s="105">
        <v>5</v>
      </c>
      <c r="BS94" s="105">
        <v>4008</v>
      </c>
      <c r="BT94" s="105">
        <v>4</v>
      </c>
      <c r="BU94" s="105">
        <v>3206.4</v>
      </c>
      <c r="BV94" s="105">
        <v>4</v>
      </c>
      <c r="BW94" s="105">
        <v>3206.4</v>
      </c>
      <c r="BX94" s="105">
        <v>4</v>
      </c>
      <c r="BY94" s="105">
        <v>3206.4</v>
      </c>
      <c r="BZ94" s="105">
        <v>3</v>
      </c>
      <c r="CA94" s="105">
        <v>2404.8000000000002</v>
      </c>
      <c r="CB94" s="105">
        <v>3</v>
      </c>
      <c r="CC94" s="105">
        <v>2404.8000000000002</v>
      </c>
      <c r="CD94" s="105">
        <v>3</v>
      </c>
      <c r="CE94" s="105">
        <v>2404.8000000000002</v>
      </c>
      <c r="CF94" s="105">
        <v>3</v>
      </c>
      <c r="CG94" s="105">
        <v>2404.8000000000002</v>
      </c>
      <c r="CH94" s="105">
        <v>3</v>
      </c>
      <c r="CI94" s="105">
        <v>2404.8000000000002</v>
      </c>
      <c r="CJ94" s="105">
        <v>4</v>
      </c>
      <c r="CK94" s="105">
        <v>3206.4</v>
      </c>
      <c r="CL94" s="105">
        <v>4</v>
      </c>
      <c r="CM94" s="105">
        <v>3206.4</v>
      </c>
      <c r="CN94" s="105">
        <v>4</v>
      </c>
      <c r="CO94" s="105">
        <v>3206.4</v>
      </c>
      <c r="CP94" s="105">
        <v>3</v>
      </c>
      <c r="CQ94" s="105">
        <v>2404.8000000000002</v>
      </c>
      <c r="CR94" s="105">
        <v>3</v>
      </c>
      <c r="CS94" s="105">
        <v>2404.8000000000002</v>
      </c>
      <c r="CT94" s="105">
        <v>5</v>
      </c>
      <c r="CU94" s="105">
        <v>4008</v>
      </c>
    </row>
    <row r="95" spans="2:99" x14ac:dyDescent="0.2">
      <c r="B95" s="104" t="s">
        <v>132</v>
      </c>
      <c r="C95" s="104" t="s">
        <v>263</v>
      </c>
      <c r="D95" s="105">
        <v>8</v>
      </c>
      <c r="E95" s="105">
        <v>3072</v>
      </c>
      <c r="F95" s="105">
        <v>5</v>
      </c>
      <c r="G95" s="105">
        <v>1920</v>
      </c>
      <c r="H95" s="105">
        <v>11</v>
      </c>
      <c r="I95" s="105">
        <v>4224</v>
      </c>
      <c r="J95" s="105">
        <v>10</v>
      </c>
      <c r="K95" s="105">
        <v>3840</v>
      </c>
      <c r="L95" s="105">
        <v>7</v>
      </c>
      <c r="M95" s="105">
        <v>2688</v>
      </c>
      <c r="N95" s="105">
        <v>7</v>
      </c>
      <c r="O95" s="105">
        <v>2688</v>
      </c>
      <c r="P95" s="105">
        <v>10</v>
      </c>
      <c r="Q95" s="105">
        <v>3840</v>
      </c>
      <c r="R95" s="105">
        <v>7</v>
      </c>
      <c r="S95" s="105">
        <v>2688</v>
      </c>
      <c r="T95" s="105">
        <v>9</v>
      </c>
      <c r="U95" s="105">
        <v>3456</v>
      </c>
      <c r="V95" s="105">
        <v>10</v>
      </c>
      <c r="W95" s="105">
        <v>3840</v>
      </c>
      <c r="X95" s="105">
        <v>8</v>
      </c>
      <c r="Y95" s="105">
        <v>3072</v>
      </c>
      <c r="Z95" s="105">
        <v>8</v>
      </c>
      <c r="AA95" s="105">
        <v>3072</v>
      </c>
      <c r="AB95" s="105">
        <v>10</v>
      </c>
      <c r="AC95" s="105">
        <v>3840</v>
      </c>
      <c r="AD95" s="105">
        <v>7</v>
      </c>
      <c r="AE95" s="105">
        <v>2688</v>
      </c>
      <c r="AF95" s="105">
        <v>11</v>
      </c>
      <c r="AG95" s="105">
        <v>4224</v>
      </c>
      <c r="AH95" s="105">
        <v>7</v>
      </c>
      <c r="AI95" s="105">
        <v>2688</v>
      </c>
      <c r="AJ95" s="105">
        <v>11</v>
      </c>
      <c r="AK95" s="105">
        <v>4224</v>
      </c>
      <c r="AL95" s="105">
        <v>10</v>
      </c>
      <c r="AM95" s="105">
        <v>3840</v>
      </c>
      <c r="AN95" s="105">
        <v>9</v>
      </c>
      <c r="AO95" s="105">
        <v>3456</v>
      </c>
      <c r="AP95" s="105">
        <v>8</v>
      </c>
      <c r="AQ95" s="105">
        <v>3072</v>
      </c>
      <c r="AR95" s="105">
        <v>9</v>
      </c>
      <c r="AS95" s="105">
        <v>3456</v>
      </c>
      <c r="AT95" s="105">
        <v>11</v>
      </c>
      <c r="AU95" s="105">
        <v>4224</v>
      </c>
      <c r="AV95" s="105">
        <v>9</v>
      </c>
      <c r="AW95" s="105">
        <v>3456</v>
      </c>
      <c r="AX95" s="105">
        <v>10</v>
      </c>
      <c r="AY95" s="105">
        <v>3840</v>
      </c>
      <c r="AZ95" s="105">
        <v>9</v>
      </c>
      <c r="BA95" s="105">
        <v>3456</v>
      </c>
      <c r="BB95" s="105">
        <v>11</v>
      </c>
      <c r="BC95" s="105">
        <v>4224</v>
      </c>
      <c r="BD95" s="105">
        <v>9</v>
      </c>
      <c r="BE95" s="105">
        <v>3456</v>
      </c>
      <c r="BF95" s="105">
        <v>6</v>
      </c>
      <c r="BG95" s="105">
        <v>2304</v>
      </c>
      <c r="BH95" s="105">
        <v>6</v>
      </c>
      <c r="BI95" s="105">
        <v>2304</v>
      </c>
      <c r="BJ95" s="105">
        <v>10</v>
      </c>
      <c r="BK95" s="105">
        <v>3840</v>
      </c>
      <c r="BL95" s="105">
        <v>9</v>
      </c>
      <c r="BM95" s="105">
        <v>3456</v>
      </c>
      <c r="BN95" s="105">
        <v>7</v>
      </c>
      <c r="BO95" s="105">
        <v>2688</v>
      </c>
      <c r="BP95" s="105">
        <v>9</v>
      </c>
      <c r="BQ95" s="105">
        <v>3456</v>
      </c>
      <c r="BR95" s="105">
        <v>10</v>
      </c>
      <c r="BS95" s="105">
        <v>3840</v>
      </c>
      <c r="BT95" s="105">
        <v>12</v>
      </c>
      <c r="BU95" s="105">
        <v>4608</v>
      </c>
      <c r="BV95" s="105">
        <v>11</v>
      </c>
      <c r="BW95" s="105">
        <v>4224</v>
      </c>
      <c r="BX95" s="105">
        <v>6</v>
      </c>
      <c r="BY95" s="105">
        <v>2304</v>
      </c>
      <c r="BZ95" s="105">
        <v>6</v>
      </c>
      <c r="CA95" s="105">
        <v>2304</v>
      </c>
      <c r="CB95" s="105">
        <v>10</v>
      </c>
      <c r="CC95" s="105">
        <v>3840</v>
      </c>
      <c r="CD95" s="105">
        <v>9</v>
      </c>
      <c r="CE95" s="105">
        <v>3456</v>
      </c>
      <c r="CF95" s="105">
        <v>9</v>
      </c>
      <c r="CG95" s="105">
        <v>3456</v>
      </c>
      <c r="CH95" s="105">
        <v>6</v>
      </c>
      <c r="CI95" s="105">
        <v>2304</v>
      </c>
      <c r="CJ95" s="105">
        <v>11</v>
      </c>
      <c r="CK95" s="105">
        <v>4224</v>
      </c>
      <c r="CL95" s="105">
        <v>8</v>
      </c>
      <c r="CM95" s="105">
        <v>3072</v>
      </c>
      <c r="CN95" s="105">
        <v>11</v>
      </c>
      <c r="CO95" s="105">
        <v>4224</v>
      </c>
      <c r="CP95" s="105">
        <v>7</v>
      </c>
      <c r="CQ95" s="105">
        <v>2688</v>
      </c>
      <c r="CR95" s="105">
        <v>10</v>
      </c>
      <c r="CS95" s="105">
        <v>3840</v>
      </c>
      <c r="CT95" s="105">
        <v>10</v>
      </c>
      <c r="CU95" s="105">
        <v>3840</v>
      </c>
    </row>
    <row r="96" spans="2:99" x14ac:dyDescent="0.2">
      <c r="C96" s="104" t="s">
        <v>264</v>
      </c>
      <c r="D96" s="105">
        <v>8</v>
      </c>
      <c r="E96" s="105">
        <v>6691.2</v>
      </c>
      <c r="F96" s="105">
        <v>5</v>
      </c>
      <c r="G96" s="105">
        <v>4182</v>
      </c>
      <c r="H96" s="105">
        <v>10</v>
      </c>
      <c r="I96" s="105">
        <v>8364</v>
      </c>
      <c r="J96" s="105">
        <v>9</v>
      </c>
      <c r="K96" s="105">
        <v>7527.5999999999995</v>
      </c>
      <c r="L96" s="105">
        <v>5.9728506787330318</v>
      </c>
      <c r="M96" s="105">
        <v>4995.6923076923076</v>
      </c>
      <c r="N96" s="105">
        <v>5.52112676056338</v>
      </c>
      <c r="O96" s="105">
        <v>4617.8704225352112</v>
      </c>
      <c r="P96" s="105">
        <v>8.2352941176470598</v>
      </c>
      <c r="Q96" s="105">
        <v>6888.0000000000009</v>
      </c>
      <c r="R96" s="105">
        <v>5.3212669683257916</v>
      </c>
      <c r="S96" s="105">
        <v>4450.707692307692</v>
      </c>
      <c r="T96" s="105">
        <v>6.8173913043478267</v>
      </c>
      <c r="U96" s="105">
        <v>5702.0660869565218</v>
      </c>
      <c r="V96" s="105">
        <v>8.4365217391304359</v>
      </c>
      <c r="W96" s="105">
        <v>7056.3067826086963</v>
      </c>
      <c r="X96" s="105">
        <v>6.9829959514170046</v>
      </c>
      <c r="Y96" s="105">
        <v>5840.5778137651823</v>
      </c>
      <c r="Z96" s="105">
        <v>8</v>
      </c>
      <c r="AA96" s="105">
        <v>6691.2</v>
      </c>
      <c r="AB96" s="105">
        <v>9</v>
      </c>
      <c r="AC96" s="105">
        <v>7527.5999999999995</v>
      </c>
      <c r="AD96" s="105">
        <v>6</v>
      </c>
      <c r="AE96" s="105">
        <v>5018.3999999999996</v>
      </c>
      <c r="AF96" s="105">
        <v>11</v>
      </c>
      <c r="AG96" s="105">
        <v>9200.4</v>
      </c>
      <c r="AH96" s="105">
        <v>7</v>
      </c>
      <c r="AI96" s="105">
        <v>5854.8</v>
      </c>
      <c r="AJ96" s="105">
        <v>11</v>
      </c>
      <c r="AK96" s="105">
        <v>9200.4</v>
      </c>
      <c r="AL96" s="105">
        <v>9</v>
      </c>
      <c r="AM96" s="105">
        <v>7527.5999999999995</v>
      </c>
      <c r="AN96" s="105">
        <v>10</v>
      </c>
      <c r="AO96" s="105">
        <v>8364</v>
      </c>
      <c r="AP96" s="105">
        <v>8</v>
      </c>
      <c r="AQ96" s="105">
        <v>6691.2</v>
      </c>
      <c r="AR96" s="105">
        <v>10</v>
      </c>
      <c r="AS96" s="105">
        <v>8364</v>
      </c>
      <c r="AT96" s="105">
        <v>11</v>
      </c>
      <c r="AU96" s="105">
        <v>9200.4</v>
      </c>
      <c r="AV96" s="105">
        <v>9</v>
      </c>
      <c r="AW96" s="105">
        <v>7527.5999999999995</v>
      </c>
      <c r="AX96" s="105">
        <v>10</v>
      </c>
      <c r="AY96" s="105">
        <v>8364</v>
      </c>
      <c r="AZ96" s="105">
        <v>8</v>
      </c>
      <c r="BA96" s="105">
        <v>6691.2</v>
      </c>
      <c r="BB96" s="105">
        <v>10</v>
      </c>
      <c r="BC96" s="105">
        <v>8364</v>
      </c>
      <c r="BD96" s="105">
        <v>9</v>
      </c>
      <c r="BE96" s="105">
        <v>7527.5999999999995</v>
      </c>
      <c r="BF96" s="105">
        <v>7</v>
      </c>
      <c r="BG96" s="105">
        <v>5854.8</v>
      </c>
      <c r="BH96" s="105">
        <v>6</v>
      </c>
      <c r="BI96" s="105">
        <v>5018.3999999999996</v>
      </c>
      <c r="BJ96" s="105">
        <v>9</v>
      </c>
      <c r="BK96" s="105">
        <v>7527.5999999999995</v>
      </c>
      <c r="BL96" s="105">
        <v>10</v>
      </c>
      <c r="BM96" s="105">
        <v>8364</v>
      </c>
      <c r="BN96" s="105">
        <v>6</v>
      </c>
      <c r="BO96" s="105">
        <v>5018.3999999999996</v>
      </c>
      <c r="BP96" s="105">
        <v>9</v>
      </c>
      <c r="BQ96" s="105">
        <v>7527.5999999999995</v>
      </c>
      <c r="BR96" s="105">
        <v>10</v>
      </c>
      <c r="BS96" s="105">
        <v>8364</v>
      </c>
      <c r="BT96" s="105">
        <v>10</v>
      </c>
      <c r="BU96" s="105">
        <v>8364</v>
      </c>
      <c r="BV96" s="105">
        <v>9</v>
      </c>
      <c r="BW96" s="105">
        <v>7527.5999999999995</v>
      </c>
      <c r="BX96" s="105">
        <v>5.1662650602409688</v>
      </c>
      <c r="BY96" s="105">
        <v>4321.0640963855458</v>
      </c>
      <c r="BZ96" s="105">
        <v>4.2919708029197086</v>
      </c>
      <c r="CA96" s="105">
        <v>3589.8043795620442</v>
      </c>
      <c r="CB96" s="105">
        <v>9.7029702970297027</v>
      </c>
      <c r="CC96" s="105">
        <v>8115.5643564356433</v>
      </c>
      <c r="CD96" s="105">
        <v>7.3807531380753142</v>
      </c>
      <c r="CE96" s="105">
        <v>6173.2619246861923</v>
      </c>
      <c r="CF96" s="105">
        <v>7.1513513513513516</v>
      </c>
      <c r="CG96" s="105">
        <v>5981.3902702702699</v>
      </c>
      <c r="CH96" s="105">
        <v>7</v>
      </c>
      <c r="CI96" s="105">
        <v>5854.8</v>
      </c>
      <c r="CJ96" s="105">
        <v>6.8256227758007126</v>
      </c>
      <c r="CK96" s="105">
        <v>5708.9508896797161</v>
      </c>
      <c r="CL96" s="105">
        <v>6.6881516587677732</v>
      </c>
      <c r="CM96" s="105">
        <v>5593.9700473933653</v>
      </c>
      <c r="CN96" s="105">
        <v>7.232472324723247</v>
      </c>
      <c r="CO96" s="105">
        <v>6049.2398523985239</v>
      </c>
      <c r="CP96" s="105">
        <v>5.6538461538461542</v>
      </c>
      <c r="CQ96" s="105">
        <v>4728.876923076923</v>
      </c>
      <c r="CR96" s="105">
        <v>6.4615384615384617</v>
      </c>
      <c r="CS96" s="105">
        <v>5404.4307692307693</v>
      </c>
      <c r="CT96" s="105">
        <v>9.6551724137931032</v>
      </c>
      <c r="CU96" s="105">
        <v>8075.5862068965516</v>
      </c>
    </row>
    <row r="97" spans="2:99" x14ac:dyDescent="0.2">
      <c r="C97" s="104" t="s">
        <v>265</v>
      </c>
      <c r="D97" s="105">
        <v>8</v>
      </c>
      <c r="E97" s="105">
        <v>2016</v>
      </c>
      <c r="F97" s="105">
        <v>6</v>
      </c>
      <c r="G97" s="105">
        <v>1512</v>
      </c>
      <c r="H97" s="105">
        <v>11</v>
      </c>
      <c r="I97" s="105">
        <v>2772</v>
      </c>
      <c r="J97" s="105">
        <v>10</v>
      </c>
      <c r="K97" s="105">
        <v>2520</v>
      </c>
      <c r="L97" s="105">
        <v>6</v>
      </c>
      <c r="M97" s="105">
        <v>1512</v>
      </c>
      <c r="N97" s="105">
        <v>6</v>
      </c>
      <c r="O97" s="105">
        <v>1512</v>
      </c>
      <c r="P97" s="105">
        <v>11</v>
      </c>
      <c r="Q97" s="105">
        <v>2772</v>
      </c>
      <c r="R97" s="105">
        <v>7</v>
      </c>
      <c r="S97" s="105">
        <v>1764</v>
      </c>
      <c r="T97" s="105">
        <v>8</v>
      </c>
      <c r="U97" s="105">
        <v>2016</v>
      </c>
      <c r="V97" s="105">
        <v>9</v>
      </c>
      <c r="W97" s="105">
        <v>2268</v>
      </c>
      <c r="X97" s="105">
        <v>9</v>
      </c>
      <c r="Y97" s="105">
        <v>2268</v>
      </c>
      <c r="Z97" s="105">
        <v>8</v>
      </c>
      <c r="AA97" s="105">
        <v>2016</v>
      </c>
      <c r="AB97" s="105">
        <v>11</v>
      </c>
      <c r="AC97" s="105">
        <v>2772</v>
      </c>
      <c r="AD97" s="105">
        <v>7</v>
      </c>
      <c r="AE97" s="105">
        <v>1764</v>
      </c>
      <c r="AF97" s="105">
        <v>12</v>
      </c>
      <c r="AG97" s="105">
        <v>3024</v>
      </c>
      <c r="AH97" s="105">
        <v>7</v>
      </c>
      <c r="AI97" s="105">
        <v>1764</v>
      </c>
      <c r="AJ97" s="105">
        <v>11</v>
      </c>
      <c r="AK97" s="105">
        <v>2772</v>
      </c>
      <c r="AL97" s="105">
        <v>9</v>
      </c>
      <c r="AM97" s="105">
        <v>2268</v>
      </c>
      <c r="AN97" s="105">
        <v>9</v>
      </c>
      <c r="AO97" s="105">
        <v>2268</v>
      </c>
      <c r="AP97" s="105">
        <v>8</v>
      </c>
      <c r="AQ97" s="105">
        <v>2016</v>
      </c>
      <c r="AR97" s="105">
        <v>10</v>
      </c>
      <c r="AS97" s="105">
        <v>2520</v>
      </c>
      <c r="AT97" s="105">
        <v>11</v>
      </c>
      <c r="AU97" s="105">
        <v>2772</v>
      </c>
      <c r="AV97" s="105">
        <v>11</v>
      </c>
      <c r="AW97" s="105">
        <v>2772</v>
      </c>
      <c r="AX97" s="105">
        <v>11</v>
      </c>
      <c r="AY97" s="105">
        <v>2772</v>
      </c>
      <c r="AZ97" s="105">
        <v>9</v>
      </c>
      <c r="BA97" s="105">
        <v>2268</v>
      </c>
      <c r="BB97" s="105">
        <v>10</v>
      </c>
      <c r="BC97" s="105">
        <v>2520</v>
      </c>
      <c r="BD97" s="105">
        <v>9</v>
      </c>
      <c r="BE97" s="105">
        <v>2268</v>
      </c>
      <c r="BF97" s="105">
        <v>6</v>
      </c>
      <c r="BG97" s="105">
        <v>1512</v>
      </c>
      <c r="BH97" s="105">
        <v>6</v>
      </c>
      <c r="BI97" s="105">
        <v>1512</v>
      </c>
      <c r="BJ97" s="105">
        <v>9</v>
      </c>
      <c r="BK97" s="105">
        <v>2268</v>
      </c>
      <c r="BL97" s="105">
        <v>11</v>
      </c>
      <c r="BM97" s="105">
        <v>2772</v>
      </c>
      <c r="BN97" s="105">
        <v>6</v>
      </c>
      <c r="BO97" s="105">
        <v>1512</v>
      </c>
      <c r="BP97" s="105">
        <v>9</v>
      </c>
      <c r="BQ97" s="105">
        <v>2268</v>
      </c>
      <c r="BR97" s="105">
        <v>10</v>
      </c>
      <c r="BS97" s="105">
        <v>2520</v>
      </c>
      <c r="BT97" s="105">
        <v>11</v>
      </c>
      <c r="BU97" s="105">
        <v>2772</v>
      </c>
      <c r="BV97" s="105">
        <v>11</v>
      </c>
      <c r="BW97" s="105">
        <v>2772</v>
      </c>
      <c r="BX97" s="105">
        <v>6</v>
      </c>
      <c r="BY97" s="105">
        <v>1512</v>
      </c>
      <c r="BZ97" s="105">
        <v>6</v>
      </c>
      <c r="CA97" s="105">
        <v>1512</v>
      </c>
      <c r="CB97" s="105">
        <v>11</v>
      </c>
      <c r="CC97" s="105">
        <v>2772</v>
      </c>
      <c r="CD97" s="105">
        <v>10</v>
      </c>
      <c r="CE97" s="105">
        <v>2520</v>
      </c>
      <c r="CF97" s="105">
        <v>9</v>
      </c>
      <c r="CG97" s="105">
        <v>2268</v>
      </c>
      <c r="CH97" s="105">
        <v>7</v>
      </c>
      <c r="CI97" s="105">
        <v>1764</v>
      </c>
      <c r="CJ97" s="105">
        <v>12</v>
      </c>
      <c r="CK97" s="105">
        <v>3024</v>
      </c>
      <c r="CL97" s="105">
        <v>8</v>
      </c>
      <c r="CM97" s="105">
        <v>2016</v>
      </c>
      <c r="CN97" s="105">
        <v>11</v>
      </c>
      <c r="CO97" s="105">
        <v>2772</v>
      </c>
      <c r="CP97" s="105">
        <v>6</v>
      </c>
      <c r="CQ97" s="105">
        <v>1512</v>
      </c>
      <c r="CR97" s="105">
        <v>10</v>
      </c>
      <c r="CS97" s="105">
        <v>2520</v>
      </c>
      <c r="CT97" s="105">
        <v>10</v>
      </c>
      <c r="CU97" s="105">
        <v>2520</v>
      </c>
    </row>
    <row r="98" spans="2:99" x14ac:dyDescent="0.2">
      <c r="C98" s="104" t="s">
        <v>266</v>
      </c>
      <c r="D98" s="105">
        <v>8</v>
      </c>
      <c r="E98" s="105">
        <v>6508.8</v>
      </c>
      <c r="F98" s="105">
        <v>5</v>
      </c>
      <c r="G98" s="105">
        <v>4068</v>
      </c>
      <c r="H98" s="105">
        <v>9</v>
      </c>
      <c r="I98" s="105">
        <v>7322.4000000000005</v>
      </c>
      <c r="J98" s="105">
        <v>9</v>
      </c>
      <c r="K98" s="105">
        <v>7322.4000000000005</v>
      </c>
      <c r="L98" s="105">
        <v>6</v>
      </c>
      <c r="M98" s="105">
        <v>4881.6000000000004</v>
      </c>
      <c r="N98" s="105">
        <v>6</v>
      </c>
      <c r="O98" s="105">
        <v>4881.6000000000004</v>
      </c>
      <c r="P98" s="105">
        <v>10</v>
      </c>
      <c r="Q98" s="105">
        <v>8136</v>
      </c>
      <c r="R98" s="105">
        <v>7</v>
      </c>
      <c r="S98" s="105">
        <v>5695.2</v>
      </c>
      <c r="T98" s="105">
        <v>9</v>
      </c>
      <c r="U98" s="105">
        <v>7322.4000000000005</v>
      </c>
      <c r="V98" s="105">
        <v>9</v>
      </c>
      <c r="W98" s="105">
        <v>7322.4000000000005</v>
      </c>
      <c r="X98" s="105">
        <v>9</v>
      </c>
      <c r="Y98" s="105">
        <v>7322.4000000000005</v>
      </c>
      <c r="Z98" s="105">
        <v>8</v>
      </c>
      <c r="AA98" s="105">
        <v>6508.8</v>
      </c>
      <c r="AB98" s="105">
        <v>9</v>
      </c>
      <c r="AC98" s="105">
        <v>7322.4000000000005</v>
      </c>
      <c r="AD98" s="105">
        <v>6</v>
      </c>
      <c r="AE98" s="105">
        <v>4881.6000000000004</v>
      </c>
      <c r="AF98" s="105">
        <v>9</v>
      </c>
      <c r="AG98" s="105">
        <v>7322.4000000000005</v>
      </c>
      <c r="AH98" s="105">
        <v>6</v>
      </c>
      <c r="AI98" s="105">
        <v>4881.6000000000004</v>
      </c>
      <c r="AJ98" s="105">
        <v>10</v>
      </c>
      <c r="AK98" s="105">
        <v>8136</v>
      </c>
      <c r="AL98" s="105">
        <v>10</v>
      </c>
      <c r="AM98" s="105">
        <v>8136</v>
      </c>
      <c r="AN98" s="105">
        <v>9</v>
      </c>
      <c r="AO98" s="105">
        <v>7322.4000000000005</v>
      </c>
      <c r="AP98" s="105">
        <v>8</v>
      </c>
      <c r="AQ98" s="105">
        <v>6508.8</v>
      </c>
      <c r="AR98" s="105">
        <v>9</v>
      </c>
      <c r="AS98" s="105">
        <v>7322.4000000000005</v>
      </c>
      <c r="AT98" s="105">
        <v>9</v>
      </c>
      <c r="AU98" s="105">
        <v>7322.4000000000005</v>
      </c>
      <c r="AV98" s="105">
        <v>10</v>
      </c>
      <c r="AW98" s="105">
        <v>8136</v>
      </c>
      <c r="AX98" s="105">
        <v>11</v>
      </c>
      <c r="AY98" s="105">
        <v>8949.6</v>
      </c>
      <c r="AZ98" s="105">
        <v>9</v>
      </c>
      <c r="BA98" s="105">
        <v>7322.4000000000005</v>
      </c>
      <c r="BB98" s="105">
        <v>11</v>
      </c>
      <c r="BC98" s="105">
        <v>8949.6</v>
      </c>
      <c r="BD98" s="105">
        <v>8</v>
      </c>
      <c r="BE98" s="105">
        <v>6508.8</v>
      </c>
      <c r="BF98" s="105">
        <v>7</v>
      </c>
      <c r="BG98" s="105">
        <v>5695.2</v>
      </c>
      <c r="BH98" s="105">
        <v>6</v>
      </c>
      <c r="BI98" s="105">
        <v>4881.6000000000004</v>
      </c>
      <c r="BJ98" s="105">
        <v>9</v>
      </c>
      <c r="BK98" s="105">
        <v>7322.4000000000005</v>
      </c>
      <c r="BL98" s="105">
        <v>10</v>
      </c>
      <c r="BM98" s="105">
        <v>8136</v>
      </c>
      <c r="BN98" s="105">
        <v>7</v>
      </c>
      <c r="BO98" s="105">
        <v>5695.2</v>
      </c>
      <c r="BP98" s="105">
        <v>10</v>
      </c>
      <c r="BQ98" s="105">
        <v>8136</v>
      </c>
      <c r="BR98" s="105">
        <v>11</v>
      </c>
      <c r="BS98" s="105">
        <v>8949.6</v>
      </c>
      <c r="BT98" s="105">
        <v>11</v>
      </c>
      <c r="BU98" s="105">
        <v>8949.6</v>
      </c>
      <c r="BV98" s="105">
        <v>10</v>
      </c>
      <c r="BW98" s="105">
        <v>8136</v>
      </c>
      <c r="BX98" s="105">
        <v>6</v>
      </c>
      <c r="BY98" s="105">
        <v>4881.6000000000004</v>
      </c>
      <c r="BZ98" s="105">
        <v>6</v>
      </c>
      <c r="CA98" s="105">
        <v>4881.6000000000004</v>
      </c>
      <c r="CB98" s="105">
        <v>9</v>
      </c>
      <c r="CC98" s="105">
        <v>7322.4000000000005</v>
      </c>
      <c r="CD98" s="105">
        <v>8</v>
      </c>
      <c r="CE98" s="105">
        <v>6508.8</v>
      </c>
      <c r="CF98" s="105">
        <v>9</v>
      </c>
      <c r="CG98" s="105">
        <v>7322.4000000000005</v>
      </c>
      <c r="CH98" s="105">
        <v>7</v>
      </c>
      <c r="CI98" s="105">
        <v>5695.2</v>
      </c>
      <c r="CJ98" s="105">
        <v>11</v>
      </c>
      <c r="CK98" s="105">
        <v>8949.6</v>
      </c>
      <c r="CL98" s="105">
        <v>9</v>
      </c>
      <c r="CM98" s="105">
        <v>7322.4000000000005</v>
      </c>
      <c r="CN98" s="105">
        <v>11</v>
      </c>
      <c r="CO98" s="105">
        <v>8949.6</v>
      </c>
      <c r="CP98" s="105">
        <v>7</v>
      </c>
      <c r="CQ98" s="105">
        <v>5695.2</v>
      </c>
      <c r="CR98" s="105">
        <v>8</v>
      </c>
      <c r="CS98" s="105">
        <v>6508.8</v>
      </c>
      <c r="CT98" s="105">
        <v>9</v>
      </c>
      <c r="CU98" s="105">
        <v>7322.4000000000005</v>
      </c>
    </row>
    <row r="99" spans="2:99" x14ac:dyDescent="0.2">
      <c r="C99" s="104" t="s">
        <v>267</v>
      </c>
      <c r="D99" s="105">
        <v>7</v>
      </c>
      <c r="E99" s="105">
        <v>27182.399999999998</v>
      </c>
      <c r="F99" s="105">
        <v>5</v>
      </c>
      <c r="G99" s="105">
        <v>19416</v>
      </c>
      <c r="H99" s="105">
        <v>8</v>
      </c>
      <c r="I99" s="105">
        <v>31065.599999999999</v>
      </c>
      <c r="J99" s="105">
        <v>8</v>
      </c>
      <c r="K99" s="105">
        <v>31065.599999999999</v>
      </c>
      <c r="L99" s="105">
        <v>4</v>
      </c>
      <c r="M99" s="105">
        <v>15532.8</v>
      </c>
      <c r="N99" s="105">
        <v>4</v>
      </c>
      <c r="O99" s="105">
        <v>15532.8</v>
      </c>
      <c r="P99" s="105">
        <v>8</v>
      </c>
      <c r="Q99" s="105">
        <v>31065.599999999999</v>
      </c>
      <c r="R99" s="105">
        <v>5</v>
      </c>
      <c r="S99" s="105">
        <v>19416</v>
      </c>
      <c r="T99" s="105">
        <v>6</v>
      </c>
      <c r="U99" s="105">
        <v>23299.199999999997</v>
      </c>
      <c r="V99" s="105">
        <v>7</v>
      </c>
      <c r="W99" s="105">
        <v>27182.399999999998</v>
      </c>
      <c r="X99" s="105">
        <v>6</v>
      </c>
      <c r="Y99" s="105">
        <v>23299.199999999997</v>
      </c>
      <c r="Z99" s="105">
        <v>6</v>
      </c>
      <c r="AA99" s="105">
        <v>23299.199999999997</v>
      </c>
      <c r="AB99" s="105">
        <v>8</v>
      </c>
      <c r="AC99" s="105">
        <v>31065.599999999999</v>
      </c>
      <c r="AD99" s="105">
        <v>5</v>
      </c>
      <c r="AE99" s="105">
        <v>19416</v>
      </c>
      <c r="AF99" s="105">
        <v>9</v>
      </c>
      <c r="AG99" s="105">
        <v>34948.799999999996</v>
      </c>
      <c r="AH99" s="105">
        <v>6</v>
      </c>
      <c r="AI99" s="105">
        <v>23299.199999999997</v>
      </c>
      <c r="AJ99" s="105">
        <v>8</v>
      </c>
      <c r="AK99" s="105">
        <v>31065.599999999999</v>
      </c>
      <c r="AL99" s="105">
        <v>8</v>
      </c>
      <c r="AM99" s="105">
        <v>31065.599999999999</v>
      </c>
      <c r="AN99" s="105">
        <v>7</v>
      </c>
      <c r="AO99" s="105">
        <v>27182.399999999998</v>
      </c>
      <c r="AP99" s="105">
        <v>6</v>
      </c>
      <c r="AQ99" s="105">
        <v>23299.199999999997</v>
      </c>
      <c r="AR99" s="105">
        <v>8</v>
      </c>
      <c r="AS99" s="105">
        <v>31065.599999999999</v>
      </c>
      <c r="AT99" s="105">
        <v>7</v>
      </c>
      <c r="AU99" s="105">
        <v>27182.399999999998</v>
      </c>
      <c r="AV99" s="105">
        <v>8</v>
      </c>
      <c r="AW99" s="105">
        <v>31065.599999999999</v>
      </c>
      <c r="AX99" s="105">
        <v>8</v>
      </c>
      <c r="AY99" s="105">
        <v>31065.599999999999</v>
      </c>
      <c r="AZ99" s="105">
        <v>7</v>
      </c>
      <c r="BA99" s="105">
        <v>27182.399999999998</v>
      </c>
      <c r="BB99" s="105">
        <v>9</v>
      </c>
      <c r="BC99" s="105">
        <v>34948.799999999996</v>
      </c>
      <c r="BD99" s="105">
        <v>7</v>
      </c>
      <c r="BE99" s="105">
        <v>27182.399999999998</v>
      </c>
      <c r="BF99" s="105">
        <v>5</v>
      </c>
      <c r="BG99" s="105">
        <v>19416</v>
      </c>
      <c r="BH99" s="105">
        <v>5</v>
      </c>
      <c r="BI99" s="105">
        <v>19416</v>
      </c>
      <c r="BJ99" s="105">
        <v>7</v>
      </c>
      <c r="BK99" s="105">
        <v>27182.399999999998</v>
      </c>
      <c r="BL99" s="105">
        <v>8</v>
      </c>
      <c r="BM99" s="105">
        <v>31065.599999999999</v>
      </c>
      <c r="BN99" s="105">
        <v>5</v>
      </c>
      <c r="BO99" s="105">
        <v>19416</v>
      </c>
      <c r="BP99" s="105">
        <v>8</v>
      </c>
      <c r="BQ99" s="105">
        <v>31065.599999999999</v>
      </c>
      <c r="BR99" s="105">
        <v>8</v>
      </c>
      <c r="BS99" s="105">
        <v>31065.599999999999</v>
      </c>
      <c r="BT99" s="105">
        <v>8</v>
      </c>
      <c r="BU99" s="105">
        <v>31065.599999999999</v>
      </c>
      <c r="BV99" s="105">
        <v>9</v>
      </c>
      <c r="BW99" s="105">
        <v>34948.799999999996</v>
      </c>
      <c r="BX99" s="105">
        <v>5</v>
      </c>
      <c r="BY99" s="105">
        <v>19416</v>
      </c>
      <c r="BZ99" s="105">
        <v>5</v>
      </c>
      <c r="CA99" s="105">
        <v>19416</v>
      </c>
      <c r="CB99" s="105">
        <v>8</v>
      </c>
      <c r="CC99" s="105">
        <v>31065.599999999999</v>
      </c>
      <c r="CD99" s="105">
        <v>7</v>
      </c>
      <c r="CE99" s="105">
        <v>27182.399999999998</v>
      </c>
      <c r="CF99" s="105">
        <v>7</v>
      </c>
      <c r="CG99" s="105">
        <v>27182.399999999998</v>
      </c>
      <c r="CH99" s="105">
        <v>6</v>
      </c>
      <c r="CI99" s="105">
        <v>23299.199999999997</v>
      </c>
      <c r="CJ99" s="105">
        <v>9</v>
      </c>
      <c r="CK99" s="105">
        <v>34948.799999999996</v>
      </c>
      <c r="CL99" s="105">
        <v>7</v>
      </c>
      <c r="CM99" s="105">
        <v>27182.399999999998</v>
      </c>
      <c r="CN99" s="105">
        <v>8</v>
      </c>
      <c r="CO99" s="105">
        <v>31065.599999999999</v>
      </c>
      <c r="CP99" s="105">
        <v>5</v>
      </c>
      <c r="CQ99" s="105">
        <v>19416</v>
      </c>
      <c r="CR99" s="105">
        <v>7</v>
      </c>
      <c r="CS99" s="105">
        <v>27182.399999999998</v>
      </c>
      <c r="CT99" s="105">
        <v>8</v>
      </c>
      <c r="CU99" s="105">
        <v>31065.599999999999</v>
      </c>
    </row>
    <row r="100" spans="2:99" x14ac:dyDescent="0.2">
      <c r="C100" s="104" t="s">
        <v>268</v>
      </c>
      <c r="D100" s="105">
        <v>9</v>
      </c>
      <c r="E100" s="105">
        <v>4978.7999999999993</v>
      </c>
      <c r="F100" s="105">
        <v>5</v>
      </c>
      <c r="G100" s="105">
        <v>2765.9999999999995</v>
      </c>
      <c r="H100" s="105">
        <v>10</v>
      </c>
      <c r="I100" s="105">
        <v>5531.9999999999991</v>
      </c>
      <c r="J100" s="105">
        <v>10</v>
      </c>
      <c r="K100" s="105">
        <v>5531.9999999999991</v>
      </c>
      <c r="L100" s="105">
        <v>6</v>
      </c>
      <c r="M100" s="105">
        <v>3319.2</v>
      </c>
      <c r="N100" s="105">
        <v>6</v>
      </c>
      <c r="O100" s="105">
        <v>3319.2</v>
      </c>
      <c r="P100" s="105">
        <v>9</v>
      </c>
      <c r="Q100" s="105">
        <v>4978.7999999999993</v>
      </c>
      <c r="R100" s="105">
        <v>7</v>
      </c>
      <c r="S100" s="105">
        <v>3872.3999999999996</v>
      </c>
      <c r="T100" s="105">
        <v>9</v>
      </c>
      <c r="U100" s="105">
        <v>4978.7999999999993</v>
      </c>
      <c r="V100" s="105">
        <v>10</v>
      </c>
      <c r="W100" s="105">
        <v>5531.9999999999991</v>
      </c>
      <c r="X100" s="105">
        <v>9</v>
      </c>
      <c r="Y100" s="105">
        <v>4978.7999999999993</v>
      </c>
      <c r="Z100" s="105">
        <v>8</v>
      </c>
      <c r="AA100" s="105">
        <v>4425.5999999999995</v>
      </c>
      <c r="AB100" s="105">
        <v>10</v>
      </c>
      <c r="AC100" s="105">
        <v>5531.9999999999991</v>
      </c>
      <c r="AD100" s="105">
        <v>7</v>
      </c>
      <c r="AE100" s="105">
        <v>3872.3999999999996</v>
      </c>
      <c r="AF100" s="105">
        <v>9</v>
      </c>
      <c r="AG100" s="105">
        <v>4978.7999999999993</v>
      </c>
      <c r="AH100" s="105">
        <v>8</v>
      </c>
      <c r="AI100" s="105">
        <v>4425.5999999999995</v>
      </c>
      <c r="AJ100" s="105">
        <v>10</v>
      </c>
      <c r="AK100" s="105">
        <v>5531.9999999999991</v>
      </c>
      <c r="AL100" s="105">
        <v>9</v>
      </c>
      <c r="AM100" s="105">
        <v>4978.7999999999993</v>
      </c>
      <c r="AN100" s="105">
        <v>10</v>
      </c>
      <c r="AO100" s="105">
        <v>5531.9999999999991</v>
      </c>
      <c r="AP100" s="105">
        <v>8</v>
      </c>
      <c r="AQ100" s="105">
        <v>4425.5999999999995</v>
      </c>
      <c r="AR100" s="105">
        <v>9</v>
      </c>
      <c r="AS100" s="105">
        <v>4978.7999999999993</v>
      </c>
      <c r="AT100" s="105">
        <v>10</v>
      </c>
      <c r="AU100" s="105">
        <v>5531.9999999999991</v>
      </c>
      <c r="AV100" s="105">
        <v>9</v>
      </c>
      <c r="AW100" s="105">
        <v>4978.7999999999993</v>
      </c>
      <c r="AX100" s="105">
        <v>11</v>
      </c>
      <c r="AY100" s="105">
        <v>6085.1999999999989</v>
      </c>
      <c r="AZ100" s="105">
        <v>9</v>
      </c>
      <c r="BA100" s="105">
        <v>4978.7999999999993</v>
      </c>
      <c r="BB100" s="105">
        <v>11</v>
      </c>
      <c r="BC100" s="105">
        <v>6085.1999999999989</v>
      </c>
      <c r="BD100" s="105">
        <v>9</v>
      </c>
      <c r="BE100" s="105">
        <v>4978.7999999999993</v>
      </c>
      <c r="BF100" s="105">
        <v>7</v>
      </c>
      <c r="BG100" s="105">
        <v>3872.3999999999996</v>
      </c>
      <c r="BH100" s="105">
        <v>6</v>
      </c>
      <c r="BI100" s="105">
        <v>3319.2</v>
      </c>
      <c r="BJ100" s="105">
        <v>8</v>
      </c>
      <c r="BK100" s="105">
        <v>4425.5999999999995</v>
      </c>
      <c r="BL100" s="105">
        <v>11</v>
      </c>
      <c r="BM100" s="105">
        <v>6085.1999999999989</v>
      </c>
      <c r="BN100" s="105">
        <v>6</v>
      </c>
      <c r="BO100" s="105">
        <v>3319.2</v>
      </c>
      <c r="BP100" s="105">
        <v>9</v>
      </c>
      <c r="BQ100" s="105">
        <v>4978.7999999999993</v>
      </c>
      <c r="BR100" s="105">
        <v>10</v>
      </c>
      <c r="BS100" s="105">
        <v>5531.9999999999991</v>
      </c>
      <c r="BT100" s="105">
        <v>11</v>
      </c>
      <c r="BU100" s="105">
        <v>6085.1999999999989</v>
      </c>
      <c r="BV100" s="105">
        <v>11</v>
      </c>
      <c r="BW100" s="105">
        <v>6085.1999999999989</v>
      </c>
      <c r="BX100" s="105">
        <v>6</v>
      </c>
      <c r="BY100" s="105">
        <v>3319.2</v>
      </c>
      <c r="BZ100" s="105">
        <v>6</v>
      </c>
      <c r="CA100" s="105">
        <v>3319.2</v>
      </c>
      <c r="CB100" s="105">
        <v>10</v>
      </c>
      <c r="CC100" s="105">
        <v>5531.9999999999991</v>
      </c>
      <c r="CD100" s="105">
        <v>8</v>
      </c>
      <c r="CE100" s="105">
        <v>4425.5999999999995</v>
      </c>
      <c r="CF100" s="105">
        <v>10</v>
      </c>
      <c r="CG100" s="105">
        <v>5531.9999999999991</v>
      </c>
      <c r="CH100" s="105">
        <v>6</v>
      </c>
      <c r="CI100" s="105">
        <v>3319.2</v>
      </c>
      <c r="CJ100" s="105">
        <v>11</v>
      </c>
      <c r="CK100" s="105">
        <v>6085.1999999999989</v>
      </c>
      <c r="CL100" s="105">
        <v>8</v>
      </c>
      <c r="CM100" s="105">
        <v>4425.5999999999995</v>
      </c>
      <c r="CN100" s="105">
        <v>12</v>
      </c>
      <c r="CO100" s="105">
        <v>6638.4</v>
      </c>
      <c r="CP100" s="105">
        <v>7</v>
      </c>
      <c r="CQ100" s="105">
        <v>3872.3999999999996</v>
      </c>
      <c r="CR100" s="105">
        <v>10</v>
      </c>
      <c r="CS100" s="105">
        <v>5531.9999999999991</v>
      </c>
      <c r="CT100" s="105">
        <v>9</v>
      </c>
      <c r="CU100" s="105">
        <v>4978.7999999999993</v>
      </c>
    </row>
    <row r="101" spans="2:99" x14ac:dyDescent="0.2">
      <c r="C101" s="104" t="s">
        <v>269</v>
      </c>
      <c r="D101" s="105">
        <v>7</v>
      </c>
      <c r="E101" s="105">
        <v>5964</v>
      </c>
      <c r="F101" s="105">
        <v>5</v>
      </c>
      <c r="G101" s="105">
        <v>4260</v>
      </c>
      <c r="H101" s="105">
        <v>10</v>
      </c>
      <c r="I101" s="105">
        <v>8520</v>
      </c>
      <c r="J101" s="105">
        <v>10</v>
      </c>
      <c r="K101" s="105">
        <v>8520</v>
      </c>
      <c r="L101" s="105">
        <v>5.9728506787330318</v>
      </c>
      <c r="M101" s="105">
        <v>5088.8687782805428</v>
      </c>
      <c r="N101" s="105">
        <v>5.52112676056338</v>
      </c>
      <c r="O101" s="105">
        <v>4704</v>
      </c>
      <c r="P101" s="105">
        <v>7.4117647058823524</v>
      </c>
      <c r="Q101" s="105">
        <v>6314.823529411764</v>
      </c>
      <c r="R101" s="105">
        <v>6.2081447963800898</v>
      </c>
      <c r="S101" s="105">
        <v>5289.3393665158364</v>
      </c>
      <c r="T101" s="105">
        <v>6.8173913043478267</v>
      </c>
      <c r="U101" s="105">
        <v>5808.4173913043487</v>
      </c>
      <c r="V101" s="105">
        <v>7.49913043478261</v>
      </c>
      <c r="W101" s="105">
        <v>6389.2591304347834</v>
      </c>
      <c r="X101" s="105">
        <v>7.8558704453441299</v>
      </c>
      <c r="Y101" s="105">
        <v>6693.2016194331991</v>
      </c>
      <c r="Z101" s="105">
        <v>7</v>
      </c>
      <c r="AA101" s="105">
        <v>5964</v>
      </c>
      <c r="AB101" s="105">
        <v>10</v>
      </c>
      <c r="AC101" s="105">
        <v>8520</v>
      </c>
      <c r="AD101" s="105">
        <v>6</v>
      </c>
      <c r="AE101" s="105">
        <v>5112</v>
      </c>
      <c r="AF101" s="105">
        <v>9</v>
      </c>
      <c r="AG101" s="105">
        <v>7668</v>
      </c>
      <c r="AH101" s="105">
        <v>7</v>
      </c>
      <c r="AI101" s="105">
        <v>5964</v>
      </c>
      <c r="AJ101" s="105">
        <v>9</v>
      </c>
      <c r="AK101" s="105">
        <v>7668</v>
      </c>
      <c r="AL101" s="105">
        <v>10</v>
      </c>
      <c r="AM101" s="105">
        <v>8520</v>
      </c>
      <c r="AN101" s="105">
        <v>9</v>
      </c>
      <c r="AO101" s="105">
        <v>7668</v>
      </c>
      <c r="AP101" s="105">
        <v>9</v>
      </c>
      <c r="AQ101" s="105">
        <v>7668</v>
      </c>
      <c r="AR101" s="105">
        <v>9</v>
      </c>
      <c r="AS101" s="105">
        <v>7668</v>
      </c>
      <c r="AT101" s="105">
        <v>11</v>
      </c>
      <c r="AU101" s="105">
        <v>9372</v>
      </c>
      <c r="AV101" s="105">
        <v>9</v>
      </c>
      <c r="AW101" s="105">
        <v>7668</v>
      </c>
      <c r="AX101" s="105">
        <v>9</v>
      </c>
      <c r="AY101" s="105">
        <v>7668</v>
      </c>
      <c r="AZ101" s="105">
        <v>8</v>
      </c>
      <c r="BA101" s="105">
        <v>6816</v>
      </c>
      <c r="BB101" s="105">
        <v>10</v>
      </c>
      <c r="BC101" s="105">
        <v>8520</v>
      </c>
      <c r="BD101" s="105">
        <v>9</v>
      </c>
      <c r="BE101" s="105">
        <v>7668</v>
      </c>
      <c r="BF101" s="105">
        <v>7</v>
      </c>
      <c r="BG101" s="105">
        <v>5964</v>
      </c>
      <c r="BH101" s="105">
        <v>6</v>
      </c>
      <c r="BI101" s="105">
        <v>5112</v>
      </c>
      <c r="BJ101" s="105">
        <v>8</v>
      </c>
      <c r="BK101" s="105">
        <v>6816</v>
      </c>
      <c r="BL101" s="105">
        <v>11</v>
      </c>
      <c r="BM101" s="105">
        <v>9372</v>
      </c>
      <c r="BN101" s="105">
        <v>7</v>
      </c>
      <c r="BO101" s="105">
        <v>5964</v>
      </c>
      <c r="BP101" s="105">
        <v>9</v>
      </c>
      <c r="BQ101" s="105">
        <v>7668</v>
      </c>
      <c r="BR101" s="105">
        <v>10</v>
      </c>
      <c r="BS101" s="105">
        <v>8520</v>
      </c>
      <c r="BT101" s="105">
        <v>11</v>
      </c>
      <c r="BU101" s="105">
        <v>9372</v>
      </c>
      <c r="BV101" s="105">
        <v>11</v>
      </c>
      <c r="BW101" s="105">
        <v>9372</v>
      </c>
      <c r="BX101" s="105">
        <v>5.1662650602409688</v>
      </c>
      <c r="BY101" s="105">
        <v>4401.6578313253058</v>
      </c>
      <c r="BZ101" s="105">
        <v>4.2919708029197086</v>
      </c>
      <c r="CA101" s="105">
        <v>3656.7591240875918</v>
      </c>
      <c r="CB101" s="105">
        <v>9.7029702970297027</v>
      </c>
      <c r="CC101" s="105">
        <v>8266.9306930693074</v>
      </c>
      <c r="CD101" s="105">
        <v>7.3807531380753142</v>
      </c>
      <c r="CE101" s="105">
        <v>6288.4016736401672</v>
      </c>
      <c r="CF101" s="105">
        <v>6.3567567567567567</v>
      </c>
      <c r="CG101" s="105">
        <v>5415.9567567567565</v>
      </c>
      <c r="CH101" s="105">
        <v>6</v>
      </c>
      <c r="CI101" s="105">
        <v>5112</v>
      </c>
      <c r="CJ101" s="105">
        <v>6.8256227758007126</v>
      </c>
      <c r="CK101" s="105">
        <v>5815.4306049822071</v>
      </c>
      <c r="CL101" s="105">
        <v>6.6881516587677732</v>
      </c>
      <c r="CM101" s="105">
        <v>5698.3052132701423</v>
      </c>
      <c r="CN101" s="105">
        <v>7.232472324723247</v>
      </c>
      <c r="CO101" s="105">
        <v>6162.0664206642068</v>
      </c>
      <c r="CP101" s="105">
        <v>6.5961538461538458</v>
      </c>
      <c r="CQ101" s="105">
        <v>5619.9230769230762</v>
      </c>
      <c r="CR101" s="105">
        <v>6.4615384615384617</v>
      </c>
      <c r="CS101" s="105">
        <v>5505.2307692307695</v>
      </c>
      <c r="CT101" s="105">
        <v>9.6551724137931032</v>
      </c>
      <c r="CU101" s="105">
        <v>8226.2068965517246</v>
      </c>
    </row>
    <row r="102" spans="2:99" x14ac:dyDescent="0.2">
      <c r="C102" s="104" t="s">
        <v>270</v>
      </c>
      <c r="D102" s="105">
        <v>9</v>
      </c>
      <c r="E102" s="105">
        <v>550.79999999999995</v>
      </c>
      <c r="F102" s="105">
        <v>6</v>
      </c>
      <c r="G102" s="105">
        <v>367.2</v>
      </c>
      <c r="H102" s="105">
        <v>10</v>
      </c>
      <c r="I102" s="105">
        <v>612</v>
      </c>
      <c r="J102" s="105">
        <v>9</v>
      </c>
      <c r="K102" s="105">
        <v>550.79999999999995</v>
      </c>
      <c r="L102" s="105">
        <v>6</v>
      </c>
      <c r="M102" s="105">
        <v>367.2</v>
      </c>
      <c r="N102" s="105">
        <v>7</v>
      </c>
      <c r="O102" s="105">
        <v>428.4</v>
      </c>
      <c r="P102" s="105">
        <v>11</v>
      </c>
      <c r="Q102" s="105">
        <v>673.19999999999993</v>
      </c>
      <c r="R102" s="105">
        <v>7</v>
      </c>
      <c r="S102" s="105">
        <v>428.4</v>
      </c>
      <c r="T102" s="105">
        <v>10</v>
      </c>
      <c r="U102" s="105">
        <v>612</v>
      </c>
      <c r="V102" s="105">
        <v>10</v>
      </c>
      <c r="W102" s="105">
        <v>612</v>
      </c>
      <c r="X102" s="105">
        <v>8</v>
      </c>
      <c r="Y102" s="105">
        <v>489.59999999999997</v>
      </c>
      <c r="Z102" s="105">
        <v>8</v>
      </c>
      <c r="AA102" s="105">
        <v>489.59999999999997</v>
      </c>
      <c r="AB102" s="105">
        <v>10</v>
      </c>
      <c r="AC102" s="105">
        <v>612</v>
      </c>
      <c r="AD102" s="105">
        <v>7</v>
      </c>
      <c r="AE102" s="105">
        <v>428.4</v>
      </c>
      <c r="AF102" s="105">
        <v>10</v>
      </c>
      <c r="AG102" s="105">
        <v>612</v>
      </c>
      <c r="AH102" s="105">
        <v>8</v>
      </c>
      <c r="AI102" s="105">
        <v>489.59999999999997</v>
      </c>
      <c r="AJ102" s="105">
        <v>11</v>
      </c>
      <c r="AK102" s="105">
        <v>673.19999999999993</v>
      </c>
      <c r="AL102" s="105">
        <v>11</v>
      </c>
      <c r="AM102" s="105">
        <v>673.19999999999993</v>
      </c>
      <c r="AN102" s="105">
        <v>9</v>
      </c>
      <c r="AO102" s="105">
        <v>550.79999999999995</v>
      </c>
      <c r="AP102" s="105">
        <v>9</v>
      </c>
      <c r="AQ102" s="105">
        <v>550.79999999999995</v>
      </c>
      <c r="AR102" s="105">
        <v>10</v>
      </c>
      <c r="AS102" s="105">
        <v>612</v>
      </c>
      <c r="AT102" s="105">
        <v>10</v>
      </c>
      <c r="AU102" s="105">
        <v>612</v>
      </c>
      <c r="AV102" s="105">
        <v>10</v>
      </c>
      <c r="AW102" s="105">
        <v>612</v>
      </c>
      <c r="AX102" s="105">
        <v>10</v>
      </c>
      <c r="AY102" s="105">
        <v>612</v>
      </c>
      <c r="AZ102" s="105">
        <v>9</v>
      </c>
      <c r="BA102" s="105">
        <v>550.79999999999995</v>
      </c>
      <c r="BB102" s="105">
        <v>10</v>
      </c>
      <c r="BC102" s="105">
        <v>612</v>
      </c>
      <c r="BD102" s="105">
        <v>10</v>
      </c>
      <c r="BE102" s="105">
        <v>612</v>
      </c>
      <c r="BF102" s="105">
        <v>7</v>
      </c>
      <c r="BG102" s="105">
        <v>428.4</v>
      </c>
      <c r="BH102" s="105">
        <v>6</v>
      </c>
      <c r="BI102" s="105">
        <v>367.2</v>
      </c>
      <c r="BJ102" s="105">
        <v>9</v>
      </c>
      <c r="BK102" s="105">
        <v>550.79999999999995</v>
      </c>
      <c r="BL102" s="105">
        <v>11</v>
      </c>
      <c r="BM102" s="105">
        <v>673.19999999999993</v>
      </c>
      <c r="BN102" s="105">
        <v>7</v>
      </c>
      <c r="BO102" s="105">
        <v>428.4</v>
      </c>
      <c r="BP102" s="105">
        <v>10</v>
      </c>
      <c r="BQ102" s="105">
        <v>612</v>
      </c>
      <c r="BR102" s="105">
        <v>11</v>
      </c>
      <c r="BS102" s="105">
        <v>673.19999999999993</v>
      </c>
      <c r="BT102" s="105">
        <v>11</v>
      </c>
      <c r="BU102" s="105">
        <v>673.19999999999993</v>
      </c>
      <c r="BV102" s="105">
        <v>11</v>
      </c>
      <c r="BW102" s="105">
        <v>673.19999999999993</v>
      </c>
      <c r="BX102" s="105">
        <v>6</v>
      </c>
      <c r="BY102" s="105">
        <v>367.2</v>
      </c>
      <c r="BZ102" s="105">
        <v>6</v>
      </c>
      <c r="CA102" s="105">
        <v>367.2</v>
      </c>
      <c r="CB102" s="105">
        <v>11</v>
      </c>
      <c r="CC102" s="105">
        <v>673.19999999999993</v>
      </c>
      <c r="CD102" s="105">
        <v>9</v>
      </c>
      <c r="CE102" s="105">
        <v>550.79999999999995</v>
      </c>
      <c r="CF102" s="105">
        <v>9</v>
      </c>
      <c r="CG102" s="105">
        <v>550.79999999999995</v>
      </c>
      <c r="CH102" s="105">
        <v>7</v>
      </c>
      <c r="CI102" s="105">
        <v>428.4</v>
      </c>
      <c r="CJ102" s="105">
        <v>11</v>
      </c>
      <c r="CK102" s="105">
        <v>673.19999999999993</v>
      </c>
      <c r="CL102" s="105">
        <v>9</v>
      </c>
      <c r="CM102" s="105">
        <v>550.79999999999995</v>
      </c>
      <c r="CN102" s="105">
        <v>11</v>
      </c>
      <c r="CO102" s="105">
        <v>673.19999999999993</v>
      </c>
      <c r="CP102" s="105">
        <v>8</v>
      </c>
      <c r="CQ102" s="105">
        <v>489.59999999999997</v>
      </c>
      <c r="CR102" s="105">
        <v>10</v>
      </c>
      <c r="CS102" s="105">
        <v>612</v>
      </c>
      <c r="CT102" s="105">
        <v>9</v>
      </c>
      <c r="CU102" s="105">
        <v>550.79999999999995</v>
      </c>
    </row>
    <row r="103" spans="2:99" x14ac:dyDescent="0.2">
      <c r="C103" s="104" t="s">
        <v>271</v>
      </c>
      <c r="D103" s="105">
        <v>8</v>
      </c>
      <c r="E103" s="105">
        <v>998.4</v>
      </c>
      <c r="F103" s="105">
        <v>5</v>
      </c>
      <c r="G103" s="105">
        <v>624</v>
      </c>
      <c r="H103" s="105">
        <v>11</v>
      </c>
      <c r="I103" s="105">
        <v>1372.8</v>
      </c>
      <c r="J103" s="105">
        <v>11</v>
      </c>
      <c r="K103" s="105">
        <v>1372.8</v>
      </c>
      <c r="L103" s="105">
        <v>6</v>
      </c>
      <c r="M103" s="105">
        <v>748.8</v>
      </c>
      <c r="N103" s="105">
        <v>7</v>
      </c>
      <c r="O103" s="105">
        <v>873.6</v>
      </c>
      <c r="P103" s="105">
        <v>10</v>
      </c>
      <c r="Q103" s="105">
        <v>1248</v>
      </c>
      <c r="R103" s="105">
        <v>7</v>
      </c>
      <c r="S103" s="105">
        <v>873.6</v>
      </c>
      <c r="T103" s="105">
        <v>9</v>
      </c>
      <c r="U103" s="105">
        <v>1123.2</v>
      </c>
      <c r="V103" s="105">
        <v>10</v>
      </c>
      <c r="W103" s="105">
        <v>1248</v>
      </c>
      <c r="X103" s="105">
        <v>9</v>
      </c>
      <c r="Y103" s="105">
        <v>1123.2</v>
      </c>
      <c r="Z103" s="105">
        <v>8</v>
      </c>
      <c r="AA103" s="105">
        <v>998.4</v>
      </c>
      <c r="AB103" s="105">
        <v>11</v>
      </c>
      <c r="AC103" s="105">
        <v>1372.8</v>
      </c>
      <c r="AD103" s="105">
        <v>6</v>
      </c>
      <c r="AE103" s="105">
        <v>748.8</v>
      </c>
      <c r="AF103" s="105">
        <v>10</v>
      </c>
      <c r="AG103" s="105">
        <v>1248</v>
      </c>
      <c r="AH103" s="105">
        <v>8</v>
      </c>
      <c r="AI103" s="105">
        <v>998.4</v>
      </c>
      <c r="AJ103" s="105">
        <v>11</v>
      </c>
      <c r="AK103" s="105">
        <v>1372.8</v>
      </c>
      <c r="AL103" s="105">
        <v>11</v>
      </c>
      <c r="AM103" s="105">
        <v>1372.8</v>
      </c>
      <c r="AN103" s="105">
        <v>10</v>
      </c>
      <c r="AO103" s="105">
        <v>1248</v>
      </c>
      <c r="AP103" s="105">
        <v>8</v>
      </c>
      <c r="AQ103" s="105">
        <v>998.4</v>
      </c>
      <c r="AR103" s="105">
        <v>10</v>
      </c>
      <c r="AS103" s="105">
        <v>1248</v>
      </c>
      <c r="AT103" s="105">
        <v>12</v>
      </c>
      <c r="AU103" s="105">
        <v>1497.6</v>
      </c>
      <c r="AV103" s="105">
        <v>10</v>
      </c>
      <c r="AW103" s="105">
        <v>1248</v>
      </c>
      <c r="AX103" s="105">
        <v>11</v>
      </c>
      <c r="AY103" s="105">
        <v>1372.8</v>
      </c>
      <c r="AZ103" s="105">
        <v>10</v>
      </c>
      <c r="BA103" s="105">
        <v>1248</v>
      </c>
      <c r="BB103" s="105">
        <v>11</v>
      </c>
      <c r="BC103" s="105">
        <v>1372.8</v>
      </c>
      <c r="BD103" s="105">
        <v>9</v>
      </c>
      <c r="BE103" s="105">
        <v>1123.2</v>
      </c>
      <c r="BF103" s="105">
        <v>6</v>
      </c>
      <c r="BG103" s="105">
        <v>748.8</v>
      </c>
      <c r="BH103" s="105">
        <v>7</v>
      </c>
      <c r="BI103" s="105">
        <v>873.6</v>
      </c>
      <c r="BJ103" s="105">
        <v>10</v>
      </c>
      <c r="BK103" s="105">
        <v>1248</v>
      </c>
      <c r="BL103" s="105">
        <v>11</v>
      </c>
      <c r="BM103" s="105">
        <v>1372.8</v>
      </c>
      <c r="BN103" s="105">
        <v>7</v>
      </c>
      <c r="BO103" s="105">
        <v>873.6</v>
      </c>
      <c r="BP103" s="105">
        <v>9</v>
      </c>
      <c r="BQ103" s="105">
        <v>1123.2</v>
      </c>
      <c r="BR103" s="105">
        <v>10</v>
      </c>
      <c r="BS103" s="105">
        <v>1248</v>
      </c>
      <c r="BT103" s="105">
        <v>11</v>
      </c>
      <c r="BU103" s="105">
        <v>1372.8</v>
      </c>
      <c r="BV103" s="105">
        <v>10</v>
      </c>
      <c r="BW103" s="105">
        <v>1248</v>
      </c>
      <c r="BX103" s="105">
        <v>7</v>
      </c>
      <c r="BY103" s="105">
        <v>873.6</v>
      </c>
      <c r="BZ103" s="105">
        <v>6</v>
      </c>
      <c r="CA103" s="105">
        <v>748.8</v>
      </c>
      <c r="CB103" s="105">
        <v>11</v>
      </c>
      <c r="CC103" s="105">
        <v>1372.8</v>
      </c>
      <c r="CD103" s="105">
        <v>9</v>
      </c>
      <c r="CE103" s="105">
        <v>1123.2</v>
      </c>
      <c r="CF103" s="105">
        <v>9</v>
      </c>
      <c r="CG103" s="105">
        <v>1123.2</v>
      </c>
      <c r="CH103" s="105">
        <v>6</v>
      </c>
      <c r="CI103" s="105">
        <v>748.8</v>
      </c>
      <c r="CJ103" s="105">
        <v>11</v>
      </c>
      <c r="CK103" s="105">
        <v>1372.8</v>
      </c>
      <c r="CL103" s="105">
        <v>9</v>
      </c>
      <c r="CM103" s="105">
        <v>1123.2</v>
      </c>
      <c r="CN103" s="105">
        <v>12</v>
      </c>
      <c r="CO103" s="105">
        <v>1497.6</v>
      </c>
      <c r="CP103" s="105">
        <v>8</v>
      </c>
      <c r="CQ103" s="105">
        <v>998.4</v>
      </c>
      <c r="CR103" s="105">
        <v>9</v>
      </c>
      <c r="CS103" s="105">
        <v>1123.2</v>
      </c>
      <c r="CT103" s="105">
        <v>10</v>
      </c>
      <c r="CU103" s="105">
        <v>1248</v>
      </c>
    </row>
    <row r="104" spans="2:99" x14ac:dyDescent="0.2">
      <c r="C104" s="104" t="s">
        <v>272</v>
      </c>
      <c r="D104" s="105">
        <v>9</v>
      </c>
      <c r="E104" s="105">
        <v>2138.4</v>
      </c>
      <c r="F104" s="105">
        <v>6</v>
      </c>
      <c r="G104" s="105">
        <v>1425.6</v>
      </c>
      <c r="H104" s="105">
        <v>11</v>
      </c>
      <c r="I104" s="105">
        <v>2613.6</v>
      </c>
      <c r="J104" s="105">
        <v>9</v>
      </c>
      <c r="K104" s="105">
        <v>2138.4</v>
      </c>
      <c r="L104" s="105">
        <v>6</v>
      </c>
      <c r="M104" s="105">
        <v>1425.6</v>
      </c>
      <c r="N104" s="105">
        <v>7</v>
      </c>
      <c r="O104" s="105">
        <v>1663.2</v>
      </c>
      <c r="P104" s="105">
        <v>11</v>
      </c>
      <c r="Q104" s="105">
        <v>2613.6</v>
      </c>
      <c r="R104" s="105">
        <v>7</v>
      </c>
      <c r="S104" s="105">
        <v>1663.2</v>
      </c>
      <c r="T104" s="105">
        <v>9</v>
      </c>
      <c r="U104" s="105">
        <v>2138.4</v>
      </c>
      <c r="V104" s="105">
        <v>11</v>
      </c>
      <c r="W104" s="105">
        <v>2613.6</v>
      </c>
      <c r="X104" s="105">
        <v>8</v>
      </c>
      <c r="Y104" s="105">
        <v>1900.8</v>
      </c>
      <c r="Z104" s="105">
        <v>8</v>
      </c>
      <c r="AA104" s="105">
        <v>1900.8</v>
      </c>
      <c r="AB104" s="105">
        <v>11</v>
      </c>
      <c r="AC104" s="105">
        <v>2613.6</v>
      </c>
      <c r="AD104" s="105">
        <v>7</v>
      </c>
      <c r="AE104" s="105">
        <v>1663.2</v>
      </c>
      <c r="AF104" s="105">
        <v>10</v>
      </c>
      <c r="AG104" s="105">
        <v>2376</v>
      </c>
      <c r="AH104" s="105">
        <v>7</v>
      </c>
      <c r="AI104" s="105">
        <v>1663.2</v>
      </c>
      <c r="AJ104" s="105">
        <v>10</v>
      </c>
      <c r="AK104" s="105">
        <v>2376</v>
      </c>
      <c r="AL104" s="105">
        <v>9</v>
      </c>
      <c r="AM104" s="105">
        <v>2138.4</v>
      </c>
      <c r="AN104" s="105">
        <v>11</v>
      </c>
      <c r="AO104" s="105">
        <v>2613.6</v>
      </c>
      <c r="AP104" s="105">
        <v>9</v>
      </c>
      <c r="AQ104" s="105">
        <v>2138.4</v>
      </c>
      <c r="AR104" s="105">
        <v>10</v>
      </c>
      <c r="AS104" s="105">
        <v>2376</v>
      </c>
      <c r="AT104" s="105">
        <v>10</v>
      </c>
      <c r="AU104" s="105">
        <v>2376</v>
      </c>
      <c r="AV104" s="105">
        <v>10</v>
      </c>
      <c r="AW104" s="105">
        <v>2376</v>
      </c>
      <c r="AX104" s="105">
        <v>9</v>
      </c>
      <c r="AY104" s="105">
        <v>2138.4</v>
      </c>
      <c r="AZ104" s="105">
        <v>10</v>
      </c>
      <c r="BA104" s="105">
        <v>2376</v>
      </c>
      <c r="BB104" s="105">
        <v>10</v>
      </c>
      <c r="BC104" s="105">
        <v>2376</v>
      </c>
      <c r="BD104" s="105">
        <v>8</v>
      </c>
      <c r="BE104" s="105">
        <v>1900.8</v>
      </c>
      <c r="BF104" s="105">
        <v>7</v>
      </c>
      <c r="BG104" s="105">
        <v>1663.2</v>
      </c>
      <c r="BH104" s="105">
        <v>7</v>
      </c>
      <c r="BI104" s="105">
        <v>1663.2</v>
      </c>
      <c r="BJ104" s="105">
        <v>9</v>
      </c>
      <c r="BK104" s="105">
        <v>2138.4</v>
      </c>
      <c r="BL104" s="105">
        <v>11</v>
      </c>
      <c r="BM104" s="105">
        <v>2613.6</v>
      </c>
      <c r="BN104" s="105">
        <v>6</v>
      </c>
      <c r="BO104" s="105">
        <v>1425.6</v>
      </c>
      <c r="BP104" s="105">
        <v>10</v>
      </c>
      <c r="BQ104" s="105">
        <v>2376</v>
      </c>
      <c r="BR104" s="105">
        <v>10</v>
      </c>
      <c r="BS104" s="105">
        <v>2376</v>
      </c>
      <c r="BT104" s="105">
        <v>11</v>
      </c>
      <c r="BU104" s="105">
        <v>2613.6</v>
      </c>
      <c r="BV104" s="105">
        <v>10</v>
      </c>
      <c r="BW104" s="105">
        <v>2376</v>
      </c>
      <c r="BX104" s="105">
        <v>6</v>
      </c>
      <c r="BY104" s="105">
        <v>1425.6</v>
      </c>
      <c r="BZ104" s="105">
        <v>6</v>
      </c>
      <c r="CA104" s="105">
        <v>1425.6</v>
      </c>
      <c r="CB104" s="105">
        <v>9</v>
      </c>
      <c r="CC104" s="105">
        <v>2138.4</v>
      </c>
      <c r="CD104" s="105">
        <v>9</v>
      </c>
      <c r="CE104" s="105">
        <v>2138.4</v>
      </c>
      <c r="CF104" s="105">
        <v>10</v>
      </c>
      <c r="CG104" s="105">
        <v>2376</v>
      </c>
      <c r="CH104" s="105">
        <v>7</v>
      </c>
      <c r="CI104" s="105">
        <v>1663.2</v>
      </c>
      <c r="CJ104" s="105">
        <v>10</v>
      </c>
      <c r="CK104" s="105">
        <v>2376</v>
      </c>
      <c r="CL104" s="105">
        <v>9</v>
      </c>
      <c r="CM104" s="105">
        <v>2138.4</v>
      </c>
      <c r="CN104" s="105">
        <v>10</v>
      </c>
      <c r="CO104" s="105">
        <v>2376</v>
      </c>
      <c r="CP104" s="105">
        <v>7</v>
      </c>
      <c r="CQ104" s="105">
        <v>1663.2</v>
      </c>
      <c r="CR104" s="105">
        <v>10</v>
      </c>
      <c r="CS104" s="105">
        <v>2376</v>
      </c>
      <c r="CT104" s="105">
        <v>10</v>
      </c>
      <c r="CU104" s="105">
        <v>2376</v>
      </c>
    </row>
    <row r="105" spans="2:99" x14ac:dyDescent="0.2">
      <c r="C105" s="104" t="s">
        <v>273</v>
      </c>
      <c r="D105" s="105">
        <v>8</v>
      </c>
      <c r="E105" s="105">
        <v>1382.3999999999999</v>
      </c>
      <c r="F105" s="105">
        <v>6</v>
      </c>
      <c r="G105" s="105">
        <v>1036.8</v>
      </c>
      <c r="H105" s="105">
        <v>10</v>
      </c>
      <c r="I105" s="105">
        <v>1727.9999999999998</v>
      </c>
      <c r="J105" s="105">
        <v>10</v>
      </c>
      <c r="K105" s="105">
        <v>1727.9999999999998</v>
      </c>
      <c r="L105" s="105">
        <v>6</v>
      </c>
      <c r="M105" s="105">
        <v>1036.8</v>
      </c>
      <c r="N105" s="105">
        <v>6</v>
      </c>
      <c r="O105" s="105">
        <v>1036.8</v>
      </c>
      <c r="P105" s="105">
        <v>11</v>
      </c>
      <c r="Q105" s="105">
        <v>1900.7999999999997</v>
      </c>
      <c r="R105" s="105">
        <v>7</v>
      </c>
      <c r="S105" s="105">
        <v>1209.5999999999999</v>
      </c>
      <c r="T105" s="105">
        <v>10</v>
      </c>
      <c r="U105" s="105">
        <v>1727.9999999999998</v>
      </c>
      <c r="V105" s="105">
        <v>10</v>
      </c>
      <c r="W105" s="105">
        <v>1727.9999999999998</v>
      </c>
      <c r="X105" s="105">
        <v>9</v>
      </c>
      <c r="Y105" s="105">
        <v>1555.1999999999998</v>
      </c>
      <c r="Z105" s="105">
        <v>8</v>
      </c>
      <c r="AA105" s="105">
        <v>1382.3999999999999</v>
      </c>
      <c r="AB105" s="105">
        <v>10</v>
      </c>
      <c r="AC105" s="105">
        <v>1727.9999999999998</v>
      </c>
      <c r="AD105" s="105">
        <v>7</v>
      </c>
      <c r="AE105" s="105">
        <v>1209.5999999999999</v>
      </c>
      <c r="AF105" s="105">
        <v>10</v>
      </c>
      <c r="AG105" s="105">
        <v>1727.9999999999998</v>
      </c>
      <c r="AH105" s="105">
        <v>8</v>
      </c>
      <c r="AI105" s="105">
        <v>1382.3999999999999</v>
      </c>
      <c r="AJ105" s="105">
        <v>10</v>
      </c>
      <c r="AK105" s="105">
        <v>1727.9999999999998</v>
      </c>
      <c r="AL105" s="105">
        <v>10</v>
      </c>
      <c r="AM105" s="105">
        <v>1727.9999999999998</v>
      </c>
      <c r="AN105" s="105">
        <v>10</v>
      </c>
      <c r="AO105" s="105">
        <v>1727.9999999999998</v>
      </c>
      <c r="AP105" s="105">
        <v>8</v>
      </c>
      <c r="AQ105" s="105">
        <v>1382.3999999999999</v>
      </c>
      <c r="AR105" s="105">
        <v>10</v>
      </c>
      <c r="AS105" s="105">
        <v>1727.9999999999998</v>
      </c>
      <c r="AT105" s="105">
        <v>11</v>
      </c>
      <c r="AU105" s="105">
        <v>1900.7999999999997</v>
      </c>
      <c r="AV105" s="105">
        <v>11</v>
      </c>
      <c r="AW105" s="105">
        <v>1900.7999999999997</v>
      </c>
      <c r="AX105" s="105">
        <v>11</v>
      </c>
      <c r="AY105" s="105">
        <v>1900.7999999999997</v>
      </c>
      <c r="AZ105" s="105">
        <v>10</v>
      </c>
      <c r="BA105" s="105">
        <v>1727.9999999999998</v>
      </c>
      <c r="BB105" s="105">
        <v>11</v>
      </c>
      <c r="BC105" s="105">
        <v>1900.7999999999997</v>
      </c>
      <c r="BD105" s="105">
        <v>9</v>
      </c>
      <c r="BE105" s="105">
        <v>1555.1999999999998</v>
      </c>
      <c r="BF105" s="105">
        <v>7</v>
      </c>
      <c r="BG105" s="105">
        <v>1209.5999999999999</v>
      </c>
      <c r="BH105" s="105">
        <v>6</v>
      </c>
      <c r="BI105" s="105">
        <v>1036.8</v>
      </c>
      <c r="BJ105" s="105">
        <v>10</v>
      </c>
      <c r="BK105" s="105">
        <v>1727.9999999999998</v>
      </c>
      <c r="BL105" s="105">
        <v>10</v>
      </c>
      <c r="BM105" s="105">
        <v>1727.9999999999998</v>
      </c>
      <c r="BN105" s="105">
        <v>7</v>
      </c>
      <c r="BO105" s="105">
        <v>1209.5999999999999</v>
      </c>
      <c r="BP105" s="105">
        <v>10</v>
      </c>
      <c r="BQ105" s="105">
        <v>1727.9999999999998</v>
      </c>
      <c r="BR105" s="105">
        <v>11</v>
      </c>
      <c r="BS105" s="105">
        <v>1900.7999999999997</v>
      </c>
      <c r="BT105" s="105">
        <v>11</v>
      </c>
      <c r="BU105" s="105">
        <v>1900.7999999999997</v>
      </c>
      <c r="BV105" s="105">
        <v>10</v>
      </c>
      <c r="BW105" s="105">
        <v>1727.9999999999998</v>
      </c>
      <c r="BX105" s="105">
        <v>6</v>
      </c>
      <c r="BY105" s="105">
        <v>1036.8</v>
      </c>
      <c r="BZ105" s="105">
        <v>7</v>
      </c>
      <c r="CA105" s="105">
        <v>1209.5999999999999</v>
      </c>
      <c r="CB105" s="105">
        <v>10</v>
      </c>
      <c r="CC105" s="105">
        <v>1727.9999999999998</v>
      </c>
      <c r="CD105" s="105">
        <v>9</v>
      </c>
      <c r="CE105" s="105">
        <v>1555.1999999999998</v>
      </c>
      <c r="CF105" s="105">
        <v>10</v>
      </c>
      <c r="CG105" s="105">
        <v>1727.9999999999998</v>
      </c>
      <c r="CH105" s="105">
        <v>7</v>
      </c>
      <c r="CI105" s="105">
        <v>1209.5999999999999</v>
      </c>
      <c r="CJ105" s="105">
        <v>10</v>
      </c>
      <c r="CK105" s="105">
        <v>1727.9999999999998</v>
      </c>
      <c r="CL105" s="105">
        <v>8</v>
      </c>
      <c r="CM105" s="105">
        <v>1382.3999999999999</v>
      </c>
      <c r="CN105" s="105">
        <v>12</v>
      </c>
      <c r="CO105" s="105">
        <v>2073.6</v>
      </c>
      <c r="CP105" s="105">
        <v>7</v>
      </c>
      <c r="CQ105" s="105">
        <v>1209.5999999999999</v>
      </c>
      <c r="CR105" s="105">
        <v>10</v>
      </c>
      <c r="CS105" s="105">
        <v>1727.9999999999998</v>
      </c>
      <c r="CT105" s="105">
        <v>10</v>
      </c>
      <c r="CU105" s="105">
        <v>1727.9999999999998</v>
      </c>
    </row>
    <row r="107" spans="2:99" x14ac:dyDescent="0.2">
      <c r="B107" s="109" t="s">
        <v>278</v>
      </c>
    </row>
    <row r="108" spans="2:99" x14ac:dyDescent="0.2">
      <c r="C108" s="104" t="s">
        <v>279</v>
      </c>
      <c r="D108" s="104" t="s">
        <v>92</v>
      </c>
      <c r="E108" s="104" t="s">
        <v>93</v>
      </c>
      <c r="F108" s="104" t="s">
        <v>94</v>
      </c>
      <c r="G108" s="104" t="s">
        <v>95</v>
      </c>
      <c r="H108" s="104" t="s">
        <v>96</v>
      </c>
      <c r="I108" s="104" t="s">
        <v>97</v>
      </c>
      <c r="J108" s="104" t="s">
        <v>98</v>
      </c>
      <c r="K108" s="104" t="s">
        <v>99</v>
      </c>
      <c r="L108" s="104" t="s">
        <v>100</v>
      </c>
      <c r="M108" s="104" t="s">
        <v>101</v>
      </c>
      <c r="N108" s="104" t="s">
        <v>102</v>
      </c>
      <c r="O108" s="104" t="s">
        <v>103</v>
      </c>
    </row>
    <row r="109" spans="2:99" x14ac:dyDescent="0.2">
      <c r="C109" s="104" t="s">
        <v>126</v>
      </c>
      <c r="D109" s="105">
        <f>SUM(D$6:D$19)+SUM(F$6:F$19)+SUM(H$6:H$19)+SUM(J$6:J$19)</f>
        <v>759</v>
      </c>
      <c r="E109" s="105">
        <f>SUM(L$6:L$19)+SUM(N$6:N$19)+SUM(P$6:P$19)+SUM(R$6:R$19)</f>
        <v>689</v>
      </c>
      <c r="F109" s="105">
        <f>SUM(T$6:T$19)+SUM(V$6:V$19)+SUM(X$6:X$19)+SUM(Z$6:Z$19)</f>
        <v>649</v>
      </c>
      <c r="G109" s="105">
        <f>SUM(AB$6:AB$19)+SUM(AD$6:AD$19)+SUM(AF$6:AF$19)+SUM(AH$6:AH$19)</f>
        <v>655</v>
      </c>
      <c r="H109" s="105">
        <f>SUM(AJ$6:AJ$19)+SUM(AL$6:AL$19)+SUM(AN$6:AN$19)+SUM(AP$6:AP$19)</f>
        <v>707</v>
      </c>
      <c r="I109" s="105">
        <f>SUM(AR$6:AR$19)+SUM(AT$6:AT$19)+SUM(AV$6:AV$19)+SUM(AX$6:AX$19)</f>
        <v>824</v>
      </c>
      <c r="J109" s="105">
        <f>SUM(AZ$6:AZ$19)+SUM(BB$6:BB$19)+SUM(BD$6:BD$19)+SUM(BF$6:BF$19)</f>
        <v>787</v>
      </c>
      <c r="K109" s="105">
        <f>SUM(BH$6:BH$19)+SUM(BJ$6:BJ$19)+SUM(BL$6:BL$19)+SUM(BN$6:BN$19)</f>
        <v>754</v>
      </c>
      <c r="L109" s="105">
        <f>SUM(BP$6:BP$19)+SUM(BR$6:BR$19)+SUM(BT$6:BT$19)+SUM(BV$6:BV$19)</f>
        <v>731</v>
      </c>
      <c r="M109" s="105">
        <f>SUM(BX$6:BX$19)+SUM(BZ$6:BZ$19)+SUM(CB$6:CB$19)+SUM(CD$6:CD$19)</f>
        <v>785</v>
      </c>
      <c r="N109" s="105">
        <f>SUM(CF$6:CF$19)+SUM(CH$6:CH$19)+SUM(CJ$6:CJ$19)+SUM(CL$6:CL$19)</f>
        <v>884</v>
      </c>
      <c r="O109" s="105">
        <f>SUM(CN$6:CN$19)+SUM(CP$6:CP$19)+SUM(CR$6:CR$19)+SUM(CT$6:CT$19)</f>
        <v>700</v>
      </c>
    </row>
    <row r="110" spans="2:99" x14ac:dyDescent="0.2">
      <c r="C110" s="104" t="s">
        <v>127</v>
      </c>
      <c r="D110" s="105">
        <f>SUM(D$20:D$36)+SUM(F$20:F$36)+SUM(H$20:H$36)+SUM(J$20:J$36)</f>
        <v>1233</v>
      </c>
      <c r="E110" s="105">
        <f>SUM(L$20:L$36)+SUM(N$20:N$36)+SUM(P$20:P$36)+SUM(R$20:R$36)</f>
        <v>1545</v>
      </c>
      <c r="F110" s="105">
        <f>SUM(T$20:T$36)+SUM(V$20:V$36)+SUM(X$20:X$36)+SUM(Z$20:Z$36)</f>
        <v>1450</v>
      </c>
      <c r="G110" s="105">
        <f>SUM(AB$20:AB$36)+SUM(AD$20:AD$36)+SUM(AF$20:AF$36)+SUM(AH$20:AH$36)</f>
        <v>1526</v>
      </c>
      <c r="H110" s="105">
        <f>SUM(AJ$20:AJ$36)+SUM(AL$20:AL$36)+SUM(AN$20:AN$36)+SUM(AP$20:AP$36)</f>
        <v>1451</v>
      </c>
      <c r="I110" s="105">
        <f>SUM(AR$20:AR$36)+SUM(AT$20:AT$36)+SUM(AV$20:AV$36)+SUM(AX$20:AX$36)</f>
        <v>1480</v>
      </c>
      <c r="J110" s="105">
        <f>SUM(AZ$20:AZ$36)+SUM(BB$20:BB$36)+SUM(BD$20:BD$36)+SUM(BF$20:BF$36)</f>
        <v>1533</v>
      </c>
      <c r="K110" s="105">
        <f>SUM(BH$20:BH$36)+SUM(BJ$20:BJ$36)+SUM(BL$20:BL$36)+SUM(BN$20:BN$36)</f>
        <v>1790</v>
      </c>
      <c r="L110" s="105">
        <f>SUM(BP$20:BP$36)+SUM(BR$20:BR$36)+SUM(BT$20:BT$36)+SUM(BV$20:BV$36)</f>
        <v>1561</v>
      </c>
      <c r="M110" s="105">
        <f>SUM(BX$20:BX$36)+SUM(BZ$20:BZ$36)+SUM(CB$20:CB$36)+SUM(CD$20:CD$36)</f>
        <v>1741</v>
      </c>
      <c r="N110" s="105">
        <f>SUM(CF$20:CF$36)+SUM(CH$20:CH$36)+SUM(CJ$20:CJ$36)+SUM(CL$20:CL$36)</f>
        <v>1451.2583644716578</v>
      </c>
      <c r="O110" s="105">
        <f>SUM(CN$20:CN$36)+SUM(CP$20:CP$36)+SUM(CR$20:CR$36)+SUM(CT$20:CT$36)</f>
        <v>1157.2724133388299</v>
      </c>
    </row>
    <row r="111" spans="2:99" x14ac:dyDescent="0.2">
      <c r="C111" s="104" t="s">
        <v>128</v>
      </c>
      <c r="D111" s="105">
        <f>SUM(D$37:D$48)+SUM(F$37:F$48)+SUM(H$37:H$48)+SUM(J$37:J$48)</f>
        <v>612</v>
      </c>
      <c r="E111" s="105">
        <f>SUM(L$37:L$48)+SUM(N$37:N$48)+SUM(P$37:P$48)+SUM(R$37:R$48)</f>
        <v>618</v>
      </c>
      <c r="F111" s="105">
        <f>SUM(T$37:T$48)+SUM(V$37:V$48)+SUM(X$37:X$48)+SUM(Z$37:Z$48)</f>
        <v>550</v>
      </c>
      <c r="G111" s="105">
        <f>SUM(AB$37:AB$48)+SUM(AD$37:AD$48)+SUM(AF$37:AF$48)+SUM(AH$37:AH$48)</f>
        <v>604</v>
      </c>
      <c r="H111" s="105">
        <f>SUM(AJ$37:AJ$48)+SUM(AL$37:AL$48)+SUM(AN$37:AN$48)+SUM(AP$37:AP$48)</f>
        <v>752</v>
      </c>
      <c r="I111" s="105">
        <f>SUM(AR$37:AR$48)+SUM(AT$37:AT$48)+SUM(AV$37:AV$48)+SUM(AX$37:AX$48)</f>
        <v>631</v>
      </c>
      <c r="J111" s="105">
        <f>SUM(AZ$37:AZ$48)+SUM(BB$37:BB$48)+SUM(BD$37:BD$48)+SUM(BF$37:BF$48)</f>
        <v>626</v>
      </c>
      <c r="K111" s="105">
        <f>SUM(BH$37:BH$48)+SUM(BJ$37:BJ$48)+SUM(BL$37:BL$48)+SUM(BN$37:BN$48)</f>
        <v>698</v>
      </c>
      <c r="L111" s="105">
        <f>SUM(BP$37:BP$48)+SUM(BR$37:BR$48)+SUM(BT$37:BT$48)+SUM(BV$37:BV$48)</f>
        <v>619</v>
      </c>
      <c r="M111" s="105">
        <f>SUM(BX$37:BX$48)+SUM(BZ$37:BZ$48)+SUM(CB$37:CB$48)+SUM(CD$37:CD$48)</f>
        <v>610</v>
      </c>
      <c r="N111" s="105">
        <f>SUM(CF$37:CF$48)+SUM(CH$37:CH$48)+SUM(CJ$37:CJ$48)+SUM(CL$37:CL$48)</f>
        <v>598</v>
      </c>
      <c r="O111" s="105">
        <f>SUM(CN$37:CN$48)+SUM(CP$37:CP$48)+SUM(CR$37:CR$48)+SUM(CT$37:CT$48)</f>
        <v>633</v>
      </c>
    </row>
    <row r="112" spans="2:99" x14ac:dyDescent="0.2">
      <c r="C112" s="104" t="s">
        <v>129</v>
      </c>
      <c r="D112" s="105">
        <f>SUM(D$49:D$70)+SUM(F$49:F$70)+SUM(H$49:H$70)+SUM(J$49:J$70)</f>
        <v>1053</v>
      </c>
      <c r="E112" s="105">
        <f>SUM(L$49:L$70)+SUM(N$49:N$70)+SUM(P$49:P$70)+SUM(R$49:R$70)</f>
        <v>999.10827863106238</v>
      </c>
      <c r="F112" s="105">
        <f>SUM(T$49:T$70)+SUM(V$49:V$70)+SUM(X$49:X$70)+SUM(Z$49:Z$70)</f>
        <v>938.75459250132019</v>
      </c>
      <c r="G112" s="105">
        <f>SUM(AB$49:AB$70)+SUM(AD$49:AD$70)+SUM(AF$49:AF$70)+SUM(AH$49:AH$70)</f>
        <v>1108</v>
      </c>
      <c r="H112" s="105">
        <f>SUM(AJ$49:AJ$70)+SUM(AL$49:AL$70)+SUM(AN$49:AN$70)+SUM(AP$49:AP$70)</f>
        <v>1051</v>
      </c>
      <c r="I112" s="105">
        <f>SUM(AR$49:AR$70)+SUM(AT$49:AT$70)+SUM(AV$49:AV$70)+SUM(AX$49:AX$70)</f>
        <v>954</v>
      </c>
      <c r="J112" s="105">
        <f>SUM(AZ$49:AZ$70)+SUM(BB$49:BB$70)+SUM(BD$49:BD$70)+SUM(BF$49:BF$70)</f>
        <v>855</v>
      </c>
      <c r="K112" s="105">
        <f>SUM(BH$49:BH$70)+SUM(BJ$49:BJ$70)+SUM(BL$49:BL$70)+SUM(BN$49:BN$70)</f>
        <v>902</v>
      </c>
      <c r="L112" s="105">
        <f>SUM(BP$49:BP$70)+SUM(BR$49:BR$70)+SUM(BT$49:BT$70)+SUM(BV$49:BV$70)</f>
        <v>953</v>
      </c>
      <c r="M112" s="105">
        <f>SUM(BX$49:BX$70)+SUM(BZ$49:BZ$70)+SUM(CB$49:CB$70)+SUM(CD$49:CD$70)</f>
        <v>1002.5602338051045</v>
      </c>
      <c r="N112" s="105">
        <f>SUM(CF$49:CF$70)+SUM(CH$49:CH$70)+SUM(CJ$49:CJ$70)+SUM(CL$49:CL$70)</f>
        <v>919.2614713059495</v>
      </c>
      <c r="O112" s="105">
        <f>SUM(CN$49:CN$70)+SUM(CP$49:CP$70)+SUM(CR$49:CR$70)+SUM(CT$49:CT$70)</f>
        <v>387.84559367971673</v>
      </c>
    </row>
    <row r="113" spans="2:15" x14ac:dyDescent="0.2">
      <c r="C113" s="104" t="s">
        <v>130</v>
      </c>
      <c r="D113" s="105">
        <f>SUM(D$71:D$86)+SUM(F$71:F$86)+SUM(H$71:H$86)+SUM(J$71:J$86)</f>
        <v>557</v>
      </c>
      <c r="E113" s="105">
        <f>SUM(L$71:L$86)+SUM(N$71:N$86)+SUM(P$71:P$86)+SUM(R$71:R$86)</f>
        <v>636.7272959021094</v>
      </c>
      <c r="F113" s="105">
        <f>SUM(T$71:T$86)+SUM(V$71:V$86)+SUM(X$71:X$86)+SUM(Z$71:Z$86)</f>
        <v>634.6361063193101</v>
      </c>
      <c r="G113" s="105">
        <f>SUM(AB$71:AB$86)+SUM(AD$71:AD$86)+SUM(AF$71:AF$86)+SUM(AH$71:AH$86)</f>
        <v>616</v>
      </c>
      <c r="H113" s="105">
        <f>SUM(AJ$71:AJ$86)+SUM(AL$71:AL$86)+SUM(AN$71:AN$86)+SUM(AP$71:AP$86)</f>
        <v>616</v>
      </c>
      <c r="I113" s="105">
        <f>SUM(AR$71:AR$86)+SUM(AT$71:AT$86)+SUM(AV$71:AV$86)+SUM(AX$71:AX$86)</f>
        <v>608</v>
      </c>
      <c r="J113" s="105">
        <f>SUM(AZ$71:AZ$86)+SUM(BB$71:BB$86)+SUM(BD$71:BD$86)+SUM(BF$71:BF$86)</f>
        <v>695</v>
      </c>
      <c r="K113" s="105">
        <f>SUM(BH$71:BH$86)+SUM(BJ$71:BJ$86)+SUM(BL$71:BL$86)+SUM(BN$71:BN$86)</f>
        <v>494</v>
      </c>
      <c r="L113" s="105">
        <f>SUM(BP$71:BP$86)+SUM(BR$71:BR$86)+SUM(BT$71:BT$86)+SUM(BV$71:BV$86)</f>
        <v>673</v>
      </c>
      <c r="M113" s="105">
        <f>SUM(BX$71:BX$86)+SUM(BZ$71:BZ$86)+SUM(CB$71:CB$86)+SUM(CD$71:CD$86)</f>
        <v>638.75584759836431</v>
      </c>
      <c r="N113" s="105">
        <f>SUM(CF$71:CF$86)+SUM(CH$71:CH$86)+SUM(CJ$71:CJ$86)+SUM(CL$71:CL$86)</f>
        <v>542.00765933665707</v>
      </c>
      <c r="O113" s="105">
        <f>SUM(CN$71:CN$86)+SUM(CP$71:CP$86)+SUM(CR$71:CR$86)+SUM(CT$71:CT$86)</f>
        <v>611.46559636020766</v>
      </c>
    </row>
    <row r="114" spans="2:15" x14ac:dyDescent="0.2">
      <c r="C114" s="104" t="s">
        <v>131</v>
      </c>
      <c r="D114" s="105">
        <f>SUM(D$87:D$94)+SUM(F$87:F$94)+SUM(H$87:H$94)+SUM(J$87:J$94)</f>
        <v>101</v>
      </c>
      <c r="E114" s="105">
        <f>SUM(L$87:L$94)+SUM(N$87:N$94)+SUM(P$87:P$94)+SUM(R$87:R$94)</f>
        <v>109</v>
      </c>
      <c r="F114" s="105">
        <f>SUM(T$87:T$94)+SUM(V$87:V$94)+SUM(X$87:X$94)+SUM(Z$87:Z$94)</f>
        <v>98</v>
      </c>
      <c r="G114" s="105">
        <f>SUM(AB$87:AB$94)+SUM(AD$87:AD$94)+SUM(AF$87:AF$94)+SUM(AH$87:AH$94)</f>
        <v>96</v>
      </c>
      <c r="H114" s="105">
        <f>SUM(AJ$87:AJ$94)+SUM(AL$87:AL$94)+SUM(AN$87:AN$94)+SUM(AP$87:AP$94)</f>
        <v>114</v>
      </c>
      <c r="I114" s="105">
        <f>SUM(AR$87:AR$94)+SUM(AT$87:AT$94)+SUM(AV$87:AV$94)+SUM(AX$87:AX$94)</f>
        <v>145</v>
      </c>
      <c r="J114" s="105">
        <f>SUM(AZ$87:AZ$94)+SUM(BB$87:BB$94)+SUM(BD$87:BD$94)+SUM(BF$87:BF$94)</f>
        <v>122</v>
      </c>
      <c r="K114" s="105">
        <f>SUM(BH$87:BH$94)+SUM(BJ$87:BJ$94)+SUM(BL$87:BL$94)+SUM(BN$87:BN$94)</f>
        <v>137</v>
      </c>
      <c r="L114" s="105">
        <f>SUM(BP$87:BP$94)+SUM(BR$87:BR$94)+SUM(BT$87:BT$94)+SUM(BV$87:BV$94)</f>
        <v>122</v>
      </c>
      <c r="M114" s="105">
        <f>SUM(BX$87:BX$94)+SUM(BZ$87:BZ$94)+SUM(CB$87:CB$94)+SUM(CD$87:CD$94)</f>
        <v>103</v>
      </c>
      <c r="N114" s="105">
        <f>SUM(CF$87:CF$94)+SUM(CH$87:CH$94)+SUM(CJ$87:CJ$94)+SUM(CL$87:CL$94)</f>
        <v>123</v>
      </c>
      <c r="O114" s="105">
        <f>SUM(CN$87:CN$94)+SUM(CP$87:CP$94)+SUM(CR$87:CR$94)+SUM(CT$87:CT$94)</f>
        <v>122</v>
      </c>
    </row>
    <row r="115" spans="2:15" x14ac:dyDescent="0.2">
      <c r="C115" s="104" t="s">
        <v>132</v>
      </c>
      <c r="D115" s="105">
        <f>SUM(D$95:D$105)+SUM(F$95:F$105)+SUM(H$95:H$105)+SUM(J$95:J$105)</f>
        <v>364</v>
      </c>
      <c r="E115" s="105">
        <f>SUM(L$95:L$105)+SUM(N$95:N$105)+SUM(P$95:P$105)+SUM(R$95:R$105)</f>
        <v>311.16442546682811</v>
      </c>
      <c r="F115" s="105">
        <f>SUM(T$95:T$105)+SUM(V$95:V$105)+SUM(X$95:X$105)+SUM(Z$95:Z$105)</f>
        <v>369.40930117936983</v>
      </c>
      <c r="G115" s="105">
        <f>SUM(AB$95:AB$105)+SUM(AD$95:AD$105)+SUM(AF$95:AF$105)+SUM(AH$95:AH$105)</f>
        <v>369</v>
      </c>
      <c r="H115" s="105">
        <f>SUM(AJ$95:AJ$105)+SUM(AL$95:AL$105)+SUM(AN$95:AN$105)+SUM(AP$95:AP$105)</f>
        <v>410</v>
      </c>
      <c r="I115" s="105">
        <f>SUM(AR$95:AR$105)+SUM(AT$95:AT$105)+SUM(AV$95:AV$105)+SUM(AX$95:AX$105)</f>
        <v>434</v>
      </c>
      <c r="J115" s="105">
        <f>SUM(AZ$95:AZ$105)+SUM(BB$95:BB$105)+SUM(BD$95:BD$105)+SUM(BF$95:BF$105)</f>
        <v>380</v>
      </c>
      <c r="K115" s="105">
        <f>SUM(BH$95:BH$105)+SUM(BJ$95:BJ$105)+SUM(BL$95:BL$105)+SUM(BN$95:BN$105)</f>
        <v>349</v>
      </c>
      <c r="L115" s="105">
        <f>SUM(BP$95:BP$105)+SUM(BR$95:BR$105)+SUM(BT$95:BT$105)+SUM(BV$95:BV$105)</f>
        <v>444</v>
      </c>
      <c r="M115" s="105">
        <f>SUM(BX$95:BX$105)+SUM(BZ$95:BZ$105)+SUM(CB$95:CB$105)+SUM(CD$95:CD$105)</f>
        <v>328.08391859653136</v>
      </c>
      <c r="N115" s="105">
        <f>SUM(CF$95:CF$105)+SUM(CH$95:CH$105)+SUM(CJ$95:CJ$105)+SUM(CL$95:CL$105)</f>
        <v>365.53565697724503</v>
      </c>
      <c r="O115" s="105">
        <f>SUM(CN$95:CN$105)+SUM(CP$95:CP$105)+SUM(CR$95:CR$105)+SUM(CT$95:CT$105)</f>
        <v>387.94836640010965</v>
      </c>
    </row>
    <row r="116" spans="2:15" x14ac:dyDescent="0.2">
      <c r="C116" s="104" t="s">
        <v>280</v>
      </c>
      <c r="D116" s="105">
        <f t="shared" ref="D116:O116" si="0">SUM(D$109:D$115)</f>
        <v>4679</v>
      </c>
      <c r="E116" s="105">
        <f t="shared" si="0"/>
        <v>4908</v>
      </c>
      <c r="F116" s="105">
        <f t="shared" si="0"/>
        <v>4689.8</v>
      </c>
      <c r="G116" s="105">
        <f t="shared" si="0"/>
        <v>4974</v>
      </c>
      <c r="H116" s="105">
        <f t="shared" si="0"/>
        <v>5101</v>
      </c>
      <c r="I116" s="105">
        <f t="shared" si="0"/>
        <v>5076</v>
      </c>
      <c r="J116" s="105">
        <f t="shared" si="0"/>
        <v>4998</v>
      </c>
      <c r="K116" s="105">
        <f t="shared" si="0"/>
        <v>5124</v>
      </c>
      <c r="L116" s="105">
        <f t="shared" si="0"/>
        <v>5103</v>
      </c>
      <c r="M116" s="105">
        <f t="shared" si="0"/>
        <v>5208.4000000000005</v>
      </c>
      <c r="N116" s="105">
        <f t="shared" si="0"/>
        <v>4883.0631520915085</v>
      </c>
      <c r="O116" s="105">
        <f t="shared" si="0"/>
        <v>3999.5319697788641</v>
      </c>
    </row>
    <row r="118" spans="2:15" x14ac:dyDescent="0.2">
      <c r="B118" s="108" t="s">
        <v>281</v>
      </c>
    </row>
    <row r="119" spans="2:15" x14ac:dyDescent="0.2">
      <c r="C119" s="104" t="s">
        <v>279</v>
      </c>
      <c r="D119" s="104" t="s">
        <v>92</v>
      </c>
      <c r="E119" s="104" t="s">
        <v>93</v>
      </c>
      <c r="F119" s="104" t="s">
        <v>94</v>
      </c>
      <c r="G119" s="104" t="s">
        <v>95</v>
      </c>
      <c r="H119" s="104" t="s">
        <v>96</v>
      </c>
      <c r="I119" s="104" t="s">
        <v>97</v>
      </c>
      <c r="J119" s="104" t="s">
        <v>98</v>
      </c>
      <c r="K119" s="104" t="s">
        <v>99</v>
      </c>
      <c r="L119" s="104" t="s">
        <v>100</v>
      </c>
      <c r="M119" s="104" t="s">
        <v>101</v>
      </c>
      <c r="N119" s="104" t="s">
        <v>102</v>
      </c>
      <c r="O119" s="104" t="s">
        <v>103</v>
      </c>
    </row>
    <row r="120" spans="2:15" x14ac:dyDescent="0.2">
      <c r="C120" s="104" t="s">
        <v>126</v>
      </c>
      <c r="D120" s="105">
        <f>D109*pricing!D6*2000</f>
        <v>3187800</v>
      </c>
      <c r="E120" s="105">
        <f>E109*pricing!E6*2000</f>
        <v>2893800</v>
      </c>
      <c r="F120" s="105">
        <f>F109*pricing!F6*2000</f>
        <v>2725800</v>
      </c>
      <c r="G120" s="105">
        <f>G109*pricing!G6*2000</f>
        <v>2751000</v>
      </c>
      <c r="H120" s="105">
        <f>H109*pricing!H6*2000</f>
        <v>2969400</v>
      </c>
      <c r="I120" s="105">
        <f>I109*pricing!I6*2000</f>
        <v>3460800</v>
      </c>
      <c r="J120" s="105">
        <f>J109*pricing!J6*2000</f>
        <v>3305400</v>
      </c>
      <c r="K120" s="105">
        <f>K109*pricing!K6*2000</f>
        <v>3166800</v>
      </c>
      <c r="L120" s="105">
        <f>L109*pricing!L6*2000</f>
        <v>3070200.0000000005</v>
      </c>
      <c r="M120" s="105">
        <f>M109*pricing!M6*2000</f>
        <v>3297000</v>
      </c>
      <c r="N120" s="105">
        <f>N109*pricing!N6*2000</f>
        <v>3712800</v>
      </c>
      <c r="O120" s="105">
        <f>O109*pricing!O6*2000</f>
        <v>2940000</v>
      </c>
    </row>
    <row r="121" spans="2:15" x14ac:dyDescent="0.2">
      <c r="C121" s="104" t="s">
        <v>127</v>
      </c>
      <c r="D121" s="105">
        <f>D110*pricing!D7*2000</f>
        <v>4932000</v>
      </c>
      <c r="E121" s="105">
        <f>E110*pricing!E7*2000</f>
        <v>6180000</v>
      </c>
      <c r="F121" s="105">
        <f>F110*pricing!F7*2000</f>
        <v>5800000</v>
      </c>
      <c r="G121" s="105">
        <f>G110*pricing!G7*2000</f>
        <v>6104000</v>
      </c>
      <c r="H121" s="105">
        <f>H110*pricing!H7*2000</f>
        <v>5804000</v>
      </c>
      <c r="I121" s="105">
        <f>I110*pricing!I7*2000</f>
        <v>5920000</v>
      </c>
      <c r="J121" s="105">
        <f>J110*pricing!J7*2000</f>
        <v>6132000</v>
      </c>
      <c r="K121" s="105">
        <f>K110*pricing!K7*2000</f>
        <v>7160000</v>
      </c>
      <c r="L121" s="105">
        <f>L110*pricing!L7*2000</f>
        <v>6244000</v>
      </c>
      <c r="M121" s="105">
        <f>M110*pricing!M7*2000</f>
        <v>6964000</v>
      </c>
      <c r="N121" s="105">
        <f>N110*pricing!N7*2000</f>
        <v>5805033.4578866316</v>
      </c>
      <c r="O121" s="105">
        <f>O110*pricing!O7*2000</f>
        <v>4629089.65335532</v>
      </c>
    </row>
    <row r="122" spans="2:15" x14ac:dyDescent="0.2">
      <c r="C122" s="104" t="s">
        <v>128</v>
      </c>
      <c r="D122" s="105">
        <f>D111*pricing!D8*2000</f>
        <v>2815200</v>
      </c>
      <c r="E122" s="105">
        <f>E111*pricing!E8*2000</f>
        <v>2842799.9999999995</v>
      </c>
      <c r="F122" s="105">
        <f>F111*pricing!F8*2000</f>
        <v>2530000</v>
      </c>
      <c r="G122" s="105">
        <f>G111*pricing!G8*2000</f>
        <v>2778399.9999999995</v>
      </c>
      <c r="H122" s="105">
        <f>H111*pricing!H8*2000</f>
        <v>3459200</v>
      </c>
      <c r="I122" s="105">
        <f>I111*pricing!I8*2000</f>
        <v>2902600</v>
      </c>
      <c r="J122" s="105">
        <f>J111*pricing!J8*2000</f>
        <v>2879600</v>
      </c>
      <c r="K122" s="105">
        <f>K111*pricing!K8*2000</f>
        <v>3210799.9999999995</v>
      </c>
      <c r="L122" s="105">
        <f>L111*pricing!L8*2000</f>
        <v>2847399.9999999995</v>
      </c>
      <c r="M122" s="105">
        <f>M111*pricing!M8*2000</f>
        <v>2806000</v>
      </c>
      <c r="N122" s="105">
        <f>N111*pricing!N8*2000</f>
        <v>2750799.9999999995</v>
      </c>
      <c r="O122" s="105">
        <f>O111*pricing!O8*2000</f>
        <v>2911799.9999999995</v>
      </c>
    </row>
    <row r="123" spans="2:15" x14ac:dyDescent="0.2">
      <c r="C123" s="104" t="s">
        <v>129</v>
      </c>
      <c r="D123" s="105">
        <f>D112*pricing!D9*2000</f>
        <v>4949100</v>
      </c>
      <c r="E123" s="105">
        <f>E112*pricing!E9*2000</f>
        <v>4695808.9095659936</v>
      </c>
      <c r="F123" s="105">
        <f>F112*pricing!F9*2000</f>
        <v>4412146.5847562049</v>
      </c>
      <c r="G123" s="105">
        <f>G112*pricing!G9*2000</f>
        <v>5207600</v>
      </c>
      <c r="H123" s="105">
        <f>H112*pricing!H9*2000</f>
        <v>4939700</v>
      </c>
      <c r="I123" s="105">
        <f>I112*pricing!I9*2000</f>
        <v>4483800</v>
      </c>
      <c r="J123" s="105">
        <f>J112*pricing!J9*2000</f>
        <v>4018500</v>
      </c>
      <c r="K123" s="105">
        <f>K112*pricing!K9*2000</f>
        <v>4239400.0000000009</v>
      </c>
      <c r="L123" s="105">
        <f>L112*pricing!L9*2000</f>
        <v>4479100</v>
      </c>
      <c r="M123" s="105">
        <f>M112*pricing!M9*2000</f>
        <v>4712033.0988839911</v>
      </c>
      <c r="N123" s="105">
        <f>N112*pricing!N9*2000</f>
        <v>4320528.9151379634</v>
      </c>
      <c r="O123" s="105">
        <f>O112*pricing!O9*2000</f>
        <v>1822874.2902946686</v>
      </c>
    </row>
    <row r="124" spans="2:15" x14ac:dyDescent="0.2">
      <c r="C124" s="104" t="s">
        <v>130</v>
      </c>
      <c r="D124" s="105">
        <f>D113*pricing!D10*2000</f>
        <v>2450800</v>
      </c>
      <c r="E124" s="105">
        <f>E113*pricing!E10*2000</f>
        <v>2801600.1019692817</v>
      </c>
      <c r="F124" s="105">
        <f>F113*pricing!F10*2000</f>
        <v>2792398.8678049645</v>
      </c>
      <c r="G124" s="105">
        <f>G113*pricing!G10*2000</f>
        <v>2710400</v>
      </c>
      <c r="H124" s="105">
        <f>H113*pricing!H10*2000</f>
        <v>2710400</v>
      </c>
      <c r="I124" s="105">
        <f>I113*pricing!I10*2000</f>
        <v>2675200.0000000005</v>
      </c>
      <c r="J124" s="105">
        <f>J113*pricing!J10*2000</f>
        <v>3058000.0000000005</v>
      </c>
      <c r="K124" s="105">
        <f>K113*pricing!K10*2000</f>
        <v>2173600.0000000005</v>
      </c>
      <c r="L124" s="105">
        <f>L113*pricing!L10*2000</f>
        <v>2961200.0000000005</v>
      </c>
      <c r="M124" s="105">
        <f>M113*pricing!M10*2000</f>
        <v>2810525.7294328031</v>
      </c>
      <c r="N124" s="105">
        <f>N113*pricing!N10*2000</f>
        <v>2384833.7010812913</v>
      </c>
      <c r="O124" s="105">
        <f>O113*pricing!O10*2000</f>
        <v>2690448.6239849138</v>
      </c>
    </row>
    <row r="125" spans="2:15" x14ac:dyDescent="0.2">
      <c r="C125" s="104" t="s">
        <v>131</v>
      </c>
      <c r="D125" s="105">
        <f>D114*pricing!D11*2000</f>
        <v>808000</v>
      </c>
      <c r="E125" s="105">
        <f>E114*pricing!E11*2000</f>
        <v>872000</v>
      </c>
      <c r="F125" s="105">
        <f>F114*pricing!F11*2000</f>
        <v>784000</v>
      </c>
      <c r="G125" s="105">
        <f>G114*pricing!G11*2000</f>
        <v>768000</v>
      </c>
      <c r="H125" s="105">
        <f>H114*pricing!H11*2000</f>
        <v>912000</v>
      </c>
      <c r="I125" s="105">
        <f>I114*pricing!I11*2000</f>
        <v>1160000</v>
      </c>
      <c r="J125" s="105">
        <f>J114*pricing!J11*2000</f>
        <v>976000</v>
      </c>
      <c r="K125" s="105">
        <f>K114*pricing!K11*2000</f>
        <v>1096000</v>
      </c>
      <c r="L125" s="105">
        <f>L114*pricing!L11*2000</f>
        <v>976000</v>
      </c>
      <c r="M125" s="105">
        <f>M114*pricing!M11*2000</f>
        <v>824000</v>
      </c>
      <c r="N125" s="105">
        <f>N114*pricing!N11*2000</f>
        <v>984000</v>
      </c>
      <c r="O125" s="105">
        <f>O114*pricing!O11*2000</f>
        <v>976000</v>
      </c>
    </row>
    <row r="126" spans="2:15" x14ac:dyDescent="0.2">
      <c r="C126" s="104" t="s">
        <v>132</v>
      </c>
      <c r="D126" s="105">
        <f>D115*pricing!D12*2000</f>
        <v>2002000</v>
      </c>
      <c r="E126" s="105">
        <f>E115*pricing!E12*2000</f>
        <v>1711404.3400675545</v>
      </c>
      <c r="F126" s="105">
        <f>F115*pricing!F12*2000</f>
        <v>2031751.156486534</v>
      </c>
      <c r="G126" s="105">
        <f>G115*pricing!G12*2000</f>
        <v>2029500</v>
      </c>
      <c r="H126" s="105">
        <f>H115*pricing!H12*2000</f>
        <v>2255000</v>
      </c>
      <c r="I126" s="105">
        <f>I115*pricing!I12*2000</f>
        <v>2387000</v>
      </c>
      <c r="J126" s="105">
        <f>J115*pricing!J12*2000</f>
        <v>2090000</v>
      </c>
      <c r="K126" s="105">
        <f>K115*pricing!K12*2000</f>
        <v>1919500</v>
      </c>
      <c r="L126" s="105">
        <f>L115*pricing!L12*2000</f>
        <v>2442000</v>
      </c>
      <c r="M126" s="105">
        <f>M115*pricing!M12*2000</f>
        <v>1804461.5522809224</v>
      </c>
      <c r="N126" s="105">
        <f>N115*pricing!N12*2000</f>
        <v>2010446.1133748477</v>
      </c>
      <c r="O126" s="105">
        <f>O115*pricing!O12*2000</f>
        <v>2133716.0152006033</v>
      </c>
    </row>
    <row r="127" spans="2:15" x14ac:dyDescent="0.2">
      <c r="C127" s="104" t="s">
        <v>280</v>
      </c>
      <c r="D127" s="105">
        <f t="shared" ref="D127:O127" si="1">SUM(D$120:D$126)</f>
        <v>21144900</v>
      </c>
      <c r="E127" s="105">
        <f t="shared" si="1"/>
        <v>21997413.35160283</v>
      </c>
      <c r="F127" s="105">
        <f t="shared" si="1"/>
        <v>21076096.609047703</v>
      </c>
      <c r="G127" s="105">
        <f t="shared" si="1"/>
        <v>22348900</v>
      </c>
      <c r="H127" s="105">
        <f t="shared" si="1"/>
        <v>23049700</v>
      </c>
      <c r="I127" s="105">
        <f t="shared" si="1"/>
        <v>22989400</v>
      </c>
      <c r="J127" s="105">
        <f t="shared" si="1"/>
        <v>22459500</v>
      </c>
      <c r="K127" s="105">
        <f t="shared" si="1"/>
        <v>22966100</v>
      </c>
      <c r="L127" s="105">
        <f t="shared" si="1"/>
        <v>23019900</v>
      </c>
      <c r="M127" s="105">
        <f t="shared" si="1"/>
        <v>23218020.380597714</v>
      </c>
      <c r="N127" s="105">
        <f t="shared" si="1"/>
        <v>21968442.187480737</v>
      </c>
      <c r="O127" s="105">
        <f t="shared" si="1"/>
        <v>18103928.582835507</v>
      </c>
    </row>
    <row r="129" spans="2:15" x14ac:dyDescent="0.2">
      <c r="B129" s="108" t="s">
        <v>282</v>
      </c>
    </row>
    <row r="130" spans="2:15" x14ac:dyDescent="0.2">
      <c r="C130" s="110" t="s">
        <v>279</v>
      </c>
      <c r="D130" s="110" t="s">
        <v>92</v>
      </c>
      <c r="E130" s="110" t="s">
        <v>93</v>
      </c>
      <c r="F130" s="110" t="s">
        <v>94</v>
      </c>
      <c r="G130" s="110" t="s">
        <v>95</v>
      </c>
      <c r="H130" s="110" t="s">
        <v>96</v>
      </c>
      <c r="I130" s="110" t="s">
        <v>97</v>
      </c>
      <c r="J130" s="110" t="s">
        <v>98</v>
      </c>
      <c r="K130" s="110" t="s">
        <v>99</v>
      </c>
      <c r="L130" s="110" t="s">
        <v>100</v>
      </c>
      <c r="M130" s="110" t="s">
        <v>101</v>
      </c>
      <c r="N130" s="110" t="s">
        <v>102</v>
      </c>
      <c r="O130" s="110" t="s">
        <v>103</v>
      </c>
    </row>
    <row r="131" spans="2:15" x14ac:dyDescent="0.2">
      <c r="C131" s="110" t="s">
        <v>126</v>
      </c>
      <c r="D131" s="111">
        <f>SUM(E$6:E$19)+SUM(G$6:G$19)+SUM(I$6:I$19)+SUM(K$6:K$19)</f>
        <v>433831.19999999995</v>
      </c>
      <c r="E131" s="111">
        <f>SUM(M$6:M$19)+SUM(O$6:O$19)+SUM(Q$6:Q$19)+SUM(S$6:S$19)</f>
        <v>392118</v>
      </c>
      <c r="F131" s="111">
        <f>SUM(U$6:U$19)+SUM(W$6:W$19)+SUM(Y$6:Y$19)+SUM(AA$6:AA$19)</f>
        <v>369641.99999999994</v>
      </c>
      <c r="G131" s="111">
        <f>SUM(AC$6:AC$19)+SUM(AE$6:AE$19)+SUM(AG$6:AG$19)+SUM(AI$6:AI$19)</f>
        <v>374889.59999999992</v>
      </c>
      <c r="H131" s="111">
        <f>SUM(AK$6:AK$19)+SUM(AM$6:AM$19)+SUM(AO$6:AO$19)+SUM(AQ$6:AQ$19)</f>
        <v>403279.19999999995</v>
      </c>
      <c r="I131" s="111">
        <f>SUM(AS$6:AS$19)+SUM(AU$6:AU$19)+SUM(AW$6:AW$19)+SUM(AY$6:AY$19)</f>
        <v>470655.6</v>
      </c>
      <c r="J131" s="111">
        <f>SUM(BA$6:BA$19)+SUM(BC$6:BC$19)+SUM(BE$6:BE$19)+SUM(BG$6:BG$19)</f>
        <v>448991.99999999994</v>
      </c>
      <c r="K131" s="111">
        <f>SUM(BI$6:BI$19)+SUM(BK$6:BK$19)+SUM(BM$6:BM$19)+SUM(BO$6:BO$19)</f>
        <v>428926.80000000005</v>
      </c>
      <c r="L131" s="111">
        <f>SUM(BQ$6:BQ$19)+SUM(BS$6:BS$19)+SUM(BU$6:BU$19)+SUM(BW$6:BW$19)</f>
        <v>418096.79999999993</v>
      </c>
      <c r="M131" s="111">
        <f>SUM(BY$6:BY$19)+SUM(CA$6:CA$19)+SUM(CC$6:CC$19)+SUM(CE$6:CE$19)</f>
        <v>446739.6</v>
      </c>
      <c r="N131" s="111">
        <f>SUM(CG$6:CG$19)+SUM(CI$6:CI$19)+SUM(CK$6:CK$19)+SUM(CM$6:CM$19)</f>
        <v>504855.6</v>
      </c>
      <c r="O131" s="111">
        <f>SUM(CO$6:CO$19)+SUM(CQ$6:CQ$19)+SUM(CS$6:CS$19)+SUM(CU$6:CU$19)</f>
        <v>400179.6</v>
      </c>
    </row>
    <row r="132" spans="2:15" x14ac:dyDescent="0.2">
      <c r="C132" s="110" t="s">
        <v>127</v>
      </c>
      <c r="D132" s="111">
        <f>SUM(E$20:E$36)+SUM(G$20:G$36)+SUM(I$20:I$36)+SUM(K$20:K$36)</f>
        <v>388184.39999999997</v>
      </c>
      <c r="E132" s="111">
        <f>SUM(M$20:M$36)+SUM(O$20:O$36)+SUM(Q$20:Q$36)+SUM(S$20:S$36)</f>
        <v>484876.80000000005</v>
      </c>
      <c r="F132" s="111">
        <f>SUM(U$20:U$36)+SUM(W$20:W$36)+SUM(Y$20:Y$36)+SUM(AA$20:AA$36)</f>
        <v>456886.80000000005</v>
      </c>
      <c r="G132" s="111">
        <f>SUM(AC$20:AC$36)+SUM(AE$20:AE$36)+SUM(AG$20:AG$36)+SUM(AI$20:AI$36)</f>
        <v>478935.6</v>
      </c>
      <c r="H132" s="111">
        <f>SUM(AK$20:AK$36)+SUM(AM$20:AM$36)+SUM(AO$20:AO$36)+SUM(AQ$20:AQ$36)</f>
        <v>454499.99999999994</v>
      </c>
      <c r="I132" s="111">
        <f>SUM(AS$20:AS$36)+SUM(AU$20:AU$36)+SUM(AW$20:AW$36)+SUM(AY$20:AY$36)</f>
        <v>464373.6</v>
      </c>
      <c r="J132" s="111">
        <f>SUM(BA$20:BA$36)+SUM(BC$20:BC$36)+SUM(BE$20:BE$36)+SUM(BG$20:BG$36)</f>
        <v>481846.80000000005</v>
      </c>
      <c r="K132" s="111">
        <f>SUM(BI$20:BI$36)+SUM(BK$20:BK$36)+SUM(BM$20:BM$36)+SUM(BO$20:BO$36)</f>
        <v>560302.80000000005</v>
      </c>
      <c r="L132" s="111">
        <f>SUM(BQ$20:BQ$36)+SUM(BS$20:BS$36)+SUM(BU$20:BU$36)+SUM(BW$20:BW$36)</f>
        <v>488955.6</v>
      </c>
      <c r="M132" s="111">
        <f>SUM(BY$20:BY$36)+SUM(CA$20:CA$36)+SUM(CC$20:CC$36)+SUM(CE$20:CE$36)</f>
        <v>547860</v>
      </c>
      <c r="N132" s="111">
        <f>SUM(CG$20:CG$36)+SUM(CI$20:CI$36)+SUM(CK$20:CK$36)+SUM(CM$20:CM$36)</f>
        <v>451126.5197538099</v>
      </c>
      <c r="O132" s="111">
        <f>SUM(CO$20:CO$36)+SUM(CQ$20:CQ$36)+SUM(CS$20:CS$36)+SUM(CU$20:CU$36)</f>
        <v>320362.61544346978</v>
      </c>
    </row>
    <row r="133" spans="2:15" x14ac:dyDescent="0.2">
      <c r="C133" s="110" t="s">
        <v>128</v>
      </c>
      <c r="D133" s="111">
        <f>SUM(E$37:E$48)+SUM(G$37:G$48)+SUM(I$37:I$48)+SUM(K$37:K$48)</f>
        <v>518817.6</v>
      </c>
      <c r="E133" s="111">
        <f>SUM(M$37:M$48)+SUM(O$37:O$48)+SUM(Q$37:Q$48)+SUM(S$37:S$48)</f>
        <v>523380</v>
      </c>
      <c r="F133" s="111">
        <f>SUM(U$37:U$48)+SUM(W$37:W$48)+SUM(Y$37:Y$48)+SUM(AA$37:AA$48)</f>
        <v>467436</v>
      </c>
      <c r="G133" s="111">
        <f>SUM(AC$37:AC$48)+SUM(AE$37:AE$48)+SUM(AG$37:AG$48)+SUM(AI$37:AI$48)</f>
        <v>512748</v>
      </c>
      <c r="H133" s="111">
        <f>SUM(AK$37:AK$48)+SUM(AM$37:AM$48)+SUM(AO$37:AO$48)+SUM(AQ$37:AQ$48)</f>
        <v>638845.19999999995</v>
      </c>
      <c r="I133" s="111">
        <f>SUM(AS$37:AS$48)+SUM(AU$37:AU$48)+SUM(AW$37:AW$48)+SUM(AY$37:AY$48)</f>
        <v>535652.4</v>
      </c>
      <c r="J133" s="111">
        <f>SUM(BA$37:BA$48)+SUM(BC$37:BC$48)+SUM(BE$37:BE$48)+SUM(BG$37:BG$48)</f>
        <v>530252.4</v>
      </c>
      <c r="K133" s="111">
        <f>SUM(BI$37:BI$48)+SUM(BK$37:BK$48)+SUM(BM$37:BM$48)+SUM(BO$37:BO$48)</f>
        <v>593386.80000000005</v>
      </c>
      <c r="L133" s="111">
        <f>SUM(BQ$37:BQ$48)+SUM(BS$37:BS$48)+SUM(BU$37:BU$48)+SUM(BW$37:BW$48)</f>
        <v>525126</v>
      </c>
      <c r="M133" s="111">
        <f>SUM(BY$37:BY$48)+SUM(CA$37:CA$48)+SUM(CC$37:CC$48)+SUM(CE$37:CE$48)</f>
        <v>517575.6</v>
      </c>
      <c r="N133" s="111">
        <f>SUM(CG$37:CG$48)+SUM(CI$37:CI$48)+SUM(CK$37:CK$48)+SUM(CM$37:CM$48)</f>
        <v>506032.8</v>
      </c>
      <c r="O133" s="111">
        <f>SUM(CO$37:CO$48)+SUM(CQ$37:CQ$48)+SUM(CS$37:CS$48)+SUM(CU$37:CU$48)</f>
        <v>535257.59999999998</v>
      </c>
    </row>
    <row r="134" spans="2:15" x14ac:dyDescent="0.2">
      <c r="C134" s="110" t="s">
        <v>129</v>
      </c>
      <c r="D134" s="111">
        <f>SUM(E$49:E$70)+SUM(G$49:G$70)+SUM(I$49:I$70)+SUM(K$49:K$70)</f>
        <v>421586.4</v>
      </c>
      <c r="E134" s="111">
        <f>SUM(M$49:M$70)+SUM(O$49:O$70)+SUM(Q$49:Q$70)+SUM(S$49:S$70)</f>
        <v>398469.27163342043</v>
      </c>
      <c r="F134" s="111">
        <f>SUM(U$49:U$70)+SUM(W$49:W$70)+SUM(Y$49:Y$70)+SUM(AA$49:AA$70)</f>
        <v>374491.41207533883</v>
      </c>
      <c r="G134" s="111">
        <f>SUM(AC$49:AC$70)+SUM(AE$49:AE$70)+SUM(AG$49:AG$70)+SUM(AI$49:AI$70)</f>
        <v>443757.6</v>
      </c>
      <c r="H134" s="111">
        <f>SUM(AK$49:AK$70)+SUM(AM$49:AM$70)+SUM(AO$49:AO$70)+SUM(AQ$49:AQ$70)</f>
        <v>422390.4</v>
      </c>
      <c r="I134" s="111">
        <f>SUM(AS$49:AS$70)+SUM(AU$49:AU$70)+SUM(AW$49:AW$70)+SUM(AY$49:AY$70)</f>
        <v>382590</v>
      </c>
      <c r="J134" s="111">
        <f>SUM(BA$49:BA$70)+SUM(BC$49:BC$70)+SUM(BE$49:BE$70)+SUM(BG$49:BG$70)</f>
        <v>342962.39999999991</v>
      </c>
      <c r="K134" s="111">
        <f>SUM(BI$49:BI$70)+SUM(BK$49:BK$70)+SUM(BM$49:BM$70)+SUM(BO$49:BO$70)</f>
        <v>362745.59999999998</v>
      </c>
      <c r="L134" s="111">
        <f>SUM(BQ$49:BQ$70)+SUM(BS$49:BS$70)+SUM(BU$49:BU$70)+SUM(BW$49:BW$70)</f>
        <v>380313.59999999998</v>
      </c>
      <c r="M134" s="111">
        <f>SUM(BY$49:BY$70)+SUM(CA$49:CA$70)+SUM(CC$49:CC$70)+SUM(CE$49:CE$70)</f>
        <v>393648.96270939731</v>
      </c>
      <c r="N134" s="111">
        <f>SUM(CG$49:CG$70)+SUM(CI$49:CI$70)+SUM(CK$49:CK$70)+SUM(CM$49:CM$70)</f>
        <v>367163.74354468874</v>
      </c>
      <c r="O134" s="111">
        <f>SUM(CO$49:CO$70)+SUM(CQ$49:CQ$70)+SUM(CS$49:CS$70)+SUM(CU$49:CU$70)</f>
        <v>182830.33854417939</v>
      </c>
    </row>
    <row r="135" spans="2:15" x14ac:dyDescent="0.2">
      <c r="C135" s="110" t="s">
        <v>130</v>
      </c>
      <c r="D135" s="111">
        <f>SUM(E$71:E$86)+SUM(G$71:G$86)+SUM(I$71:I$86)+SUM(K$71:K$86)</f>
        <v>275397.59999999998</v>
      </c>
      <c r="E135" s="111">
        <f>SUM(M$71:M$86)+SUM(O$71:O$86)+SUM(Q$71:Q$86)+SUM(S$71:S$86)</f>
        <v>313016.74254030967</v>
      </c>
      <c r="F135" s="111">
        <f>SUM(U$71:U$86)+SUM(W$71:W$86)+SUM(Y$71:Y$86)+SUM(AA$71:AA$86)</f>
        <v>311926.77373138536</v>
      </c>
      <c r="G135" s="111">
        <f>SUM(AC$71:AC$86)+SUM(AE$71:AE$86)+SUM(AG$71:AG$86)+SUM(AI$71:AI$86)</f>
        <v>301892.40000000002</v>
      </c>
      <c r="H135" s="111">
        <f>SUM(AK$71:AK$86)+SUM(AM$71:AM$86)+SUM(AO$71:AO$86)+SUM(AQ$71:AQ$86)</f>
        <v>301287.59999999998</v>
      </c>
      <c r="I135" s="111">
        <f>SUM(AS$71:AS$86)+SUM(AU$71:AU$86)+SUM(AW$71:AW$86)+SUM(AY$71:AY$86)</f>
        <v>299322</v>
      </c>
      <c r="J135" s="111">
        <f>SUM(BA$71:BA$86)+SUM(BC$71:BC$86)+SUM(BE$71:BE$86)+SUM(BG$71:BG$86)</f>
        <v>341294.39999999997</v>
      </c>
      <c r="K135" s="111">
        <f>SUM(BI$71:BI$86)+SUM(BK$71:BK$86)+SUM(BM$71:BM$86)+SUM(BO$71:BO$86)</f>
        <v>244000.8</v>
      </c>
      <c r="L135" s="111">
        <f>SUM(BQ$71:BQ$86)+SUM(BS$71:BS$86)+SUM(BU$71:BU$86)+SUM(BW$71:BW$86)</f>
        <v>330138</v>
      </c>
      <c r="M135" s="111">
        <f>SUM(BY$71:BY$86)+SUM(CA$71:CA$86)+SUM(CC$71:CC$86)+SUM(CE$71:CE$86)</f>
        <v>314421.69793339522</v>
      </c>
      <c r="N135" s="111">
        <f>SUM(CG$71:CG$86)+SUM(CI$71:CI$86)+SUM(CK$71:CK$86)+SUM(CM$71:CM$86)</f>
        <v>268042.60622153583</v>
      </c>
      <c r="O135" s="111">
        <f>SUM(CO$71:CO$86)+SUM(CQ$71:CQ$86)+SUM(CS$71:CS$86)+SUM(CU$71:CU$86)</f>
        <v>301706.59088844736</v>
      </c>
    </row>
    <row r="136" spans="2:15" x14ac:dyDescent="0.2">
      <c r="C136" s="110" t="s">
        <v>131</v>
      </c>
      <c r="D136" s="111">
        <f>SUM(E$87:E$94)+SUM(G$87:G$94)+SUM(I$87:I$94)+SUM(K$87:K$94)</f>
        <v>79891.199999999997</v>
      </c>
      <c r="E136" s="111">
        <f>SUM(M$87:M$94)+SUM(O$87:O$94)+SUM(Q$87:Q$94)+SUM(S$87:S$94)</f>
        <v>85954.8</v>
      </c>
      <c r="F136" s="111">
        <f>SUM(U$87:U$94)+SUM(W$87:W$94)+SUM(Y$87:Y$94)+SUM(AA$87:AA$94)</f>
        <v>77300.399999999994</v>
      </c>
      <c r="G136" s="111">
        <f>SUM(AC$87:AC$94)+SUM(AE$87:AE$94)+SUM(AG$87:AG$94)+SUM(AI$87:AI$94)</f>
        <v>75710.399999999994</v>
      </c>
      <c r="H136" s="111">
        <f>SUM(AK$87:AK$94)+SUM(AM$87:AM$94)+SUM(AO$87:AO$94)+SUM(AQ$87:AQ$94)</f>
        <v>90342</v>
      </c>
      <c r="I136" s="111">
        <f>SUM(AS$87:AS$94)+SUM(AU$87:AU$94)+SUM(AW$87:AW$94)+SUM(AY$87:AY$94)</f>
        <v>114326.39999999999</v>
      </c>
      <c r="J136" s="111">
        <f>SUM(BA$87:BA$94)+SUM(BC$87:BC$94)+SUM(BE$87:BE$94)+SUM(BG$87:BG$94)</f>
        <v>96237.6</v>
      </c>
      <c r="K136" s="111">
        <f>SUM(BI$87:BI$94)+SUM(BK$87:BK$94)+SUM(BM$87:BM$94)+SUM(BO$87:BO$94)</f>
        <v>108148.79999999999</v>
      </c>
      <c r="L136" s="111">
        <f>SUM(BQ$87:BQ$94)+SUM(BS$87:BS$94)+SUM(BU$87:BU$94)+SUM(BW$87:BW$94)</f>
        <v>97068</v>
      </c>
      <c r="M136" s="111">
        <f>SUM(BY$87:BY$94)+SUM(CA$87:CA$94)+SUM(CC$87:CC$94)+SUM(CE$87:CE$94)</f>
        <v>81829.200000000012</v>
      </c>
      <c r="N136" s="111">
        <f>SUM(CG$87:CG$94)+SUM(CI$87:CI$94)+SUM(CK$87:CK$94)+SUM(CM$87:CM$94)</f>
        <v>96649.199999999983</v>
      </c>
      <c r="O136" s="111">
        <f>SUM(CO$87:CO$94)+SUM(CQ$87:CQ$94)+SUM(CS$87:CS$94)+SUM(CU$87:CU$94)</f>
        <v>96162</v>
      </c>
    </row>
    <row r="137" spans="2:15" x14ac:dyDescent="0.2">
      <c r="C137" s="110" t="s">
        <v>132</v>
      </c>
      <c r="D137" s="111">
        <f>SUM(E$95:E$105)+SUM(G$95:G$105)+SUM(I$95:I$105)+SUM(K$95:K$105)</f>
        <v>249304.80000000002</v>
      </c>
      <c r="E137" s="111">
        <f>SUM(M$95:M$105)+SUM(O$95:O$105)+SUM(Q$95:Q$105)+SUM(S$95:S$105)</f>
        <v>200635.30209674337</v>
      </c>
      <c r="F137" s="111">
        <f>SUM(U$95:U$105)+SUM(W$95:W$105)+SUM(Y$95:Y$105)+SUM(AA$95:AA$105)</f>
        <v>239267.42882450271</v>
      </c>
      <c r="G137" s="111">
        <f>SUM(AC$95:AC$105)+SUM(AE$95:AE$105)+SUM(AG$95:AG$105)+SUM(AI$95:AI$105)</f>
        <v>250449.6</v>
      </c>
      <c r="H137" s="111">
        <f>SUM(AK$95:AK$105)+SUM(AM$95:AM$105)+SUM(AO$95:AO$105)+SUM(AQ$95:AQ$105)</f>
        <v>273680.40000000002</v>
      </c>
      <c r="I137" s="111">
        <f>SUM(AS$95:AS$105)+SUM(AU$95:AU$105)+SUM(AW$95:AW$105)+SUM(AY$95:AY$105)</f>
        <v>289839.59999999998</v>
      </c>
      <c r="J137" s="111">
        <f>SUM(BA$95:BA$105)+SUM(BC$95:BC$105)+SUM(BE$95:BE$105)+SUM(BG$95:BG$105)</f>
        <v>257939.99999999997</v>
      </c>
      <c r="K137" s="111">
        <f>SUM(BI$95:BI$105)+SUM(BK$95:BK$105)+SUM(BM$95:BM$105)+SUM(BO$95:BO$105)</f>
        <v>233739.59999999998</v>
      </c>
      <c r="L137" s="111">
        <f>SUM(BQ$95:BQ$105)+SUM(BS$95:BS$105)+SUM(BU$95:BU$105)+SUM(BW$95:BW$105)</f>
        <v>302796</v>
      </c>
      <c r="M137" s="111">
        <f>SUM(BY$95:BY$105)+SUM(CA$95:CA$105)+SUM(CC$95:CC$105)+SUM(CE$95:CE$105)</f>
        <v>221038.24407919176</v>
      </c>
      <c r="N137" s="111">
        <f>SUM(CG$95:CG$105)+SUM(CI$95:CI$105)+SUM(CK$95:CK$105)+SUM(CM$95:CM$105)</f>
        <v>249746.00378235246</v>
      </c>
      <c r="O137" s="111">
        <f>SUM(CO$95:CO$105)+SUM(CQ$95:CQ$105)+SUM(CS$95:CS$105)+SUM(CU$95:CU$105)</f>
        <v>254637.96091497253</v>
      </c>
    </row>
    <row r="138" spans="2:15" x14ac:dyDescent="0.2">
      <c r="C138" s="110" t="s">
        <v>280</v>
      </c>
      <c r="D138" s="105">
        <f t="shared" ref="D138:O138" si="2">SUM(D$131:D$137)</f>
        <v>2367013.1999999997</v>
      </c>
      <c r="E138" s="105">
        <f t="shared" si="2"/>
        <v>2398450.916270473</v>
      </c>
      <c r="F138" s="105">
        <f t="shared" si="2"/>
        <v>2296950.8146312269</v>
      </c>
      <c r="G138" s="105">
        <f t="shared" si="2"/>
        <v>2438383.1999999997</v>
      </c>
      <c r="H138" s="105">
        <f t="shared" si="2"/>
        <v>2584324.7999999998</v>
      </c>
      <c r="I138" s="105">
        <f t="shared" si="2"/>
        <v>2556759.6</v>
      </c>
      <c r="J138" s="105">
        <f t="shared" si="2"/>
        <v>2499525.6</v>
      </c>
      <c r="K138" s="105">
        <f t="shared" si="2"/>
        <v>2531251.1999999997</v>
      </c>
      <c r="L138" s="105">
        <f t="shared" si="2"/>
        <v>2542494</v>
      </c>
      <c r="M138" s="105">
        <f t="shared" si="2"/>
        <v>2523113.3047219845</v>
      </c>
      <c r="N138" s="105">
        <f t="shared" si="2"/>
        <v>2443616.4733023872</v>
      </c>
      <c r="O138" s="105">
        <f t="shared" si="2"/>
        <v>2091136.705791069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5"/>
  </cols>
  <sheetData>
    <row r="2" spans="1:99" x14ac:dyDescent="0.2">
      <c r="B2" s="107" t="s">
        <v>274</v>
      </c>
    </row>
    <row r="3" spans="1:99" x14ac:dyDescent="0.2">
      <c r="B3" s="108" t="s">
        <v>284</v>
      </c>
    </row>
    <row r="4" spans="1:99" x14ac:dyDescent="0.2">
      <c r="A4" s="106"/>
      <c r="B4" s="106"/>
      <c r="C4" s="104" t="s">
        <v>276</v>
      </c>
      <c r="D4" s="104" t="s">
        <v>92</v>
      </c>
      <c r="E4" s="106"/>
      <c r="F4" s="106"/>
      <c r="G4" s="106"/>
      <c r="H4" s="106"/>
      <c r="I4" s="106"/>
      <c r="J4" s="106"/>
      <c r="K4" s="106"/>
      <c r="L4" s="104" t="s">
        <v>93</v>
      </c>
      <c r="M4" s="106"/>
      <c r="N4" s="106"/>
      <c r="O4" s="106"/>
      <c r="P4" s="106"/>
      <c r="Q4" s="106"/>
      <c r="R4" s="106"/>
      <c r="S4" s="106"/>
      <c r="T4" s="104" t="s">
        <v>94</v>
      </c>
      <c r="U4" s="106"/>
      <c r="V4" s="106"/>
      <c r="W4" s="106"/>
      <c r="X4" s="106"/>
      <c r="Y4" s="106"/>
      <c r="Z4" s="106"/>
      <c r="AA4" s="106"/>
      <c r="AB4" s="104" t="s">
        <v>95</v>
      </c>
      <c r="AC4" s="106"/>
      <c r="AD4" s="106"/>
      <c r="AE4" s="106"/>
      <c r="AF4" s="106"/>
      <c r="AG4" s="106"/>
      <c r="AH4" s="106"/>
      <c r="AI4" s="106"/>
      <c r="AJ4" s="104" t="s">
        <v>96</v>
      </c>
      <c r="AK4" s="106"/>
      <c r="AL4" s="106"/>
      <c r="AM4" s="106"/>
      <c r="AN4" s="106"/>
      <c r="AO4" s="106"/>
      <c r="AP4" s="106"/>
      <c r="AQ4" s="106"/>
      <c r="AR4" s="104" t="s">
        <v>97</v>
      </c>
      <c r="AS4" s="106"/>
      <c r="AT4" s="106"/>
      <c r="AU4" s="106"/>
      <c r="AV4" s="106"/>
      <c r="AW4" s="106"/>
      <c r="AX4" s="106"/>
      <c r="AY4" s="106"/>
      <c r="AZ4" s="104" t="s">
        <v>98</v>
      </c>
      <c r="BA4" s="106"/>
      <c r="BB4" s="106"/>
      <c r="BC4" s="106"/>
      <c r="BD4" s="106"/>
      <c r="BE4" s="106"/>
      <c r="BF4" s="106"/>
      <c r="BG4" s="106"/>
      <c r="BH4" s="104" t="s">
        <v>99</v>
      </c>
      <c r="BI4" s="106"/>
      <c r="BJ4" s="106"/>
      <c r="BK4" s="106"/>
      <c r="BL4" s="106"/>
      <c r="BM4" s="106"/>
      <c r="BN4" s="106"/>
      <c r="BO4" s="106"/>
      <c r="BP4" s="104" t="s">
        <v>100</v>
      </c>
      <c r="BQ4" s="106"/>
      <c r="BR4" s="106"/>
      <c r="BS4" s="106"/>
      <c r="BT4" s="106"/>
      <c r="BU4" s="106"/>
      <c r="BV4" s="106"/>
      <c r="BW4" s="106"/>
      <c r="BX4" s="104" t="s">
        <v>101</v>
      </c>
      <c r="BY4" s="106"/>
      <c r="BZ4" s="106"/>
      <c r="CA4" s="106"/>
      <c r="CB4" s="106"/>
      <c r="CC4" s="106"/>
      <c r="CD4" s="106"/>
      <c r="CE4" s="106"/>
      <c r="CF4" s="104" t="s">
        <v>102</v>
      </c>
      <c r="CG4" s="106"/>
      <c r="CH4" s="106"/>
      <c r="CI4" s="106"/>
      <c r="CJ4" s="106"/>
      <c r="CK4" s="106"/>
      <c r="CL4" s="106"/>
      <c r="CM4" s="106"/>
      <c r="CN4" s="104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">
      <c r="B5" s="104" t="s">
        <v>169</v>
      </c>
      <c r="C5" s="104" t="s">
        <v>277</v>
      </c>
      <c r="D5" s="104">
        <v>1</v>
      </c>
      <c r="E5" s="104"/>
      <c r="F5" s="104">
        <v>2</v>
      </c>
      <c r="G5" s="104"/>
      <c r="H5" s="104">
        <v>3</v>
      </c>
      <c r="I5" s="104"/>
      <c r="J5" s="104">
        <v>4</v>
      </c>
      <c r="K5" s="104"/>
      <c r="L5" s="104">
        <v>1</v>
      </c>
      <c r="M5" s="104"/>
      <c r="N5" s="104">
        <v>2</v>
      </c>
      <c r="O5" s="104"/>
      <c r="P5" s="104">
        <v>3</v>
      </c>
      <c r="Q5" s="104"/>
      <c r="R5" s="104">
        <v>4</v>
      </c>
      <c r="S5" s="104"/>
      <c r="T5" s="104">
        <v>1</v>
      </c>
      <c r="U5" s="104"/>
      <c r="V5" s="104">
        <v>2</v>
      </c>
      <c r="W5" s="104"/>
      <c r="X5" s="104">
        <v>3</v>
      </c>
      <c r="Y5" s="104"/>
      <c r="Z5" s="104">
        <v>4</v>
      </c>
      <c r="AA5" s="104"/>
      <c r="AB5" s="104">
        <v>1</v>
      </c>
      <c r="AC5" s="104"/>
      <c r="AD5" s="104">
        <v>2</v>
      </c>
      <c r="AE5" s="104"/>
      <c r="AF5" s="104">
        <v>3</v>
      </c>
      <c r="AG5" s="104"/>
      <c r="AH5" s="104">
        <v>4</v>
      </c>
      <c r="AI5" s="104"/>
      <c r="AJ5" s="104">
        <v>1</v>
      </c>
      <c r="AK5" s="104"/>
      <c r="AL5" s="104">
        <v>2</v>
      </c>
      <c r="AM5" s="104"/>
      <c r="AN5" s="104">
        <v>3</v>
      </c>
      <c r="AO5" s="104"/>
      <c r="AP5" s="104">
        <v>4</v>
      </c>
      <c r="AQ5" s="104"/>
      <c r="AR5" s="104">
        <v>1</v>
      </c>
      <c r="AS5" s="104"/>
      <c r="AT5" s="104">
        <v>2</v>
      </c>
      <c r="AU5" s="104"/>
      <c r="AV5" s="104">
        <v>3</v>
      </c>
      <c r="AW5" s="104"/>
      <c r="AX5" s="104">
        <v>4</v>
      </c>
      <c r="AY5" s="104"/>
      <c r="AZ5" s="104">
        <v>1</v>
      </c>
      <c r="BA5" s="104"/>
      <c r="BB5" s="104">
        <v>2</v>
      </c>
      <c r="BC5" s="104"/>
      <c r="BD5" s="104">
        <v>3</v>
      </c>
      <c r="BE5" s="104"/>
      <c r="BF5" s="104">
        <v>4</v>
      </c>
      <c r="BG5" s="104"/>
      <c r="BH5" s="104">
        <v>1</v>
      </c>
      <c r="BI5" s="104"/>
      <c r="BJ5" s="104">
        <v>2</v>
      </c>
      <c r="BK5" s="104"/>
      <c r="BL5" s="104">
        <v>3</v>
      </c>
      <c r="BM5" s="104"/>
      <c r="BN5" s="104">
        <v>4</v>
      </c>
      <c r="BO5" s="104"/>
      <c r="BP5" s="104">
        <v>1</v>
      </c>
      <c r="BQ5" s="104"/>
      <c r="BR5" s="104">
        <v>2</v>
      </c>
      <c r="BS5" s="104"/>
      <c r="BT5" s="104">
        <v>3</v>
      </c>
      <c r="BU5" s="104"/>
      <c r="BV5" s="104">
        <v>4</v>
      </c>
      <c r="BW5" s="104"/>
      <c r="BX5" s="104">
        <v>1</v>
      </c>
      <c r="BY5" s="104"/>
      <c r="BZ5" s="104">
        <v>2</v>
      </c>
      <c r="CA5" s="104"/>
      <c r="CB5" s="104">
        <v>3</v>
      </c>
      <c r="CC5" s="104"/>
      <c r="CD5" s="104">
        <v>4</v>
      </c>
      <c r="CE5" s="104"/>
      <c r="CF5" s="104">
        <v>1</v>
      </c>
      <c r="CG5" s="104"/>
      <c r="CH5" s="104">
        <v>2</v>
      </c>
      <c r="CI5" s="104"/>
      <c r="CJ5" s="104">
        <v>3</v>
      </c>
      <c r="CK5" s="104"/>
      <c r="CL5" s="104">
        <v>4</v>
      </c>
      <c r="CM5" s="104"/>
      <c r="CN5" s="104">
        <v>1</v>
      </c>
      <c r="CO5" s="104"/>
      <c r="CP5" s="104">
        <v>2</v>
      </c>
      <c r="CQ5" s="104"/>
      <c r="CR5" s="104">
        <v>3</v>
      </c>
      <c r="CS5" s="104"/>
      <c r="CT5" s="104">
        <v>4</v>
      </c>
      <c r="CU5" s="104"/>
    </row>
    <row r="6" spans="1:99" x14ac:dyDescent="0.2">
      <c r="B6" s="104" t="s">
        <v>126</v>
      </c>
      <c r="C6" s="104" t="s">
        <v>174</v>
      </c>
      <c r="D6" s="105">
        <v>0</v>
      </c>
      <c r="E6" s="105">
        <v>0</v>
      </c>
      <c r="F6" s="105">
        <v>0</v>
      </c>
      <c r="G6" s="105">
        <v>0</v>
      </c>
      <c r="H6" s="105">
        <v>7</v>
      </c>
      <c r="I6" s="105">
        <v>4779.5999999999995</v>
      </c>
      <c r="J6" s="105">
        <v>8</v>
      </c>
      <c r="K6" s="105">
        <v>5462.4</v>
      </c>
      <c r="L6" s="105">
        <v>8</v>
      </c>
      <c r="M6" s="105">
        <v>5462.4</v>
      </c>
      <c r="N6" s="105">
        <v>8</v>
      </c>
      <c r="O6" s="105">
        <v>5462.4</v>
      </c>
      <c r="P6" s="105">
        <v>7</v>
      </c>
      <c r="Q6" s="105">
        <v>4779.5999999999995</v>
      </c>
      <c r="R6" s="105">
        <v>7</v>
      </c>
      <c r="S6" s="105">
        <v>4779.5999999999995</v>
      </c>
      <c r="T6" s="105">
        <v>7</v>
      </c>
      <c r="U6" s="105">
        <v>4779.5999999999995</v>
      </c>
      <c r="V6" s="105">
        <v>6</v>
      </c>
      <c r="W6" s="105">
        <v>4096.7999999999993</v>
      </c>
      <c r="X6" s="105">
        <v>8</v>
      </c>
      <c r="Y6" s="105">
        <v>5462.4</v>
      </c>
      <c r="Z6" s="105">
        <v>5</v>
      </c>
      <c r="AA6" s="105">
        <v>3414</v>
      </c>
      <c r="AB6" s="105">
        <v>7</v>
      </c>
      <c r="AC6" s="105">
        <v>4779.5999999999995</v>
      </c>
      <c r="AD6" s="105">
        <v>8</v>
      </c>
      <c r="AE6" s="105">
        <v>5462.4</v>
      </c>
      <c r="AF6" s="105">
        <v>5</v>
      </c>
      <c r="AG6" s="105">
        <v>3414</v>
      </c>
      <c r="AH6" s="105">
        <v>5</v>
      </c>
      <c r="AI6" s="105">
        <v>3414</v>
      </c>
      <c r="AJ6" s="105">
        <v>8</v>
      </c>
      <c r="AK6" s="105">
        <v>5462.4</v>
      </c>
      <c r="AL6" s="105">
        <v>5</v>
      </c>
      <c r="AM6" s="105">
        <v>3414</v>
      </c>
      <c r="AN6" s="105">
        <v>7</v>
      </c>
      <c r="AO6" s="105">
        <v>4779.5999999999995</v>
      </c>
      <c r="AP6" s="105">
        <v>6</v>
      </c>
      <c r="AQ6" s="105">
        <v>4096.7999999999993</v>
      </c>
      <c r="AR6" s="105">
        <v>8</v>
      </c>
      <c r="AS6" s="105">
        <v>5462.4</v>
      </c>
      <c r="AT6" s="105">
        <v>6</v>
      </c>
      <c r="AU6" s="105">
        <v>4096.7999999999993</v>
      </c>
      <c r="AV6" s="105">
        <v>6</v>
      </c>
      <c r="AW6" s="105">
        <v>4096.7999999999993</v>
      </c>
      <c r="AX6" s="105">
        <v>8</v>
      </c>
      <c r="AY6" s="105">
        <v>5462.4</v>
      </c>
      <c r="AZ6" s="105">
        <v>7</v>
      </c>
      <c r="BA6" s="105">
        <v>4779.5999999999995</v>
      </c>
      <c r="BB6" s="105">
        <v>8</v>
      </c>
      <c r="BC6" s="105">
        <v>5462.4</v>
      </c>
      <c r="BD6" s="105">
        <v>5</v>
      </c>
      <c r="BE6" s="105">
        <v>3414</v>
      </c>
      <c r="BF6" s="105">
        <v>6</v>
      </c>
      <c r="BG6" s="105">
        <v>4096.7999999999993</v>
      </c>
      <c r="BH6" s="105">
        <v>8</v>
      </c>
      <c r="BI6" s="105">
        <v>5462.4</v>
      </c>
      <c r="BJ6" s="105">
        <v>6</v>
      </c>
      <c r="BK6" s="105">
        <v>4096.7999999999993</v>
      </c>
      <c r="BL6" s="105">
        <v>6</v>
      </c>
      <c r="BM6" s="105">
        <v>4096.7999999999993</v>
      </c>
      <c r="BN6" s="105">
        <v>8</v>
      </c>
      <c r="BO6" s="105">
        <v>5462.4</v>
      </c>
      <c r="BP6" s="105">
        <v>9</v>
      </c>
      <c r="BQ6" s="105">
        <v>6145.2</v>
      </c>
      <c r="BR6" s="105">
        <v>5</v>
      </c>
      <c r="BS6" s="105">
        <v>3414</v>
      </c>
      <c r="BT6" s="105">
        <v>8</v>
      </c>
      <c r="BU6" s="105">
        <v>5462.4</v>
      </c>
      <c r="BV6" s="105">
        <v>9</v>
      </c>
      <c r="BW6" s="105">
        <v>6145.2</v>
      </c>
      <c r="BX6" s="105">
        <v>8</v>
      </c>
      <c r="BY6" s="105">
        <v>5462.4</v>
      </c>
      <c r="BZ6" s="105">
        <v>6</v>
      </c>
      <c r="CA6" s="105">
        <v>4096.7999999999993</v>
      </c>
      <c r="CB6" s="105">
        <v>9</v>
      </c>
      <c r="CC6" s="105">
        <v>6145.2</v>
      </c>
      <c r="CD6" s="105">
        <v>7</v>
      </c>
      <c r="CE6" s="105">
        <v>4779.5999999999995</v>
      </c>
      <c r="CF6" s="105">
        <v>8</v>
      </c>
      <c r="CG6" s="105">
        <v>5462.4</v>
      </c>
      <c r="CH6" s="105">
        <v>9</v>
      </c>
      <c r="CI6" s="105">
        <v>6145.2</v>
      </c>
      <c r="CJ6" s="105">
        <v>7</v>
      </c>
      <c r="CK6" s="105">
        <v>4779.5999999999995</v>
      </c>
      <c r="CL6" s="105">
        <v>10</v>
      </c>
      <c r="CM6" s="105">
        <v>6828</v>
      </c>
      <c r="CN6" s="105">
        <v>9</v>
      </c>
      <c r="CO6" s="105">
        <v>6145.2</v>
      </c>
      <c r="CP6" s="105">
        <v>8</v>
      </c>
      <c r="CQ6" s="105">
        <v>5462.4</v>
      </c>
      <c r="CR6" s="105">
        <v>10</v>
      </c>
      <c r="CS6" s="105">
        <v>6828</v>
      </c>
      <c r="CT6" s="105">
        <v>9</v>
      </c>
      <c r="CU6" s="105">
        <v>6145.2</v>
      </c>
    </row>
    <row r="7" spans="1:99" x14ac:dyDescent="0.2">
      <c r="C7" s="104" t="s">
        <v>175</v>
      </c>
      <c r="D7" s="105">
        <v>0</v>
      </c>
      <c r="E7" s="105">
        <v>0</v>
      </c>
      <c r="F7" s="105">
        <v>0</v>
      </c>
      <c r="G7" s="105">
        <v>0</v>
      </c>
      <c r="H7" s="105">
        <v>6</v>
      </c>
      <c r="I7" s="105">
        <v>5176.7999999999993</v>
      </c>
      <c r="J7" s="105">
        <v>8</v>
      </c>
      <c r="K7" s="105">
        <v>6902.4</v>
      </c>
      <c r="L7" s="105">
        <v>7</v>
      </c>
      <c r="M7" s="105">
        <v>6039.5999999999995</v>
      </c>
      <c r="N7" s="105">
        <v>9</v>
      </c>
      <c r="O7" s="105">
        <v>7765.2</v>
      </c>
      <c r="P7" s="105">
        <v>6</v>
      </c>
      <c r="Q7" s="105">
        <v>5176.7999999999993</v>
      </c>
      <c r="R7" s="105">
        <v>7</v>
      </c>
      <c r="S7" s="105">
        <v>6039.5999999999995</v>
      </c>
      <c r="T7" s="105">
        <v>7</v>
      </c>
      <c r="U7" s="105">
        <v>6039.5999999999995</v>
      </c>
      <c r="V7" s="105">
        <v>6</v>
      </c>
      <c r="W7" s="105">
        <v>5176.7999999999993</v>
      </c>
      <c r="X7" s="105">
        <v>7</v>
      </c>
      <c r="Y7" s="105">
        <v>6039.5999999999995</v>
      </c>
      <c r="Z7" s="105">
        <v>5</v>
      </c>
      <c r="AA7" s="105">
        <v>4314</v>
      </c>
      <c r="AB7" s="105">
        <v>6</v>
      </c>
      <c r="AC7" s="105">
        <v>5176.7999999999993</v>
      </c>
      <c r="AD7" s="105">
        <v>7</v>
      </c>
      <c r="AE7" s="105">
        <v>6039.5999999999995</v>
      </c>
      <c r="AF7" s="105">
        <v>4</v>
      </c>
      <c r="AG7" s="105">
        <v>3451.2</v>
      </c>
      <c r="AH7" s="105">
        <v>5</v>
      </c>
      <c r="AI7" s="105">
        <v>4314</v>
      </c>
      <c r="AJ7" s="105">
        <v>8</v>
      </c>
      <c r="AK7" s="105">
        <v>6902.4</v>
      </c>
      <c r="AL7" s="105">
        <v>6</v>
      </c>
      <c r="AM7" s="105">
        <v>5176.7999999999993</v>
      </c>
      <c r="AN7" s="105">
        <v>8</v>
      </c>
      <c r="AO7" s="105">
        <v>6902.4</v>
      </c>
      <c r="AP7" s="105">
        <v>5</v>
      </c>
      <c r="AQ7" s="105">
        <v>4314</v>
      </c>
      <c r="AR7" s="105">
        <v>7</v>
      </c>
      <c r="AS7" s="105">
        <v>6039.5999999999995</v>
      </c>
      <c r="AT7" s="105">
        <v>6</v>
      </c>
      <c r="AU7" s="105">
        <v>5176.7999999999993</v>
      </c>
      <c r="AV7" s="105">
        <v>6</v>
      </c>
      <c r="AW7" s="105">
        <v>5176.7999999999993</v>
      </c>
      <c r="AX7" s="105">
        <v>8</v>
      </c>
      <c r="AY7" s="105">
        <v>6902.4</v>
      </c>
      <c r="AZ7" s="105">
        <v>7</v>
      </c>
      <c r="BA7" s="105">
        <v>6039.5999999999995</v>
      </c>
      <c r="BB7" s="105">
        <v>8</v>
      </c>
      <c r="BC7" s="105">
        <v>6902.4</v>
      </c>
      <c r="BD7" s="105">
        <v>6</v>
      </c>
      <c r="BE7" s="105">
        <v>5176.7999999999993</v>
      </c>
      <c r="BF7" s="105">
        <v>6</v>
      </c>
      <c r="BG7" s="105">
        <v>5176.7999999999993</v>
      </c>
      <c r="BH7" s="105">
        <v>7</v>
      </c>
      <c r="BI7" s="105">
        <v>6039.5999999999995</v>
      </c>
      <c r="BJ7" s="105">
        <v>5</v>
      </c>
      <c r="BK7" s="105">
        <v>4314</v>
      </c>
      <c r="BL7" s="105">
        <v>7</v>
      </c>
      <c r="BM7" s="105">
        <v>6039.5999999999995</v>
      </c>
      <c r="BN7" s="105">
        <v>9</v>
      </c>
      <c r="BO7" s="105">
        <v>7765.2</v>
      </c>
      <c r="BP7" s="105">
        <v>9</v>
      </c>
      <c r="BQ7" s="105">
        <v>7765.2</v>
      </c>
      <c r="BR7" s="105">
        <v>5</v>
      </c>
      <c r="BS7" s="105">
        <v>4314</v>
      </c>
      <c r="BT7" s="105">
        <v>9</v>
      </c>
      <c r="BU7" s="105">
        <v>7765.2</v>
      </c>
      <c r="BV7" s="105">
        <v>10</v>
      </c>
      <c r="BW7" s="105">
        <v>8628</v>
      </c>
      <c r="BX7" s="105">
        <v>7</v>
      </c>
      <c r="BY7" s="105">
        <v>6039.5999999999995</v>
      </c>
      <c r="BZ7" s="105">
        <v>6</v>
      </c>
      <c r="CA7" s="105">
        <v>5176.7999999999993</v>
      </c>
      <c r="CB7" s="105">
        <v>8</v>
      </c>
      <c r="CC7" s="105">
        <v>6902.4</v>
      </c>
      <c r="CD7" s="105">
        <v>8</v>
      </c>
      <c r="CE7" s="105">
        <v>6902.4</v>
      </c>
      <c r="CF7" s="105">
        <v>7</v>
      </c>
      <c r="CG7" s="105">
        <v>6039.5999999999995</v>
      </c>
      <c r="CH7" s="105">
        <v>9</v>
      </c>
      <c r="CI7" s="105">
        <v>7765.2</v>
      </c>
      <c r="CJ7" s="105">
        <v>7</v>
      </c>
      <c r="CK7" s="105">
        <v>6039.5999999999995</v>
      </c>
      <c r="CL7" s="105">
        <v>10</v>
      </c>
      <c r="CM7" s="105">
        <v>8628</v>
      </c>
      <c r="CN7" s="105">
        <v>9</v>
      </c>
      <c r="CO7" s="105">
        <v>7765.2</v>
      </c>
      <c r="CP7" s="105">
        <v>8</v>
      </c>
      <c r="CQ7" s="105">
        <v>6902.4</v>
      </c>
      <c r="CR7" s="105">
        <v>11</v>
      </c>
      <c r="CS7" s="105">
        <v>9490.7999999999993</v>
      </c>
      <c r="CT7" s="105">
        <v>8</v>
      </c>
      <c r="CU7" s="105">
        <v>6902.4</v>
      </c>
    </row>
    <row r="8" spans="1:99" x14ac:dyDescent="0.2">
      <c r="C8" s="104" t="s">
        <v>176</v>
      </c>
      <c r="D8" s="105">
        <v>0</v>
      </c>
      <c r="E8" s="105">
        <v>0</v>
      </c>
      <c r="F8" s="105">
        <v>0</v>
      </c>
      <c r="G8" s="105">
        <v>0</v>
      </c>
      <c r="H8" s="105">
        <v>7</v>
      </c>
      <c r="I8" s="105">
        <v>2293.1999999999998</v>
      </c>
      <c r="J8" s="105">
        <v>8</v>
      </c>
      <c r="K8" s="105">
        <v>2620.7999999999997</v>
      </c>
      <c r="L8" s="105">
        <v>7</v>
      </c>
      <c r="M8" s="105">
        <v>2293.1999999999998</v>
      </c>
      <c r="N8" s="105">
        <v>8</v>
      </c>
      <c r="O8" s="105">
        <v>2620.7999999999997</v>
      </c>
      <c r="P8" s="105">
        <v>7</v>
      </c>
      <c r="Q8" s="105">
        <v>2293.1999999999998</v>
      </c>
      <c r="R8" s="105">
        <v>6</v>
      </c>
      <c r="S8" s="105">
        <v>1965.6</v>
      </c>
      <c r="T8" s="105">
        <v>9</v>
      </c>
      <c r="U8" s="105">
        <v>2948.3999999999996</v>
      </c>
      <c r="V8" s="105">
        <v>6</v>
      </c>
      <c r="W8" s="105">
        <v>1965.6</v>
      </c>
      <c r="X8" s="105">
        <v>9</v>
      </c>
      <c r="Y8" s="105">
        <v>2948.3999999999996</v>
      </c>
      <c r="Z8" s="105">
        <v>5</v>
      </c>
      <c r="AA8" s="105">
        <v>1637.9999999999998</v>
      </c>
      <c r="AB8" s="105">
        <v>6</v>
      </c>
      <c r="AC8" s="105">
        <v>1965.6</v>
      </c>
      <c r="AD8" s="105">
        <v>8</v>
      </c>
      <c r="AE8" s="105">
        <v>2620.7999999999997</v>
      </c>
      <c r="AF8" s="105">
        <v>5</v>
      </c>
      <c r="AG8" s="105">
        <v>1637.9999999999998</v>
      </c>
      <c r="AH8" s="105">
        <v>4</v>
      </c>
      <c r="AI8" s="105">
        <v>1310.3999999999999</v>
      </c>
      <c r="AJ8" s="105">
        <v>9</v>
      </c>
      <c r="AK8" s="105">
        <v>2948.3999999999996</v>
      </c>
      <c r="AL8" s="105">
        <v>6</v>
      </c>
      <c r="AM8" s="105">
        <v>1965.6</v>
      </c>
      <c r="AN8" s="105">
        <v>7</v>
      </c>
      <c r="AO8" s="105">
        <v>2293.1999999999998</v>
      </c>
      <c r="AP8" s="105">
        <v>6</v>
      </c>
      <c r="AQ8" s="105">
        <v>1965.6</v>
      </c>
      <c r="AR8" s="105">
        <v>7</v>
      </c>
      <c r="AS8" s="105">
        <v>2293.1999999999998</v>
      </c>
      <c r="AT8" s="105">
        <v>6</v>
      </c>
      <c r="AU8" s="105">
        <v>1965.6</v>
      </c>
      <c r="AV8" s="105">
        <v>6</v>
      </c>
      <c r="AW8" s="105">
        <v>1965.6</v>
      </c>
      <c r="AX8" s="105">
        <v>8</v>
      </c>
      <c r="AY8" s="105">
        <v>2620.7999999999997</v>
      </c>
      <c r="AZ8" s="105">
        <v>6</v>
      </c>
      <c r="BA8" s="105">
        <v>1965.6</v>
      </c>
      <c r="BB8" s="105">
        <v>8</v>
      </c>
      <c r="BC8" s="105">
        <v>2620.7999999999997</v>
      </c>
      <c r="BD8" s="105">
        <v>7</v>
      </c>
      <c r="BE8" s="105">
        <v>2293.1999999999998</v>
      </c>
      <c r="BF8" s="105">
        <v>6</v>
      </c>
      <c r="BG8" s="105">
        <v>1965.6</v>
      </c>
      <c r="BH8" s="105">
        <v>8</v>
      </c>
      <c r="BI8" s="105">
        <v>2620.7999999999997</v>
      </c>
      <c r="BJ8" s="105">
        <v>6</v>
      </c>
      <c r="BK8" s="105">
        <v>1965.6</v>
      </c>
      <c r="BL8" s="105">
        <v>7</v>
      </c>
      <c r="BM8" s="105">
        <v>2293.1999999999998</v>
      </c>
      <c r="BN8" s="105">
        <v>9</v>
      </c>
      <c r="BO8" s="105">
        <v>2948.3999999999996</v>
      </c>
      <c r="BP8" s="105">
        <v>9</v>
      </c>
      <c r="BQ8" s="105">
        <v>2948.3999999999996</v>
      </c>
      <c r="BR8" s="105">
        <v>6</v>
      </c>
      <c r="BS8" s="105">
        <v>1965.6</v>
      </c>
      <c r="BT8" s="105">
        <v>9</v>
      </c>
      <c r="BU8" s="105">
        <v>2948.3999999999996</v>
      </c>
      <c r="BV8" s="105">
        <v>9</v>
      </c>
      <c r="BW8" s="105">
        <v>2948.3999999999996</v>
      </c>
      <c r="BX8" s="105">
        <v>8</v>
      </c>
      <c r="BY8" s="105">
        <v>2620.7999999999997</v>
      </c>
      <c r="BZ8" s="105">
        <v>6</v>
      </c>
      <c r="CA8" s="105">
        <v>1965.6</v>
      </c>
      <c r="CB8" s="105">
        <v>9</v>
      </c>
      <c r="CC8" s="105">
        <v>2948.3999999999996</v>
      </c>
      <c r="CD8" s="105">
        <v>8</v>
      </c>
      <c r="CE8" s="105">
        <v>2620.7999999999997</v>
      </c>
      <c r="CF8" s="105">
        <v>8</v>
      </c>
      <c r="CG8" s="105">
        <v>2620.7999999999997</v>
      </c>
      <c r="CH8" s="105">
        <v>9</v>
      </c>
      <c r="CI8" s="105">
        <v>2948.3999999999996</v>
      </c>
      <c r="CJ8" s="105">
        <v>7</v>
      </c>
      <c r="CK8" s="105">
        <v>2293.1999999999998</v>
      </c>
      <c r="CL8" s="105">
        <v>10</v>
      </c>
      <c r="CM8" s="105">
        <v>3275.9999999999995</v>
      </c>
      <c r="CN8" s="105">
        <v>9</v>
      </c>
      <c r="CO8" s="105">
        <v>2948.3999999999996</v>
      </c>
      <c r="CP8" s="105">
        <v>8</v>
      </c>
      <c r="CQ8" s="105">
        <v>2620.7999999999997</v>
      </c>
      <c r="CR8" s="105">
        <v>11</v>
      </c>
      <c r="CS8" s="105">
        <v>3603.5999999999995</v>
      </c>
      <c r="CT8" s="105">
        <v>8</v>
      </c>
      <c r="CU8" s="105">
        <v>2620.7999999999997</v>
      </c>
    </row>
    <row r="9" spans="1:99" x14ac:dyDescent="0.2">
      <c r="C9" s="104" t="s">
        <v>177</v>
      </c>
      <c r="D9" s="105">
        <v>0</v>
      </c>
      <c r="E9" s="105">
        <v>0</v>
      </c>
      <c r="F9" s="105">
        <v>0</v>
      </c>
      <c r="G9" s="105">
        <v>0</v>
      </c>
      <c r="H9" s="105">
        <v>7</v>
      </c>
      <c r="I9" s="105">
        <v>5619.5999999999995</v>
      </c>
      <c r="J9" s="105">
        <v>8</v>
      </c>
      <c r="K9" s="105">
        <v>6422.4</v>
      </c>
      <c r="L9" s="105">
        <v>7</v>
      </c>
      <c r="M9" s="105">
        <v>5619.5999999999995</v>
      </c>
      <c r="N9" s="105">
        <v>8</v>
      </c>
      <c r="O9" s="105">
        <v>6422.4</v>
      </c>
      <c r="P9" s="105">
        <v>6</v>
      </c>
      <c r="Q9" s="105">
        <v>4816.7999999999993</v>
      </c>
      <c r="R9" s="105">
        <v>7</v>
      </c>
      <c r="S9" s="105">
        <v>5619.5999999999995</v>
      </c>
      <c r="T9" s="105">
        <v>8</v>
      </c>
      <c r="U9" s="105">
        <v>6422.4</v>
      </c>
      <c r="V9" s="105">
        <v>6</v>
      </c>
      <c r="W9" s="105">
        <v>4816.7999999999993</v>
      </c>
      <c r="X9" s="105">
        <v>8</v>
      </c>
      <c r="Y9" s="105">
        <v>6422.4</v>
      </c>
      <c r="Z9" s="105">
        <v>5</v>
      </c>
      <c r="AA9" s="105">
        <v>4014</v>
      </c>
      <c r="AB9" s="105">
        <v>6</v>
      </c>
      <c r="AC9" s="105">
        <v>4816.7999999999993</v>
      </c>
      <c r="AD9" s="105">
        <v>8</v>
      </c>
      <c r="AE9" s="105">
        <v>6422.4</v>
      </c>
      <c r="AF9" s="105">
        <v>5</v>
      </c>
      <c r="AG9" s="105">
        <v>4014</v>
      </c>
      <c r="AH9" s="105">
        <v>4</v>
      </c>
      <c r="AI9" s="105">
        <v>3211.2</v>
      </c>
      <c r="AJ9" s="105">
        <v>9</v>
      </c>
      <c r="AK9" s="105">
        <v>7225.2</v>
      </c>
      <c r="AL9" s="105">
        <v>5</v>
      </c>
      <c r="AM9" s="105">
        <v>4014</v>
      </c>
      <c r="AN9" s="105">
        <v>6</v>
      </c>
      <c r="AO9" s="105">
        <v>4816.7999999999993</v>
      </c>
      <c r="AP9" s="105">
        <v>5</v>
      </c>
      <c r="AQ9" s="105">
        <v>4014</v>
      </c>
      <c r="AR9" s="105">
        <v>7</v>
      </c>
      <c r="AS9" s="105">
        <v>5619.5999999999995</v>
      </c>
      <c r="AT9" s="105">
        <v>6</v>
      </c>
      <c r="AU9" s="105">
        <v>4816.7999999999993</v>
      </c>
      <c r="AV9" s="105">
        <v>6</v>
      </c>
      <c r="AW9" s="105">
        <v>4816.7999999999993</v>
      </c>
      <c r="AX9" s="105">
        <v>8</v>
      </c>
      <c r="AY9" s="105">
        <v>6422.4</v>
      </c>
      <c r="AZ9" s="105">
        <v>6</v>
      </c>
      <c r="BA9" s="105">
        <v>4816.7999999999993</v>
      </c>
      <c r="BB9" s="105">
        <v>8</v>
      </c>
      <c r="BC9" s="105">
        <v>6422.4</v>
      </c>
      <c r="BD9" s="105">
        <v>6</v>
      </c>
      <c r="BE9" s="105">
        <v>4816.7999999999993</v>
      </c>
      <c r="BF9" s="105">
        <v>6</v>
      </c>
      <c r="BG9" s="105">
        <v>4816.7999999999993</v>
      </c>
      <c r="BH9" s="105">
        <v>7</v>
      </c>
      <c r="BI9" s="105">
        <v>5619.5999999999995</v>
      </c>
      <c r="BJ9" s="105">
        <v>5</v>
      </c>
      <c r="BK9" s="105">
        <v>4014</v>
      </c>
      <c r="BL9" s="105">
        <v>6</v>
      </c>
      <c r="BM9" s="105">
        <v>4816.7999999999993</v>
      </c>
      <c r="BN9" s="105">
        <v>8</v>
      </c>
      <c r="BO9" s="105">
        <v>6422.4</v>
      </c>
      <c r="BP9" s="105">
        <v>9</v>
      </c>
      <c r="BQ9" s="105">
        <v>7225.2</v>
      </c>
      <c r="BR9" s="105">
        <v>6</v>
      </c>
      <c r="BS9" s="105">
        <v>4816.7999999999993</v>
      </c>
      <c r="BT9" s="105">
        <v>9</v>
      </c>
      <c r="BU9" s="105">
        <v>7225.2</v>
      </c>
      <c r="BV9" s="105">
        <v>9</v>
      </c>
      <c r="BW9" s="105">
        <v>7225.2</v>
      </c>
      <c r="BX9" s="105">
        <v>7</v>
      </c>
      <c r="BY9" s="105">
        <v>5619.5999999999995</v>
      </c>
      <c r="BZ9" s="105">
        <v>6</v>
      </c>
      <c r="CA9" s="105">
        <v>4816.7999999999993</v>
      </c>
      <c r="CB9" s="105">
        <v>8</v>
      </c>
      <c r="CC9" s="105">
        <v>6422.4</v>
      </c>
      <c r="CD9" s="105">
        <v>8</v>
      </c>
      <c r="CE9" s="105">
        <v>6422.4</v>
      </c>
      <c r="CF9" s="105">
        <v>8</v>
      </c>
      <c r="CG9" s="105">
        <v>6422.4</v>
      </c>
      <c r="CH9" s="105">
        <v>9</v>
      </c>
      <c r="CI9" s="105">
        <v>7225.2</v>
      </c>
      <c r="CJ9" s="105">
        <v>6</v>
      </c>
      <c r="CK9" s="105">
        <v>4816.7999999999993</v>
      </c>
      <c r="CL9" s="105">
        <v>10</v>
      </c>
      <c r="CM9" s="105">
        <v>8028</v>
      </c>
      <c r="CN9" s="105">
        <v>10</v>
      </c>
      <c r="CO9" s="105">
        <v>8028</v>
      </c>
      <c r="CP9" s="105">
        <v>7</v>
      </c>
      <c r="CQ9" s="105">
        <v>5619.5999999999995</v>
      </c>
      <c r="CR9" s="105">
        <v>9</v>
      </c>
      <c r="CS9" s="105">
        <v>7225.2</v>
      </c>
      <c r="CT9" s="105">
        <v>7</v>
      </c>
      <c r="CU9" s="105">
        <v>5619.5999999999995</v>
      </c>
    </row>
    <row r="10" spans="1:99" x14ac:dyDescent="0.2">
      <c r="C10" s="104" t="s">
        <v>178</v>
      </c>
      <c r="D10" s="105">
        <v>0</v>
      </c>
      <c r="E10" s="105">
        <v>0</v>
      </c>
      <c r="F10" s="105">
        <v>0</v>
      </c>
      <c r="G10" s="105">
        <v>0</v>
      </c>
      <c r="H10" s="105">
        <v>7</v>
      </c>
      <c r="I10" s="105">
        <v>3897.5999999999995</v>
      </c>
      <c r="J10" s="105">
        <v>8</v>
      </c>
      <c r="K10" s="105">
        <v>4454.3999999999996</v>
      </c>
      <c r="L10" s="105">
        <v>7</v>
      </c>
      <c r="M10" s="105">
        <v>3897.5999999999995</v>
      </c>
      <c r="N10" s="105">
        <v>7</v>
      </c>
      <c r="O10" s="105">
        <v>3897.5999999999995</v>
      </c>
      <c r="P10" s="105">
        <v>6</v>
      </c>
      <c r="Q10" s="105">
        <v>3340.7999999999997</v>
      </c>
      <c r="R10" s="105">
        <v>7</v>
      </c>
      <c r="S10" s="105">
        <v>3897.5999999999995</v>
      </c>
      <c r="T10" s="105">
        <v>8</v>
      </c>
      <c r="U10" s="105">
        <v>4454.3999999999996</v>
      </c>
      <c r="V10" s="105">
        <v>6</v>
      </c>
      <c r="W10" s="105">
        <v>3340.7999999999997</v>
      </c>
      <c r="X10" s="105">
        <v>8</v>
      </c>
      <c r="Y10" s="105">
        <v>4454.3999999999996</v>
      </c>
      <c r="Z10" s="105">
        <v>5</v>
      </c>
      <c r="AA10" s="105">
        <v>2784</v>
      </c>
      <c r="AB10" s="105">
        <v>6</v>
      </c>
      <c r="AC10" s="105">
        <v>3340.7999999999997</v>
      </c>
      <c r="AD10" s="105">
        <v>8</v>
      </c>
      <c r="AE10" s="105">
        <v>4454.3999999999996</v>
      </c>
      <c r="AF10" s="105">
        <v>5</v>
      </c>
      <c r="AG10" s="105">
        <v>2784</v>
      </c>
      <c r="AH10" s="105">
        <v>5</v>
      </c>
      <c r="AI10" s="105">
        <v>2784</v>
      </c>
      <c r="AJ10" s="105">
        <v>9</v>
      </c>
      <c r="AK10" s="105">
        <v>5011.2</v>
      </c>
      <c r="AL10" s="105">
        <v>6</v>
      </c>
      <c r="AM10" s="105">
        <v>3340.7999999999997</v>
      </c>
      <c r="AN10" s="105">
        <v>7</v>
      </c>
      <c r="AO10" s="105">
        <v>3897.5999999999995</v>
      </c>
      <c r="AP10" s="105">
        <v>6</v>
      </c>
      <c r="AQ10" s="105">
        <v>3340.7999999999997</v>
      </c>
      <c r="AR10" s="105">
        <v>7</v>
      </c>
      <c r="AS10" s="105">
        <v>3897.5999999999995</v>
      </c>
      <c r="AT10" s="105">
        <v>6</v>
      </c>
      <c r="AU10" s="105">
        <v>3340.7999999999997</v>
      </c>
      <c r="AV10" s="105">
        <v>6</v>
      </c>
      <c r="AW10" s="105">
        <v>3340.7999999999997</v>
      </c>
      <c r="AX10" s="105">
        <v>7</v>
      </c>
      <c r="AY10" s="105">
        <v>3897.5999999999995</v>
      </c>
      <c r="AZ10" s="105">
        <v>7</v>
      </c>
      <c r="BA10" s="105">
        <v>3897.5999999999995</v>
      </c>
      <c r="BB10" s="105">
        <v>9</v>
      </c>
      <c r="BC10" s="105">
        <v>5011.2</v>
      </c>
      <c r="BD10" s="105">
        <v>6</v>
      </c>
      <c r="BE10" s="105">
        <v>3340.7999999999997</v>
      </c>
      <c r="BF10" s="105">
        <v>6</v>
      </c>
      <c r="BG10" s="105">
        <v>3340.7999999999997</v>
      </c>
      <c r="BH10" s="105">
        <v>7</v>
      </c>
      <c r="BI10" s="105">
        <v>3897.5999999999995</v>
      </c>
      <c r="BJ10" s="105">
        <v>6</v>
      </c>
      <c r="BK10" s="105">
        <v>3340.7999999999997</v>
      </c>
      <c r="BL10" s="105">
        <v>6</v>
      </c>
      <c r="BM10" s="105">
        <v>3340.7999999999997</v>
      </c>
      <c r="BN10" s="105">
        <v>8</v>
      </c>
      <c r="BO10" s="105">
        <v>4454.3999999999996</v>
      </c>
      <c r="BP10" s="105">
        <v>8</v>
      </c>
      <c r="BQ10" s="105">
        <v>4454.3999999999996</v>
      </c>
      <c r="BR10" s="105">
        <v>6</v>
      </c>
      <c r="BS10" s="105">
        <v>3340.7999999999997</v>
      </c>
      <c r="BT10" s="105">
        <v>10</v>
      </c>
      <c r="BU10" s="105">
        <v>5568</v>
      </c>
      <c r="BV10" s="105">
        <v>9</v>
      </c>
      <c r="BW10" s="105">
        <v>5011.2</v>
      </c>
      <c r="BX10" s="105">
        <v>8</v>
      </c>
      <c r="BY10" s="105">
        <v>4454.3999999999996</v>
      </c>
      <c r="BZ10" s="105">
        <v>6</v>
      </c>
      <c r="CA10" s="105">
        <v>3340.7999999999997</v>
      </c>
      <c r="CB10" s="105">
        <v>9</v>
      </c>
      <c r="CC10" s="105">
        <v>5011.2</v>
      </c>
      <c r="CD10" s="105">
        <v>8</v>
      </c>
      <c r="CE10" s="105">
        <v>4454.3999999999996</v>
      </c>
      <c r="CF10" s="105">
        <v>9</v>
      </c>
      <c r="CG10" s="105">
        <v>5011.2</v>
      </c>
      <c r="CH10" s="105">
        <v>9</v>
      </c>
      <c r="CI10" s="105">
        <v>5011.2</v>
      </c>
      <c r="CJ10" s="105">
        <v>6</v>
      </c>
      <c r="CK10" s="105">
        <v>3340.7999999999997</v>
      </c>
      <c r="CL10" s="105">
        <v>10</v>
      </c>
      <c r="CM10" s="105">
        <v>5568</v>
      </c>
      <c r="CN10" s="105">
        <v>9</v>
      </c>
      <c r="CO10" s="105">
        <v>5011.2</v>
      </c>
      <c r="CP10" s="105">
        <v>8</v>
      </c>
      <c r="CQ10" s="105">
        <v>4454.3999999999996</v>
      </c>
      <c r="CR10" s="105">
        <v>11</v>
      </c>
      <c r="CS10" s="105">
        <v>6124.7999999999993</v>
      </c>
      <c r="CT10" s="105">
        <v>8</v>
      </c>
      <c r="CU10" s="105">
        <v>4454.3999999999996</v>
      </c>
    </row>
    <row r="11" spans="1:99" x14ac:dyDescent="0.2">
      <c r="C11" s="104" t="s">
        <v>179</v>
      </c>
      <c r="D11" s="105">
        <v>0</v>
      </c>
      <c r="E11" s="105">
        <v>0</v>
      </c>
      <c r="F11" s="105">
        <v>0</v>
      </c>
      <c r="G11" s="105">
        <v>0</v>
      </c>
      <c r="H11" s="105">
        <v>7</v>
      </c>
      <c r="I11" s="105">
        <v>4191.5999999999995</v>
      </c>
      <c r="J11" s="105">
        <v>8</v>
      </c>
      <c r="K11" s="105">
        <v>4790.3999999999996</v>
      </c>
      <c r="L11" s="105">
        <v>7</v>
      </c>
      <c r="M11" s="105">
        <v>4191.5999999999995</v>
      </c>
      <c r="N11" s="105">
        <v>9</v>
      </c>
      <c r="O11" s="105">
        <v>5389.2</v>
      </c>
      <c r="P11" s="105">
        <v>7</v>
      </c>
      <c r="Q11" s="105">
        <v>4191.5999999999995</v>
      </c>
      <c r="R11" s="105">
        <v>7</v>
      </c>
      <c r="S11" s="105">
        <v>4191.5999999999995</v>
      </c>
      <c r="T11" s="105">
        <v>8</v>
      </c>
      <c r="U11" s="105">
        <v>4790.3999999999996</v>
      </c>
      <c r="V11" s="105">
        <v>6</v>
      </c>
      <c r="W11" s="105">
        <v>3592.7999999999997</v>
      </c>
      <c r="X11" s="105">
        <v>8</v>
      </c>
      <c r="Y11" s="105">
        <v>4790.3999999999996</v>
      </c>
      <c r="Z11" s="105">
        <v>4</v>
      </c>
      <c r="AA11" s="105">
        <v>2395.1999999999998</v>
      </c>
      <c r="AB11" s="105">
        <v>6</v>
      </c>
      <c r="AC11" s="105">
        <v>3592.7999999999997</v>
      </c>
      <c r="AD11" s="105">
        <v>7</v>
      </c>
      <c r="AE11" s="105">
        <v>4191.5999999999995</v>
      </c>
      <c r="AF11" s="105">
        <v>5</v>
      </c>
      <c r="AG11" s="105">
        <v>2994</v>
      </c>
      <c r="AH11" s="105">
        <v>4</v>
      </c>
      <c r="AI11" s="105">
        <v>2395.1999999999998</v>
      </c>
      <c r="AJ11" s="105">
        <v>9</v>
      </c>
      <c r="AK11" s="105">
        <v>5389.2</v>
      </c>
      <c r="AL11" s="105">
        <v>5</v>
      </c>
      <c r="AM11" s="105">
        <v>2994</v>
      </c>
      <c r="AN11" s="105">
        <v>7</v>
      </c>
      <c r="AO11" s="105">
        <v>4191.5999999999995</v>
      </c>
      <c r="AP11" s="105">
        <v>6</v>
      </c>
      <c r="AQ11" s="105">
        <v>3592.7999999999997</v>
      </c>
      <c r="AR11" s="105">
        <v>8</v>
      </c>
      <c r="AS11" s="105">
        <v>4790.3999999999996</v>
      </c>
      <c r="AT11" s="105">
        <v>6</v>
      </c>
      <c r="AU11" s="105">
        <v>3592.7999999999997</v>
      </c>
      <c r="AV11" s="105">
        <v>6</v>
      </c>
      <c r="AW11" s="105">
        <v>3592.7999999999997</v>
      </c>
      <c r="AX11" s="105">
        <v>8</v>
      </c>
      <c r="AY11" s="105">
        <v>4790.3999999999996</v>
      </c>
      <c r="AZ11" s="105">
        <v>7</v>
      </c>
      <c r="BA11" s="105">
        <v>4191.5999999999995</v>
      </c>
      <c r="BB11" s="105">
        <v>9</v>
      </c>
      <c r="BC11" s="105">
        <v>5389.2</v>
      </c>
      <c r="BD11" s="105">
        <v>6</v>
      </c>
      <c r="BE11" s="105">
        <v>3592.7999999999997</v>
      </c>
      <c r="BF11" s="105">
        <v>6</v>
      </c>
      <c r="BG11" s="105">
        <v>3592.7999999999997</v>
      </c>
      <c r="BH11" s="105">
        <v>7</v>
      </c>
      <c r="BI11" s="105">
        <v>4191.5999999999995</v>
      </c>
      <c r="BJ11" s="105">
        <v>6</v>
      </c>
      <c r="BK11" s="105">
        <v>3592.7999999999997</v>
      </c>
      <c r="BL11" s="105">
        <v>6</v>
      </c>
      <c r="BM11" s="105">
        <v>3592.7999999999997</v>
      </c>
      <c r="BN11" s="105">
        <v>9</v>
      </c>
      <c r="BO11" s="105">
        <v>5389.2</v>
      </c>
      <c r="BP11" s="105">
        <v>8</v>
      </c>
      <c r="BQ11" s="105">
        <v>4790.3999999999996</v>
      </c>
      <c r="BR11" s="105">
        <v>6</v>
      </c>
      <c r="BS11" s="105">
        <v>3592.7999999999997</v>
      </c>
      <c r="BT11" s="105">
        <v>8</v>
      </c>
      <c r="BU11" s="105">
        <v>4790.3999999999996</v>
      </c>
      <c r="BV11" s="105">
        <v>9</v>
      </c>
      <c r="BW11" s="105">
        <v>5389.2</v>
      </c>
      <c r="BX11" s="105">
        <v>7</v>
      </c>
      <c r="BY11" s="105">
        <v>4191.5999999999995</v>
      </c>
      <c r="BZ11" s="105">
        <v>6</v>
      </c>
      <c r="CA11" s="105">
        <v>3592.7999999999997</v>
      </c>
      <c r="CB11" s="105">
        <v>10</v>
      </c>
      <c r="CC11" s="105">
        <v>5988</v>
      </c>
      <c r="CD11" s="105">
        <v>8</v>
      </c>
      <c r="CE11" s="105">
        <v>4790.3999999999996</v>
      </c>
      <c r="CF11" s="105">
        <v>8</v>
      </c>
      <c r="CG11" s="105">
        <v>4790.3999999999996</v>
      </c>
      <c r="CH11" s="105">
        <v>8</v>
      </c>
      <c r="CI11" s="105">
        <v>4790.3999999999996</v>
      </c>
      <c r="CJ11" s="105">
        <v>6</v>
      </c>
      <c r="CK11" s="105">
        <v>3592.7999999999997</v>
      </c>
      <c r="CL11" s="105">
        <v>9</v>
      </c>
      <c r="CM11" s="105">
        <v>5389.2</v>
      </c>
      <c r="CN11" s="105">
        <v>10</v>
      </c>
      <c r="CO11" s="105">
        <v>5988</v>
      </c>
      <c r="CP11" s="105">
        <v>8</v>
      </c>
      <c r="CQ11" s="105">
        <v>4790.3999999999996</v>
      </c>
      <c r="CR11" s="105">
        <v>10</v>
      </c>
      <c r="CS11" s="105">
        <v>5988</v>
      </c>
      <c r="CT11" s="105">
        <v>8</v>
      </c>
      <c r="CU11" s="105">
        <v>4790.3999999999996</v>
      </c>
    </row>
    <row r="12" spans="1:99" x14ac:dyDescent="0.2">
      <c r="C12" s="104" t="s">
        <v>180</v>
      </c>
      <c r="D12" s="105">
        <v>0</v>
      </c>
      <c r="E12" s="105">
        <v>0</v>
      </c>
      <c r="F12" s="105">
        <v>0</v>
      </c>
      <c r="G12" s="105">
        <v>0</v>
      </c>
      <c r="H12" s="105">
        <v>7</v>
      </c>
      <c r="I12" s="105">
        <v>4233.5999999999995</v>
      </c>
      <c r="J12" s="105">
        <v>9</v>
      </c>
      <c r="K12" s="105">
        <v>5443.2</v>
      </c>
      <c r="L12" s="105">
        <v>7</v>
      </c>
      <c r="M12" s="105">
        <v>4233.5999999999995</v>
      </c>
      <c r="N12" s="105">
        <v>9</v>
      </c>
      <c r="O12" s="105">
        <v>5443.2</v>
      </c>
      <c r="P12" s="105">
        <v>7</v>
      </c>
      <c r="Q12" s="105">
        <v>4233.5999999999995</v>
      </c>
      <c r="R12" s="105">
        <v>7</v>
      </c>
      <c r="S12" s="105">
        <v>4233.5999999999995</v>
      </c>
      <c r="T12" s="105">
        <v>8</v>
      </c>
      <c r="U12" s="105">
        <v>4838.3999999999996</v>
      </c>
      <c r="V12" s="105">
        <v>7</v>
      </c>
      <c r="W12" s="105">
        <v>4233.5999999999995</v>
      </c>
      <c r="X12" s="105">
        <v>8</v>
      </c>
      <c r="Y12" s="105">
        <v>4838.3999999999996</v>
      </c>
      <c r="Z12" s="105">
        <v>5</v>
      </c>
      <c r="AA12" s="105">
        <v>3024</v>
      </c>
      <c r="AB12" s="105">
        <v>6</v>
      </c>
      <c r="AC12" s="105">
        <v>3628.7999999999997</v>
      </c>
      <c r="AD12" s="105">
        <v>8</v>
      </c>
      <c r="AE12" s="105">
        <v>4838.3999999999996</v>
      </c>
      <c r="AF12" s="105">
        <v>5</v>
      </c>
      <c r="AG12" s="105">
        <v>3024</v>
      </c>
      <c r="AH12" s="105">
        <v>5</v>
      </c>
      <c r="AI12" s="105">
        <v>3024</v>
      </c>
      <c r="AJ12" s="105">
        <v>8</v>
      </c>
      <c r="AK12" s="105">
        <v>4838.3999999999996</v>
      </c>
      <c r="AL12" s="105">
        <v>5</v>
      </c>
      <c r="AM12" s="105">
        <v>3024</v>
      </c>
      <c r="AN12" s="105">
        <v>7</v>
      </c>
      <c r="AO12" s="105">
        <v>4233.5999999999995</v>
      </c>
      <c r="AP12" s="105">
        <v>5</v>
      </c>
      <c r="AQ12" s="105">
        <v>3024</v>
      </c>
      <c r="AR12" s="105">
        <v>8</v>
      </c>
      <c r="AS12" s="105">
        <v>4838.3999999999996</v>
      </c>
      <c r="AT12" s="105">
        <v>7</v>
      </c>
      <c r="AU12" s="105">
        <v>4233.5999999999995</v>
      </c>
      <c r="AV12" s="105">
        <v>6</v>
      </c>
      <c r="AW12" s="105">
        <v>3628.7999999999997</v>
      </c>
      <c r="AX12" s="105">
        <v>7</v>
      </c>
      <c r="AY12" s="105">
        <v>4233.5999999999995</v>
      </c>
      <c r="AZ12" s="105">
        <v>7</v>
      </c>
      <c r="BA12" s="105">
        <v>4233.5999999999995</v>
      </c>
      <c r="BB12" s="105">
        <v>8</v>
      </c>
      <c r="BC12" s="105">
        <v>4838.3999999999996</v>
      </c>
      <c r="BD12" s="105">
        <v>5</v>
      </c>
      <c r="BE12" s="105">
        <v>3024</v>
      </c>
      <c r="BF12" s="105">
        <v>6</v>
      </c>
      <c r="BG12" s="105">
        <v>3628.7999999999997</v>
      </c>
      <c r="BH12" s="105">
        <v>8</v>
      </c>
      <c r="BI12" s="105">
        <v>4838.3999999999996</v>
      </c>
      <c r="BJ12" s="105">
        <v>5</v>
      </c>
      <c r="BK12" s="105">
        <v>3024</v>
      </c>
      <c r="BL12" s="105">
        <v>6</v>
      </c>
      <c r="BM12" s="105">
        <v>3628.7999999999997</v>
      </c>
      <c r="BN12" s="105">
        <v>8</v>
      </c>
      <c r="BO12" s="105">
        <v>4838.3999999999996</v>
      </c>
      <c r="BP12" s="105">
        <v>9</v>
      </c>
      <c r="BQ12" s="105">
        <v>5443.2</v>
      </c>
      <c r="BR12" s="105">
        <v>6</v>
      </c>
      <c r="BS12" s="105">
        <v>3628.7999999999997</v>
      </c>
      <c r="BT12" s="105">
        <v>8</v>
      </c>
      <c r="BU12" s="105">
        <v>4838.3999999999996</v>
      </c>
      <c r="BV12" s="105">
        <v>10</v>
      </c>
      <c r="BW12" s="105">
        <v>6048</v>
      </c>
      <c r="BX12" s="105">
        <v>7</v>
      </c>
      <c r="BY12" s="105">
        <v>4233.5999999999995</v>
      </c>
      <c r="BZ12" s="105">
        <v>6</v>
      </c>
      <c r="CA12" s="105">
        <v>3628.7999999999997</v>
      </c>
      <c r="CB12" s="105">
        <v>9</v>
      </c>
      <c r="CC12" s="105">
        <v>5443.2</v>
      </c>
      <c r="CD12" s="105">
        <v>8</v>
      </c>
      <c r="CE12" s="105">
        <v>4838.3999999999996</v>
      </c>
      <c r="CF12" s="105">
        <v>9</v>
      </c>
      <c r="CG12" s="105">
        <v>5443.2</v>
      </c>
      <c r="CH12" s="105">
        <v>9</v>
      </c>
      <c r="CI12" s="105">
        <v>5443.2</v>
      </c>
      <c r="CJ12" s="105">
        <v>6</v>
      </c>
      <c r="CK12" s="105">
        <v>3628.7999999999997</v>
      </c>
      <c r="CL12" s="105">
        <v>10</v>
      </c>
      <c r="CM12" s="105">
        <v>6048</v>
      </c>
      <c r="CN12" s="105">
        <v>9</v>
      </c>
      <c r="CO12" s="105">
        <v>5443.2</v>
      </c>
      <c r="CP12" s="105">
        <v>7</v>
      </c>
      <c r="CQ12" s="105">
        <v>4233.5999999999995</v>
      </c>
      <c r="CR12" s="105">
        <v>9</v>
      </c>
      <c r="CS12" s="105">
        <v>5443.2</v>
      </c>
      <c r="CT12" s="105">
        <v>8</v>
      </c>
      <c r="CU12" s="105">
        <v>4838.3999999999996</v>
      </c>
    </row>
    <row r="13" spans="1:99" x14ac:dyDescent="0.2">
      <c r="C13" s="104" t="s">
        <v>181</v>
      </c>
      <c r="D13" s="105">
        <v>0</v>
      </c>
      <c r="E13" s="105">
        <v>0</v>
      </c>
      <c r="F13" s="105">
        <v>0</v>
      </c>
      <c r="G13" s="105">
        <v>0</v>
      </c>
      <c r="H13" s="105">
        <v>7</v>
      </c>
      <c r="I13" s="105">
        <v>1167.5999999999999</v>
      </c>
      <c r="J13" s="105">
        <v>9</v>
      </c>
      <c r="K13" s="105">
        <v>1501.1999999999998</v>
      </c>
      <c r="L13" s="105">
        <v>7</v>
      </c>
      <c r="M13" s="105">
        <v>1167.5999999999999</v>
      </c>
      <c r="N13" s="105">
        <v>8</v>
      </c>
      <c r="O13" s="105">
        <v>1334.3999999999999</v>
      </c>
      <c r="P13" s="105">
        <v>7</v>
      </c>
      <c r="Q13" s="105">
        <v>1167.5999999999999</v>
      </c>
      <c r="R13" s="105">
        <v>7</v>
      </c>
      <c r="S13" s="105">
        <v>1167.5999999999999</v>
      </c>
      <c r="T13" s="105">
        <v>8</v>
      </c>
      <c r="U13" s="105">
        <v>1334.3999999999999</v>
      </c>
      <c r="V13" s="105">
        <v>6</v>
      </c>
      <c r="W13" s="105">
        <v>1000.8</v>
      </c>
      <c r="X13" s="105">
        <v>9</v>
      </c>
      <c r="Y13" s="105">
        <v>1501.1999999999998</v>
      </c>
      <c r="Z13" s="105">
        <v>5</v>
      </c>
      <c r="AA13" s="105">
        <v>833.99999999999989</v>
      </c>
      <c r="AB13" s="105">
        <v>6</v>
      </c>
      <c r="AC13" s="105">
        <v>1000.8</v>
      </c>
      <c r="AD13" s="105">
        <v>8</v>
      </c>
      <c r="AE13" s="105">
        <v>1334.3999999999999</v>
      </c>
      <c r="AF13" s="105">
        <v>5</v>
      </c>
      <c r="AG13" s="105">
        <v>833.99999999999989</v>
      </c>
      <c r="AH13" s="105">
        <v>4</v>
      </c>
      <c r="AI13" s="105">
        <v>667.19999999999993</v>
      </c>
      <c r="AJ13" s="105">
        <v>9</v>
      </c>
      <c r="AK13" s="105">
        <v>1501.1999999999998</v>
      </c>
      <c r="AL13" s="105">
        <v>6</v>
      </c>
      <c r="AM13" s="105">
        <v>1000.8</v>
      </c>
      <c r="AN13" s="105">
        <v>7</v>
      </c>
      <c r="AO13" s="105">
        <v>1167.5999999999999</v>
      </c>
      <c r="AP13" s="105">
        <v>5</v>
      </c>
      <c r="AQ13" s="105">
        <v>833.99999999999989</v>
      </c>
      <c r="AR13" s="105">
        <v>7</v>
      </c>
      <c r="AS13" s="105">
        <v>1167.5999999999999</v>
      </c>
      <c r="AT13" s="105">
        <v>7</v>
      </c>
      <c r="AU13" s="105">
        <v>1167.5999999999999</v>
      </c>
      <c r="AV13" s="105">
        <v>6</v>
      </c>
      <c r="AW13" s="105">
        <v>1000.8</v>
      </c>
      <c r="AX13" s="105">
        <v>9</v>
      </c>
      <c r="AY13" s="105">
        <v>1501.1999999999998</v>
      </c>
      <c r="AZ13" s="105">
        <v>6</v>
      </c>
      <c r="BA13" s="105">
        <v>1000.8</v>
      </c>
      <c r="BB13" s="105">
        <v>8</v>
      </c>
      <c r="BC13" s="105">
        <v>1334.3999999999999</v>
      </c>
      <c r="BD13" s="105">
        <v>6</v>
      </c>
      <c r="BE13" s="105">
        <v>1000.8</v>
      </c>
      <c r="BF13" s="105">
        <v>7</v>
      </c>
      <c r="BG13" s="105">
        <v>1167.5999999999999</v>
      </c>
      <c r="BH13" s="105">
        <v>8</v>
      </c>
      <c r="BI13" s="105">
        <v>1334.3999999999999</v>
      </c>
      <c r="BJ13" s="105">
        <v>6</v>
      </c>
      <c r="BK13" s="105">
        <v>1000.8</v>
      </c>
      <c r="BL13" s="105">
        <v>6</v>
      </c>
      <c r="BM13" s="105">
        <v>1000.8</v>
      </c>
      <c r="BN13" s="105">
        <v>9</v>
      </c>
      <c r="BO13" s="105">
        <v>1501.1999999999998</v>
      </c>
      <c r="BP13" s="105">
        <v>9</v>
      </c>
      <c r="BQ13" s="105">
        <v>1501.1999999999998</v>
      </c>
      <c r="BR13" s="105">
        <v>6</v>
      </c>
      <c r="BS13" s="105">
        <v>1000.8</v>
      </c>
      <c r="BT13" s="105">
        <v>8</v>
      </c>
      <c r="BU13" s="105">
        <v>1334.3999999999999</v>
      </c>
      <c r="BV13" s="105">
        <v>11</v>
      </c>
      <c r="BW13" s="105">
        <v>1834.7999999999997</v>
      </c>
      <c r="BX13" s="105">
        <v>7</v>
      </c>
      <c r="BY13" s="105">
        <v>1167.5999999999999</v>
      </c>
      <c r="BZ13" s="105">
        <v>6</v>
      </c>
      <c r="CA13" s="105">
        <v>1000.8</v>
      </c>
      <c r="CB13" s="105">
        <v>10</v>
      </c>
      <c r="CC13" s="105">
        <v>1667.9999999999998</v>
      </c>
      <c r="CD13" s="105">
        <v>8</v>
      </c>
      <c r="CE13" s="105">
        <v>1334.3999999999999</v>
      </c>
      <c r="CF13" s="105">
        <v>9</v>
      </c>
      <c r="CG13" s="105">
        <v>1501.1999999999998</v>
      </c>
      <c r="CH13" s="105">
        <v>10</v>
      </c>
      <c r="CI13" s="105">
        <v>1667.9999999999998</v>
      </c>
      <c r="CJ13" s="105">
        <v>6</v>
      </c>
      <c r="CK13" s="105">
        <v>1000.8</v>
      </c>
      <c r="CL13" s="105">
        <v>9</v>
      </c>
      <c r="CM13" s="105">
        <v>1501.1999999999998</v>
      </c>
      <c r="CN13" s="105">
        <v>9</v>
      </c>
      <c r="CO13" s="105">
        <v>1501.1999999999998</v>
      </c>
      <c r="CP13" s="105">
        <v>9</v>
      </c>
      <c r="CQ13" s="105">
        <v>1501.1999999999998</v>
      </c>
      <c r="CR13" s="105">
        <v>10</v>
      </c>
      <c r="CS13" s="105">
        <v>1667.9999999999998</v>
      </c>
      <c r="CT13" s="105">
        <v>8</v>
      </c>
      <c r="CU13" s="105">
        <v>1334.3999999999999</v>
      </c>
    </row>
    <row r="14" spans="1:99" x14ac:dyDescent="0.2">
      <c r="C14" s="104" t="s">
        <v>182</v>
      </c>
      <c r="D14" s="105">
        <v>0</v>
      </c>
      <c r="E14" s="105">
        <v>0</v>
      </c>
      <c r="F14" s="105">
        <v>0</v>
      </c>
      <c r="G14" s="105">
        <v>0</v>
      </c>
      <c r="H14" s="105">
        <v>7</v>
      </c>
      <c r="I14" s="105">
        <v>3494.4</v>
      </c>
      <c r="J14" s="105">
        <v>9</v>
      </c>
      <c r="K14" s="105">
        <v>4492.8</v>
      </c>
      <c r="L14" s="105">
        <v>7</v>
      </c>
      <c r="M14" s="105">
        <v>3494.4</v>
      </c>
      <c r="N14" s="105">
        <v>8</v>
      </c>
      <c r="O14" s="105">
        <v>3993.6</v>
      </c>
      <c r="P14" s="105">
        <v>7</v>
      </c>
      <c r="Q14" s="105">
        <v>3494.4</v>
      </c>
      <c r="R14" s="105">
        <v>7</v>
      </c>
      <c r="S14" s="105">
        <v>3494.4</v>
      </c>
      <c r="T14" s="105">
        <v>8</v>
      </c>
      <c r="U14" s="105">
        <v>3993.6</v>
      </c>
      <c r="V14" s="105">
        <v>7</v>
      </c>
      <c r="W14" s="105">
        <v>3494.4</v>
      </c>
      <c r="X14" s="105">
        <v>8</v>
      </c>
      <c r="Y14" s="105">
        <v>3993.6</v>
      </c>
      <c r="Z14" s="105">
        <v>5</v>
      </c>
      <c r="AA14" s="105">
        <v>2496</v>
      </c>
      <c r="AB14" s="105">
        <v>5</v>
      </c>
      <c r="AC14" s="105">
        <v>2496</v>
      </c>
      <c r="AD14" s="105">
        <v>8</v>
      </c>
      <c r="AE14" s="105">
        <v>3993.6</v>
      </c>
      <c r="AF14" s="105">
        <v>5</v>
      </c>
      <c r="AG14" s="105">
        <v>2496</v>
      </c>
      <c r="AH14" s="105">
        <v>4</v>
      </c>
      <c r="AI14" s="105">
        <v>1996.8</v>
      </c>
      <c r="AJ14" s="105">
        <v>8</v>
      </c>
      <c r="AK14" s="105">
        <v>3993.6</v>
      </c>
      <c r="AL14" s="105">
        <v>6</v>
      </c>
      <c r="AM14" s="105">
        <v>2995.2</v>
      </c>
      <c r="AN14" s="105">
        <v>8</v>
      </c>
      <c r="AO14" s="105">
        <v>3993.6</v>
      </c>
      <c r="AP14" s="105">
        <v>5</v>
      </c>
      <c r="AQ14" s="105">
        <v>2496</v>
      </c>
      <c r="AR14" s="105">
        <v>8</v>
      </c>
      <c r="AS14" s="105">
        <v>3993.6</v>
      </c>
      <c r="AT14" s="105">
        <v>6</v>
      </c>
      <c r="AU14" s="105">
        <v>2995.2</v>
      </c>
      <c r="AV14" s="105">
        <v>6</v>
      </c>
      <c r="AW14" s="105">
        <v>2995.2</v>
      </c>
      <c r="AX14" s="105">
        <v>8</v>
      </c>
      <c r="AY14" s="105">
        <v>3993.6</v>
      </c>
      <c r="AZ14" s="105">
        <v>6</v>
      </c>
      <c r="BA14" s="105">
        <v>2995.2</v>
      </c>
      <c r="BB14" s="105">
        <v>8</v>
      </c>
      <c r="BC14" s="105">
        <v>3993.6</v>
      </c>
      <c r="BD14" s="105">
        <v>5</v>
      </c>
      <c r="BE14" s="105">
        <v>2496</v>
      </c>
      <c r="BF14" s="105">
        <v>6</v>
      </c>
      <c r="BG14" s="105">
        <v>2995.2</v>
      </c>
      <c r="BH14" s="105">
        <v>8</v>
      </c>
      <c r="BI14" s="105">
        <v>3993.6</v>
      </c>
      <c r="BJ14" s="105">
        <v>6</v>
      </c>
      <c r="BK14" s="105">
        <v>2995.2</v>
      </c>
      <c r="BL14" s="105">
        <v>6</v>
      </c>
      <c r="BM14" s="105">
        <v>2995.2</v>
      </c>
      <c r="BN14" s="105">
        <v>9</v>
      </c>
      <c r="BO14" s="105">
        <v>4492.8</v>
      </c>
      <c r="BP14" s="105">
        <v>9</v>
      </c>
      <c r="BQ14" s="105">
        <v>4492.8</v>
      </c>
      <c r="BR14" s="105">
        <v>6</v>
      </c>
      <c r="BS14" s="105">
        <v>2995.2</v>
      </c>
      <c r="BT14" s="105">
        <v>10</v>
      </c>
      <c r="BU14" s="105">
        <v>4992</v>
      </c>
      <c r="BV14" s="105">
        <v>10</v>
      </c>
      <c r="BW14" s="105">
        <v>4992</v>
      </c>
      <c r="BX14" s="105">
        <v>8</v>
      </c>
      <c r="BY14" s="105">
        <v>3993.6</v>
      </c>
      <c r="BZ14" s="105">
        <v>6</v>
      </c>
      <c r="CA14" s="105">
        <v>2995.2</v>
      </c>
      <c r="CB14" s="105">
        <v>8</v>
      </c>
      <c r="CC14" s="105">
        <v>3993.6</v>
      </c>
      <c r="CD14" s="105">
        <v>9</v>
      </c>
      <c r="CE14" s="105">
        <v>4492.8</v>
      </c>
      <c r="CF14" s="105">
        <v>8</v>
      </c>
      <c r="CG14" s="105">
        <v>3993.6</v>
      </c>
      <c r="CH14" s="105">
        <v>9</v>
      </c>
      <c r="CI14" s="105">
        <v>4492.8</v>
      </c>
      <c r="CJ14" s="105">
        <v>6</v>
      </c>
      <c r="CK14" s="105">
        <v>2995.2</v>
      </c>
      <c r="CL14" s="105">
        <v>10</v>
      </c>
      <c r="CM14" s="105">
        <v>4992</v>
      </c>
      <c r="CN14" s="105">
        <v>9</v>
      </c>
      <c r="CO14" s="105">
        <v>4492.8</v>
      </c>
      <c r="CP14" s="105">
        <v>7</v>
      </c>
      <c r="CQ14" s="105">
        <v>3494.4</v>
      </c>
      <c r="CR14" s="105">
        <v>10</v>
      </c>
      <c r="CS14" s="105">
        <v>4992</v>
      </c>
      <c r="CT14" s="105">
        <v>8</v>
      </c>
      <c r="CU14" s="105">
        <v>3993.6</v>
      </c>
    </row>
    <row r="15" spans="1:99" x14ac:dyDescent="0.2">
      <c r="C15" s="104" t="s">
        <v>183</v>
      </c>
      <c r="D15" s="105">
        <v>0</v>
      </c>
      <c r="E15" s="105">
        <v>0</v>
      </c>
      <c r="F15" s="105">
        <v>0</v>
      </c>
      <c r="G15" s="105">
        <v>0</v>
      </c>
      <c r="H15" s="105">
        <v>7</v>
      </c>
      <c r="I15" s="105">
        <v>5770.8</v>
      </c>
      <c r="J15" s="105">
        <v>8</v>
      </c>
      <c r="K15" s="105">
        <v>6595.2</v>
      </c>
      <c r="L15" s="105">
        <v>7</v>
      </c>
      <c r="M15" s="105">
        <v>5770.8</v>
      </c>
      <c r="N15" s="105">
        <v>9</v>
      </c>
      <c r="O15" s="105">
        <v>7419.5999999999995</v>
      </c>
      <c r="P15" s="105">
        <v>7</v>
      </c>
      <c r="Q15" s="105">
        <v>5770.8</v>
      </c>
      <c r="R15" s="105">
        <v>7</v>
      </c>
      <c r="S15" s="105">
        <v>5770.8</v>
      </c>
      <c r="T15" s="105">
        <v>7</v>
      </c>
      <c r="U15" s="105">
        <v>5770.8</v>
      </c>
      <c r="V15" s="105">
        <v>6</v>
      </c>
      <c r="W15" s="105">
        <v>4946.3999999999996</v>
      </c>
      <c r="X15" s="105">
        <v>7</v>
      </c>
      <c r="Y15" s="105">
        <v>5770.8</v>
      </c>
      <c r="Z15" s="105">
        <v>5</v>
      </c>
      <c r="AA15" s="105">
        <v>4122</v>
      </c>
      <c r="AB15" s="105">
        <v>6</v>
      </c>
      <c r="AC15" s="105">
        <v>4946.3999999999996</v>
      </c>
      <c r="AD15" s="105">
        <v>7</v>
      </c>
      <c r="AE15" s="105">
        <v>5770.8</v>
      </c>
      <c r="AF15" s="105">
        <v>5</v>
      </c>
      <c r="AG15" s="105">
        <v>4122</v>
      </c>
      <c r="AH15" s="105">
        <v>5</v>
      </c>
      <c r="AI15" s="105">
        <v>4122</v>
      </c>
      <c r="AJ15" s="105">
        <v>9</v>
      </c>
      <c r="AK15" s="105">
        <v>7419.5999999999995</v>
      </c>
      <c r="AL15" s="105">
        <v>5</v>
      </c>
      <c r="AM15" s="105">
        <v>4122</v>
      </c>
      <c r="AN15" s="105">
        <v>7</v>
      </c>
      <c r="AO15" s="105">
        <v>5770.8</v>
      </c>
      <c r="AP15" s="105">
        <v>6</v>
      </c>
      <c r="AQ15" s="105">
        <v>4946.3999999999996</v>
      </c>
      <c r="AR15" s="105">
        <v>8</v>
      </c>
      <c r="AS15" s="105">
        <v>6595.2</v>
      </c>
      <c r="AT15" s="105">
        <v>6</v>
      </c>
      <c r="AU15" s="105">
        <v>4946.3999999999996</v>
      </c>
      <c r="AV15" s="105">
        <v>6</v>
      </c>
      <c r="AW15" s="105">
        <v>4946.3999999999996</v>
      </c>
      <c r="AX15" s="105">
        <v>8</v>
      </c>
      <c r="AY15" s="105">
        <v>6595.2</v>
      </c>
      <c r="AZ15" s="105">
        <v>7</v>
      </c>
      <c r="BA15" s="105">
        <v>5770.8</v>
      </c>
      <c r="BB15" s="105">
        <v>9</v>
      </c>
      <c r="BC15" s="105">
        <v>7419.5999999999995</v>
      </c>
      <c r="BD15" s="105">
        <v>6</v>
      </c>
      <c r="BE15" s="105">
        <v>4946.3999999999996</v>
      </c>
      <c r="BF15" s="105">
        <v>6</v>
      </c>
      <c r="BG15" s="105">
        <v>4946.3999999999996</v>
      </c>
      <c r="BH15" s="105">
        <v>7</v>
      </c>
      <c r="BI15" s="105">
        <v>5770.8</v>
      </c>
      <c r="BJ15" s="105">
        <v>5</v>
      </c>
      <c r="BK15" s="105">
        <v>4122</v>
      </c>
      <c r="BL15" s="105">
        <v>6</v>
      </c>
      <c r="BM15" s="105">
        <v>4946.3999999999996</v>
      </c>
      <c r="BN15" s="105">
        <v>8</v>
      </c>
      <c r="BO15" s="105">
        <v>6595.2</v>
      </c>
      <c r="BP15" s="105">
        <v>9</v>
      </c>
      <c r="BQ15" s="105">
        <v>7419.5999999999995</v>
      </c>
      <c r="BR15" s="105">
        <v>6</v>
      </c>
      <c r="BS15" s="105">
        <v>4946.3999999999996</v>
      </c>
      <c r="BT15" s="105">
        <v>9</v>
      </c>
      <c r="BU15" s="105">
        <v>7419.5999999999995</v>
      </c>
      <c r="BV15" s="105">
        <v>10</v>
      </c>
      <c r="BW15" s="105">
        <v>8244</v>
      </c>
      <c r="BX15" s="105">
        <v>7</v>
      </c>
      <c r="BY15" s="105">
        <v>5770.8</v>
      </c>
      <c r="BZ15" s="105">
        <v>5</v>
      </c>
      <c r="CA15" s="105">
        <v>4122</v>
      </c>
      <c r="CB15" s="105">
        <v>9</v>
      </c>
      <c r="CC15" s="105">
        <v>7419.5999999999995</v>
      </c>
      <c r="CD15" s="105">
        <v>7</v>
      </c>
      <c r="CE15" s="105">
        <v>5770.8</v>
      </c>
      <c r="CF15" s="105">
        <v>8</v>
      </c>
      <c r="CG15" s="105">
        <v>6595.2</v>
      </c>
      <c r="CH15" s="105">
        <v>8</v>
      </c>
      <c r="CI15" s="105">
        <v>6595.2</v>
      </c>
      <c r="CJ15" s="105">
        <v>7</v>
      </c>
      <c r="CK15" s="105">
        <v>5770.8</v>
      </c>
      <c r="CL15" s="105">
        <v>10</v>
      </c>
      <c r="CM15" s="105">
        <v>8244</v>
      </c>
      <c r="CN15" s="105">
        <v>9</v>
      </c>
      <c r="CO15" s="105">
        <v>7419.5999999999995</v>
      </c>
      <c r="CP15" s="105">
        <v>8</v>
      </c>
      <c r="CQ15" s="105">
        <v>6595.2</v>
      </c>
      <c r="CR15" s="105">
        <v>10</v>
      </c>
      <c r="CS15" s="105">
        <v>8244</v>
      </c>
      <c r="CT15" s="105">
        <v>8</v>
      </c>
      <c r="CU15" s="105">
        <v>6595.2</v>
      </c>
    </row>
    <row r="16" spans="1:99" x14ac:dyDescent="0.2">
      <c r="C16" s="104" t="s">
        <v>184</v>
      </c>
      <c r="D16" s="105">
        <v>0</v>
      </c>
      <c r="E16" s="105">
        <v>0</v>
      </c>
      <c r="F16" s="105">
        <v>0</v>
      </c>
      <c r="G16" s="105">
        <v>0</v>
      </c>
      <c r="H16" s="105">
        <v>6</v>
      </c>
      <c r="I16" s="105">
        <v>3052.7999999999993</v>
      </c>
      <c r="J16" s="105">
        <v>8</v>
      </c>
      <c r="K16" s="105">
        <v>4070.3999999999992</v>
      </c>
      <c r="L16" s="105">
        <v>7</v>
      </c>
      <c r="M16" s="105">
        <v>3561.5999999999995</v>
      </c>
      <c r="N16" s="105">
        <v>8</v>
      </c>
      <c r="O16" s="105">
        <v>4070.3999999999992</v>
      </c>
      <c r="P16" s="105">
        <v>7</v>
      </c>
      <c r="Q16" s="105">
        <v>3561.5999999999995</v>
      </c>
      <c r="R16" s="105">
        <v>7</v>
      </c>
      <c r="S16" s="105">
        <v>3561.5999999999995</v>
      </c>
      <c r="T16" s="105">
        <v>8</v>
      </c>
      <c r="U16" s="105">
        <v>4070.3999999999992</v>
      </c>
      <c r="V16" s="105">
        <v>6</v>
      </c>
      <c r="W16" s="105">
        <v>3052.7999999999993</v>
      </c>
      <c r="X16" s="105">
        <v>9</v>
      </c>
      <c r="Y16" s="105">
        <v>4579.1999999999989</v>
      </c>
      <c r="Z16" s="105">
        <v>5</v>
      </c>
      <c r="AA16" s="105">
        <v>2543.9999999999995</v>
      </c>
      <c r="AB16" s="105">
        <v>6</v>
      </c>
      <c r="AC16" s="105">
        <v>3052.7999999999993</v>
      </c>
      <c r="AD16" s="105">
        <v>8</v>
      </c>
      <c r="AE16" s="105">
        <v>4070.3999999999992</v>
      </c>
      <c r="AF16" s="105">
        <v>4</v>
      </c>
      <c r="AG16" s="105">
        <v>2035.1999999999996</v>
      </c>
      <c r="AH16" s="105">
        <v>5</v>
      </c>
      <c r="AI16" s="105">
        <v>2543.9999999999995</v>
      </c>
      <c r="AJ16" s="105">
        <v>8</v>
      </c>
      <c r="AK16" s="105">
        <v>4070.3999999999992</v>
      </c>
      <c r="AL16" s="105">
        <v>5</v>
      </c>
      <c r="AM16" s="105">
        <v>2543.9999999999995</v>
      </c>
      <c r="AN16" s="105">
        <v>8</v>
      </c>
      <c r="AO16" s="105">
        <v>4070.3999999999992</v>
      </c>
      <c r="AP16" s="105">
        <v>5</v>
      </c>
      <c r="AQ16" s="105">
        <v>2543.9999999999995</v>
      </c>
      <c r="AR16" s="105">
        <v>7</v>
      </c>
      <c r="AS16" s="105">
        <v>3561.5999999999995</v>
      </c>
      <c r="AT16" s="105">
        <v>6</v>
      </c>
      <c r="AU16" s="105">
        <v>3052.7999999999993</v>
      </c>
      <c r="AV16" s="105">
        <v>6</v>
      </c>
      <c r="AW16" s="105">
        <v>3052.7999999999993</v>
      </c>
      <c r="AX16" s="105">
        <v>8</v>
      </c>
      <c r="AY16" s="105">
        <v>4070.3999999999992</v>
      </c>
      <c r="AZ16" s="105">
        <v>6</v>
      </c>
      <c r="BA16" s="105">
        <v>3052.7999999999993</v>
      </c>
      <c r="BB16" s="105">
        <v>8</v>
      </c>
      <c r="BC16" s="105">
        <v>4070.3999999999992</v>
      </c>
      <c r="BD16" s="105">
        <v>6</v>
      </c>
      <c r="BE16" s="105">
        <v>3052.7999999999993</v>
      </c>
      <c r="BF16" s="105">
        <v>6</v>
      </c>
      <c r="BG16" s="105">
        <v>3052.7999999999993</v>
      </c>
      <c r="BH16" s="105">
        <v>7</v>
      </c>
      <c r="BI16" s="105">
        <v>3561.5999999999995</v>
      </c>
      <c r="BJ16" s="105">
        <v>6</v>
      </c>
      <c r="BK16" s="105">
        <v>3052.7999999999993</v>
      </c>
      <c r="BL16" s="105">
        <v>6</v>
      </c>
      <c r="BM16" s="105">
        <v>3052.7999999999993</v>
      </c>
      <c r="BN16" s="105">
        <v>9</v>
      </c>
      <c r="BO16" s="105">
        <v>4579.1999999999989</v>
      </c>
      <c r="BP16" s="105">
        <v>9</v>
      </c>
      <c r="BQ16" s="105">
        <v>4579.1999999999989</v>
      </c>
      <c r="BR16" s="105">
        <v>5</v>
      </c>
      <c r="BS16" s="105">
        <v>2543.9999999999995</v>
      </c>
      <c r="BT16" s="105">
        <v>8</v>
      </c>
      <c r="BU16" s="105">
        <v>4070.3999999999992</v>
      </c>
      <c r="BV16" s="105">
        <v>10</v>
      </c>
      <c r="BW16" s="105">
        <v>5087.9999999999991</v>
      </c>
      <c r="BX16" s="105">
        <v>7</v>
      </c>
      <c r="BY16" s="105">
        <v>3561.5999999999995</v>
      </c>
      <c r="BZ16" s="105">
        <v>7</v>
      </c>
      <c r="CA16" s="105">
        <v>3561.5999999999995</v>
      </c>
      <c r="CB16" s="105">
        <v>8</v>
      </c>
      <c r="CC16" s="105">
        <v>4070.3999999999992</v>
      </c>
      <c r="CD16" s="105">
        <v>8</v>
      </c>
      <c r="CE16" s="105">
        <v>4070.3999999999992</v>
      </c>
      <c r="CF16" s="105">
        <v>8</v>
      </c>
      <c r="CG16" s="105">
        <v>4070.3999999999992</v>
      </c>
      <c r="CH16" s="105">
        <v>10</v>
      </c>
      <c r="CI16" s="105">
        <v>5087.9999999999991</v>
      </c>
      <c r="CJ16" s="105">
        <v>6</v>
      </c>
      <c r="CK16" s="105">
        <v>3052.7999999999993</v>
      </c>
      <c r="CL16" s="105">
        <v>10</v>
      </c>
      <c r="CM16" s="105">
        <v>5087.9999999999991</v>
      </c>
      <c r="CN16" s="105">
        <v>9</v>
      </c>
      <c r="CO16" s="105">
        <v>4579.1999999999989</v>
      </c>
      <c r="CP16" s="105">
        <v>8</v>
      </c>
      <c r="CQ16" s="105">
        <v>4070.3999999999992</v>
      </c>
      <c r="CR16" s="105">
        <v>9</v>
      </c>
      <c r="CS16" s="105">
        <v>4579.1999999999989</v>
      </c>
      <c r="CT16" s="105">
        <v>9</v>
      </c>
      <c r="CU16" s="105">
        <v>4579.1999999999989</v>
      </c>
    </row>
    <row r="17" spans="2:99" x14ac:dyDescent="0.2">
      <c r="C17" s="104" t="s">
        <v>185</v>
      </c>
      <c r="D17" s="105">
        <v>0</v>
      </c>
      <c r="E17" s="105">
        <v>0</v>
      </c>
      <c r="F17" s="105">
        <v>0</v>
      </c>
      <c r="G17" s="105">
        <v>0</v>
      </c>
      <c r="H17" s="105">
        <v>6</v>
      </c>
      <c r="I17" s="105">
        <v>2980.7999999999997</v>
      </c>
      <c r="J17" s="105">
        <v>9</v>
      </c>
      <c r="K17" s="105">
        <v>4471.2</v>
      </c>
      <c r="L17" s="105">
        <v>7</v>
      </c>
      <c r="M17" s="105">
        <v>3477.5999999999995</v>
      </c>
      <c r="N17" s="105">
        <v>8</v>
      </c>
      <c r="O17" s="105">
        <v>3974.3999999999996</v>
      </c>
      <c r="P17" s="105">
        <v>7</v>
      </c>
      <c r="Q17" s="105">
        <v>3477.5999999999995</v>
      </c>
      <c r="R17" s="105">
        <v>6</v>
      </c>
      <c r="S17" s="105">
        <v>2980.7999999999997</v>
      </c>
      <c r="T17" s="105">
        <v>8</v>
      </c>
      <c r="U17" s="105">
        <v>3974.3999999999996</v>
      </c>
      <c r="V17" s="105">
        <v>7</v>
      </c>
      <c r="W17" s="105">
        <v>3477.5999999999995</v>
      </c>
      <c r="X17" s="105">
        <v>8</v>
      </c>
      <c r="Y17" s="105">
        <v>3974.3999999999996</v>
      </c>
      <c r="Z17" s="105">
        <v>5</v>
      </c>
      <c r="AA17" s="105">
        <v>2484</v>
      </c>
      <c r="AB17" s="105">
        <v>6</v>
      </c>
      <c r="AC17" s="105">
        <v>2980.7999999999997</v>
      </c>
      <c r="AD17" s="105">
        <v>8</v>
      </c>
      <c r="AE17" s="105">
        <v>3974.3999999999996</v>
      </c>
      <c r="AF17" s="105">
        <v>5</v>
      </c>
      <c r="AG17" s="105">
        <v>2484</v>
      </c>
      <c r="AH17" s="105">
        <v>4</v>
      </c>
      <c r="AI17" s="105">
        <v>1987.1999999999998</v>
      </c>
      <c r="AJ17" s="105">
        <v>10</v>
      </c>
      <c r="AK17" s="105">
        <v>4968</v>
      </c>
      <c r="AL17" s="105">
        <v>6</v>
      </c>
      <c r="AM17" s="105">
        <v>2980.7999999999997</v>
      </c>
      <c r="AN17" s="105">
        <v>8</v>
      </c>
      <c r="AO17" s="105">
        <v>3974.3999999999996</v>
      </c>
      <c r="AP17" s="105">
        <v>5</v>
      </c>
      <c r="AQ17" s="105">
        <v>2484</v>
      </c>
      <c r="AR17" s="105">
        <v>8</v>
      </c>
      <c r="AS17" s="105">
        <v>3974.3999999999996</v>
      </c>
      <c r="AT17" s="105">
        <v>6</v>
      </c>
      <c r="AU17" s="105">
        <v>2980.7999999999997</v>
      </c>
      <c r="AV17" s="105">
        <v>6</v>
      </c>
      <c r="AW17" s="105">
        <v>2980.7999999999997</v>
      </c>
      <c r="AX17" s="105">
        <v>8</v>
      </c>
      <c r="AY17" s="105">
        <v>3974.3999999999996</v>
      </c>
      <c r="AZ17" s="105">
        <v>6</v>
      </c>
      <c r="BA17" s="105">
        <v>2980.7999999999997</v>
      </c>
      <c r="BB17" s="105">
        <v>8</v>
      </c>
      <c r="BC17" s="105">
        <v>3974.3999999999996</v>
      </c>
      <c r="BD17" s="105">
        <v>6</v>
      </c>
      <c r="BE17" s="105">
        <v>2980.7999999999997</v>
      </c>
      <c r="BF17" s="105">
        <v>6</v>
      </c>
      <c r="BG17" s="105">
        <v>2980.7999999999997</v>
      </c>
      <c r="BH17" s="105">
        <v>7</v>
      </c>
      <c r="BI17" s="105">
        <v>3477.5999999999995</v>
      </c>
      <c r="BJ17" s="105">
        <v>6</v>
      </c>
      <c r="BK17" s="105">
        <v>2980.7999999999997</v>
      </c>
      <c r="BL17" s="105">
        <v>6</v>
      </c>
      <c r="BM17" s="105">
        <v>2980.7999999999997</v>
      </c>
      <c r="BN17" s="105">
        <v>9</v>
      </c>
      <c r="BO17" s="105">
        <v>4471.2</v>
      </c>
      <c r="BP17" s="105">
        <v>8</v>
      </c>
      <c r="BQ17" s="105">
        <v>3974.3999999999996</v>
      </c>
      <c r="BR17" s="105">
        <v>6</v>
      </c>
      <c r="BS17" s="105">
        <v>2980.7999999999997</v>
      </c>
      <c r="BT17" s="105">
        <v>9</v>
      </c>
      <c r="BU17" s="105">
        <v>4471.2</v>
      </c>
      <c r="BV17" s="105">
        <v>9</v>
      </c>
      <c r="BW17" s="105">
        <v>4471.2</v>
      </c>
      <c r="BX17" s="105">
        <v>8</v>
      </c>
      <c r="BY17" s="105">
        <v>3974.3999999999996</v>
      </c>
      <c r="BZ17" s="105">
        <v>6</v>
      </c>
      <c r="CA17" s="105">
        <v>2980.7999999999997</v>
      </c>
      <c r="CB17" s="105">
        <v>9</v>
      </c>
      <c r="CC17" s="105">
        <v>4471.2</v>
      </c>
      <c r="CD17" s="105">
        <v>8</v>
      </c>
      <c r="CE17" s="105">
        <v>3974.3999999999996</v>
      </c>
      <c r="CF17" s="105">
        <v>8</v>
      </c>
      <c r="CG17" s="105">
        <v>3974.3999999999996</v>
      </c>
      <c r="CH17" s="105">
        <v>8</v>
      </c>
      <c r="CI17" s="105">
        <v>3974.3999999999996</v>
      </c>
      <c r="CJ17" s="105">
        <v>6</v>
      </c>
      <c r="CK17" s="105">
        <v>2980.7999999999997</v>
      </c>
      <c r="CL17" s="105">
        <v>9</v>
      </c>
      <c r="CM17" s="105">
        <v>4471.2</v>
      </c>
      <c r="CN17" s="105">
        <v>9</v>
      </c>
      <c r="CO17" s="105">
        <v>4471.2</v>
      </c>
      <c r="CP17" s="105">
        <v>7</v>
      </c>
      <c r="CQ17" s="105">
        <v>3477.5999999999995</v>
      </c>
      <c r="CR17" s="105">
        <v>10</v>
      </c>
      <c r="CS17" s="105">
        <v>4968</v>
      </c>
      <c r="CT17" s="105">
        <v>8</v>
      </c>
      <c r="CU17" s="105">
        <v>3974.3999999999996</v>
      </c>
    </row>
    <row r="18" spans="2:99" x14ac:dyDescent="0.2">
      <c r="C18" s="104" t="s">
        <v>186</v>
      </c>
      <c r="D18" s="105">
        <v>0</v>
      </c>
      <c r="E18" s="105">
        <v>0</v>
      </c>
      <c r="F18" s="105">
        <v>0</v>
      </c>
      <c r="G18" s="105">
        <v>0</v>
      </c>
      <c r="H18" s="105">
        <v>7</v>
      </c>
      <c r="I18" s="105">
        <v>5115.5999999999995</v>
      </c>
      <c r="J18" s="105">
        <v>9</v>
      </c>
      <c r="K18" s="105">
        <v>6577.2</v>
      </c>
      <c r="L18" s="105">
        <v>7</v>
      </c>
      <c r="M18" s="105">
        <v>5115.5999999999995</v>
      </c>
      <c r="N18" s="105">
        <v>8</v>
      </c>
      <c r="O18" s="105">
        <v>5846.4</v>
      </c>
      <c r="P18" s="105">
        <v>7</v>
      </c>
      <c r="Q18" s="105">
        <v>5115.5999999999995</v>
      </c>
      <c r="R18" s="105">
        <v>6</v>
      </c>
      <c r="S18" s="105">
        <v>4384.7999999999993</v>
      </c>
      <c r="T18" s="105">
        <v>7</v>
      </c>
      <c r="U18" s="105">
        <v>5115.5999999999995</v>
      </c>
      <c r="V18" s="105">
        <v>6</v>
      </c>
      <c r="W18" s="105">
        <v>4384.7999999999993</v>
      </c>
      <c r="X18" s="105">
        <v>7</v>
      </c>
      <c r="Y18" s="105">
        <v>5115.5999999999995</v>
      </c>
      <c r="Z18" s="105">
        <v>5</v>
      </c>
      <c r="AA18" s="105">
        <v>3654</v>
      </c>
      <c r="AB18" s="105">
        <v>6</v>
      </c>
      <c r="AC18" s="105">
        <v>4384.7999999999993</v>
      </c>
      <c r="AD18" s="105">
        <v>7</v>
      </c>
      <c r="AE18" s="105">
        <v>5115.5999999999995</v>
      </c>
      <c r="AF18" s="105">
        <v>5</v>
      </c>
      <c r="AG18" s="105">
        <v>3654</v>
      </c>
      <c r="AH18" s="105">
        <v>5</v>
      </c>
      <c r="AI18" s="105">
        <v>3654</v>
      </c>
      <c r="AJ18" s="105">
        <v>10</v>
      </c>
      <c r="AK18" s="105">
        <v>7308</v>
      </c>
      <c r="AL18" s="105">
        <v>5</v>
      </c>
      <c r="AM18" s="105">
        <v>3654</v>
      </c>
      <c r="AN18" s="105">
        <v>7</v>
      </c>
      <c r="AO18" s="105">
        <v>5115.5999999999995</v>
      </c>
      <c r="AP18" s="105">
        <v>5</v>
      </c>
      <c r="AQ18" s="105">
        <v>3654</v>
      </c>
      <c r="AR18" s="105">
        <v>8</v>
      </c>
      <c r="AS18" s="105">
        <v>5846.4</v>
      </c>
      <c r="AT18" s="105">
        <v>6</v>
      </c>
      <c r="AU18" s="105">
        <v>4384.7999999999993</v>
      </c>
      <c r="AV18" s="105">
        <v>6</v>
      </c>
      <c r="AW18" s="105">
        <v>4384.7999999999993</v>
      </c>
      <c r="AX18" s="105">
        <v>7</v>
      </c>
      <c r="AY18" s="105">
        <v>5115.5999999999995</v>
      </c>
      <c r="AZ18" s="105">
        <v>7</v>
      </c>
      <c r="BA18" s="105">
        <v>5115.5999999999995</v>
      </c>
      <c r="BB18" s="105">
        <v>8</v>
      </c>
      <c r="BC18" s="105">
        <v>5846.4</v>
      </c>
      <c r="BD18" s="105">
        <v>5</v>
      </c>
      <c r="BE18" s="105">
        <v>3654</v>
      </c>
      <c r="BF18" s="105">
        <v>6</v>
      </c>
      <c r="BG18" s="105">
        <v>4384.7999999999993</v>
      </c>
      <c r="BH18" s="105">
        <v>8</v>
      </c>
      <c r="BI18" s="105">
        <v>5846.4</v>
      </c>
      <c r="BJ18" s="105">
        <v>5</v>
      </c>
      <c r="BK18" s="105">
        <v>3654</v>
      </c>
      <c r="BL18" s="105">
        <v>6</v>
      </c>
      <c r="BM18" s="105">
        <v>4384.7999999999993</v>
      </c>
      <c r="BN18" s="105">
        <v>7</v>
      </c>
      <c r="BO18" s="105">
        <v>5115.5999999999995</v>
      </c>
      <c r="BP18" s="105">
        <v>8</v>
      </c>
      <c r="BQ18" s="105">
        <v>5846.4</v>
      </c>
      <c r="BR18" s="105">
        <v>6</v>
      </c>
      <c r="BS18" s="105">
        <v>4384.7999999999993</v>
      </c>
      <c r="BT18" s="105">
        <v>8</v>
      </c>
      <c r="BU18" s="105">
        <v>5846.4</v>
      </c>
      <c r="BV18" s="105">
        <v>10</v>
      </c>
      <c r="BW18" s="105">
        <v>7308</v>
      </c>
      <c r="BX18" s="105">
        <v>8</v>
      </c>
      <c r="BY18" s="105">
        <v>5846.4</v>
      </c>
      <c r="BZ18" s="105">
        <v>6</v>
      </c>
      <c r="CA18" s="105">
        <v>4384.7999999999993</v>
      </c>
      <c r="CB18" s="105">
        <v>9</v>
      </c>
      <c r="CC18" s="105">
        <v>6577.2</v>
      </c>
      <c r="CD18" s="105">
        <v>7</v>
      </c>
      <c r="CE18" s="105">
        <v>5115.5999999999995</v>
      </c>
      <c r="CF18" s="105">
        <v>8</v>
      </c>
      <c r="CG18" s="105">
        <v>5846.4</v>
      </c>
      <c r="CH18" s="105">
        <v>9</v>
      </c>
      <c r="CI18" s="105">
        <v>6577.2</v>
      </c>
      <c r="CJ18" s="105">
        <v>6</v>
      </c>
      <c r="CK18" s="105">
        <v>4384.7999999999993</v>
      </c>
      <c r="CL18" s="105">
        <v>10</v>
      </c>
      <c r="CM18" s="105">
        <v>7308</v>
      </c>
      <c r="CN18" s="105">
        <v>9</v>
      </c>
      <c r="CO18" s="105">
        <v>6577.2</v>
      </c>
      <c r="CP18" s="105">
        <v>7</v>
      </c>
      <c r="CQ18" s="105">
        <v>5115.5999999999995</v>
      </c>
      <c r="CR18" s="105">
        <v>10</v>
      </c>
      <c r="CS18" s="105">
        <v>7308</v>
      </c>
      <c r="CT18" s="105">
        <v>9</v>
      </c>
      <c r="CU18" s="105">
        <v>6577.2</v>
      </c>
    </row>
    <row r="19" spans="2:99" x14ac:dyDescent="0.2">
      <c r="C19" s="104" t="s">
        <v>187</v>
      </c>
      <c r="D19" s="105">
        <v>0</v>
      </c>
      <c r="E19" s="105">
        <v>0</v>
      </c>
      <c r="F19" s="105">
        <v>0</v>
      </c>
      <c r="G19" s="105">
        <v>0</v>
      </c>
      <c r="H19" s="105">
        <v>7</v>
      </c>
      <c r="I19" s="105">
        <v>2704.7999999999997</v>
      </c>
      <c r="J19" s="105">
        <v>8</v>
      </c>
      <c r="K19" s="105">
        <v>3091.2</v>
      </c>
      <c r="L19" s="105">
        <v>7</v>
      </c>
      <c r="M19" s="105">
        <v>2704.7999999999997</v>
      </c>
      <c r="N19" s="105">
        <v>9</v>
      </c>
      <c r="O19" s="105">
        <v>3477.6</v>
      </c>
      <c r="P19" s="105">
        <v>7</v>
      </c>
      <c r="Q19" s="105">
        <v>2704.7999999999997</v>
      </c>
      <c r="R19" s="105">
        <v>6</v>
      </c>
      <c r="S19" s="105">
        <v>2318.3999999999996</v>
      </c>
      <c r="T19" s="105">
        <v>8</v>
      </c>
      <c r="U19" s="105">
        <v>3091.2</v>
      </c>
      <c r="V19" s="105">
        <v>6</v>
      </c>
      <c r="W19" s="105">
        <v>2318.3999999999996</v>
      </c>
      <c r="X19" s="105">
        <v>9</v>
      </c>
      <c r="Y19" s="105">
        <v>3477.6</v>
      </c>
      <c r="Z19" s="105">
        <v>5</v>
      </c>
      <c r="AA19" s="105">
        <v>1932</v>
      </c>
      <c r="AB19" s="105">
        <v>6</v>
      </c>
      <c r="AC19" s="105">
        <v>2318.3999999999996</v>
      </c>
      <c r="AD19" s="105">
        <v>8</v>
      </c>
      <c r="AE19" s="105">
        <v>3091.2</v>
      </c>
      <c r="AF19" s="105">
        <v>5</v>
      </c>
      <c r="AG19" s="105">
        <v>1932</v>
      </c>
      <c r="AH19" s="105">
        <v>5</v>
      </c>
      <c r="AI19" s="105">
        <v>1932</v>
      </c>
      <c r="AJ19" s="105">
        <v>8</v>
      </c>
      <c r="AK19" s="105">
        <v>3091.2</v>
      </c>
      <c r="AL19" s="105">
        <v>5</v>
      </c>
      <c r="AM19" s="105">
        <v>1932</v>
      </c>
      <c r="AN19" s="105">
        <v>7</v>
      </c>
      <c r="AO19" s="105">
        <v>2704.7999999999997</v>
      </c>
      <c r="AP19" s="105">
        <v>5</v>
      </c>
      <c r="AQ19" s="105">
        <v>1932</v>
      </c>
      <c r="AR19" s="105">
        <v>8</v>
      </c>
      <c r="AS19" s="105">
        <v>3091.2</v>
      </c>
      <c r="AT19" s="105">
        <v>6</v>
      </c>
      <c r="AU19" s="105">
        <v>2318.3999999999996</v>
      </c>
      <c r="AV19" s="105">
        <v>6</v>
      </c>
      <c r="AW19" s="105">
        <v>2318.3999999999996</v>
      </c>
      <c r="AX19" s="105">
        <v>7</v>
      </c>
      <c r="AY19" s="105">
        <v>2704.7999999999997</v>
      </c>
      <c r="AZ19" s="105">
        <v>7</v>
      </c>
      <c r="BA19" s="105">
        <v>2704.7999999999997</v>
      </c>
      <c r="BB19" s="105">
        <v>9</v>
      </c>
      <c r="BC19" s="105">
        <v>3477.6</v>
      </c>
      <c r="BD19" s="105">
        <v>6</v>
      </c>
      <c r="BE19" s="105">
        <v>2318.3999999999996</v>
      </c>
      <c r="BF19" s="105">
        <v>6</v>
      </c>
      <c r="BG19" s="105">
        <v>2318.3999999999996</v>
      </c>
      <c r="BH19" s="105">
        <v>7</v>
      </c>
      <c r="BI19" s="105">
        <v>2704.7999999999997</v>
      </c>
      <c r="BJ19" s="105">
        <v>6</v>
      </c>
      <c r="BK19" s="105">
        <v>2318.3999999999996</v>
      </c>
      <c r="BL19" s="105">
        <v>6</v>
      </c>
      <c r="BM19" s="105">
        <v>2318.3999999999996</v>
      </c>
      <c r="BN19" s="105">
        <v>8</v>
      </c>
      <c r="BO19" s="105">
        <v>3091.2</v>
      </c>
      <c r="BP19" s="105">
        <v>9</v>
      </c>
      <c r="BQ19" s="105">
        <v>3477.6</v>
      </c>
      <c r="BR19" s="105">
        <v>5</v>
      </c>
      <c r="BS19" s="105">
        <v>1932</v>
      </c>
      <c r="BT19" s="105">
        <v>10</v>
      </c>
      <c r="BU19" s="105">
        <v>3864</v>
      </c>
      <c r="BV19" s="105">
        <v>10</v>
      </c>
      <c r="BW19" s="105">
        <v>3864</v>
      </c>
      <c r="BX19" s="105">
        <v>7</v>
      </c>
      <c r="BY19" s="105">
        <v>2704.7999999999997</v>
      </c>
      <c r="BZ19" s="105">
        <v>6</v>
      </c>
      <c r="CA19" s="105">
        <v>2318.3999999999996</v>
      </c>
      <c r="CB19" s="105">
        <v>8</v>
      </c>
      <c r="CC19" s="105">
        <v>3091.2</v>
      </c>
      <c r="CD19" s="105">
        <v>9</v>
      </c>
      <c r="CE19" s="105">
        <v>3477.6</v>
      </c>
      <c r="CF19" s="105">
        <v>8</v>
      </c>
      <c r="CG19" s="105">
        <v>3091.2</v>
      </c>
      <c r="CH19" s="105">
        <v>9</v>
      </c>
      <c r="CI19" s="105">
        <v>3477.6</v>
      </c>
      <c r="CJ19" s="105">
        <v>6</v>
      </c>
      <c r="CK19" s="105">
        <v>2318.3999999999996</v>
      </c>
      <c r="CL19" s="105">
        <v>10</v>
      </c>
      <c r="CM19" s="105">
        <v>3864</v>
      </c>
      <c r="CN19" s="105">
        <v>10</v>
      </c>
      <c r="CO19" s="105">
        <v>3864</v>
      </c>
      <c r="CP19" s="105">
        <v>7</v>
      </c>
      <c r="CQ19" s="105">
        <v>2704.7999999999997</v>
      </c>
      <c r="CR19" s="105">
        <v>10</v>
      </c>
      <c r="CS19" s="105">
        <v>3864</v>
      </c>
      <c r="CT19" s="105">
        <v>8</v>
      </c>
      <c r="CU19" s="105">
        <v>3091.2</v>
      </c>
    </row>
    <row r="20" spans="2:99" x14ac:dyDescent="0.2">
      <c r="B20" s="104" t="s">
        <v>127</v>
      </c>
      <c r="C20" s="104" t="s">
        <v>188</v>
      </c>
      <c r="D20" s="105">
        <v>0</v>
      </c>
      <c r="E20" s="105">
        <v>0</v>
      </c>
      <c r="F20" s="105">
        <v>0</v>
      </c>
      <c r="G20" s="105">
        <v>0</v>
      </c>
      <c r="H20" s="105">
        <v>11</v>
      </c>
      <c r="I20" s="105">
        <v>1056</v>
      </c>
      <c r="J20" s="105">
        <v>10</v>
      </c>
      <c r="K20" s="105">
        <v>960</v>
      </c>
      <c r="L20" s="105">
        <v>10</v>
      </c>
      <c r="M20" s="105">
        <v>960</v>
      </c>
      <c r="N20" s="105">
        <v>18</v>
      </c>
      <c r="O20" s="105">
        <v>1728</v>
      </c>
      <c r="P20" s="105">
        <v>14</v>
      </c>
      <c r="Q20" s="105">
        <v>1344</v>
      </c>
      <c r="R20" s="105">
        <v>17</v>
      </c>
      <c r="S20" s="105">
        <v>1632</v>
      </c>
      <c r="T20" s="105">
        <v>10</v>
      </c>
      <c r="U20" s="105">
        <v>960</v>
      </c>
      <c r="V20" s="105">
        <v>12</v>
      </c>
      <c r="W20" s="105">
        <v>1152</v>
      </c>
      <c r="X20" s="105">
        <v>10</v>
      </c>
      <c r="Y20" s="105">
        <v>960</v>
      </c>
      <c r="Z20" s="105">
        <v>12</v>
      </c>
      <c r="AA20" s="105">
        <v>1152</v>
      </c>
      <c r="AB20" s="105">
        <v>16</v>
      </c>
      <c r="AC20" s="105">
        <v>1536</v>
      </c>
      <c r="AD20" s="105">
        <v>11</v>
      </c>
      <c r="AE20" s="105">
        <v>1056</v>
      </c>
      <c r="AF20" s="105">
        <v>14</v>
      </c>
      <c r="AG20" s="105">
        <v>1344</v>
      </c>
      <c r="AH20" s="105">
        <v>9</v>
      </c>
      <c r="AI20" s="105">
        <v>864</v>
      </c>
      <c r="AJ20" s="105">
        <v>11</v>
      </c>
      <c r="AK20" s="105">
        <v>1056</v>
      </c>
      <c r="AL20" s="105">
        <v>15</v>
      </c>
      <c r="AM20" s="105">
        <v>1440</v>
      </c>
      <c r="AN20" s="105">
        <v>15</v>
      </c>
      <c r="AO20" s="105">
        <v>1440</v>
      </c>
      <c r="AP20" s="105">
        <v>9</v>
      </c>
      <c r="AQ20" s="105">
        <v>864</v>
      </c>
      <c r="AR20" s="105">
        <v>12</v>
      </c>
      <c r="AS20" s="105">
        <v>1152</v>
      </c>
      <c r="AT20" s="105">
        <v>11</v>
      </c>
      <c r="AU20" s="105">
        <v>1056</v>
      </c>
      <c r="AV20" s="105">
        <v>14</v>
      </c>
      <c r="AW20" s="105">
        <v>1344</v>
      </c>
      <c r="AX20" s="105">
        <v>15</v>
      </c>
      <c r="AY20" s="105">
        <v>1440</v>
      </c>
      <c r="AZ20" s="105">
        <v>12</v>
      </c>
      <c r="BA20" s="105">
        <v>1152</v>
      </c>
      <c r="BB20" s="105">
        <v>11</v>
      </c>
      <c r="BC20" s="105">
        <v>1056</v>
      </c>
      <c r="BD20" s="105">
        <v>12</v>
      </c>
      <c r="BE20" s="105">
        <v>1152</v>
      </c>
      <c r="BF20" s="105">
        <v>18</v>
      </c>
      <c r="BG20" s="105">
        <v>1728</v>
      </c>
      <c r="BH20" s="105">
        <v>13</v>
      </c>
      <c r="BI20" s="105">
        <v>1248</v>
      </c>
      <c r="BJ20" s="105">
        <v>17</v>
      </c>
      <c r="BK20" s="105">
        <v>1632</v>
      </c>
      <c r="BL20" s="105">
        <v>12</v>
      </c>
      <c r="BM20" s="105">
        <v>1152</v>
      </c>
      <c r="BN20" s="105">
        <v>16</v>
      </c>
      <c r="BO20" s="105">
        <v>1536</v>
      </c>
      <c r="BP20" s="105">
        <v>19</v>
      </c>
      <c r="BQ20" s="105">
        <v>1824</v>
      </c>
      <c r="BR20" s="105">
        <v>13</v>
      </c>
      <c r="BS20" s="105">
        <v>1248</v>
      </c>
      <c r="BT20" s="105">
        <v>11</v>
      </c>
      <c r="BU20" s="105">
        <v>1056</v>
      </c>
      <c r="BV20" s="105">
        <v>11</v>
      </c>
      <c r="BW20" s="105">
        <v>1056</v>
      </c>
      <c r="BX20" s="105">
        <v>16</v>
      </c>
      <c r="BY20" s="105">
        <v>1536</v>
      </c>
      <c r="BZ20" s="105">
        <v>17</v>
      </c>
      <c r="CA20" s="105">
        <v>1632</v>
      </c>
      <c r="CB20" s="105">
        <v>13</v>
      </c>
      <c r="CC20" s="105">
        <v>1248</v>
      </c>
      <c r="CD20" s="105">
        <v>16</v>
      </c>
      <c r="CE20" s="105">
        <v>1536</v>
      </c>
      <c r="CF20" s="105">
        <v>13</v>
      </c>
      <c r="CG20" s="105">
        <v>1248</v>
      </c>
      <c r="CH20" s="105">
        <v>11</v>
      </c>
      <c r="CI20" s="105">
        <v>1056</v>
      </c>
      <c r="CJ20" s="105">
        <v>13</v>
      </c>
      <c r="CK20" s="105">
        <v>1248</v>
      </c>
      <c r="CL20" s="105">
        <v>13</v>
      </c>
      <c r="CM20" s="105">
        <v>1248</v>
      </c>
      <c r="CN20" s="105">
        <v>13</v>
      </c>
      <c r="CO20" s="105">
        <v>1248</v>
      </c>
      <c r="CP20" s="105">
        <v>10</v>
      </c>
      <c r="CQ20" s="105">
        <v>960</v>
      </c>
      <c r="CR20" s="105">
        <v>14</v>
      </c>
      <c r="CS20" s="105">
        <v>1344</v>
      </c>
      <c r="CT20" s="105">
        <v>13</v>
      </c>
      <c r="CU20" s="105">
        <v>1248</v>
      </c>
    </row>
    <row r="21" spans="2:99" x14ac:dyDescent="0.2">
      <c r="C21" s="104" t="s">
        <v>189</v>
      </c>
      <c r="D21" s="105">
        <v>0</v>
      </c>
      <c r="E21" s="105">
        <v>0</v>
      </c>
      <c r="F21" s="105">
        <v>0</v>
      </c>
      <c r="G21" s="105">
        <v>0</v>
      </c>
      <c r="H21" s="105">
        <v>12</v>
      </c>
      <c r="I21" s="105">
        <v>2908.7999999999997</v>
      </c>
      <c r="J21" s="105">
        <v>10</v>
      </c>
      <c r="K21" s="105">
        <v>2424</v>
      </c>
      <c r="L21" s="105">
        <v>10</v>
      </c>
      <c r="M21" s="105">
        <v>2424</v>
      </c>
      <c r="N21" s="105">
        <v>16</v>
      </c>
      <c r="O21" s="105">
        <v>3878.3999999999996</v>
      </c>
      <c r="P21" s="105">
        <v>15</v>
      </c>
      <c r="Q21" s="105">
        <v>3635.9999999999995</v>
      </c>
      <c r="R21" s="105">
        <v>15</v>
      </c>
      <c r="S21" s="105">
        <v>3635.9999999999995</v>
      </c>
      <c r="T21" s="105">
        <v>9</v>
      </c>
      <c r="U21" s="105">
        <v>2181.6</v>
      </c>
      <c r="V21" s="105">
        <v>13</v>
      </c>
      <c r="W21" s="105">
        <v>3151.2</v>
      </c>
      <c r="X21" s="105">
        <v>10</v>
      </c>
      <c r="Y21" s="105">
        <v>2424</v>
      </c>
      <c r="Z21" s="105">
        <v>11</v>
      </c>
      <c r="AA21" s="105">
        <v>2666.3999999999996</v>
      </c>
      <c r="AB21" s="105">
        <v>16</v>
      </c>
      <c r="AC21" s="105">
        <v>3878.3999999999996</v>
      </c>
      <c r="AD21" s="105">
        <v>10</v>
      </c>
      <c r="AE21" s="105">
        <v>2424</v>
      </c>
      <c r="AF21" s="105">
        <v>15</v>
      </c>
      <c r="AG21" s="105">
        <v>3635.9999999999995</v>
      </c>
      <c r="AH21" s="105">
        <v>11</v>
      </c>
      <c r="AI21" s="105">
        <v>2666.3999999999996</v>
      </c>
      <c r="AJ21" s="105">
        <v>10</v>
      </c>
      <c r="AK21" s="105">
        <v>2424</v>
      </c>
      <c r="AL21" s="105">
        <v>15</v>
      </c>
      <c r="AM21" s="105">
        <v>3635.9999999999995</v>
      </c>
      <c r="AN21" s="105">
        <v>17</v>
      </c>
      <c r="AO21" s="105">
        <v>4120.7999999999993</v>
      </c>
      <c r="AP21" s="105">
        <v>9</v>
      </c>
      <c r="AQ21" s="105">
        <v>2181.6</v>
      </c>
      <c r="AR21" s="105">
        <v>14</v>
      </c>
      <c r="AS21" s="105">
        <v>3393.5999999999995</v>
      </c>
      <c r="AT21" s="105">
        <v>12</v>
      </c>
      <c r="AU21" s="105">
        <v>2908.7999999999997</v>
      </c>
      <c r="AV21" s="105">
        <v>14</v>
      </c>
      <c r="AW21" s="105">
        <v>3393.5999999999995</v>
      </c>
      <c r="AX21" s="105">
        <v>16</v>
      </c>
      <c r="AY21" s="105">
        <v>3878.3999999999996</v>
      </c>
      <c r="AZ21" s="105">
        <v>12</v>
      </c>
      <c r="BA21" s="105">
        <v>2908.7999999999997</v>
      </c>
      <c r="BB21" s="105">
        <v>11</v>
      </c>
      <c r="BC21" s="105">
        <v>2666.3999999999996</v>
      </c>
      <c r="BD21" s="105">
        <v>12</v>
      </c>
      <c r="BE21" s="105">
        <v>2908.7999999999997</v>
      </c>
      <c r="BF21" s="105">
        <v>19</v>
      </c>
      <c r="BG21" s="105">
        <v>4605.5999999999995</v>
      </c>
      <c r="BH21" s="105">
        <v>13</v>
      </c>
      <c r="BI21" s="105">
        <v>3151.2</v>
      </c>
      <c r="BJ21" s="105">
        <v>19</v>
      </c>
      <c r="BK21" s="105">
        <v>4605.5999999999995</v>
      </c>
      <c r="BL21" s="105">
        <v>11</v>
      </c>
      <c r="BM21" s="105">
        <v>2666.3999999999996</v>
      </c>
      <c r="BN21" s="105">
        <v>17</v>
      </c>
      <c r="BO21" s="105">
        <v>4120.7999999999993</v>
      </c>
      <c r="BP21" s="105">
        <v>17</v>
      </c>
      <c r="BQ21" s="105">
        <v>4120.7999999999993</v>
      </c>
      <c r="BR21" s="105">
        <v>15</v>
      </c>
      <c r="BS21" s="105">
        <v>3635.9999999999995</v>
      </c>
      <c r="BT21" s="105">
        <v>10</v>
      </c>
      <c r="BU21" s="105">
        <v>2424</v>
      </c>
      <c r="BV21" s="105">
        <v>10</v>
      </c>
      <c r="BW21" s="105">
        <v>2424</v>
      </c>
      <c r="BX21" s="105">
        <v>17</v>
      </c>
      <c r="BY21" s="105">
        <v>4120.7999999999993</v>
      </c>
      <c r="BZ21" s="105">
        <v>16</v>
      </c>
      <c r="CA21" s="105">
        <v>3878.3999999999996</v>
      </c>
      <c r="CB21" s="105">
        <v>11</v>
      </c>
      <c r="CC21" s="105">
        <v>2666.3999999999996</v>
      </c>
      <c r="CD21" s="105">
        <v>17</v>
      </c>
      <c r="CE21" s="105">
        <v>4120.7999999999993</v>
      </c>
      <c r="CF21" s="105">
        <v>13</v>
      </c>
      <c r="CG21" s="105">
        <v>3151.2</v>
      </c>
      <c r="CH21" s="105">
        <v>10</v>
      </c>
      <c r="CI21" s="105">
        <v>2424</v>
      </c>
      <c r="CJ21" s="105">
        <v>11</v>
      </c>
      <c r="CK21" s="105">
        <v>2666.3999999999996</v>
      </c>
      <c r="CL21" s="105">
        <v>13</v>
      </c>
      <c r="CM21" s="105">
        <v>3151.2</v>
      </c>
      <c r="CN21" s="105">
        <v>13</v>
      </c>
      <c r="CO21" s="105">
        <v>3151.2</v>
      </c>
      <c r="CP21" s="105">
        <v>10</v>
      </c>
      <c r="CQ21" s="105">
        <v>2424</v>
      </c>
      <c r="CR21" s="105">
        <v>12</v>
      </c>
      <c r="CS21" s="105">
        <v>2908.7999999999997</v>
      </c>
      <c r="CT21" s="105">
        <v>13</v>
      </c>
      <c r="CU21" s="105">
        <v>3151.2</v>
      </c>
    </row>
    <row r="22" spans="2:99" x14ac:dyDescent="0.2">
      <c r="C22" s="104" t="s">
        <v>190</v>
      </c>
      <c r="D22" s="105">
        <v>0</v>
      </c>
      <c r="E22" s="105">
        <v>0</v>
      </c>
      <c r="F22" s="105">
        <v>0</v>
      </c>
      <c r="G22" s="105">
        <v>0</v>
      </c>
      <c r="H22" s="105">
        <v>12</v>
      </c>
      <c r="I22" s="105">
        <v>748.8</v>
      </c>
      <c r="J22" s="105">
        <v>9</v>
      </c>
      <c r="K22" s="105">
        <v>561.6</v>
      </c>
      <c r="L22" s="105">
        <v>9</v>
      </c>
      <c r="M22" s="105">
        <v>561.6</v>
      </c>
      <c r="N22" s="105">
        <v>16</v>
      </c>
      <c r="O22" s="105">
        <v>998.4</v>
      </c>
      <c r="P22" s="105">
        <v>14</v>
      </c>
      <c r="Q22" s="105">
        <v>873.6</v>
      </c>
      <c r="R22" s="105">
        <v>15</v>
      </c>
      <c r="S22" s="105">
        <v>936</v>
      </c>
      <c r="T22" s="105">
        <v>10</v>
      </c>
      <c r="U22" s="105">
        <v>624</v>
      </c>
      <c r="V22" s="105">
        <v>14</v>
      </c>
      <c r="W22" s="105">
        <v>873.6</v>
      </c>
      <c r="X22" s="105">
        <v>9</v>
      </c>
      <c r="Y22" s="105">
        <v>561.6</v>
      </c>
      <c r="Z22" s="105">
        <v>13</v>
      </c>
      <c r="AA22" s="105">
        <v>811.19999999999993</v>
      </c>
      <c r="AB22" s="105">
        <v>17</v>
      </c>
      <c r="AC22" s="105">
        <v>1060.8</v>
      </c>
      <c r="AD22" s="105">
        <v>11</v>
      </c>
      <c r="AE22" s="105">
        <v>686.4</v>
      </c>
      <c r="AF22" s="105">
        <v>14</v>
      </c>
      <c r="AG22" s="105">
        <v>873.6</v>
      </c>
      <c r="AH22" s="105">
        <v>9</v>
      </c>
      <c r="AI22" s="105">
        <v>561.6</v>
      </c>
      <c r="AJ22" s="105">
        <v>12</v>
      </c>
      <c r="AK22" s="105">
        <v>748.8</v>
      </c>
      <c r="AL22" s="105">
        <v>13</v>
      </c>
      <c r="AM22" s="105">
        <v>811.19999999999993</v>
      </c>
      <c r="AN22" s="105">
        <v>16</v>
      </c>
      <c r="AO22" s="105">
        <v>998.4</v>
      </c>
      <c r="AP22" s="105">
        <v>9</v>
      </c>
      <c r="AQ22" s="105">
        <v>561.6</v>
      </c>
      <c r="AR22" s="105">
        <v>12</v>
      </c>
      <c r="AS22" s="105">
        <v>748.8</v>
      </c>
      <c r="AT22" s="105">
        <v>10</v>
      </c>
      <c r="AU22" s="105">
        <v>624</v>
      </c>
      <c r="AV22" s="105">
        <v>14</v>
      </c>
      <c r="AW22" s="105">
        <v>873.6</v>
      </c>
      <c r="AX22" s="105">
        <v>16</v>
      </c>
      <c r="AY22" s="105">
        <v>998.4</v>
      </c>
      <c r="AZ22" s="105">
        <v>13</v>
      </c>
      <c r="BA22" s="105">
        <v>811.19999999999993</v>
      </c>
      <c r="BB22" s="105">
        <v>12</v>
      </c>
      <c r="BC22" s="105">
        <v>748.8</v>
      </c>
      <c r="BD22" s="105">
        <v>12</v>
      </c>
      <c r="BE22" s="105">
        <v>748.8</v>
      </c>
      <c r="BF22" s="105">
        <v>19</v>
      </c>
      <c r="BG22" s="105">
        <v>1185.5999999999999</v>
      </c>
      <c r="BH22" s="105">
        <v>14</v>
      </c>
      <c r="BI22" s="105">
        <v>873.6</v>
      </c>
      <c r="BJ22" s="105">
        <v>19</v>
      </c>
      <c r="BK22" s="105">
        <v>1185.5999999999999</v>
      </c>
      <c r="BL22" s="105">
        <v>11</v>
      </c>
      <c r="BM22" s="105">
        <v>686.4</v>
      </c>
      <c r="BN22" s="105">
        <v>17</v>
      </c>
      <c r="BO22" s="105">
        <v>1060.8</v>
      </c>
      <c r="BP22" s="105">
        <v>18</v>
      </c>
      <c r="BQ22" s="105">
        <v>1123.2</v>
      </c>
      <c r="BR22" s="105">
        <v>15</v>
      </c>
      <c r="BS22" s="105">
        <v>936</v>
      </c>
      <c r="BT22" s="105">
        <v>10</v>
      </c>
      <c r="BU22" s="105">
        <v>624</v>
      </c>
      <c r="BV22" s="105">
        <v>11</v>
      </c>
      <c r="BW22" s="105">
        <v>686.4</v>
      </c>
      <c r="BX22" s="105">
        <v>18</v>
      </c>
      <c r="BY22" s="105">
        <v>1123.2</v>
      </c>
      <c r="BZ22" s="105">
        <v>17</v>
      </c>
      <c r="CA22" s="105">
        <v>1060.8</v>
      </c>
      <c r="CB22" s="105">
        <v>11</v>
      </c>
      <c r="CC22" s="105">
        <v>686.4</v>
      </c>
      <c r="CD22" s="105">
        <v>19</v>
      </c>
      <c r="CE22" s="105">
        <v>1185.5999999999999</v>
      </c>
      <c r="CF22" s="105">
        <v>11</v>
      </c>
      <c r="CG22" s="105">
        <v>686.4</v>
      </c>
      <c r="CH22" s="105">
        <v>11</v>
      </c>
      <c r="CI22" s="105">
        <v>686.4</v>
      </c>
      <c r="CJ22" s="105">
        <v>12</v>
      </c>
      <c r="CK22" s="105">
        <v>748.8</v>
      </c>
      <c r="CL22" s="105">
        <v>13</v>
      </c>
      <c r="CM22" s="105">
        <v>811.19999999999993</v>
      </c>
      <c r="CN22" s="105">
        <v>12</v>
      </c>
      <c r="CO22" s="105">
        <v>748.8</v>
      </c>
      <c r="CP22" s="105">
        <v>10</v>
      </c>
      <c r="CQ22" s="105">
        <v>624</v>
      </c>
      <c r="CR22" s="105">
        <v>13</v>
      </c>
      <c r="CS22" s="105">
        <v>811.19999999999993</v>
      </c>
      <c r="CT22" s="105">
        <v>12</v>
      </c>
      <c r="CU22" s="105">
        <v>748.8</v>
      </c>
    </row>
    <row r="23" spans="2:99" x14ac:dyDescent="0.2">
      <c r="C23" s="104" t="s">
        <v>191</v>
      </c>
      <c r="D23" s="105">
        <v>0</v>
      </c>
      <c r="E23" s="105">
        <v>0</v>
      </c>
      <c r="F23" s="105">
        <v>0</v>
      </c>
      <c r="G23" s="105">
        <v>0</v>
      </c>
      <c r="H23" s="105">
        <v>11</v>
      </c>
      <c r="I23" s="105">
        <v>3075.5999999999995</v>
      </c>
      <c r="J23" s="105">
        <v>9</v>
      </c>
      <c r="K23" s="105">
        <v>2516.3999999999996</v>
      </c>
      <c r="L23" s="105">
        <v>10</v>
      </c>
      <c r="M23" s="105">
        <v>2795.9999999999995</v>
      </c>
      <c r="N23" s="105">
        <v>17</v>
      </c>
      <c r="O23" s="105">
        <v>4753.2</v>
      </c>
      <c r="P23" s="105">
        <v>14</v>
      </c>
      <c r="Q23" s="105">
        <v>3914.3999999999996</v>
      </c>
      <c r="R23" s="105">
        <v>16</v>
      </c>
      <c r="S23" s="105">
        <v>4473.5999999999995</v>
      </c>
      <c r="T23" s="105">
        <v>10</v>
      </c>
      <c r="U23" s="105">
        <v>2795.9999999999995</v>
      </c>
      <c r="V23" s="105">
        <v>13</v>
      </c>
      <c r="W23" s="105">
        <v>3634.7999999999997</v>
      </c>
      <c r="X23" s="105">
        <v>10</v>
      </c>
      <c r="Y23" s="105">
        <v>2795.9999999999995</v>
      </c>
      <c r="Z23" s="105">
        <v>11</v>
      </c>
      <c r="AA23" s="105">
        <v>3075.5999999999995</v>
      </c>
      <c r="AB23" s="105">
        <v>17</v>
      </c>
      <c r="AC23" s="105">
        <v>4753.2</v>
      </c>
      <c r="AD23" s="105">
        <v>10</v>
      </c>
      <c r="AE23" s="105">
        <v>2795.9999999999995</v>
      </c>
      <c r="AF23" s="105">
        <v>15</v>
      </c>
      <c r="AG23" s="105">
        <v>4193.9999999999991</v>
      </c>
      <c r="AH23" s="105">
        <v>10</v>
      </c>
      <c r="AI23" s="105">
        <v>2795.9999999999995</v>
      </c>
      <c r="AJ23" s="105">
        <v>11</v>
      </c>
      <c r="AK23" s="105">
        <v>3075.5999999999995</v>
      </c>
      <c r="AL23" s="105">
        <v>14</v>
      </c>
      <c r="AM23" s="105">
        <v>3914.3999999999996</v>
      </c>
      <c r="AN23" s="105">
        <v>14</v>
      </c>
      <c r="AO23" s="105">
        <v>3914.3999999999996</v>
      </c>
      <c r="AP23" s="105">
        <v>9</v>
      </c>
      <c r="AQ23" s="105">
        <v>2516.3999999999996</v>
      </c>
      <c r="AR23" s="105">
        <v>14</v>
      </c>
      <c r="AS23" s="105">
        <v>3914.3999999999996</v>
      </c>
      <c r="AT23" s="105">
        <v>11</v>
      </c>
      <c r="AU23" s="105">
        <v>3075.5999999999995</v>
      </c>
      <c r="AV23" s="105">
        <v>13</v>
      </c>
      <c r="AW23" s="105">
        <v>3634.7999999999997</v>
      </c>
      <c r="AX23" s="105">
        <v>15</v>
      </c>
      <c r="AY23" s="105">
        <v>4193.9999999999991</v>
      </c>
      <c r="AZ23" s="105">
        <v>14</v>
      </c>
      <c r="BA23" s="105">
        <v>3914.3999999999996</v>
      </c>
      <c r="BB23" s="105">
        <v>12</v>
      </c>
      <c r="BC23" s="105">
        <v>3355.2</v>
      </c>
      <c r="BD23" s="105">
        <v>14</v>
      </c>
      <c r="BE23" s="105">
        <v>3914.3999999999996</v>
      </c>
      <c r="BF23" s="105">
        <v>17</v>
      </c>
      <c r="BG23" s="105">
        <v>4753.2</v>
      </c>
      <c r="BH23" s="105">
        <v>12</v>
      </c>
      <c r="BI23" s="105">
        <v>3355.2</v>
      </c>
      <c r="BJ23" s="105">
        <v>18</v>
      </c>
      <c r="BK23" s="105">
        <v>5032.7999999999993</v>
      </c>
      <c r="BL23" s="105">
        <v>12</v>
      </c>
      <c r="BM23" s="105">
        <v>3355.2</v>
      </c>
      <c r="BN23" s="105">
        <v>17</v>
      </c>
      <c r="BO23" s="105">
        <v>4753.2</v>
      </c>
      <c r="BP23" s="105">
        <v>20</v>
      </c>
      <c r="BQ23" s="105">
        <v>5591.9999999999991</v>
      </c>
      <c r="BR23" s="105">
        <v>15</v>
      </c>
      <c r="BS23" s="105">
        <v>4193.9999999999991</v>
      </c>
      <c r="BT23" s="105">
        <v>10</v>
      </c>
      <c r="BU23" s="105">
        <v>2795.9999999999995</v>
      </c>
      <c r="BV23" s="105">
        <v>11</v>
      </c>
      <c r="BW23" s="105">
        <v>3075.5999999999995</v>
      </c>
      <c r="BX23" s="105">
        <v>19</v>
      </c>
      <c r="BY23" s="105">
        <v>5312.4</v>
      </c>
      <c r="BZ23" s="105">
        <v>15</v>
      </c>
      <c r="CA23" s="105">
        <v>4193.9999999999991</v>
      </c>
      <c r="CB23" s="105">
        <v>12</v>
      </c>
      <c r="CC23" s="105">
        <v>3355.2</v>
      </c>
      <c r="CD23" s="105">
        <v>18</v>
      </c>
      <c r="CE23" s="105">
        <v>5032.7999999999993</v>
      </c>
      <c r="CF23" s="105">
        <v>13</v>
      </c>
      <c r="CG23" s="105">
        <v>3634.7999999999997</v>
      </c>
      <c r="CH23" s="105">
        <v>10</v>
      </c>
      <c r="CI23" s="105">
        <v>2795.9999999999995</v>
      </c>
      <c r="CJ23" s="105">
        <v>12</v>
      </c>
      <c r="CK23" s="105">
        <v>3355.2</v>
      </c>
      <c r="CL23" s="105">
        <v>12</v>
      </c>
      <c r="CM23" s="105">
        <v>3355.2</v>
      </c>
      <c r="CN23" s="105">
        <v>12</v>
      </c>
      <c r="CO23" s="105">
        <v>3355.2</v>
      </c>
      <c r="CP23" s="105">
        <v>10</v>
      </c>
      <c r="CQ23" s="105">
        <v>2795.9999999999995</v>
      </c>
      <c r="CR23" s="105">
        <v>12</v>
      </c>
      <c r="CS23" s="105">
        <v>3355.2</v>
      </c>
      <c r="CT23" s="105">
        <v>13</v>
      </c>
      <c r="CU23" s="105">
        <v>3634.7999999999997</v>
      </c>
    </row>
    <row r="24" spans="2:99" x14ac:dyDescent="0.2">
      <c r="C24" s="104" t="s">
        <v>192</v>
      </c>
      <c r="D24" s="105">
        <v>0</v>
      </c>
      <c r="E24" s="105">
        <v>0</v>
      </c>
      <c r="F24" s="105">
        <v>0</v>
      </c>
      <c r="G24" s="105">
        <v>0</v>
      </c>
      <c r="H24" s="105">
        <v>12</v>
      </c>
      <c r="I24" s="105">
        <v>3657.6000000000004</v>
      </c>
      <c r="J24" s="105">
        <v>9</v>
      </c>
      <c r="K24" s="105">
        <v>2743.2000000000003</v>
      </c>
      <c r="L24" s="105">
        <v>9</v>
      </c>
      <c r="M24" s="105">
        <v>2743.2000000000003</v>
      </c>
      <c r="N24" s="105">
        <v>18</v>
      </c>
      <c r="O24" s="105">
        <v>5486.4000000000005</v>
      </c>
      <c r="P24" s="105">
        <v>14</v>
      </c>
      <c r="Q24" s="105">
        <v>4267.2</v>
      </c>
      <c r="R24" s="105">
        <v>15</v>
      </c>
      <c r="S24" s="105">
        <v>4572</v>
      </c>
      <c r="T24" s="105">
        <v>10</v>
      </c>
      <c r="U24" s="105">
        <v>3048</v>
      </c>
      <c r="V24" s="105">
        <v>14</v>
      </c>
      <c r="W24" s="105">
        <v>4267.2</v>
      </c>
      <c r="X24" s="105">
        <v>10</v>
      </c>
      <c r="Y24" s="105">
        <v>3048</v>
      </c>
      <c r="Z24" s="105">
        <v>10</v>
      </c>
      <c r="AA24" s="105">
        <v>3048</v>
      </c>
      <c r="AB24" s="105">
        <v>16</v>
      </c>
      <c r="AC24" s="105">
        <v>4876.8</v>
      </c>
      <c r="AD24" s="105">
        <v>10</v>
      </c>
      <c r="AE24" s="105">
        <v>3048</v>
      </c>
      <c r="AF24" s="105">
        <v>15</v>
      </c>
      <c r="AG24" s="105">
        <v>4572</v>
      </c>
      <c r="AH24" s="105">
        <v>9</v>
      </c>
      <c r="AI24" s="105">
        <v>2743.2000000000003</v>
      </c>
      <c r="AJ24" s="105">
        <v>12</v>
      </c>
      <c r="AK24" s="105">
        <v>3657.6000000000004</v>
      </c>
      <c r="AL24" s="105">
        <v>14</v>
      </c>
      <c r="AM24" s="105">
        <v>4267.2</v>
      </c>
      <c r="AN24" s="105">
        <v>16</v>
      </c>
      <c r="AO24" s="105">
        <v>4876.8</v>
      </c>
      <c r="AP24" s="105">
        <v>10</v>
      </c>
      <c r="AQ24" s="105">
        <v>3048</v>
      </c>
      <c r="AR24" s="105">
        <v>13</v>
      </c>
      <c r="AS24" s="105">
        <v>3962.4</v>
      </c>
      <c r="AT24" s="105">
        <v>10</v>
      </c>
      <c r="AU24" s="105">
        <v>3048</v>
      </c>
      <c r="AV24" s="105">
        <v>13</v>
      </c>
      <c r="AW24" s="105">
        <v>3962.4</v>
      </c>
      <c r="AX24" s="105">
        <v>15</v>
      </c>
      <c r="AY24" s="105">
        <v>4572</v>
      </c>
      <c r="AZ24" s="105">
        <v>13</v>
      </c>
      <c r="BA24" s="105">
        <v>3962.4</v>
      </c>
      <c r="BB24" s="105">
        <v>11</v>
      </c>
      <c r="BC24" s="105">
        <v>3352.8</v>
      </c>
      <c r="BD24" s="105">
        <v>13</v>
      </c>
      <c r="BE24" s="105">
        <v>3962.4</v>
      </c>
      <c r="BF24" s="105">
        <v>18</v>
      </c>
      <c r="BG24" s="105">
        <v>5486.4000000000005</v>
      </c>
      <c r="BH24" s="105">
        <v>12</v>
      </c>
      <c r="BI24" s="105">
        <v>3657.6000000000004</v>
      </c>
      <c r="BJ24" s="105">
        <v>18</v>
      </c>
      <c r="BK24" s="105">
        <v>5486.4000000000005</v>
      </c>
      <c r="BL24" s="105">
        <v>11</v>
      </c>
      <c r="BM24" s="105">
        <v>3352.8</v>
      </c>
      <c r="BN24" s="105">
        <v>16</v>
      </c>
      <c r="BO24" s="105">
        <v>4876.8</v>
      </c>
      <c r="BP24" s="105">
        <v>19</v>
      </c>
      <c r="BQ24" s="105">
        <v>5791.2</v>
      </c>
      <c r="BR24" s="105">
        <v>13</v>
      </c>
      <c r="BS24" s="105">
        <v>3962.4</v>
      </c>
      <c r="BT24" s="105">
        <v>12</v>
      </c>
      <c r="BU24" s="105">
        <v>3657.6000000000004</v>
      </c>
      <c r="BV24" s="105">
        <v>10</v>
      </c>
      <c r="BW24" s="105">
        <v>3048</v>
      </c>
      <c r="BX24" s="105">
        <v>19</v>
      </c>
      <c r="BY24" s="105">
        <v>5791.2</v>
      </c>
      <c r="BZ24" s="105">
        <v>16</v>
      </c>
      <c r="CA24" s="105">
        <v>4876.8</v>
      </c>
      <c r="CB24" s="105">
        <v>11</v>
      </c>
      <c r="CC24" s="105">
        <v>3352.8</v>
      </c>
      <c r="CD24" s="105">
        <v>16</v>
      </c>
      <c r="CE24" s="105">
        <v>4876.8</v>
      </c>
      <c r="CF24" s="105">
        <v>12</v>
      </c>
      <c r="CG24" s="105">
        <v>3657.6000000000004</v>
      </c>
      <c r="CH24" s="105">
        <v>11</v>
      </c>
      <c r="CI24" s="105">
        <v>3352.8</v>
      </c>
      <c r="CJ24" s="105">
        <v>13</v>
      </c>
      <c r="CK24" s="105">
        <v>3962.4</v>
      </c>
      <c r="CL24" s="105">
        <v>11</v>
      </c>
      <c r="CM24" s="105">
        <v>3352.8</v>
      </c>
      <c r="CN24" s="105">
        <v>13</v>
      </c>
      <c r="CO24" s="105">
        <v>3962.4</v>
      </c>
      <c r="CP24" s="105">
        <v>11</v>
      </c>
      <c r="CQ24" s="105">
        <v>3352.8</v>
      </c>
      <c r="CR24" s="105">
        <v>14</v>
      </c>
      <c r="CS24" s="105">
        <v>4267.2</v>
      </c>
      <c r="CT24" s="105">
        <v>13</v>
      </c>
      <c r="CU24" s="105">
        <v>3962.4</v>
      </c>
    </row>
    <row r="25" spans="2:99" x14ac:dyDescent="0.2">
      <c r="C25" s="104" t="s">
        <v>193</v>
      </c>
      <c r="D25" s="105">
        <v>0</v>
      </c>
      <c r="E25" s="105">
        <v>0</v>
      </c>
      <c r="F25" s="105">
        <v>0</v>
      </c>
      <c r="G25" s="105">
        <v>0</v>
      </c>
      <c r="H25" s="105">
        <v>11</v>
      </c>
      <c r="I25" s="105">
        <v>3577.2</v>
      </c>
      <c r="J25" s="105">
        <v>9</v>
      </c>
      <c r="K25" s="105">
        <v>2926.7999999999997</v>
      </c>
      <c r="L25" s="105">
        <v>9</v>
      </c>
      <c r="M25" s="105">
        <v>2926.7999999999997</v>
      </c>
      <c r="N25" s="105">
        <v>16</v>
      </c>
      <c r="O25" s="105">
        <v>5203.2</v>
      </c>
      <c r="P25" s="105">
        <v>13</v>
      </c>
      <c r="Q25" s="105">
        <v>4227.5999999999995</v>
      </c>
      <c r="R25" s="105">
        <v>14</v>
      </c>
      <c r="S25" s="105">
        <v>4552.8</v>
      </c>
      <c r="T25" s="105">
        <v>10</v>
      </c>
      <c r="U25" s="105">
        <v>3252</v>
      </c>
      <c r="V25" s="105">
        <v>13</v>
      </c>
      <c r="W25" s="105">
        <v>4227.5999999999995</v>
      </c>
      <c r="X25" s="105">
        <v>9</v>
      </c>
      <c r="Y25" s="105">
        <v>2926.7999999999997</v>
      </c>
      <c r="Z25" s="105">
        <v>12</v>
      </c>
      <c r="AA25" s="105">
        <v>3902.3999999999996</v>
      </c>
      <c r="AB25" s="105">
        <v>16</v>
      </c>
      <c r="AC25" s="105">
        <v>5203.2</v>
      </c>
      <c r="AD25" s="105">
        <v>10</v>
      </c>
      <c r="AE25" s="105">
        <v>3252</v>
      </c>
      <c r="AF25" s="105">
        <v>16</v>
      </c>
      <c r="AG25" s="105">
        <v>5203.2</v>
      </c>
      <c r="AH25" s="105">
        <v>10</v>
      </c>
      <c r="AI25" s="105">
        <v>3252</v>
      </c>
      <c r="AJ25" s="105">
        <v>10</v>
      </c>
      <c r="AK25" s="105">
        <v>3252</v>
      </c>
      <c r="AL25" s="105">
        <v>15</v>
      </c>
      <c r="AM25" s="105">
        <v>4878</v>
      </c>
      <c r="AN25" s="105">
        <v>14</v>
      </c>
      <c r="AO25" s="105">
        <v>4552.8</v>
      </c>
      <c r="AP25" s="105">
        <v>9</v>
      </c>
      <c r="AQ25" s="105">
        <v>2926.7999999999997</v>
      </c>
      <c r="AR25" s="105">
        <v>12</v>
      </c>
      <c r="AS25" s="105">
        <v>3902.3999999999996</v>
      </c>
      <c r="AT25" s="105">
        <v>10</v>
      </c>
      <c r="AU25" s="105">
        <v>3252</v>
      </c>
      <c r="AV25" s="105">
        <v>14</v>
      </c>
      <c r="AW25" s="105">
        <v>4552.8</v>
      </c>
      <c r="AX25" s="105">
        <v>18</v>
      </c>
      <c r="AY25" s="105">
        <v>5853.5999999999995</v>
      </c>
      <c r="AZ25" s="105">
        <v>13</v>
      </c>
      <c r="BA25" s="105">
        <v>4227.5999999999995</v>
      </c>
      <c r="BB25" s="105">
        <v>11</v>
      </c>
      <c r="BC25" s="105">
        <v>3577.2</v>
      </c>
      <c r="BD25" s="105">
        <v>13</v>
      </c>
      <c r="BE25" s="105">
        <v>4227.5999999999995</v>
      </c>
      <c r="BF25" s="105">
        <v>17</v>
      </c>
      <c r="BG25" s="105">
        <v>5528.4</v>
      </c>
      <c r="BH25" s="105">
        <v>14</v>
      </c>
      <c r="BI25" s="105">
        <v>4552.8</v>
      </c>
      <c r="BJ25" s="105">
        <v>16</v>
      </c>
      <c r="BK25" s="105">
        <v>5203.2</v>
      </c>
      <c r="BL25" s="105">
        <v>12</v>
      </c>
      <c r="BM25" s="105">
        <v>3902.3999999999996</v>
      </c>
      <c r="BN25" s="105">
        <v>15</v>
      </c>
      <c r="BO25" s="105">
        <v>4878</v>
      </c>
      <c r="BP25" s="105">
        <v>20</v>
      </c>
      <c r="BQ25" s="105">
        <v>6504</v>
      </c>
      <c r="BR25" s="105">
        <v>14</v>
      </c>
      <c r="BS25" s="105">
        <v>4552.8</v>
      </c>
      <c r="BT25" s="105">
        <v>12</v>
      </c>
      <c r="BU25" s="105">
        <v>3902.3999999999996</v>
      </c>
      <c r="BV25" s="105">
        <v>10</v>
      </c>
      <c r="BW25" s="105">
        <v>3252</v>
      </c>
      <c r="BX25" s="105">
        <v>16</v>
      </c>
      <c r="BY25" s="105">
        <v>5203.2</v>
      </c>
      <c r="BZ25" s="105">
        <v>16</v>
      </c>
      <c r="CA25" s="105">
        <v>5203.2</v>
      </c>
      <c r="CB25" s="105">
        <v>11</v>
      </c>
      <c r="CC25" s="105">
        <v>3577.2</v>
      </c>
      <c r="CD25" s="105">
        <v>19</v>
      </c>
      <c r="CE25" s="105">
        <v>6178.8</v>
      </c>
      <c r="CF25" s="105">
        <v>12</v>
      </c>
      <c r="CG25" s="105">
        <v>3902.3999999999996</v>
      </c>
      <c r="CH25" s="105">
        <v>10</v>
      </c>
      <c r="CI25" s="105">
        <v>3252</v>
      </c>
      <c r="CJ25" s="105">
        <v>12</v>
      </c>
      <c r="CK25" s="105">
        <v>3902.3999999999996</v>
      </c>
      <c r="CL25" s="105">
        <v>12</v>
      </c>
      <c r="CM25" s="105">
        <v>3902.3999999999996</v>
      </c>
      <c r="CN25" s="105">
        <v>12</v>
      </c>
      <c r="CO25" s="105">
        <v>3902.3999999999996</v>
      </c>
      <c r="CP25" s="105">
        <v>10</v>
      </c>
      <c r="CQ25" s="105">
        <v>3252</v>
      </c>
      <c r="CR25" s="105">
        <v>14</v>
      </c>
      <c r="CS25" s="105">
        <v>4552.8</v>
      </c>
      <c r="CT25" s="105">
        <v>13</v>
      </c>
      <c r="CU25" s="105">
        <v>4227.5999999999995</v>
      </c>
    </row>
    <row r="26" spans="2:99" x14ac:dyDescent="0.2">
      <c r="C26" s="104" t="s">
        <v>194</v>
      </c>
      <c r="D26" s="105">
        <v>0</v>
      </c>
      <c r="E26" s="105">
        <v>0</v>
      </c>
      <c r="F26" s="105">
        <v>0</v>
      </c>
      <c r="G26" s="105">
        <v>0</v>
      </c>
      <c r="H26" s="105">
        <v>13</v>
      </c>
      <c r="I26" s="105">
        <v>3728.4</v>
      </c>
      <c r="J26" s="105">
        <v>9</v>
      </c>
      <c r="K26" s="105">
        <v>2581.2000000000003</v>
      </c>
      <c r="L26" s="105">
        <v>9</v>
      </c>
      <c r="M26" s="105">
        <v>2581.2000000000003</v>
      </c>
      <c r="N26" s="105">
        <v>16</v>
      </c>
      <c r="O26" s="105">
        <v>4588.8</v>
      </c>
      <c r="P26" s="105">
        <v>13</v>
      </c>
      <c r="Q26" s="105">
        <v>3728.4</v>
      </c>
      <c r="R26" s="105">
        <v>15</v>
      </c>
      <c r="S26" s="105">
        <v>4302</v>
      </c>
      <c r="T26" s="105">
        <v>10</v>
      </c>
      <c r="U26" s="105">
        <v>2868</v>
      </c>
      <c r="V26" s="105">
        <v>13</v>
      </c>
      <c r="W26" s="105">
        <v>3728.4</v>
      </c>
      <c r="X26" s="105">
        <v>10</v>
      </c>
      <c r="Y26" s="105">
        <v>2868</v>
      </c>
      <c r="Z26" s="105">
        <v>12</v>
      </c>
      <c r="AA26" s="105">
        <v>3441.6000000000004</v>
      </c>
      <c r="AB26" s="105">
        <v>15</v>
      </c>
      <c r="AC26" s="105">
        <v>4302</v>
      </c>
      <c r="AD26" s="105">
        <v>11</v>
      </c>
      <c r="AE26" s="105">
        <v>3154.8</v>
      </c>
      <c r="AF26" s="105">
        <v>13</v>
      </c>
      <c r="AG26" s="105">
        <v>3728.4</v>
      </c>
      <c r="AH26" s="105">
        <v>11</v>
      </c>
      <c r="AI26" s="105">
        <v>3154.8</v>
      </c>
      <c r="AJ26" s="105">
        <v>11</v>
      </c>
      <c r="AK26" s="105">
        <v>3154.8</v>
      </c>
      <c r="AL26" s="105">
        <v>13</v>
      </c>
      <c r="AM26" s="105">
        <v>3728.4</v>
      </c>
      <c r="AN26" s="105">
        <v>14</v>
      </c>
      <c r="AO26" s="105">
        <v>4015.2000000000003</v>
      </c>
      <c r="AP26" s="105">
        <v>8</v>
      </c>
      <c r="AQ26" s="105">
        <v>2294.4</v>
      </c>
      <c r="AR26" s="105">
        <v>13</v>
      </c>
      <c r="AS26" s="105">
        <v>3728.4</v>
      </c>
      <c r="AT26" s="105">
        <v>10</v>
      </c>
      <c r="AU26" s="105">
        <v>2868</v>
      </c>
      <c r="AV26" s="105">
        <v>12</v>
      </c>
      <c r="AW26" s="105">
        <v>3441.6000000000004</v>
      </c>
      <c r="AX26" s="105">
        <v>15</v>
      </c>
      <c r="AY26" s="105">
        <v>4302</v>
      </c>
      <c r="AZ26" s="105">
        <v>15</v>
      </c>
      <c r="BA26" s="105">
        <v>4302</v>
      </c>
      <c r="BB26" s="105">
        <v>11</v>
      </c>
      <c r="BC26" s="105">
        <v>3154.8</v>
      </c>
      <c r="BD26" s="105">
        <v>13</v>
      </c>
      <c r="BE26" s="105">
        <v>3728.4</v>
      </c>
      <c r="BF26" s="105">
        <v>16</v>
      </c>
      <c r="BG26" s="105">
        <v>4588.8</v>
      </c>
      <c r="BH26" s="105">
        <v>12</v>
      </c>
      <c r="BI26" s="105">
        <v>3441.6000000000004</v>
      </c>
      <c r="BJ26" s="105">
        <v>19</v>
      </c>
      <c r="BK26" s="105">
        <v>5449.2</v>
      </c>
      <c r="BL26" s="105">
        <v>12</v>
      </c>
      <c r="BM26" s="105">
        <v>3441.6000000000004</v>
      </c>
      <c r="BN26" s="105">
        <v>16</v>
      </c>
      <c r="BO26" s="105">
        <v>4588.8</v>
      </c>
      <c r="BP26" s="105">
        <v>20</v>
      </c>
      <c r="BQ26" s="105">
        <v>5736</v>
      </c>
      <c r="BR26" s="105">
        <v>14</v>
      </c>
      <c r="BS26" s="105">
        <v>4015.2000000000003</v>
      </c>
      <c r="BT26" s="105">
        <v>10</v>
      </c>
      <c r="BU26" s="105">
        <v>2868</v>
      </c>
      <c r="BV26" s="105">
        <v>11</v>
      </c>
      <c r="BW26" s="105">
        <v>3154.8</v>
      </c>
      <c r="BX26" s="105">
        <v>16</v>
      </c>
      <c r="BY26" s="105">
        <v>4588.8</v>
      </c>
      <c r="BZ26" s="105">
        <v>15</v>
      </c>
      <c r="CA26" s="105">
        <v>4302</v>
      </c>
      <c r="CB26" s="105">
        <v>12</v>
      </c>
      <c r="CC26" s="105">
        <v>3441.6000000000004</v>
      </c>
      <c r="CD26" s="105">
        <v>17</v>
      </c>
      <c r="CE26" s="105">
        <v>4875.6000000000004</v>
      </c>
      <c r="CF26" s="105">
        <v>12</v>
      </c>
      <c r="CG26" s="105">
        <v>3441.6000000000004</v>
      </c>
      <c r="CH26" s="105">
        <v>10</v>
      </c>
      <c r="CI26" s="105">
        <v>2868</v>
      </c>
      <c r="CJ26" s="105">
        <v>12</v>
      </c>
      <c r="CK26" s="105">
        <v>3441.6000000000004</v>
      </c>
      <c r="CL26" s="105">
        <v>11</v>
      </c>
      <c r="CM26" s="105">
        <v>3154.8</v>
      </c>
      <c r="CN26" s="105">
        <v>13</v>
      </c>
      <c r="CO26" s="105">
        <v>3728.4</v>
      </c>
      <c r="CP26" s="105">
        <v>12</v>
      </c>
      <c r="CQ26" s="105">
        <v>3441.6000000000004</v>
      </c>
      <c r="CR26" s="105">
        <v>13</v>
      </c>
      <c r="CS26" s="105">
        <v>3728.4</v>
      </c>
      <c r="CT26" s="105">
        <v>12</v>
      </c>
      <c r="CU26" s="105">
        <v>3441.6000000000004</v>
      </c>
    </row>
    <row r="27" spans="2:99" x14ac:dyDescent="0.2">
      <c r="C27" s="104" t="s">
        <v>195</v>
      </c>
      <c r="D27" s="105">
        <v>0</v>
      </c>
      <c r="E27" s="105">
        <v>0</v>
      </c>
      <c r="F27" s="105">
        <v>0</v>
      </c>
      <c r="G27" s="105">
        <v>0</v>
      </c>
      <c r="H27" s="105">
        <v>12</v>
      </c>
      <c r="I27" s="105">
        <v>3787.2</v>
      </c>
      <c r="J27" s="105">
        <v>9</v>
      </c>
      <c r="K27" s="105">
        <v>2840.3999999999996</v>
      </c>
      <c r="L27" s="105">
        <v>10</v>
      </c>
      <c r="M27" s="105">
        <v>3155.9999999999995</v>
      </c>
      <c r="N27" s="105">
        <v>16</v>
      </c>
      <c r="O27" s="105">
        <v>5049.5999999999995</v>
      </c>
      <c r="P27" s="105">
        <v>14</v>
      </c>
      <c r="Q27" s="105">
        <v>4418.3999999999996</v>
      </c>
      <c r="R27" s="105">
        <v>16</v>
      </c>
      <c r="S27" s="105">
        <v>5049.5999999999995</v>
      </c>
      <c r="T27" s="105">
        <v>10</v>
      </c>
      <c r="U27" s="105">
        <v>3155.9999999999995</v>
      </c>
      <c r="V27" s="105">
        <v>14</v>
      </c>
      <c r="W27" s="105">
        <v>4418.3999999999996</v>
      </c>
      <c r="X27" s="105">
        <v>9</v>
      </c>
      <c r="Y27" s="105">
        <v>2840.3999999999996</v>
      </c>
      <c r="Z27" s="105">
        <v>12</v>
      </c>
      <c r="AA27" s="105">
        <v>3787.2</v>
      </c>
      <c r="AB27" s="105">
        <v>14</v>
      </c>
      <c r="AC27" s="105">
        <v>4418.3999999999996</v>
      </c>
      <c r="AD27" s="105">
        <v>10</v>
      </c>
      <c r="AE27" s="105">
        <v>3155.9999999999995</v>
      </c>
      <c r="AF27" s="105">
        <v>15</v>
      </c>
      <c r="AG27" s="105">
        <v>4733.9999999999991</v>
      </c>
      <c r="AH27" s="105">
        <v>9</v>
      </c>
      <c r="AI27" s="105">
        <v>2840.3999999999996</v>
      </c>
      <c r="AJ27" s="105">
        <v>11</v>
      </c>
      <c r="AK27" s="105">
        <v>3471.5999999999995</v>
      </c>
      <c r="AL27" s="105">
        <v>16</v>
      </c>
      <c r="AM27" s="105">
        <v>5049.5999999999995</v>
      </c>
      <c r="AN27" s="105">
        <v>15</v>
      </c>
      <c r="AO27" s="105">
        <v>4733.9999999999991</v>
      </c>
      <c r="AP27" s="105">
        <v>9</v>
      </c>
      <c r="AQ27" s="105">
        <v>2840.3999999999996</v>
      </c>
      <c r="AR27" s="105">
        <v>12</v>
      </c>
      <c r="AS27" s="105">
        <v>3787.2</v>
      </c>
      <c r="AT27" s="105">
        <v>12</v>
      </c>
      <c r="AU27" s="105">
        <v>3787.2</v>
      </c>
      <c r="AV27" s="105">
        <v>14</v>
      </c>
      <c r="AW27" s="105">
        <v>4418.3999999999996</v>
      </c>
      <c r="AX27" s="105">
        <v>17</v>
      </c>
      <c r="AY27" s="105">
        <v>5365.2</v>
      </c>
      <c r="AZ27" s="105">
        <v>13</v>
      </c>
      <c r="BA27" s="105">
        <v>4102.7999999999993</v>
      </c>
      <c r="BB27" s="105">
        <v>11</v>
      </c>
      <c r="BC27" s="105">
        <v>3471.5999999999995</v>
      </c>
      <c r="BD27" s="105">
        <v>13</v>
      </c>
      <c r="BE27" s="105">
        <v>4102.7999999999993</v>
      </c>
      <c r="BF27" s="105">
        <v>17</v>
      </c>
      <c r="BG27" s="105">
        <v>5365.2</v>
      </c>
      <c r="BH27" s="105">
        <v>12</v>
      </c>
      <c r="BI27" s="105">
        <v>3787.2</v>
      </c>
      <c r="BJ27" s="105">
        <v>18</v>
      </c>
      <c r="BK27" s="105">
        <v>5680.7999999999993</v>
      </c>
      <c r="BL27" s="105">
        <v>11</v>
      </c>
      <c r="BM27" s="105">
        <v>3471.5999999999995</v>
      </c>
      <c r="BN27" s="105">
        <v>17</v>
      </c>
      <c r="BO27" s="105">
        <v>5365.2</v>
      </c>
      <c r="BP27" s="105">
        <v>16</v>
      </c>
      <c r="BQ27" s="105">
        <v>5049.5999999999995</v>
      </c>
      <c r="BR27" s="105">
        <v>13</v>
      </c>
      <c r="BS27" s="105">
        <v>4102.7999999999993</v>
      </c>
      <c r="BT27" s="105">
        <v>11</v>
      </c>
      <c r="BU27" s="105">
        <v>3471.5999999999995</v>
      </c>
      <c r="BV27" s="105">
        <v>10</v>
      </c>
      <c r="BW27" s="105">
        <v>3155.9999999999995</v>
      </c>
      <c r="BX27" s="105">
        <v>19</v>
      </c>
      <c r="BY27" s="105">
        <v>5996.4</v>
      </c>
      <c r="BZ27" s="105">
        <v>16</v>
      </c>
      <c r="CA27" s="105">
        <v>5049.5999999999995</v>
      </c>
      <c r="CB27" s="105">
        <v>12</v>
      </c>
      <c r="CC27" s="105">
        <v>3787.2</v>
      </c>
      <c r="CD27" s="105">
        <v>17</v>
      </c>
      <c r="CE27" s="105">
        <v>5365.2</v>
      </c>
      <c r="CF27" s="105">
        <v>13</v>
      </c>
      <c r="CG27" s="105">
        <v>4102.7999999999993</v>
      </c>
      <c r="CH27" s="105">
        <v>11</v>
      </c>
      <c r="CI27" s="105">
        <v>3471.5999999999995</v>
      </c>
      <c r="CJ27" s="105">
        <v>11</v>
      </c>
      <c r="CK27" s="105">
        <v>3471.5999999999995</v>
      </c>
      <c r="CL27" s="105">
        <v>12</v>
      </c>
      <c r="CM27" s="105">
        <v>3787.2</v>
      </c>
      <c r="CN27" s="105">
        <v>13</v>
      </c>
      <c r="CO27" s="105">
        <v>4102.7999999999993</v>
      </c>
      <c r="CP27" s="105">
        <v>11</v>
      </c>
      <c r="CQ27" s="105">
        <v>3471.5999999999995</v>
      </c>
      <c r="CR27" s="105">
        <v>13</v>
      </c>
      <c r="CS27" s="105">
        <v>4102.7999999999993</v>
      </c>
      <c r="CT27" s="105">
        <v>12</v>
      </c>
      <c r="CU27" s="105">
        <v>3787.2</v>
      </c>
    </row>
    <row r="28" spans="2:99" x14ac:dyDescent="0.2">
      <c r="C28" s="104" t="s">
        <v>196</v>
      </c>
      <c r="D28" s="105">
        <v>0</v>
      </c>
      <c r="E28" s="105">
        <v>0</v>
      </c>
      <c r="F28" s="105">
        <v>0</v>
      </c>
      <c r="G28" s="105">
        <v>0</v>
      </c>
      <c r="H28" s="105">
        <v>12</v>
      </c>
      <c r="I28" s="105">
        <v>6883.2000000000007</v>
      </c>
      <c r="J28" s="105">
        <v>9</v>
      </c>
      <c r="K28" s="105">
        <v>5162.4000000000005</v>
      </c>
      <c r="L28" s="105">
        <v>9</v>
      </c>
      <c r="M28" s="105">
        <v>5162.4000000000005</v>
      </c>
      <c r="N28" s="105">
        <v>16</v>
      </c>
      <c r="O28" s="105">
        <v>9177.6</v>
      </c>
      <c r="P28" s="105">
        <v>13</v>
      </c>
      <c r="Q28" s="105">
        <v>7456.8</v>
      </c>
      <c r="R28" s="105">
        <v>16</v>
      </c>
      <c r="S28" s="105">
        <v>9177.6</v>
      </c>
      <c r="T28" s="105">
        <v>9</v>
      </c>
      <c r="U28" s="105">
        <v>5162.4000000000005</v>
      </c>
      <c r="V28" s="105">
        <v>5.3819404499120704</v>
      </c>
      <c r="W28" s="105">
        <v>3087.0810420695639</v>
      </c>
      <c r="X28" s="105">
        <v>10</v>
      </c>
      <c r="Y28" s="105">
        <v>5736</v>
      </c>
      <c r="Z28" s="105">
        <v>12</v>
      </c>
      <c r="AA28" s="105">
        <v>6883.2000000000007</v>
      </c>
      <c r="AB28" s="105">
        <v>15</v>
      </c>
      <c r="AC28" s="105">
        <v>8604</v>
      </c>
      <c r="AD28" s="105">
        <v>9</v>
      </c>
      <c r="AE28" s="105">
        <v>5162.4000000000005</v>
      </c>
      <c r="AF28" s="105">
        <v>13</v>
      </c>
      <c r="AG28" s="105">
        <v>7456.8</v>
      </c>
      <c r="AH28" s="105">
        <v>9</v>
      </c>
      <c r="AI28" s="105">
        <v>5162.4000000000005</v>
      </c>
      <c r="AJ28" s="105">
        <v>11</v>
      </c>
      <c r="AK28" s="105">
        <v>6309.6</v>
      </c>
      <c r="AL28" s="105">
        <v>14</v>
      </c>
      <c r="AM28" s="105">
        <v>8030.4000000000005</v>
      </c>
      <c r="AN28" s="105">
        <v>16</v>
      </c>
      <c r="AO28" s="105">
        <v>9177.6</v>
      </c>
      <c r="AP28" s="105">
        <v>9</v>
      </c>
      <c r="AQ28" s="105">
        <v>5162.4000000000005</v>
      </c>
      <c r="AR28" s="105">
        <v>13</v>
      </c>
      <c r="AS28" s="105">
        <v>7456.8</v>
      </c>
      <c r="AT28" s="105">
        <v>11</v>
      </c>
      <c r="AU28" s="105">
        <v>6309.6</v>
      </c>
      <c r="AV28" s="105">
        <v>12</v>
      </c>
      <c r="AW28" s="105">
        <v>6883.2000000000007</v>
      </c>
      <c r="AX28" s="105">
        <v>14</v>
      </c>
      <c r="AY28" s="105">
        <v>8030.4000000000005</v>
      </c>
      <c r="AZ28" s="105">
        <v>14</v>
      </c>
      <c r="BA28" s="105">
        <v>8030.4000000000005</v>
      </c>
      <c r="BB28" s="105">
        <v>11</v>
      </c>
      <c r="BC28" s="105">
        <v>6309.6</v>
      </c>
      <c r="BD28" s="105">
        <v>11.940843189150453</v>
      </c>
      <c r="BE28" s="105">
        <v>6849.2676532966998</v>
      </c>
      <c r="BF28" s="105">
        <v>15.115825029808061</v>
      </c>
      <c r="BG28" s="105">
        <v>8670.4372370979036</v>
      </c>
      <c r="BH28" s="105">
        <v>0</v>
      </c>
      <c r="BI28" s="105">
        <v>0</v>
      </c>
      <c r="BJ28" s="105">
        <v>16</v>
      </c>
      <c r="BK28" s="105">
        <v>9177.6</v>
      </c>
      <c r="BL28" s="105">
        <v>13</v>
      </c>
      <c r="BM28" s="105">
        <v>7456.8</v>
      </c>
      <c r="BN28" s="105">
        <v>14</v>
      </c>
      <c r="BO28" s="105">
        <v>8030.4000000000005</v>
      </c>
      <c r="BP28" s="105">
        <v>18</v>
      </c>
      <c r="BQ28" s="105">
        <v>10324.800000000001</v>
      </c>
      <c r="BR28" s="105">
        <v>15</v>
      </c>
      <c r="BS28" s="105">
        <v>8604</v>
      </c>
      <c r="BT28" s="105">
        <v>10</v>
      </c>
      <c r="BU28" s="105">
        <v>5736</v>
      </c>
      <c r="BV28" s="105">
        <v>10</v>
      </c>
      <c r="BW28" s="105">
        <v>5736</v>
      </c>
      <c r="BX28" s="105">
        <v>19</v>
      </c>
      <c r="BY28" s="105">
        <v>10898.4</v>
      </c>
      <c r="BZ28" s="105">
        <v>17</v>
      </c>
      <c r="CA28" s="105">
        <v>9751.2000000000007</v>
      </c>
      <c r="CB28" s="105">
        <v>12</v>
      </c>
      <c r="CC28" s="105">
        <v>6883.2000000000007</v>
      </c>
      <c r="CD28" s="105">
        <v>18</v>
      </c>
      <c r="CE28" s="105">
        <v>10324.800000000001</v>
      </c>
      <c r="CF28" s="105">
        <v>13</v>
      </c>
      <c r="CG28" s="105">
        <v>7456.8</v>
      </c>
      <c r="CH28" s="105">
        <v>10</v>
      </c>
      <c r="CI28" s="105">
        <v>5736</v>
      </c>
      <c r="CJ28" s="105">
        <v>10.123276887098967</v>
      </c>
      <c r="CK28" s="105">
        <v>5806.7116224399679</v>
      </c>
      <c r="CL28" s="105">
        <v>12</v>
      </c>
      <c r="CM28" s="105">
        <v>6883.2000000000007</v>
      </c>
      <c r="CN28" s="105">
        <v>13</v>
      </c>
      <c r="CO28" s="105">
        <v>7456.8</v>
      </c>
      <c r="CP28" s="105">
        <v>10</v>
      </c>
      <c r="CQ28" s="105">
        <v>5736</v>
      </c>
      <c r="CR28" s="105">
        <v>13</v>
      </c>
      <c r="CS28" s="105">
        <v>7456.8</v>
      </c>
      <c r="CT28" s="105">
        <v>13</v>
      </c>
      <c r="CU28" s="105">
        <v>7456.8</v>
      </c>
    </row>
    <row r="29" spans="2:99" x14ac:dyDescent="0.2">
      <c r="C29" s="104" t="s">
        <v>197</v>
      </c>
      <c r="D29" s="105">
        <v>0</v>
      </c>
      <c r="E29" s="105">
        <v>0</v>
      </c>
      <c r="F29" s="105">
        <v>0</v>
      </c>
      <c r="G29" s="105">
        <v>0</v>
      </c>
      <c r="H29" s="105">
        <v>11</v>
      </c>
      <c r="I29" s="105">
        <v>2587.1999999999998</v>
      </c>
      <c r="J29" s="105">
        <v>9</v>
      </c>
      <c r="K29" s="105">
        <v>2116.7999999999997</v>
      </c>
      <c r="L29" s="105">
        <v>10</v>
      </c>
      <c r="M29" s="105">
        <v>2352</v>
      </c>
      <c r="N29" s="105">
        <v>16</v>
      </c>
      <c r="O29" s="105">
        <v>3763.2</v>
      </c>
      <c r="P29" s="105">
        <v>14</v>
      </c>
      <c r="Q29" s="105">
        <v>3292.7999999999997</v>
      </c>
      <c r="R29" s="105">
        <v>15</v>
      </c>
      <c r="S29" s="105">
        <v>3528</v>
      </c>
      <c r="T29" s="105">
        <v>10</v>
      </c>
      <c r="U29" s="105">
        <v>2352</v>
      </c>
      <c r="V29" s="105">
        <v>14</v>
      </c>
      <c r="W29" s="105">
        <v>3292.7999999999997</v>
      </c>
      <c r="X29" s="105">
        <v>9</v>
      </c>
      <c r="Y29" s="105">
        <v>2116.7999999999997</v>
      </c>
      <c r="Z29" s="105">
        <v>12</v>
      </c>
      <c r="AA29" s="105">
        <v>2822.3999999999996</v>
      </c>
      <c r="AB29" s="105">
        <v>15</v>
      </c>
      <c r="AC29" s="105">
        <v>3528</v>
      </c>
      <c r="AD29" s="105">
        <v>11</v>
      </c>
      <c r="AE29" s="105">
        <v>2587.1999999999998</v>
      </c>
      <c r="AF29" s="105">
        <v>15</v>
      </c>
      <c r="AG29" s="105">
        <v>3528</v>
      </c>
      <c r="AH29" s="105">
        <v>10</v>
      </c>
      <c r="AI29" s="105">
        <v>2352</v>
      </c>
      <c r="AJ29" s="105">
        <v>12</v>
      </c>
      <c r="AK29" s="105">
        <v>2822.3999999999996</v>
      </c>
      <c r="AL29" s="105">
        <v>15</v>
      </c>
      <c r="AM29" s="105">
        <v>3528</v>
      </c>
      <c r="AN29" s="105">
        <v>16</v>
      </c>
      <c r="AO29" s="105">
        <v>3763.2</v>
      </c>
      <c r="AP29" s="105">
        <v>9</v>
      </c>
      <c r="AQ29" s="105">
        <v>2116.7999999999997</v>
      </c>
      <c r="AR29" s="105">
        <v>13</v>
      </c>
      <c r="AS29" s="105">
        <v>3057.6</v>
      </c>
      <c r="AT29" s="105">
        <v>10</v>
      </c>
      <c r="AU29" s="105">
        <v>2352</v>
      </c>
      <c r="AV29" s="105">
        <v>12</v>
      </c>
      <c r="AW29" s="105">
        <v>2822.3999999999996</v>
      </c>
      <c r="AX29" s="105">
        <v>16</v>
      </c>
      <c r="AY29" s="105">
        <v>3763.2</v>
      </c>
      <c r="AZ29" s="105">
        <v>14</v>
      </c>
      <c r="BA29" s="105">
        <v>3292.7999999999997</v>
      </c>
      <c r="BB29" s="105">
        <v>10</v>
      </c>
      <c r="BC29" s="105">
        <v>2352</v>
      </c>
      <c r="BD29" s="105">
        <v>14</v>
      </c>
      <c r="BE29" s="105">
        <v>3292.7999999999997</v>
      </c>
      <c r="BF29" s="105">
        <v>19</v>
      </c>
      <c r="BG29" s="105">
        <v>4468.8</v>
      </c>
      <c r="BH29" s="105">
        <v>12</v>
      </c>
      <c r="BI29" s="105">
        <v>2822.3999999999996</v>
      </c>
      <c r="BJ29" s="105">
        <v>18</v>
      </c>
      <c r="BK29" s="105">
        <v>4233.5999999999995</v>
      </c>
      <c r="BL29" s="105">
        <v>13</v>
      </c>
      <c r="BM29" s="105">
        <v>3057.6</v>
      </c>
      <c r="BN29" s="105">
        <v>16</v>
      </c>
      <c r="BO29" s="105">
        <v>3763.2</v>
      </c>
      <c r="BP29" s="105">
        <v>17</v>
      </c>
      <c r="BQ29" s="105">
        <v>3998.3999999999996</v>
      </c>
      <c r="BR29" s="105">
        <v>13</v>
      </c>
      <c r="BS29" s="105">
        <v>3057.6</v>
      </c>
      <c r="BT29" s="105">
        <v>12</v>
      </c>
      <c r="BU29" s="105">
        <v>2822.3999999999996</v>
      </c>
      <c r="BV29" s="105">
        <v>11</v>
      </c>
      <c r="BW29" s="105">
        <v>2587.1999999999998</v>
      </c>
      <c r="BX29" s="105">
        <v>18</v>
      </c>
      <c r="BY29" s="105">
        <v>4233.5999999999995</v>
      </c>
      <c r="BZ29" s="105">
        <v>16</v>
      </c>
      <c r="CA29" s="105">
        <v>3763.2</v>
      </c>
      <c r="CB29" s="105">
        <v>13</v>
      </c>
      <c r="CC29" s="105">
        <v>3057.6</v>
      </c>
      <c r="CD29" s="105">
        <v>17</v>
      </c>
      <c r="CE29" s="105">
        <v>3998.3999999999996</v>
      </c>
      <c r="CF29" s="105">
        <v>13</v>
      </c>
      <c r="CG29" s="105">
        <v>3057.6</v>
      </c>
      <c r="CH29" s="105">
        <v>9</v>
      </c>
      <c r="CI29" s="105">
        <v>2116.7999999999997</v>
      </c>
      <c r="CJ29" s="105">
        <v>12</v>
      </c>
      <c r="CK29" s="105">
        <v>2822.3999999999996</v>
      </c>
      <c r="CL29" s="105">
        <v>11</v>
      </c>
      <c r="CM29" s="105">
        <v>2587.1999999999998</v>
      </c>
      <c r="CN29" s="105">
        <v>14</v>
      </c>
      <c r="CO29" s="105">
        <v>3292.7999999999997</v>
      </c>
      <c r="CP29" s="105">
        <v>11</v>
      </c>
      <c r="CQ29" s="105">
        <v>2587.1999999999998</v>
      </c>
      <c r="CR29" s="105">
        <v>14</v>
      </c>
      <c r="CS29" s="105">
        <v>3292.7999999999997</v>
      </c>
      <c r="CT29" s="105">
        <v>12</v>
      </c>
      <c r="CU29" s="105">
        <v>2822.3999999999996</v>
      </c>
    </row>
    <row r="30" spans="2:99" x14ac:dyDescent="0.2">
      <c r="C30" s="104" t="s">
        <v>198</v>
      </c>
      <c r="D30" s="105">
        <v>0</v>
      </c>
      <c r="E30" s="105">
        <v>0</v>
      </c>
      <c r="F30" s="105">
        <v>0</v>
      </c>
      <c r="G30" s="105">
        <v>0</v>
      </c>
      <c r="H30" s="105">
        <v>12</v>
      </c>
      <c r="I30" s="105">
        <v>2779.2</v>
      </c>
      <c r="J30" s="105">
        <v>9</v>
      </c>
      <c r="K30" s="105">
        <v>2084.4</v>
      </c>
      <c r="L30" s="105">
        <v>10</v>
      </c>
      <c r="M30" s="105">
        <v>2316</v>
      </c>
      <c r="N30" s="105">
        <v>17</v>
      </c>
      <c r="O30" s="105">
        <v>3937.2</v>
      </c>
      <c r="P30" s="105">
        <v>14</v>
      </c>
      <c r="Q30" s="105">
        <v>3242.4</v>
      </c>
      <c r="R30" s="105">
        <v>15</v>
      </c>
      <c r="S30" s="105">
        <v>3474</v>
      </c>
      <c r="T30" s="105">
        <v>10</v>
      </c>
      <c r="U30" s="105">
        <v>2316</v>
      </c>
      <c r="V30" s="105">
        <v>14</v>
      </c>
      <c r="W30" s="105">
        <v>3242.4</v>
      </c>
      <c r="X30" s="105">
        <v>9</v>
      </c>
      <c r="Y30" s="105">
        <v>2084.4</v>
      </c>
      <c r="Z30" s="105">
        <v>12</v>
      </c>
      <c r="AA30" s="105">
        <v>2779.2</v>
      </c>
      <c r="AB30" s="105">
        <v>15</v>
      </c>
      <c r="AC30" s="105">
        <v>3474</v>
      </c>
      <c r="AD30" s="105">
        <v>11</v>
      </c>
      <c r="AE30" s="105">
        <v>2547.6</v>
      </c>
      <c r="AF30" s="105">
        <v>16</v>
      </c>
      <c r="AG30" s="105">
        <v>3705.6</v>
      </c>
      <c r="AH30" s="105">
        <v>10</v>
      </c>
      <c r="AI30" s="105">
        <v>2316</v>
      </c>
      <c r="AJ30" s="105">
        <v>12</v>
      </c>
      <c r="AK30" s="105">
        <v>2779.2</v>
      </c>
      <c r="AL30" s="105">
        <v>14</v>
      </c>
      <c r="AM30" s="105">
        <v>3242.4</v>
      </c>
      <c r="AN30" s="105">
        <v>16</v>
      </c>
      <c r="AO30" s="105">
        <v>3705.6</v>
      </c>
      <c r="AP30" s="105">
        <v>8</v>
      </c>
      <c r="AQ30" s="105">
        <v>1852.8</v>
      </c>
      <c r="AR30" s="105">
        <v>14</v>
      </c>
      <c r="AS30" s="105">
        <v>3242.4</v>
      </c>
      <c r="AT30" s="105">
        <v>10</v>
      </c>
      <c r="AU30" s="105">
        <v>2316</v>
      </c>
      <c r="AV30" s="105">
        <v>13</v>
      </c>
      <c r="AW30" s="105">
        <v>3010.7999999999997</v>
      </c>
      <c r="AX30" s="105">
        <v>18</v>
      </c>
      <c r="AY30" s="105">
        <v>4168.8</v>
      </c>
      <c r="AZ30" s="105">
        <v>14</v>
      </c>
      <c r="BA30" s="105">
        <v>3242.4</v>
      </c>
      <c r="BB30" s="105">
        <v>11</v>
      </c>
      <c r="BC30" s="105">
        <v>2547.6</v>
      </c>
      <c r="BD30" s="105">
        <v>13</v>
      </c>
      <c r="BE30" s="105">
        <v>3010.7999999999997</v>
      </c>
      <c r="BF30" s="105">
        <v>16</v>
      </c>
      <c r="BG30" s="105">
        <v>3705.6</v>
      </c>
      <c r="BH30" s="105">
        <v>13</v>
      </c>
      <c r="BI30" s="105">
        <v>3010.7999999999997</v>
      </c>
      <c r="BJ30" s="105">
        <v>19</v>
      </c>
      <c r="BK30" s="105">
        <v>4400.3999999999996</v>
      </c>
      <c r="BL30" s="105">
        <v>11</v>
      </c>
      <c r="BM30" s="105">
        <v>2547.6</v>
      </c>
      <c r="BN30" s="105">
        <v>18</v>
      </c>
      <c r="BO30" s="105">
        <v>4168.8</v>
      </c>
      <c r="BP30" s="105">
        <v>19</v>
      </c>
      <c r="BQ30" s="105">
        <v>4400.3999999999996</v>
      </c>
      <c r="BR30" s="105">
        <v>15</v>
      </c>
      <c r="BS30" s="105">
        <v>3474</v>
      </c>
      <c r="BT30" s="105">
        <v>10</v>
      </c>
      <c r="BU30" s="105">
        <v>2316</v>
      </c>
      <c r="BV30" s="105">
        <v>12</v>
      </c>
      <c r="BW30" s="105">
        <v>2779.2</v>
      </c>
      <c r="BX30" s="105">
        <v>17</v>
      </c>
      <c r="BY30" s="105">
        <v>3937.2</v>
      </c>
      <c r="BZ30" s="105">
        <v>16</v>
      </c>
      <c r="CA30" s="105">
        <v>3705.6</v>
      </c>
      <c r="CB30" s="105">
        <v>12</v>
      </c>
      <c r="CC30" s="105">
        <v>2779.2</v>
      </c>
      <c r="CD30" s="105">
        <v>16</v>
      </c>
      <c r="CE30" s="105">
        <v>3705.6</v>
      </c>
      <c r="CF30" s="105">
        <v>12</v>
      </c>
      <c r="CG30" s="105">
        <v>2779.2</v>
      </c>
      <c r="CH30" s="105">
        <v>11</v>
      </c>
      <c r="CI30" s="105">
        <v>2547.6</v>
      </c>
      <c r="CJ30" s="105">
        <v>11</v>
      </c>
      <c r="CK30" s="105">
        <v>2547.6</v>
      </c>
      <c r="CL30" s="105">
        <v>11</v>
      </c>
      <c r="CM30" s="105">
        <v>2547.6</v>
      </c>
      <c r="CN30" s="105">
        <v>13</v>
      </c>
      <c r="CO30" s="105">
        <v>3010.7999999999997</v>
      </c>
      <c r="CP30" s="105">
        <v>11</v>
      </c>
      <c r="CQ30" s="105">
        <v>2547.6</v>
      </c>
      <c r="CR30" s="105">
        <v>14</v>
      </c>
      <c r="CS30" s="105">
        <v>3242.4</v>
      </c>
      <c r="CT30" s="105">
        <v>12</v>
      </c>
      <c r="CU30" s="105">
        <v>2779.2</v>
      </c>
    </row>
    <row r="31" spans="2:99" x14ac:dyDescent="0.2">
      <c r="C31" s="104" t="s">
        <v>199</v>
      </c>
      <c r="D31" s="105">
        <v>0</v>
      </c>
      <c r="E31" s="105">
        <v>0</v>
      </c>
      <c r="F31" s="105">
        <v>0</v>
      </c>
      <c r="G31" s="105">
        <v>0</v>
      </c>
      <c r="H31" s="105">
        <v>11</v>
      </c>
      <c r="I31" s="105">
        <v>1953.6</v>
      </c>
      <c r="J31" s="105">
        <v>10</v>
      </c>
      <c r="K31" s="105">
        <v>1776</v>
      </c>
      <c r="L31" s="105">
        <v>9</v>
      </c>
      <c r="M31" s="105">
        <v>1598.3999999999999</v>
      </c>
      <c r="N31" s="105">
        <v>15</v>
      </c>
      <c r="O31" s="105">
        <v>2664</v>
      </c>
      <c r="P31" s="105">
        <v>13</v>
      </c>
      <c r="Q31" s="105">
        <v>2308.7999999999997</v>
      </c>
      <c r="R31" s="105">
        <v>15</v>
      </c>
      <c r="S31" s="105">
        <v>2664</v>
      </c>
      <c r="T31" s="105">
        <v>9</v>
      </c>
      <c r="U31" s="105">
        <v>1598.3999999999999</v>
      </c>
      <c r="V31" s="105">
        <v>14</v>
      </c>
      <c r="W31" s="105">
        <v>2486.4</v>
      </c>
      <c r="X31" s="105">
        <v>10</v>
      </c>
      <c r="Y31" s="105">
        <v>1776</v>
      </c>
      <c r="Z31" s="105">
        <v>13</v>
      </c>
      <c r="AA31" s="105">
        <v>2308.7999999999997</v>
      </c>
      <c r="AB31" s="105">
        <v>18</v>
      </c>
      <c r="AC31" s="105">
        <v>3196.7999999999997</v>
      </c>
      <c r="AD31" s="105">
        <v>10</v>
      </c>
      <c r="AE31" s="105">
        <v>1776</v>
      </c>
      <c r="AF31" s="105">
        <v>14</v>
      </c>
      <c r="AG31" s="105">
        <v>2486.4</v>
      </c>
      <c r="AH31" s="105">
        <v>10</v>
      </c>
      <c r="AI31" s="105">
        <v>1776</v>
      </c>
      <c r="AJ31" s="105">
        <v>12</v>
      </c>
      <c r="AK31" s="105">
        <v>2131.1999999999998</v>
      </c>
      <c r="AL31" s="105">
        <v>13</v>
      </c>
      <c r="AM31" s="105">
        <v>2308.7999999999997</v>
      </c>
      <c r="AN31" s="105">
        <v>16</v>
      </c>
      <c r="AO31" s="105">
        <v>2841.6</v>
      </c>
      <c r="AP31" s="105">
        <v>9</v>
      </c>
      <c r="AQ31" s="105">
        <v>1598.3999999999999</v>
      </c>
      <c r="AR31" s="105">
        <v>14</v>
      </c>
      <c r="AS31" s="105">
        <v>2486.4</v>
      </c>
      <c r="AT31" s="105">
        <v>11</v>
      </c>
      <c r="AU31" s="105">
        <v>1953.6</v>
      </c>
      <c r="AV31" s="105">
        <v>13</v>
      </c>
      <c r="AW31" s="105">
        <v>2308.7999999999997</v>
      </c>
      <c r="AX31" s="105">
        <v>16</v>
      </c>
      <c r="AY31" s="105">
        <v>2841.6</v>
      </c>
      <c r="AZ31" s="105">
        <v>14</v>
      </c>
      <c r="BA31" s="105">
        <v>2486.4</v>
      </c>
      <c r="BB31" s="105">
        <v>10</v>
      </c>
      <c r="BC31" s="105">
        <v>1776</v>
      </c>
      <c r="BD31" s="105">
        <v>12</v>
      </c>
      <c r="BE31" s="105">
        <v>2131.1999999999998</v>
      </c>
      <c r="BF31" s="105">
        <v>17</v>
      </c>
      <c r="BG31" s="105">
        <v>3019.2</v>
      </c>
      <c r="BH31" s="105">
        <v>13</v>
      </c>
      <c r="BI31" s="105">
        <v>2308.7999999999997</v>
      </c>
      <c r="BJ31" s="105">
        <v>18</v>
      </c>
      <c r="BK31" s="105">
        <v>3196.7999999999997</v>
      </c>
      <c r="BL31" s="105">
        <v>13</v>
      </c>
      <c r="BM31" s="105">
        <v>2308.7999999999997</v>
      </c>
      <c r="BN31" s="105">
        <v>17</v>
      </c>
      <c r="BO31" s="105">
        <v>3019.2</v>
      </c>
      <c r="BP31" s="105">
        <v>20</v>
      </c>
      <c r="BQ31" s="105">
        <v>3552</v>
      </c>
      <c r="BR31" s="105">
        <v>16</v>
      </c>
      <c r="BS31" s="105">
        <v>2841.6</v>
      </c>
      <c r="BT31" s="105">
        <v>11</v>
      </c>
      <c r="BU31" s="105">
        <v>1953.6</v>
      </c>
      <c r="BV31" s="105">
        <v>12</v>
      </c>
      <c r="BW31" s="105">
        <v>2131.1999999999998</v>
      </c>
      <c r="BX31" s="105">
        <v>19</v>
      </c>
      <c r="BY31" s="105">
        <v>3374.4</v>
      </c>
      <c r="BZ31" s="105">
        <v>17</v>
      </c>
      <c r="CA31" s="105">
        <v>3019.2</v>
      </c>
      <c r="CB31" s="105">
        <v>11</v>
      </c>
      <c r="CC31" s="105">
        <v>1953.6</v>
      </c>
      <c r="CD31" s="105">
        <v>17</v>
      </c>
      <c r="CE31" s="105">
        <v>3019.2</v>
      </c>
      <c r="CF31" s="105">
        <v>11</v>
      </c>
      <c r="CG31" s="105">
        <v>1953.6</v>
      </c>
      <c r="CH31" s="105">
        <v>10</v>
      </c>
      <c r="CI31" s="105">
        <v>1776</v>
      </c>
      <c r="CJ31" s="105">
        <v>12</v>
      </c>
      <c r="CK31" s="105">
        <v>2131.1999999999998</v>
      </c>
      <c r="CL31" s="105">
        <v>13</v>
      </c>
      <c r="CM31" s="105">
        <v>2308.7999999999997</v>
      </c>
      <c r="CN31" s="105">
        <v>13</v>
      </c>
      <c r="CO31" s="105">
        <v>2308.7999999999997</v>
      </c>
      <c r="CP31" s="105">
        <v>12</v>
      </c>
      <c r="CQ31" s="105">
        <v>2131.1999999999998</v>
      </c>
      <c r="CR31" s="105">
        <v>14</v>
      </c>
      <c r="CS31" s="105">
        <v>2486.4</v>
      </c>
      <c r="CT31" s="105">
        <v>14</v>
      </c>
      <c r="CU31" s="105">
        <v>2486.4</v>
      </c>
    </row>
    <row r="32" spans="2:99" x14ac:dyDescent="0.2">
      <c r="C32" s="104" t="s">
        <v>200</v>
      </c>
      <c r="D32" s="105">
        <v>0</v>
      </c>
      <c r="E32" s="105">
        <v>0</v>
      </c>
      <c r="F32" s="105">
        <v>0</v>
      </c>
      <c r="G32" s="105">
        <v>0</v>
      </c>
      <c r="H32" s="105">
        <v>12</v>
      </c>
      <c r="I32" s="105">
        <v>7963.2000000000007</v>
      </c>
      <c r="J32" s="105">
        <v>9</v>
      </c>
      <c r="K32" s="105">
        <v>5972.4000000000005</v>
      </c>
      <c r="L32" s="105">
        <v>9</v>
      </c>
      <c r="M32" s="105">
        <v>5972.4000000000005</v>
      </c>
      <c r="N32" s="105">
        <v>17</v>
      </c>
      <c r="O32" s="105">
        <v>11281.2</v>
      </c>
      <c r="P32" s="105">
        <v>13</v>
      </c>
      <c r="Q32" s="105">
        <v>8626.8000000000011</v>
      </c>
      <c r="R32" s="105">
        <v>15</v>
      </c>
      <c r="S32" s="105">
        <v>9954</v>
      </c>
      <c r="T32" s="105">
        <v>10</v>
      </c>
      <c r="U32" s="105">
        <v>6636</v>
      </c>
      <c r="V32" s="105">
        <v>5.8304354874047437</v>
      </c>
      <c r="W32" s="105">
        <v>3869.0769894417881</v>
      </c>
      <c r="X32" s="105">
        <v>9</v>
      </c>
      <c r="Y32" s="105">
        <v>5972.4000000000005</v>
      </c>
      <c r="Z32" s="105">
        <v>11</v>
      </c>
      <c r="AA32" s="105">
        <v>7299.6</v>
      </c>
      <c r="AB32" s="105">
        <v>16</v>
      </c>
      <c r="AC32" s="105">
        <v>10617.6</v>
      </c>
      <c r="AD32" s="105">
        <v>9</v>
      </c>
      <c r="AE32" s="105">
        <v>5972.4000000000005</v>
      </c>
      <c r="AF32" s="105">
        <v>15</v>
      </c>
      <c r="AG32" s="105">
        <v>9954</v>
      </c>
      <c r="AH32" s="105">
        <v>9</v>
      </c>
      <c r="AI32" s="105">
        <v>5972.4000000000005</v>
      </c>
      <c r="AJ32" s="105">
        <v>11</v>
      </c>
      <c r="AK32" s="105">
        <v>7299.6</v>
      </c>
      <c r="AL32" s="105">
        <v>14</v>
      </c>
      <c r="AM32" s="105">
        <v>9290.4</v>
      </c>
      <c r="AN32" s="105">
        <v>14</v>
      </c>
      <c r="AO32" s="105">
        <v>9290.4</v>
      </c>
      <c r="AP32" s="105">
        <v>9</v>
      </c>
      <c r="AQ32" s="105">
        <v>5972.4000000000005</v>
      </c>
      <c r="AR32" s="105">
        <v>12</v>
      </c>
      <c r="AS32" s="105">
        <v>7963.2000000000007</v>
      </c>
      <c r="AT32" s="105">
        <v>11</v>
      </c>
      <c r="AU32" s="105">
        <v>7299.6</v>
      </c>
      <c r="AV32" s="105">
        <v>13</v>
      </c>
      <c r="AW32" s="105">
        <v>8626.8000000000011</v>
      </c>
      <c r="AX32" s="105">
        <v>16</v>
      </c>
      <c r="AY32" s="105">
        <v>10617.6</v>
      </c>
      <c r="AZ32" s="105">
        <v>12</v>
      </c>
      <c r="BA32" s="105">
        <v>7963.2000000000007</v>
      </c>
      <c r="BB32" s="105">
        <v>11</v>
      </c>
      <c r="BC32" s="105">
        <v>7299.6</v>
      </c>
      <c r="BD32" s="105">
        <v>11.940843189150453</v>
      </c>
      <c r="BE32" s="105">
        <v>7923.9435403202406</v>
      </c>
      <c r="BF32" s="105">
        <v>15.955593087019619</v>
      </c>
      <c r="BG32" s="105">
        <v>10588.131572546219</v>
      </c>
      <c r="BH32" s="105">
        <v>0</v>
      </c>
      <c r="BI32" s="105">
        <v>0</v>
      </c>
      <c r="BJ32" s="105">
        <v>16</v>
      </c>
      <c r="BK32" s="105">
        <v>10617.6</v>
      </c>
      <c r="BL32" s="105">
        <v>11</v>
      </c>
      <c r="BM32" s="105">
        <v>7299.6</v>
      </c>
      <c r="BN32" s="105">
        <v>16</v>
      </c>
      <c r="BO32" s="105">
        <v>10617.6</v>
      </c>
      <c r="BP32" s="105">
        <v>20</v>
      </c>
      <c r="BQ32" s="105">
        <v>13272</v>
      </c>
      <c r="BR32" s="105">
        <v>14</v>
      </c>
      <c r="BS32" s="105">
        <v>9290.4</v>
      </c>
      <c r="BT32" s="105">
        <v>10</v>
      </c>
      <c r="BU32" s="105">
        <v>6636</v>
      </c>
      <c r="BV32" s="105">
        <v>11</v>
      </c>
      <c r="BW32" s="105">
        <v>7299.6</v>
      </c>
      <c r="BX32" s="105">
        <v>17</v>
      </c>
      <c r="BY32" s="105">
        <v>11281.2</v>
      </c>
      <c r="BZ32" s="105">
        <v>17</v>
      </c>
      <c r="CA32" s="105">
        <v>11281.2</v>
      </c>
      <c r="CB32" s="105">
        <v>11</v>
      </c>
      <c r="CC32" s="105">
        <v>7299.6</v>
      </c>
      <c r="CD32" s="105">
        <v>18</v>
      </c>
      <c r="CE32" s="105">
        <v>11944.800000000001</v>
      </c>
      <c r="CF32" s="105">
        <v>12</v>
      </c>
      <c r="CG32" s="105">
        <v>7963.2000000000007</v>
      </c>
      <c r="CH32" s="105">
        <v>10</v>
      </c>
      <c r="CI32" s="105">
        <v>6636</v>
      </c>
      <c r="CJ32" s="105">
        <v>11.043574785926147</v>
      </c>
      <c r="CK32" s="105">
        <v>7328.5162279405913</v>
      </c>
      <c r="CL32" s="105">
        <v>11</v>
      </c>
      <c r="CM32" s="105">
        <v>7299.6</v>
      </c>
      <c r="CN32" s="105">
        <v>11</v>
      </c>
      <c r="CO32" s="105">
        <v>7299.6</v>
      </c>
      <c r="CP32" s="105">
        <v>10</v>
      </c>
      <c r="CQ32" s="105">
        <v>6636</v>
      </c>
      <c r="CR32" s="105">
        <v>12</v>
      </c>
      <c r="CS32" s="105">
        <v>7963.2000000000007</v>
      </c>
      <c r="CT32" s="105">
        <v>12</v>
      </c>
      <c r="CU32" s="105">
        <v>7963.2000000000007</v>
      </c>
    </row>
    <row r="33" spans="2:99" x14ac:dyDescent="0.2">
      <c r="C33" s="104" t="s">
        <v>201</v>
      </c>
      <c r="D33" s="105">
        <v>0</v>
      </c>
      <c r="E33" s="105">
        <v>0</v>
      </c>
      <c r="F33" s="105">
        <v>0</v>
      </c>
      <c r="G33" s="105">
        <v>0</v>
      </c>
      <c r="H33" s="105">
        <v>12</v>
      </c>
      <c r="I33" s="105">
        <v>4017.6000000000004</v>
      </c>
      <c r="J33" s="105">
        <v>10</v>
      </c>
      <c r="K33" s="105">
        <v>3348</v>
      </c>
      <c r="L33" s="105">
        <v>9</v>
      </c>
      <c r="M33" s="105">
        <v>3013.2000000000003</v>
      </c>
      <c r="N33" s="105">
        <v>16</v>
      </c>
      <c r="O33" s="105">
        <v>5356.8</v>
      </c>
      <c r="P33" s="105">
        <v>15</v>
      </c>
      <c r="Q33" s="105">
        <v>5022</v>
      </c>
      <c r="R33" s="105">
        <v>15</v>
      </c>
      <c r="S33" s="105">
        <v>5022</v>
      </c>
      <c r="T33" s="105">
        <v>11</v>
      </c>
      <c r="U33" s="105">
        <v>3682.8</v>
      </c>
      <c r="V33" s="105">
        <v>13</v>
      </c>
      <c r="W33" s="105">
        <v>4352.4000000000005</v>
      </c>
      <c r="X33" s="105">
        <v>9</v>
      </c>
      <c r="Y33" s="105">
        <v>3013.2000000000003</v>
      </c>
      <c r="Z33" s="105">
        <v>12</v>
      </c>
      <c r="AA33" s="105">
        <v>4017.6000000000004</v>
      </c>
      <c r="AB33" s="105">
        <v>15</v>
      </c>
      <c r="AC33" s="105">
        <v>5022</v>
      </c>
      <c r="AD33" s="105">
        <v>9</v>
      </c>
      <c r="AE33" s="105">
        <v>3013.2000000000003</v>
      </c>
      <c r="AF33" s="105">
        <v>16</v>
      </c>
      <c r="AG33" s="105">
        <v>5356.8</v>
      </c>
      <c r="AH33" s="105">
        <v>9</v>
      </c>
      <c r="AI33" s="105">
        <v>3013.2000000000003</v>
      </c>
      <c r="AJ33" s="105">
        <v>10</v>
      </c>
      <c r="AK33" s="105">
        <v>3348</v>
      </c>
      <c r="AL33" s="105">
        <v>13</v>
      </c>
      <c r="AM33" s="105">
        <v>4352.4000000000005</v>
      </c>
      <c r="AN33" s="105">
        <v>14</v>
      </c>
      <c r="AO33" s="105">
        <v>4687.2</v>
      </c>
      <c r="AP33" s="105">
        <v>10</v>
      </c>
      <c r="AQ33" s="105">
        <v>3348</v>
      </c>
      <c r="AR33" s="105">
        <v>14</v>
      </c>
      <c r="AS33" s="105">
        <v>4687.2</v>
      </c>
      <c r="AT33" s="105">
        <v>10</v>
      </c>
      <c r="AU33" s="105">
        <v>3348</v>
      </c>
      <c r="AV33" s="105">
        <v>13</v>
      </c>
      <c r="AW33" s="105">
        <v>4352.4000000000005</v>
      </c>
      <c r="AX33" s="105">
        <v>17</v>
      </c>
      <c r="AY33" s="105">
        <v>5691.6</v>
      </c>
      <c r="AZ33" s="105">
        <v>12</v>
      </c>
      <c r="BA33" s="105">
        <v>4017.6000000000004</v>
      </c>
      <c r="BB33" s="105">
        <v>11</v>
      </c>
      <c r="BC33" s="105">
        <v>3682.8</v>
      </c>
      <c r="BD33" s="105">
        <v>14</v>
      </c>
      <c r="BE33" s="105">
        <v>4687.2</v>
      </c>
      <c r="BF33" s="105">
        <v>17</v>
      </c>
      <c r="BG33" s="105">
        <v>5691.6</v>
      </c>
      <c r="BH33" s="105">
        <v>13</v>
      </c>
      <c r="BI33" s="105">
        <v>4352.4000000000005</v>
      </c>
      <c r="BJ33" s="105">
        <v>18</v>
      </c>
      <c r="BK33" s="105">
        <v>6026.4000000000005</v>
      </c>
      <c r="BL33" s="105">
        <v>13</v>
      </c>
      <c r="BM33" s="105">
        <v>4352.4000000000005</v>
      </c>
      <c r="BN33" s="105">
        <v>16</v>
      </c>
      <c r="BO33" s="105">
        <v>5356.8</v>
      </c>
      <c r="BP33" s="105">
        <v>19</v>
      </c>
      <c r="BQ33" s="105">
        <v>6361.2</v>
      </c>
      <c r="BR33" s="105">
        <v>13</v>
      </c>
      <c r="BS33" s="105">
        <v>4352.4000000000005</v>
      </c>
      <c r="BT33" s="105">
        <v>11</v>
      </c>
      <c r="BU33" s="105">
        <v>3682.8</v>
      </c>
      <c r="BV33" s="105">
        <v>11</v>
      </c>
      <c r="BW33" s="105">
        <v>3682.8</v>
      </c>
      <c r="BX33" s="105">
        <v>19</v>
      </c>
      <c r="BY33" s="105">
        <v>6361.2</v>
      </c>
      <c r="BZ33" s="105">
        <v>15</v>
      </c>
      <c r="CA33" s="105">
        <v>5022</v>
      </c>
      <c r="CB33" s="105">
        <v>12</v>
      </c>
      <c r="CC33" s="105">
        <v>4017.6000000000004</v>
      </c>
      <c r="CD33" s="105">
        <v>17</v>
      </c>
      <c r="CE33" s="105">
        <v>5691.6</v>
      </c>
      <c r="CF33" s="105">
        <v>13</v>
      </c>
      <c r="CG33" s="105">
        <v>4352.4000000000005</v>
      </c>
      <c r="CH33" s="105">
        <v>11</v>
      </c>
      <c r="CI33" s="105">
        <v>3682.8</v>
      </c>
      <c r="CJ33" s="105">
        <v>13</v>
      </c>
      <c r="CK33" s="105">
        <v>4352.4000000000005</v>
      </c>
      <c r="CL33" s="105">
        <v>13</v>
      </c>
      <c r="CM33" s="105">
        <v>4352.4000000000005</v>
      </c>
      <c r="CN33" s="105">
        <v>12</v>
      </c>
      <c r="CO33" s="105">
        <v>4017.6000000000004</v>
      </c>
      <c r="CP33" s="105">
        <v>10</v>
      </c>
      <c r="CQ33" s="105">
        <v>3348</v>
      </c>
      <c r="CR33" s="105">
        <v>12</v>
      </c>
      <c r="CS33" s="105">
        <v>4017.6000000000004</v>
      </c>
      <c r="CT33" s="105">
        <v>13</v>
      </c>
      <c r="CU33" s="105">
        <v>4352.4000000000005</v>
      </c>
    </row>
    <row r="34" spans="2:99" x14ac:dyDescent="0.2">
      <c r="C34" s="104" t="s">
        <v>202</v>
      </c>
      <c r="D34" s="105">
        <v>0</v>
      </c>
      <c r="E34" s="105">
        <v>0</v>
      </c>
      <c r="F34" s="105">
        <v>0</v>
      </c>
      <c r="G34" s="105">
        <v>0</v>
      </c>
      <c r="H34" s="105">
        <v>11</v>
      </c>
      <c r="I34" s="105">
        <v>4184.3999999999996</v>
      </c>
      <c r="J34" s="105">
        <v>10</v>
      </c>
      <c r="K34" s="105">
        <v>3804</v>
      </c>
      <c r="L34" s="105">
        <v>10</v>
      </c>
      <c r="M34" s="105">
        <v>3804</v>
      </c>
      <c r="N34" s="105">
        <v>16</v>
      </c>
      <c r="O34" s="105">
        <v>6086.4</v>
      </c>
      <c r="P34" s="105">
        <v>15</v>
      </c>
      <c r="Q34" s="105">
        <v>5706</v>
      </c>
      <c r="R34" s="105">
        <v>14</v>
      </c>
      <c r="S34" s="105">
        <v>5325.5999999999995</v>
      </c>
      <c r="T34" s="105">
        <v>10</v>
      </c>
      <c r="U34" s="105">
        <v>3804</v>
      </c>
      <c r="V34" s="105">
        <v>14</v>
      </c>
      <c r="W34" s="105">
        <v>5325.5999999999995</v>
      </c>
      <c r="X34" s="105">
        <v>9</v>
      </c>
      <c r="Y34" s="105">
        <v>3423.6</v>
      </c>
      <c r="Z34" s="105">
        <v>11</v>
      </c>
      <c r="AA34" s="105">
        <v>4184.3999999999996</v>
      </c>
      <c r="AB34" s="105">
        <v>15</v>
      </c>
      <c r="AC34" s="105">
        <v>5706</v>
      </c>
      <c r="AD34" s="105">
        <v>11</v>
      </c>
      <c r="AE34" s="105">
        <v>4184.3999999999996</v>
      </c>
      <c r="AF34" s="105">
        <v>14</v>
      </c>
      <c r="AG34" s="105">
        <v>5325.5999999999995</v>
      </c>
      <c r="AH34" s="105">
        <v>10</v>
      </c>
      <c r="AI34" s="105">
        <v>3804</v>
      </c>
      <c r="AJ34" s="105">
        <v>11</v>
      </c>
      <c r="AK34" s="105">
        <v>4184.3999999999996</v>
      </c>
      <c r="AL34" s="105">
        <v>13</v>
      </c>
      <c r="AM34" s="105">
        <v>4945.2</v>
      </c>
      <c r="AN34" s="105">
        <v>15</v>
      </c>
      <c r="AO34" s="105">
        <v>5706</v>
      </c>
      <c r="AP34" s="105">
        <v>9</v>
      </c>
      <c r="AQ34" s="105">
        <v>3423.6</v>
      </c>
      <c r="AR34" s="105">
        <v>13</v>
      </c>
      <c r="AS34" s="105">
        <v>4945.2</v>
      </c>
      <c r="AT34" s="105">
        <v>10</v>
      </c>
      <c r="AU34" s="105">
        <v>3804</v>
      </c>
      <c r="AV34" s="105">
        <v>14</v>
      </c>
      <c r="AW34" s="105">
        <v>5325.5999999999995</v>
      </c>
      <c r="AX34" s="105">
        <v>17</v>
      </c>
      <c r="AY34" s="105">
        <v>6466.7999999999993</v>
      </c>
      <c r="AZ34" s="105">
        <v>13</v>
      </c>
      <c r="BA34" s="105">
        <v>4945.2</v>
      </c>
      <c r="BB34" s="105">
        <v>12</v>
      </c>
      <c r="BC34" s="105">
        <v>4564.7999999999993</v>
      </c>
      <c r="BD34" s="105">
        <v>12</v>
      </c>
      <c r="BE34" s="105">
        <v>4564.7999999999993</v>
      </c>
      <c r="BF34" s="105">
        <v>19</v>
      </c>
      <c r="BG34" s="105">
        <v>7227.5999999999995</v>
      </c>
      <c r="BH34" s="105">
        <v>13</v>
      </c>
      <c r="BI34" s="105">
        <v>4945.2</v>
      </c>
      <c r="BJ34" s="105">
        <v>18</v>
      </c>
      <c r="BK34" s="105">
        <v>6847.2</v>
      </c>
      <c r="BL34" s="105">
        <v>12</v>
      </c>
      <c r="BM34" s="105">
        <v>4564.7999999999993</v>
      </c>
      <c r="BN34" s="105">
        <v>17</v>
      </c>
      <c r="BO34" s="105">
        <v>6466.7999999999993</v>
      </c>
      <c r="BP34" s="105">
        <v>20</v>
      </c>
      <c r="BQ34" s="105">
        <v>7608</v>
      </c>
      <c r="BR34" s="105">
        <v>14</v>
      </c>
      <c r="BS34" s="105">
        <v>5325.5999999999995</v>
      </c>
      <c r="BT34" s="105">
        <v>11</v>
      </c>
      <c r="BU34" s="105">
        <v>4184.3999999999996</v>
      </c>
      <c r="BV34" s="105">
        <v>11</v>
      </c>
      <c r="BW34" s="105">
        <v>4184.3999999999996</v>
      </c>
      <c r="BX34" s="105">
        <v>16</v>
      </c>
      <c r="BY34" s="105">
        <v>6086.4</v>
      </c>
      <c r="BZ34" s="105">
        <v>16</v>
      </c>
      <c r="CA34" s="105">
        <v>6086.4</v>
      </c>
      <c r="CB34" s="105">
        <v>13</v>
      </c>
      <c r="CC34" s="105">
        <v>4945.2</v>
      </c>
      <c r="CD34" s="105">
        <v>18</v>
      </c>
      <c r="CE34" s="105">
        <v>6847.2</v>
      </c>
      <c r="CF34" s="105">
        <v>13</v>
      </c>
      <c r="CG34" s="105">
        <v>4945.2</v>
      </c>
      <c r="CH34" s="105">
        <v>11</v>
      </c>
      <c r="CI34" s="105">
        <v>4184.3999999999996</v>
      </c>
      <c r="CJ34" s="105">
        <v>13</v>
      </c>
      <c r="CK34" s="105">
        <v>4945.2</v>
      </c>
      <c r="CL34" s="105">
        <v>11</v>
      </c>
      <c r="CM34" s="105">
        <v>4184.3999999999996</v>
      </c>
      <c r="CN34" s="105">
        <v>13</v>
      </c>
      <c r="CO34" s="105">
        <v>4945.2</v>
      </c>
      <c r="CP34" s="105">
        <v>10</v>
      </c>
      <c r="CQ34" s="105">
        <v>3804</v>
      </c>
      <c r="CR34" s="105">
        <v>12</v>
      </c>
      <c r="CS34" s="105">
        <v>4564.7999999999993</v>
      </c>
      <c r="CT34" s="105">
        <v>12</v>
      </c>
      <c r="CU34" s="105">
        <v>4564.7999999999993</v>
      </c>
    </row>
    <row r="35" spans="2:99" x14ac:dyDescent="0.2">
      <c r="C35" s="104" t="s">
        <v>203</v>
      </c>
      <c r="D35" s="105">
        <v>0</v>
      </c>
      <c r="E35" s="105">
        <v>0</v>
      </c>
      <c r="F35" s="105">
        <v>0</v>
      </c>
      <c r="G35" s="105">
        <v>0</v>
      </c>
      <c r="H35" s="105">
        <v>13</v>
      </c>
      <c r="I35" s="105">
        <v>5335.2</v>
      </c>
      <c r="J35" s="105">
        <v>10</v>
      </c>
      <c r="K35" s="105">
        <v>4104</v>
      </c>
      <c r="L35" s="105">
        <v>10</v>
      </c>
      <c r="M35" s="105">
        <v>4104</v>
      </c>
      <c r="N35" s="105">
        <v>16</v>
      </c>
      <c r="O35" s="105">
        <v>6566.4</v>
      </c>
      <c r="P35" s="105">
        <v>14</v>
      </c>
      <c r="Q35" s="105">
        <v>5745.5999999999995</v>
      </c>
      <c r="R35" s="105">
        <v>16</v>
      </c>
      <c r="S35" s="105">
        <v>6566.4</v>
      </c>
      <c r="T35" s="105">
        <v>10</v>
      </c>
      <c r="U35" s="105">
        <v>4104</v>
      </c>
      <c r="V35" s="105">
        <v>12</v>
      </c>
      <c r="W35" s="105">
        <v>4924.7999999999993</v>
      </c>
      <c r="X35" s="105">
        <v>10</v>
      </c>
      <c r="Y35" s="105">
        <v>4104</v>
      </c>
      <c r="Z35" s="105">
        <v>12</v>
      </c>
      <c r="AA35" s="105">
        <v>4924.7999999999993</v>
      </c>
      <c r="AB35" s="105">
        <v>15</v>
      </c>
      <c r="AC35" s="105">
        <v>6156</v>
      </c>
      <c r="AD35" s="105">
        <v>10</v>
      </c>
      <c r="AE35" s="105">
        <v>4104</v>
      </c>
      <c r="AF35" s="105">
        <v>15</v>
      </c>
      <c r="AG35" s="105">
        <v>6156</v>
      </c>
      <c r="AH35" s="105">
        <v>11</v>
      </c>
      <c r="AI35" s="105">
        <v>4514.3999999999996</v>
      </c>
      <c r="AJ35" s="105">
        <v>12</v>
      </c>
      <c r="AK35" s="105">
        <v>4924.7999999999993</v>
      </c>
      <c r="AL35" s="105">
        <v>14</v>
      </c>
      <c r="AM35" s="105">
        <v>5745.5999999999995</v>
      </c>
      <c r="AN35" s="105">
        <v>15</v>
      </c>
      <c r="AO35" s="105">
        <v>6156</v>
      </c>
      <c r="AP35" s="105">
        <v>10</v>
      </c>
      <c r="AQ35" s="105">
        <v>4104</v>
      </c>
      <c r="AR35" s="105">
        <v>12</v>
      </c>
      <c r="AS35" s="105">
        <v>4924.7999999999993</v>
      </c>
      <c r="AT35" s="105">
        <v>11</v>
      </c>
      <c r="AU35" s="105">
        <v>4514.3999999999996</v>
      </c>
      <c r="AV35" s="105">
        <v>12</v>
      </c>
      <c r="AW35" s="105">
        <v>4924.7999999999993</v>
      </c>
      <c r="AX35" s="105">
        <v>15</v>
      </c>
      <c r="AY35" s="105">
        <v>6156</v>
      </c>
      <c r="AZ35" s="105">
        <v>14</v>
      </c>
      <c r="BA35" s="105">
        <v>5745.5999999999995</v>
      </c>
      <c r="BB35" s="105">
        <v>10</v>
      </c>
      <c r="BC35" s="105">
        <v>4104</v>
      </c>
      <c r="BD35" s="105">
        <v>14</v>
      </c>
      <c r="BE35" s="105">
        <v>5745.5999999999995</v>
      </c>
      <c r="BF35" s="105">
        <v>19</v>
      </c>
      <c r="BG35" s="105">
        <v>7797.5999999999995</v>
      </c>
      <c r="BH35" s="105">
        <v>13</v>
      </c>
      <c r="BI35" s="105">
        <v>5335.2</v>
      </c>
      <c r="BJ35" s="105">
        <v>18</v>
      </c>
      <c r="BK35" s="105">
        <v>7387.2</v>
      </c>
      <c r="BL35" s="105">
        <v>12</v>
      </c>
      <c r="BM35" s="105">
        <v>4924.7999999999993</v>
      </c>
      <c r="BN35" s="105">
        <v>17</v>
      </c>
      <c r="BO35" s="105">
        <v>6976.7999999999993</v>
      </c>
      <c r="BP35" s="105">
        <v>16</v>
      </c>
      <c r="BQ35" s="105">
        <v>6566.4</v>
      </c>
      <c r="BR35" s="105">
        <v>14</v>
      </c>
      <c r="BS35" s="105">
        <v>5745.5999999999995</v>
      </c>
      <c r="BT35" s="105">
        <v>10</v>
      </c>
      <c r="BU35" s="105">
        <v>4104</v>
      </c>
      <c r="BV35" s="105">
        <v>11</v>
      </c>
      <c r="BW35" s="105">
        <v>4514.3999999999996</v>
      </c>
      <c r="BX35" s="105">
        <v>18</v>
      </c>
      <c r="BY35" s="105">
        <v>7387.2</v>
      </c>
      <c r="BZ35" s="105">
        <v>17</v>
      </c>
      <c r="CA35" s="105">
        <v>6976.7999999999993</v>
      </c>
      <c r="CB35" s="105">
        <v>11</v>
      </c>
      <c r="CC35" s="105">
        <v>4514.3999999999996</v>
      </c>
      <c r="CD35" s="105">
        <v>16</v>
      </c>
      <c r="CE35" s="105">
        <v>6566.4</v>
      </c>
      <c r="CF35" s="105">
        <v>12</v>
      </c>
      <c r="CG35" s="105">
        <v>4924.7999999999993</v>
      </c>
      <c r="CH35" s="105">
        <v>11</v>
      </c>
      <c r="CI35" s="105">
        <v>4514.3999999999996</v>
      </c>
      <c r="CJ35" s="105">
        <v>12</v>
      </c>
      <c r="CK35" s="105">
        <v>4924.7999999999993</v>
      </c>
      <c r="CL35" s="105">
        <v>12</v>
      </c>
      <c r="CM35" s="105">
        <v>4924.7999999999993</v>
      </c>
      <c r="CN35" s="105">
        <v>12</v>
      </c>
      <c r="CO35" s="105">
        <v>4924.7999999999993</v>
      </c>
      <c r="CP35" s="105">
        <v>12</v>
      </c>
      <c r="CQ35" s="105">
        <v>4924.7999999999993</v>
      </c>
      <c r="CR35" s="105">
        <v>13</v>
      </c>
      <c r="CS35" s="105">
        <v>5335.2</v>
      </c>
      <c r="CT35" s="105">
        <v>13</v>
      </c>
      <c r="CU35" s="105">
        <v>5335.2</v>
      </c>
    </row>
    <row r="36" spans="2:99" x14ac:dyDescent="0.2">
      <c r="C36" s="104" t="s">
        <v>204</v>
      </c>
      <c r="D36" s="105">
        <v>0</v>
      </c>
      <c r="E36" s="105">
        <v>0</v>
      </c>
      <c r="F36" s="105">
        <v>0</v>
      </c>
      <c r="G36" s="105">
        <v>0</v>
      </c>
      <c r="H36" s="105">
        <v>12</v>
      </c>
      <c r="I36" s="105">
        <v>5500.7999999999993</v>
      </c>
      <c r="J36" s="105">
        <v>8</v>
      </c>
      <c r="K36" s="105">
        <v>3667.2</v>
      </c>
      <c r="L36" s="105">
        <v>9</v>
      </c>
      <c r="M36" s="105">
        <v>4125.5999999999995</v>
      </c>
      <c r="N36" s="105">
        <v>18</v>
      </c>
      <c r="O36" s="105">
        <v>8251.1999999999989</v>
      </c>
      <c r="P36" s="105">
        <v>14</v>
      </c>
      <c r="Q36" s="105">
        <v>6417.5999999999995</v>
      </c>
      <c r="R36" s="105">
        <v>15</v>
      </c>
      <c r="S36" s="105">
        <v>6876</v>
      </c>
      <c r="T36" s="105">
        <v>10</v>
      </c>
      <c r="U36" s="105">
        <v>4584</v>
      </c>
      <c r="V36" s="105">
        <v>5.8304354874047437</v>
      </c>
      <c r="W36" s="105">
        <v>2672.6716274263345</v>
      </c>
      <c r="X36" s="105">
        <v>9</v>
      </c>
      <c r="Y36" s="105">
        <v>4125.5999999999995</v>
      </c>
      <c r="Z36" s="105">
        <v>11</v>
      </c>
      <c r="AA36" s="105">
        <v>5042.3999999999996</v>
      </c>
      <c r="AB36" s="105">
        <v>16</v>
      </c>
      <c r="AC36" s="105">
        <v>7334.4</v>
      </c>
      <c r="AD36" s="105">
        <v>10</v>
      </c>
      <c r="AE36" s="105">
        <v>4584</v>
      </c>
      <c r="AF36" s="105">
        <v>15</v>
      </c>
      <c r="AG36" s="105">
        <v>6876</v>
      </c>
      <c r="AH36" s="105">
        <v>9</v>
      </c>
      <c r="AI36" s="105">
        <v>4125.5999999999995</v>
      </c>
      <c r="AJ36" s="105">
        <v>10</v>
      </c>
      <c r="AK36" s="105">
        <v>4584</v>
      </c>
      <c r="AL36" s="105">
        <v>13</v>
      </c>
      <c r="AM36" s="105">
        <v>5959.2</v>
      </c>
      <c r="AN36" s="105">
        <v>16</v>
      </c>
      <c r="AO36" s="105">
        <v>7334.4</v>
      </c>
      <c r="AP36" s="105">
        <v>9</v>
      </c>
      <c r="AQ36" s="105">
        <v>4125.5999999999995</v>
      </c>
      <c r="AR36" s="105">
        <v>13</v>
      </c>
      <c r="AS36" s="105">
        <v>5959.2</v>
      </c>
      <c r="AT36" s="105">
        <v>11</v>
      </c>
      <c r="AU36" s="105">
        <v>5042.3999999999996</v>
      </c>
      <c r="AV36" s="105">
        <v>14</v>
      </c>
      <c r="AW36" s="105">
        <v>6417.5999999999995</v>
      </c>
      <c r="AX36" s="105">
        <v>15</v>
      </c>
      <c r="AY36" s="105">
        <v>6876</v>
      </c>
      <c r="AZ36" s="105">
        <v>12</v>
      </c>
      <c r="BA36" s="105">
        <v>5500.7999999999993</v>
      </c>
      <c r="BB36" s="105">
        <v>10</v>
      </c>
      <c r="BC36" s="105">
        <v>4584</v>
      </c>
      <c r="BD36" s="105">
        <v>11.087925818496849</v>
      </c>
      <c r="BE36" s="105">
        <v>5082.7051951989552</v>
      </c>
      <c r="BF36" s="105">
        <v>15.955593087019619</v>
      </c>
      <c r="BG36" s="105">
        <v>7314.0438710897924</v>
      </c>
      <c r="BH36" s="105">
        <v>0</v>
      </c>
      <c r="BI36" s="105">
        <v>0</v>
      </c>
      <c r="BJ36" s="105">
        <v>17</v>
      </c>
      <c r="BK36" s="105">
        <v>7792.7999999999993</v>
      </c>
      <c r="BL36" s="105">
        <v>13</v>
      </c>
      <c r="BM36" s="105">
        <v>5959.2</v>
      </c>
      <c r="BN36" s="105">
        <v>15</v>
      </c>
      <c r="BO36" s="105">
        <v>6876</v>
      </c>
      <c r="BP36" s="105">
        <v>20</v>
      </c>
      <c r="BQ36" s="105">
        <v>9168</v>
      </c>
      <c r="BR36" s="105">
        <v>13</v>
      </c>
      <c r="BS36" s="105">
        <v>5959.2</v>
      </c>
      <c r="BT36" s="105">
        <v>11</v>
      </c>
      <c r="BU36" s="105">
        <v>5042.3999999999996</v>
      </c>
      <c r="BV36" s="105">
        <v>11</v>
      </c>
      <c r="BW36" s="105">
        <v>5042.3999999999996</v>
      </c>
      <c r="BX36" s="105">
        <v>18</v>
      </c>
      <c r="BY36" s="105">
        <v>8251.1999999999989</v>
      </c>
      <c r="BZ36" s="105">
        <v>17</v>
      </c>
      <c r="CA36" s="105">
        <v>7792.7999999999993</v>
      </c>
      <c r="CB36" s="105">
        <v>11</v>
      </c>
      <c r="CC36" s="105">
        <v>5042.3999999999996</v>
      </c>
      <c r="CD36" s="105">
        <v>17</v>
      </c>
      <c r="CE36" s="105">
        <v>7792.7999999999993</v>
      </c>
      <c r="CF36" s="105">
        <v>13</v>
      </c>
      <c r="CG36" s="105">
        <v>5959.2</v>
      </c>
      <c r="CH36" s="105">
        <v>9</v>
      </c>
      <c r="CI36" s="105">
        <v>4125.5999999999995</v>
      </c>
      <c r="CJ36" s="105">
        <v>11.043574785926147</v>
      </c>
      <c r="CK36" s="105">
        <v>5062.3746818685458</v>
      </c>
      <c r="CL36" s="105">
        <v>11</v>
      </c>
      <c r="CM36" s="105">
        <v>5042.3999999999996</v>
      </c>
      <c r="CN36" s="105">
        <v>12</v>
      </c>
      <c r="CO36" s="105">
        <v>5500.7999999999993</v>
      </c>
      <c r="CP36" s="105">
        <v>11</v>
      </c>
      <c r="CQ36" s="105">
        <v>5042.3999999999996</v>
      </c>
      <c r="CR36" s="105">
        <v>12</v>
      </c>
      <c r="CS36" s="105">
        <v>5500.7999999999993</v>
      </c>
      <c r="CT36" s="105">
        <v>13</v>
      </c>
      <c r="CU36" s="105">
        <v>5959.2</v>
      </c>
    </row>
    <row r="37" spans="2:99" x14ac:dyDescent="0.2">
      <c r="B37" s="104" t="s">
        <v>128</v>
      </c>
      <c r="C37" s="104" t="s">
        <v>205</v>
      </c>
      <c r="D37" s="105">
        <v>0</v>
      </c>
      <c r="E37" s="105">
        <v>0</v>
      </c>
      <c r="F37" s="105">
        <v>0</v>
      </c>
      <c r="G37" s="105">
        <v>0</v>
      </c>
      <c r="H37" s="105">
        <v>7</v>
      </c>
      <c r="I37" s="105">
        <v>4561.2</v>
      </c>
      <c r="J37" s="105">
        <v>5</v>
      </c>
      <c r="K37" s="105">
        <v>3258</v>
      </c>
      <c r="L37" s="105">
        <v>7</v>
      </c>
      <c r="M37" s="105">
        <v>4561.2</v>
      </c>
      <c r="N37" s="105">
        <v>7</v>
      </c>
      <c r="O37" s="105">
        <v>4561.2</v>
      </c>
      <c r="P37" s="105">
        <v>4</v>
      </c>
      <c r="Q37" s="105">
        <v>2606.4</v>
      </c>
      <c r="R37" s="105">
        <v>8</v>
      </c>
      <c r="S37" s="105">
        <v>5212.8</v>
      </c>
      <c r="T37" s="105">
        <v>5</v>
      </c>
      <c r="U37" s="105">
        <v>3258</v>
      </c>
      <c r="V37" s="105">
        <v>7</v>
      </c>
      <c r="W37" s="105">
        <v>4561.2</v>
      </c>
      <c r="X37" s="105">
        <v>6</v>
      </c>
      <c r="Y37" s="105">
        <v>3909.6000000000004</v>
      </c>
      <c r="Z37" s="105">
        <v>5</v>
      </c>
      <c r="AA37" s="105">
        <v>3258</v>
      </c>
      <c r="AB37" s="105">
        <v>5</v>
      </c>
      <c r="AC37" s="105">
        <v>3258</v>
      </c>
      <c r="AD37" s="105">
        <v>5</v>
      </c>
      <c r="AE37" s="105">
        <v>3258</v>
      </c>
      <c r="AF37" s="105">
        <v>6</v>
      </c>
      <c r="AG37" s="105">
        <v>3909.6000000000004</v>
      </c>
      <c r="AH37" s="105">
        <v>5</v>
      </c>
      <c r="AI37" s="105">
        <v>3258</v>
      </c>
      <c r="AJ37" s="105">
        <v>7</v>
      </c>
      <c r="AK37" s="105">
        <v>4561.2</v>
      </c>
      <c r="AL37" s="105">
        <v>6</v>
      </c>
      <c r="AM37" s="105">
        <v>3909.6000000000004</v>
      </c>
      <c r="AN37" s="105">
        <v>6</v>
      </c>
      <c r="AO37" s="105">
        <v>3909.6000000000004</v>
      </c>
      <c r="AP37" s="105">
        <v>6</v>
      </c>
      <c r="AQ37" s="105">
        <v>3909.6000000000004</v>
      </c>
      <c r="AR37" s="105">
        <v>6</v>
      </c>
      <c r="AS37" s="105">
        <v>3909.6000000000004</v>
      </c>
      <c r="AT37" s="105">
        <v>6</v>
      </c>
      <c r="AU37" s="105">
        <v>3909.6000000000004</v>
      </c>
      <c r="AV37" s="105">
        <v>4</v>
      </c>
      <c r="AW37" s="105">
        <v>2606.4</v>
      </c>
      <c r="AX37" s="105">
        <v>8</v>
      </c>
      <c r="AY37" s="105">
        <v>5212.8</v>
      </c>
      <c r="AZ37" s="105">
        <v>5</v>
      </c>
      <c r="BA37" s="105">
        <v>3258</v>
      </c>
      <c r="BB37" s="105">
        <v>7</v>
      </c>
      <c r="BC37" s="105">
        <v>4561.2</v>
      </c>
      <c r="BD37" s="105">
        <v>9</v>
      </c>
      <c r="BE37" s="105">
        <v>5864.4000000000005</v>
      </c>
      <c r="BF37" s="105">
        <v>5</v>
      </c>
      <c r="BG37" s="105">
        <v>3258</v>
      </c>
      <c r="BH37" s="105">
        <v>8</v>
      </c>
      <c r="BI37" s="105">
        <v>5212.8</v>
      </c>
      <c r="BJ37" s="105">
        <v>7</v>
      </c>
      <c r="BK37" s="105">
        <v>4561.2</v>
      </c>
      <c r="BL37" s="105">
        <v>6</v>
      </c>
      <c r="BM37" s="105">
        <v>3909.6000000000004</v>
      </c>
      <c r="BN37" s="105">
        <v>4</v>
      </c>
      <c r="BO37" s="105">
        <v>2606.4</v>
      </c>
      <c r="BP37" s="105">
        <v>8</v>
      </c>
      <c r="BQ37" s="105">
        <v>5212.8</v>
      </c>
      <c r="BR37" s="105">
        <v>7</v>
      </c>
      <c r="BS37" s="105">
        <v>4561.2</v>
      </c>
      <c r="BT37" s="105">
        <v>5</v>
      </c>
      <c r="BU37" s="105">
        <v>3258</v>
      </c>
      <c r="BV37" s="105">
        <v>7</v>
      </c>
      <c r="BW37" s="105">
        <v>4561.2</v>
      </c>
      <c r="BX37" s="105">
        <v>6</v>
      </c>
      <c r="BY37" s="105">
        <v>3909.6000000000004</v>
      </c>
      <c r="BZ37" s="105">
        <v>7</v>
      </c>
      <c r="CA37" s="105">
        <v>4561.2</v>
      </c>
      <c r="CB37" s="105">
        <v>7</v>
      </c>
      <c r="CC37" s="105">
        <v>4561.2</v>
      </c>
      <c r="CD37" s="105">
        <v>4</v>
      </c>
      <c r="CE37" s="105">
        <v>2606.4</v>
      </c>
      <c r="CF37" s="105">
        <v>5</v>
      </c>
      <c r="CG37" s="105">
        <v>3258</v>
      </c>
      <c r="CH37" s="105">
        <v>8</v>
      </c>
      <c r="CI37" s="105">
        <v>5212.8</v>
      </c>
      <c r="CJ37" s="105">
        <v>6</v>
      </c>
      <c r="CK37" s="105">
        <v>3909.6000000000004</v>
      </c>
      <c r="CL37" s="105">
        <v>8</v>
      </c>
      <c r="CM37" s="105">
        <v>5212.8</v>
      </c>
      <c r="CN37" s="105">
        <v>6</v>
      </c>
      <c r="CO37" s="105">
        <v>3909.6000000000004</v>
      </c>
      <c r="CP37" s="105">
        <v>7</v>
      </c>
      <c r="CQ37" s="105">
        <v>4561.2</v>
      </c>
      <c r="CR37" s="105">
        <v>8</v>
      </c>
      <c r="CS37" s="105">
        <v>5212.8</v>
      </c>
      <c r="CT37" s="105">
        <v>8</v>
      </c>
      <c r="CU37" s="105">
        <v>5212.8</v>
      </c>
    </row>
    <row r="38" spans="2:99" x14ac:dyDescent="0.2">
      <c r="C38" s="104" t="s">
        <v>206</v>
      </c>
      <c r="D38" s="105">
        <v>0</v>
      </c>
      <c r="E38" s="105">
        <v>0</v>
      </c>
      <c r="F38" s="105">
        <v>0</v>
      </c>
      <c r="G38" s="105">
        <v>0</v>
      </c>
      <c r="H38" s="105">
        <v>7</v>
      </c>
      <c r="I38" s="105">
        <v>7224</v>
      </c>
      <c r="J38" s="105">
        <v>5</v>
      </c>
      <c r="K38" s="105">
        <v>5160</v>
      </c>
      <c r="L38" s="105">
        <v>8</v>
      </c>
      <c r="M38" s="105">
        <v>8256</v>
      </c>
      <c r="N38" s="105">
        <v>7</v>
      </c>
      <c r="O38" s="105">
        <v>7224</v>
      </c>
      <c r="P38" s="105">
        <v>4</v>
      </c>
      <c r="Q38" s="105">
        <v>4128</v>
      </c>
      <c r="R38" s="105">
        <v>8</v>
      </c>
      <c r="S38" s="105">
        <v>8256</v>
      </c>
      <c r="T38" s="105">
        <v>5</v>
      </c>
      <c r="U38" s="105">
        <v>5160</v>
      </c>
      <c r="V38" s="105">
        <v>8</v>
      </c>
      <c r="W38" s="105">
        <v>8256</v>
      </c>
      <c r="X38" s="105">
        <v>6</v>
      </c>
      <c r="Y38" s="105">
        <v>6192</v>
      </c>
      <c r="Z38" s="105">
        <v>5</v>
      </c>
      <c r="AA38" s="105">
        <v>5160</v>
      </c>
      <c r="AB38" s="105">
        <v>5</v>
      </c>
      <c r="AC38" s="105">
        <v>5160</v>
      </c>
      <c r="AD38" s="105">
        <v>5</v>
      </c>
      <c r="AE38" s="105">
        <v>5160</v>
      </c>
      <c r="AF38" s="105">
        <v>6</v>
      </c>
      <c r="AG38" s="105">
        <v>6192</v>
      </c>
      <c r="AH38" s="105">
        <v>5</v>
      </c>
      <c r="AI38" s="105">
        <v>5160</v>
      </c>
      <c r="AJ38" s="105">
        <v>7</v>
      </c>
      <c r="AK38" s="105">
        <v>7224</v>
      </c>
      <c r="AL38" s="105">
        <v>6</v>
      </c>
      <c r="AM38" s="105">
        <v>6192</v>
      </c>
      <c r="AN38" s="105">
        <v>6</v>
      </c>
      <c r="AO38" s="105">
        <v>6192</v>
      </c>
      <c r="AP38" s="105">
        <v>7</v>
      </c>
      <c r="AQ38" s="105">
        <v>7224</v>
      </c>
      <c r="AR38" s="105">
        <v>7</v>
      </c>
      <c r="AS38" s="105">
        <v>7224</v>
      </c>
      <c r="AT38" s="105">
        <v>6</v>
      </c>
      <c r="AU38" s="105">
        <v>6192</v>
      </c>
      <c r="AV38" s="105">
        <v>4</v>
      </c>
      <c r="AW38" s="105">
        <v>4128</v>
      </c>
      <c r="AX38" s="105">
        <v>8</v>
      </c>
      <c r="AY38" s="105">
        <v>8256</v>
      </c>
      <c r="AZ38" s="105">
        <v>5</v>
      </c>
      <c r="BA38" s="105">
        <v>5160</v>
      </c>
      <c r="BB38" s="105">
        <v>5</v>
      </c>
      <c r="BC38" s="105">
        <v>5160</v>
      </c>
      <c r="BD38" s="105">
        <v>9</v>
      </c>
      <c r="BE38" s="105">
        <v>9288</v>
      </c>
      <c r="BF38" s="105">
        <v>4</v>
      </c>
      <c r="BG38" s="105">
        <v>4128</v>
      </c>
      <c r="BH38" s="105">
        <v>8</v>
      </c>
      <c r="BI38" s="105">
        <v>8256</v>
      </c>
      <c r="BJ38" s="105">
        <v>8</v>
      </c>
      <c r="BK38" s="105">
        <v>8256</v>
      </c>
      <c r="BL38" s="105">
        <v>5</v>
      </c>
      <c r="BM38" s="105">
        <v>5160</v>
      </c>
      <c r="BN38" s="105">
        <v>5</v>
      </c>
      <c r="BO38" s="105">
        <v>5160</v>
      </c>
      <c r="BP38" s="105">
        <v>9</v>
      </c>
      <c r="BQ38" s="105">
        <v>9288</v>
      </c>
      <c r="BR38" s="105">
        <v>8</v>
      </c>
      <c r="BS38" s="105">
        <v>8256</v>
      </c>
      <c r="BT38" s="105">
        <v>5</v>
      </c>
      <c r="BU38" s="105">
        <v>5160</v>
      </c>
      <c r="BV38" s="105">
        <v>7</v>
      </c>
      <c r="BW38" s="105">
        <v>7224</v>
      </c>
      <c r="BX38" s="105">
        <v>6</v>
      </c>
      <c r="BY38" s="105">
        <v>6192</v>
      </c>
      <c r="BZ38" s="105">
        <v>7</v>
      </c>
      <c r="CA38" s="105">
        <v>7224</v>
      </c>
      <c r="CB38" s="105">
        <v>6</v>
      </c>
      <c r="CC38" s="105">
        <v>6192</v>
      </c>
      <c r="CD38" s="105">
        <v>5</v>
      </c>
      <c r="CE38" s="105">
        <v>5160</v>
      </c>
      <c r="CF38" s="105">
        <v>5</v>
      </c>
      <c r="CG38" s="105">
        <v>5160</v>
      </c>
      <c r="CH38" s="105">
        <v>8</v>
      </c>
      <c r="CI38" s="105">
        <v>8256</v>
      </c>
      <c r="CJ38" s="105">
        <v>6</v>
      </c>
      <c r="CK38" s="105">
        <v>6192</v>
      </c>
      <c r="CL38" s="105">
        <v>8</v>
      </c>
      <c r="CM38" s="105">
        <v>8256</v>
      </c>
      <c r="CN38" s="105">
        <v>6</v>
      </c>
      <c r="CO38" s="105">
        <v>6192</v>
      </c>
      <c r="CP38" s="105">
        <v>7</v>
      </c>
      <c r="CQ38" s="105">
        <v>7224</v>
      </c>
      <c r="CR38" s="105">
        <v>7</v>
      </c>
      <c r="CS38" s="105">
        <v>7224</v>
      </c>
      <c r="CT38" s="105">
        <v>8</v>
      </c>
      <c r="CU38" s="105">
        <v>8256</v>
      </c>
    </row>
    <row r="39" spans="2:99" x14ac:dyDescent="0.2">
      <c r="C39" s="104" t="s">
        <v>207</v>
      </c>
      <c r="D39" s="105">
        <v>0</v>
      </c>
      <c r="E39" s="105">
        <v>0</v>
      </c>
      <c r="F39" s="105">
        <v>0</v>
      </c>
      <c r="G39" s="105">
        <v>0</v>
      </c>
      <c r="H39" s="105">
        <v>7</v>
      </c>
      <c r="I39" s="105">
        <v>8484</v>
      </c>
      <c r="J39" s="105">
        <v>5</v>
      </c>
      <c r="K39" s="105">
        <v>6060</v>
      </c>
      <c r="L39" s="105">
        <v>9</v>
      </c>
      <c r="M39" s="105">
        <v>10908</v>
      </c>
      <c r="N39" s="105">
        <v>6</v>
      </c>
      <c r="O39" s="105">
        <v>7272</v>
      </c>
      <c r="P39" s="105">
        <v>4</v>
      </c>
      <c r="Q39" s="105">
        <v>4848</v>
      </c>
      <c r="R39" s="105">
        <v>8</v>
      </c>
      <c r="S39" s="105">
        <v>9696</v>
      </c>
      <c r="T39" s="105">
        <v>4</v>
      </c>
      <c r="U39" s="105">
        <v>4848</v>
      </c>
      <c r="V39" s="105">
        <v>8</v>
      </c>
      <c r="W39" s="105">
        <v>9696</v>
      </c>
      <c r="X39" s="105">
        <v>5</v>
      </c>
      <c r="Y39" s="105">
        <v>6060</v>
      </c>
      <c r="Z39" s="105">
        <v>5</v>
      </c>
      <c r="AA39" s="105">
        <v>6060</v>
      </c>
      <c r="AB39" s="105">
        <v>5</v>
      </c>
      <c r="AC39" s="105">
        <v>6060</v>
      </c>
      <c r="AD39" s="105">
        <v>5</v>
      </c>
      <c r="AE39" s="105">
        <v>6060</v>
      </c>
      <c r="AF39" s="105">
        <v>5</v>
      </c>
      <c r="AG39" s="105">
        <v>6060</v>
      </c>
      <c r="AH39" s="105">
        <v>5</v>
      </c>
      <c r="AI39" s="105">
        <v>6060</v>
      </c>
      <c r="AJ39" s="105">
        <v>7</v>
      </c>
      <c r="AK39" s="105">
        <v>8484</v>
      </c>
      <c r="AL39" s="105">
        <v>6</v>
      </c>
      <c r="AM39" s="105">
        <v>7272</v>
      </c>
      <c r="AN39" s="105">
        <v>5</v>
      </c>
      <c r="AO39" s="105">
        <v>6060</v>
      </c>
      <c r="AP39" s="105">
        <v>6</v>
      </c>
      <c r="AQ39" s="105">
        <v>7272</v>
      </c>
      <c r="AR39" s="105">
        <v>6</v>
      </c>
      <c r="AS39" s="105">
        <v>7272</v>
      </c>
      <c r="AT39" s="105">
        <v>6</v>
      </c>
      <c r="AU39" s="105">
        <v>7272</v>
      </c>
      <c r="AV39" s="105">
        <v>4</v>
      </c>
      <c r="AW39" s="105">
        <v>4848</v>
      </c>
      <c r="AX39" s="105">
        <v>8</v>
      </c>
      <c r="AY39" s="105">
        <v>9696</v>
      </c>
      <c r="AZ39" s="105">
        <v>5</v>
      </c>
      <c r="BA39" s="105">
        <v>6060</v>
      </c>
      <c r="BB39" s="105">
        <v>5</v>
      </c>
      <c r="BC39" s="105">
        <v>6060</v>
      </c>
      <c r="BD39" s="105">
        <v>8</v>
      </c>
      <c r="BE39" s="105">
        <v>9696</v>
      </c>
      <c r="BF39" s="105">
        <v>5</v>
      </c>
      <c r="BG39" s="105">
        <v>6060</v>
      </c>
      <c r="BH39" s="105">
        <v>8</v>
      </c>
      <c r="BI39" s="105">
        <v>9696</v>
      </c>
      <c r="BJ39" s="105">
        <v>7</v>
      </c>
      <c r="BK39" s="105">
        <v>8484</v>
      </c>
      <c r="BL39" s="105">
        <v>6</v>
      </c>
      <c r="BM39" s="105">
        <v>7272</v>
      </c>
      <c r="BN39" s="105">
        <v>5</v>
      </c>
      <c r="BO39" s="105">
        <v>6060</v>
      </c>
      <c r="BP39" s="105">
        <v>9</v>
      </c>
      <c r="BQ39" s="105">
        <v>10908</v>
      </c>
      <c r="BR39" s="105">
        <v>7</v>
      </c>
      <c r="BS39" s="105">
        <v>8484</v>
      </c>
      <c r="BT39" s="105">
        <v>5</v>
      </c>
      <c r="BU39" s="105">
        <v>6060</v>
      </c>
      <c r="BV39" s="105">
        <v>6</v>
      </c>
      <c r="BW39" s="105">
        <v>7272</v>
      </c>
      <c r="BX39" s="105">
        <v>5</v>
      </c>
      <c r="BY39" s="105">
        <v>6060</v>
      </c>
      <c r="BZ39" s="105">
        <v>7</v>
      </c>
      <c r="CA39" s="105">
        <v>8484</v>
      </c>
      <c r="CB39" s="105">
        <v>6</v>
      </c>
      <c r="CC39" s="105">
        <v>7272</v>
      </c>
      <c r="CD39" s="105">
        <v>4</v>
      </c>
      <c r="CE39" s="105">
        <v>4848</v>
      </c>
      <c r="CF39" s="105">
        <v>5</v>
      </c>
      <c r="CG39" s="105">
        <v>6060</v>
      </c>
      <c r="CH39" s="105">
        <v>7</v>
      </c>
      <c r="CI39" s="105">
        <v>8484</v>
      </c>
      <c r="CJ39" s="105">
        <v>5</v>
      </c>
      <c r="CK39" s="105">
        <v>6060</v>
      </c>
      <c r="CL39" s="105">
        <v>8</v>
      </c>
      <c r="CM39" s="105">
        <v>9696</v>
      </c>
      <c r="CN39" s="105">
        <v>6</v>
      </c>
      <c r="CO39" s="105">
        <v>7272</v>
      </c>
      <c r="CP39" s="105">
        <v>6</v>
      </c>
      <c r="CQ39" s="105">
        <v>7272</v>
      </c>
      <c r="CR39" s="105">
        <v>7</v>
      </c>
      <c r="CS39" s="105">
        <v>8484</v>
      </c>
      <c r="CT39" s="105">
        <v>8</v>
      </c>
      <c r="CU39" s="105">
        <v>9696</v>
      </c>
    </row>
    <row r="40" spans="2:99" x14ac:dyDescent="0.2">
      <c r="C40" s="104" t="s">
        <v>208</v>
      </c>
      <c r="D40" s="105">
        <v>0</v>
      </c>
      <c r="E40" s="105">
        <v>0</v>
      </c>
      <c r="F40" s="105">
        <v>0</v>
      </c>
      <c r="G40" s="105">
        <v>0</v>
      </c>
      <c r="H40" s="105">
        <v>7</v>
      </c>
      <c r="I40" s="105">
        <v>3620.3999999999996</v>
      </c>
      <c r="J40" s="105">
        <v>5</v>
      </c>
      <c r="K40" s="105">
        <v>2585.9999999999995</v>
      </c>
      <c r="L40" s="105">
        <v>8</v>
      </c>
      <c r="M40" s="105">
        <v>4137.5999999999995</v>
      </c>
      <c r="N40" s="105">
        <v>7</v>
      </c>
      <c r="O40" s="105">
        <v>3620.3999999999996</v>
      </c>
      <c r="P40" s="105">
        <v>5</v>
      </c>
      <c r="Q40" s="105">
        <v>2585.9999999999995</v>
      </c>
      <c r="R40" s="105">
        <v>8</v>
      </c>
      <c r="S40" s="105">
        <v>4137.5999999999995</v>
      </c>
      <c r="T40" s="105">
        <v>5</v>
      </c>
      <c r="U40" s="105">
        <v>2585.9999999999995</v>
      </c>
      <c r="V40" s="105">
        <v>7</v>
      </c>
      <c r="W40" s="105">
        <v>3620.3999999999996</v>
      </c>
      <c r="X40" s="105">
        <v>6</v>
      </c>
      <c r="Y40" s="105">
        <v>3103.2</v>
      </c>
      <c r="Z40" s="105">
        <v>5</v>
      </c>
      <c r="AA40" s="105">
        <v>2585.9999999999995</v>
      </c>
      <c r="AB40" s="105">
        <v>5</v>
      </c>
      <c r="AC40" s="105">
        <v>2585.9999999999995</v>
      </c>
      <c r="AD40" s="105">
        <v>5</v>
      </c>
      <c r="AE40" s="105">
        <v>2585.9999999999995</v>
      </c>
      <c r="AF40" s="105">
        <v>5</v>
      </c>
      <c r="AG40" s="105">
        <v>2585.9999999999995</v>
      </c>
      <c r="AH40" s="105">
        <v>5</v>
      </c>
      <c r="AI40" s="105">
        <v>2585.9999999999995</v>
      </c>
      <c r="AJ40" s="105">
        <v>7</v>
      </c>
      <c r="AK40" s="105">
        <v>3620.3999999999996</v>
      </c>
      <c r="AL40" s="105">
        <v>6</v>
      </c>
      <c r="AM40" s="105">
        <v>3103.2</v>
      </c>
      <c r="AN40" s="105">
        <v>5</v>
      </c>
      <c r="AO40" s="105">
        <v>2585.9999999999995</v>
      </c>
      <c r="AP40" s="105">
        <v>7</v>
      </c>
      <c r="AQ40" s="105">
        <v>3620.3999999999996</v>
      </c>
      <c r="AR40" s="105">
        <v>6</v>
      </c>
      <c r="AS40" s="105">
        <v>3103.2</v>
      </c>
      <c r="AT40" s="105">
        <v>6</v>
      </c>
      <c r="AU40" s="105">
        <v>3103.2</v>
      </c>
      <c r="AV40" s="105">
        <v>5</v>
      </c>
      <c r="AW40" s="105">
        <v>2585.9999999999995</v>
      </c>
      <c r="AX40" s="105">
        <v>8</v>
      </c>
      <c r="AY40" s="105">
        <v>4137.5999999999995</v>
      </c>
      <c r="AZ40" s="105">
        <v>5</v>
      </c>
      <c r="BA40" s="105">
        <v>2585.9999999999995</v>
      </c>
      <c r="BB40" s="105">
        <v>6</v>
      </c>
      <c r="BC40" s="105">
        <v>3103.2</v>
      </c>
      <c r="BD40" s="105">
        <v>8</v>
      </c>
      <c r="BE40" s="105">
        <v>4137.5999999999995</v>
      </c>
      <c r="BF40" s="105">
        <v>5</v>
      </c>
      <c r="BG40" s="105">
        <v>2585.9999999999995</v>
      </c>
      <c r="BH40" s="105">
        <v>8</v>
      </c>
      <c r="BI40" s="105">
        <v>4137.5999999999995</v>
      </c>
      <c r="BJ40" s="105">
        <v>7</v>
      </c>
      <c r="BK40" s="105">
        <v>3620.3999999999996</v>
      </c>
      <c r="BL40" s="105">
        <v>6</v>
      </c>
      <c r="BM40" s="105">
        <v>3103.2</v>
      </c>
      <c r="BN40" s="105">
        <v>4</v>
      </c>
      <c r="BO40" s="105">
        <v>2068.7999999999997</v>
      </c>
      <c r="BP40" s="105">
        <v>7</v>
      </c>
      <c r="BQ40" s="105">
        <v>3620.3999999999996</v>
      </c>
      <c r="BR40" s="105">
        <v>8</v>
      </c>
      <c r="BS40" s="105">
        <v>4137.5999999999995</v>
      </c>
      <c r="BT40" s="105">
        <v>5</v>
      </c>
      <c r="BU40" s="105">
        <v>2585.9999999999995</v>
      </c>
      <c r="BV40" s="105">
        <v>8</v>
      </c>
      <c r="BW40" s="105">
        <v>4137.5999999999995</v>
      </c>
      <c r="BX40" s="105">
        <v>6</v>
      </c>
      <c r="BY40" s="105">
        <v>3103.2</v>
      </c>
      <c r="BZ40" s="105">
        <v>7</v>
      </c>
      <c r="CA40" s="105">
        <v>3620.3999999999996</v>
      </c>
      <c r="CB40" s="105">
        <v>7</v>
      </c>
      <c r="CC40" s="105">
        <v>3620.3999999999996</v>
      </c>
      <c r="CD40" s="105">
        <v>5</v>
      </c>
      <c r="CE40" s="105">
        <v>2585.9999999999995</v>
      </c>
      <c r="CF40" s="105">
        <v>5</v>
      </c>
      <c r="CG40" s="105">
        <v>2585.9999999999995</v>
      </c>
      <c r="CH40" s="105">
        <v>8</v>
      </c>
      <c r="CI40" s="105">
        <v>4137.5999999999995</v>
      </c>
      <c r="CJ40" s="105">
        <v>6</v>
      </c>
      <c r="CK40" s="105">
        <v>3103.2</v>
      </c>
      <c r="CL40" s="105">
        <v>9</v>
      </c>
      <c r="CM40" s="105">
        <v>4654.7999999999993</v>
      </c>
      <c r="CN40" s="105">
        <v>6</v>
      </c>
      <c r="CO40" s="105">
        <v>3103.2</v>
      </c>
      <c r="CP40" s="105">
        <v>6</v>
      </c>
      <c r="CQ40" s="105">
        <v>3103.2</v>
      </c>
      <c r="CR40" s="105">
        <v>7</v>
      </c>
      <c r="CS40" s="105">
        <v>3620.3999999999996</v>
      </c>
      <c r="CT40" s="105">
        <v>9</v>
      </c>
      <c r="CU40" s="105">
        <v>4654.7999999999993</v>
      </c>
    </row>
    <row r="41" spans="2:99" x14ac:dyDescent="0.2">
      <c r="C41" s="104" t="s">
        <v>209</v>
      </c>
      <c r="D41" s="105">
        <v>0</v>
      </c>
      <c r="E41" s="105">
        <v>0</v>
      </c>
      <c r="F41" s="105">
        <v>0</v>
      </c>
      <c r="G41" s="105">
        <v>0</v>
      </c>
      <c r="H41" s="105">
        <v>6</v>
      </c>
      <c r="I41" s="105">
        <v>2728.8</v>
      </c>
      <c r="J41" s="105">
        <v>5</v>
      </c>
      <c r="K41" s="105">
        <v>2274</v>
      </c>
      <c r="L41" s="105">
        <v>9</v>
      </c>
      <c r="M41" s="105">
        <v>4093.2000000000003</v>
      </c>
      <c r="N41" s="105">
        <v>8</v>
      </c>
      <c r="O41" s="105">
        <v>3638.4</v>
      </c>
      <c r="P41" s="105">
        <v>4</v>
      </c>
      <c r="Q41" s="105">
        <v>1819.2</v>
      </c>
      <c r="R41" s="105">
        <v>8</v>
      </c>
      <c r="S41" s="105">
        <v>3638.4</v>
      </c>
      <c r="T41" s="105">
        <v>5</v>
      </c>
      <c r="U41" s="105">
        <v>2274</v>
      </c>
      <c r="V41" s="105">
        <v>8</v>
      </c>
      <c r="W41" s="105">
        <v>3638.4</v>
      </c>
      <c r="X41" s="105">
        <v>6</v>
      </c>
      <c r="Y41" s="105">
        <v>2728.8</v>
      </c>
      <c r="Z41" s="105">
        <v>5</v>
      </c>
      <c r="AA41" s="105">
        <v>2274</v>
      </c>
      <c r="AB41" s="105">
        <v>4</v>
      </c>
      <c r="AC41" s="105">
        <v>1819.2</v>
      </c>
      <c r="AD41" s="105">
        <v>5</v>
      </c>
      <c r="AE41" s="105">
        <v>2274</v>
      </c>
      <c r="AF41" s="105">
        <v>6</v>
      </c>
      <c r="AG41" s="105">
        <v>2728.8</v>
      </c>
      <c r="AH41" s="105">
        <v>5</v>
      </c>
      <c r="AI41" s="105">
        <v>2274</v>
      </c>
      <c r="AJ41" s="105">
        <v>7</v>
      </c>
      <c r="AK41" s="105">
        <v>3183.6</v>
      </c>
      <c r="AL41" s="105">
        <v>6</v>
      </c>
      <c r="AM41" s="105">
        <v>2728.8</v>
      </c>
      <c r="AN41" s="105">
        <v>6</v>
      </c>
      <c r="AO41" s="105">
        <v>2728.8</v>
      </c>
      <c r="AP41" s="105">
        <v>6</v>
      </c>
      <c r="AQ41" s="105">
        <v>2728.8</v>
      </c>
      <c r="AR41" s="105">
        <v>6</v>
      </c>
      <c r="AS41" s="105">
        <v>2728.8</v>
      </c>
      <c r="AT41" s="105">
        <v>6</v>
      </c>
      <c r="AU41" s="105">
        <v>2728.8</v>
      </c>
      <c r="AV41" s="105">
        <v>4</v>
      </c>
      <c r="AW41" s="105">
        <v>1819.2</v>
      </c>
      <c r="AX41" s="105">
        <v>8</v>
      </c>
      <c r="AY41" s="105">
        <v>3638.4</v>
      </c>
      <c r="AZ41" s="105">
        <v>5</v>
      </c>
      <c r="BA41" s="105">
        <v>2274</v>
      </c>
      <c r="BB41" s="105">
        <v>6</v>
      </c>
      <c r="BC41" s="105">
        <v>2728.8</v>
      </c>
      <c r="BD41" s="105">
        <v>9</v>
      </c>
      <c r="BE41" s="105">
        <v>4093.2000000000003</v>
      </c>
      <c r="BF41" s="105">
        <v>5</v>
      </c>
      <c r="BG41" s="105">
        <v>2274</v>
      </c>
      <c r="BH41" s="105">
        <v>7</v>
      </c>
      <c r="BI41" s="105">
        <v>3183.6</v>
      </c>
      <c r="BJ41" s="105">
        <v>7</v>
      </c>
      <c r="BK41" s="105">
        <v>3183.6</v>
      </c>
      <c r="BL41" s="105">
        <v>6</v>
      </c>
      <c r="BM41" s="105">
        <v>2728.8</v>
      </c>
      <c r="BN41" s="105">
        <v>5</v>
      </c>
      <c r="BO41" s="105">
        <v>2274</v>
      </c>
      <c r="BP41" s="105">
        <v>8</v>
      </c>
      <c r="BQ41" s="105">
        <v>3638.4</v>
      </c>
      <c r="BR41" s="105">
        <v>7</v>
      </c>
      <c r="BS41" s="105">
        <v>3183.6</v>
      </c>
      <c r="BT41" s="105">
        <v>5</v>
      </c>
      <c r="BU41" s="105">
        <v>2274</v>
      </c>
      <c r="BV41" s="105">
        <v>7</v>
      </c>
      <c r="BW41" s="105">
        <v>3183.6</v>
      </c>
      <c r="BX41" s="105">
        <v>5</v>
      </c>
      <c r="BY41" s="105">
        <v>2274</v>
      </c>
      <c r="BZ41" s="105">
        <v>8</v>
      </c>
      <c r="CA41" s="105">
        <v>3638.4</v>
      </c>
      <c r="CB41" s="105">
        <v>6</v>
      </c>
      <c r="CC41" s="105">
        <v>2728.8</v>
      </c>
      <c r="CD41" s="105">
        <v>5</v>
      </c>
      <c r="CE41" s="105">
        <v>2274</v>
      </c>
      <c r="CF41" s="105">
        <v>5</v>
      </c>
      <c r="CG41" s="105">
        <v>2274</v>
      </c>
      <c r="CH41" s="105">
        <v>8</v>
      </c>
      <c r="CI41" s="105">
        <v>3638.4</v>
      </c>
      <c r="CJ41" s="105">
        <v>5</v>
      </c>
      <c r="CK41" s="105">
        <v>2274</v>
      </c>
      <c r="CL41" s="105">
        <v>8</v>
      </c>
      <c r="CM41" s="105">
        <v>3638.4</v>
      </c>
      <c r="CN41" s="105">
        <v>6</v>
      </c>
      <c r="CO41" s="105">
        <v>2728.8</v>
      </c>
      <c r="CP41" s="105">
        <v>7</v>
      </c>
      <c r="CQ41" s="105">
        <v>3183.6</v>
      </c>
      <c r="CR41" s="105">
        <v>7</v>
      </c>
      <c r="CS41" s="105">
        <v>3183.6</v>
      </c>
      <c r="CT41" s="105">
        <v>8</v>
      </c>
      <c r="CU41" s="105">
        <v>3638.4</v>
      </c>
    </row>
    <row r="42" spans="2:99" x14ac:dyDescent="0.2">
      <c r="C42" s="104" t="s">
        <v>210</v>
      </c>
      <c r="D42" s="105">
        <v>0</v>
      </c>
      <c r="E42" s="105">
        <v>0</v>
      </c>
      <c r="F42" s="105">
        <v>0</v>
      </c>
      <c r="G42" s="105">
        <v>0</v>
      </c>
      <c r="H42" s="105">
        <v>7</v>
      </c>
      <c r="I42" s="105">
        <v>4872</v>
      </c>
      <c r="J42" s="105">
        <v>5</v>
      </c>
      <c r="K42" s="105">
        <v>3480</v>
      </c>
      <c r="L42" s="105">
        <v>9</v>
      </c>
      <c r="M42" s="105">
        <v>6264</v>
      </c>
      <c r="N42" s="105">
        <v>8</v>
      </c>
      <c r="O42" s="105">
        <v>5568</v>
      </c>
      <c r="P42" s="105">
        <v>5</v>
      </c>
      <c r="Q42" s="105">
        <v>3480</v>
      </c>
      <c r="R42" s="105">
        <v>8</v>
      </c>
      <c r="S42" s="105">
        <v>5568</v>
      </c>
      <c r="T42" s="105">
        <v>5</v>
      </c>
      <c r="U42" s="105">
        <v>3480</v>
      </c>
      <c r="V42" s="105">
        <v>8</v>
      </c>
      <c r="W42" s="105">
        <v>5568</v>
      </c>
      <c r="X42" s="105">
        <v>6</v>
      </c>
      <c r="Y42" s="105">
        <v>4176</v>
      </c>
      <c r="Z42" s="105">
        <v>5</v>
      </c>
      <c r="AA42" s="105">
        <v>3480</v>
      </c>
      <c r="AB42" s="105">
        <v>4</v>
      </c>
      <c r="AC42" s="105">
        <v>2784</v>
      </c>
      <c r="AD42" s="105">
        <v>5</v>
      </c>
      <c r="AE42" s="105">
        <v>3480</v>
      </c>
      <c r="AF42" s="105">
        <v>6</v>
      </c>
      <c r="AG42" s="105">
        <v>4176</v>
      </c>
      <c r="AH42" s="105">
        <v>5</v>
      </c>
      <c r="AI42" s="105">
        <v>3480</v>
      </c>
      <c r="AJ42" s="105">
        <v>7</v>
      </c>
      <c r="AK42" s="105">
        <v>4872</v>
      </c>
      <c r="AL42" s="105">
        <v>5</v>
      </c>
      <c r="AM42" s="105">
        <v>3480</v>
      </c>
      <c r="AN42" s="105">
        <v>6</v>
      </c>
      <c r="AO42" s="105">
        <v>4176</v>
      </c>
      <c r="AP42" s="105">
        <v>7</v>
      </c>
      <c r="AQ42" s="105">
        <v>4872</v>
      </c>
      <c r="AR42" s="105">
        <v>6</v>
      </c>
      <c r="AS42" s="105">
        <v>4176</v>
      </c>
      <c r="AT42" s="105">
        <v>5</v>
      </c>
      <c r="AU42" s="105">
        <v>3480</v>
      </c>
      <c r="AV42" s="105">
        <v>4</v>
      </c>
      <c r="AW42" s="105">
        <v>2784</v>
      </c>
      <c r="AX42" s="105">
        <v>8</v>
      </c>
      <c r="AY42" s="105">
        <v>5568</v>
      </c>
      <c r="AZ42" s="105">
        <v>5</v>
      </c>
      <c r="BA42" s="105">
        <v>3480</v>
      </c>
      <c r="BB42" s="105">
        <v>6</v>
      </c>
      <c r="BC42" s="105">
        <v>4176</v>
      </c>
      <c r="BD42" s="105">
        <v>8</v>
      </c>
      <c r="BE42" s="105">
        <v>5568</v>
      </c>
      <c r="BF42" s="105">
        <v>5</v>
      </c>
      <c r="BG42" s="105">
        <v>3480</v>
      </c>
      <c r="BH42" s="105">
        <v>8</v>
      </c>
      <c r="BI42" s="105">
        <v>5568</v>
      </c>
      <c r="BJ42" s="105">
        <v>7</v>
      </c>
      <c r="BK42" s="105">
        <v>4872</v>
      </c>
      <c r="BL42" s="105">
        <v>6</v>
      </c>
      <c r="BM42" s="105">
        <v>4176</v>
      </c>
      <c r="BN42" s="105">
        <v>5</v>
      </c>
      <c r="BO42" s="105">
        <v>3480</v>
      </c>
      <c r="BP42" s="105">
        <v>7</v>
      </c>
      <c r="BQ42" s="105">
        <v>4872</v>
      </c>
      <c r="BR42" s="105">
        <v>8</v>
      </c>
      <c r="BS42" s="105">
        <v>5568</v>
      </c>
      <c r="BT42" s="105">
        <v>6</v>
      </c>
      <c r="BU42" s="105">
        <v>4176</v>
      </c>
      <c r="BV42" s="105">
        <v>7</v>
      </c>
      <c r="BW42" s="105">
        <v>4872</v>
      </c>
      <c r="BX42" s="105">
        <v>5</v>
      </c>
      <c r="BY42" s="105">
        <v>3480</v>
      </c>
      <c r="BZ42" s="105">
        <v>7</v>
      </c>
      <c r="CA42" s="105">
        <v>4872</v>
      </c>
      <c r="CB42" s="105">
        <v>6</v>
      </c>
      <c r="CC42" s="105">
        <v>4176</v>
      </c>
      <c r="CD42" s="105">
        <v>5</v>
      </c>
      <c r="CE42" s="105">
        <v>3480</v>
      </c>
      <c r="CF42" s="105">
        <v>5</v>
      </c>
      <c r="CG42" s="105">
        <v>3480</v>
      </c>
      <c r="CH42" s="105">
        <v>9</v>
      </c>
      <c r="CI42" s="105">
        <v>6264</v>
      </c>
      <c r="CJ42" s="105">
        <v>5</v>
      </c>
      <c r="CK42" s="105">
        <v>3480</v>
      </c>
      <c r="CL42" s="105">
        <v>7</v>
      </c>
      <c r="CM42" s="105">
        <v>4872</v>
      </c>
      <c r="CN42" s="105">
        <v>7</v>
      </c>
      <c r="CO42" s="105">
        <v>4872</v>
      </c>
      <c r="CP42" s="105">
        <v>6</v>
      </c>
      <c r="CQ42" s="105">
        <v>4176</v>
      </c>
      <c r="CR42" s="105">
        <v>7</v>
      </c>
      <c r="CS42" s="105">
        <v>4872</v>
      </c>
      <c r="CT42" s="105">
        <v>8</v>
      </c>
      <c r="CU42" s="105">
        <v>5568</v>
      </c>
    </row>
    <row r="43" spans="2:99" x14ac:dyDescent="0.2">
      <c r="C43" s="104" t="s">
        <v>211</v>
      </c>
      <c r="D43" s="105">
        <v>0</v>
      </c>
      <c r="E43" s="105">
        <v>0</v>
      </c>
      <c r="F43" s="105">
        <v>0</v>
      </c>
      <c r="G43" s="105">
        <v>0</v>
      </c>
      <c r="H43" s="105">
        <v>7</v>
      </c>
      <c r="I43" s="105">
        <v>5703.5999999999995</v>
      </c>
      <c r="J43" s="105">
        <v>6</v>
      </c>
      <c r="K43" s="105">
        <v>4888.7999999999993</v>
      </c>
      <c r="L43" s="105">
        <v>8</v>
      </c>
      <c r="M43" s="105">
        <v>6518.4</v>
      </c>
      <c r="N43" s="105">
        <v>7</v>
      </c>
      <c r="O43" s="105">
        <v>5703.5999999999995</v>
      </c>
      <c r="P43" s="105">
        <v>4</v>
      </c>
      <c r="Q43" s="105">
        <v>3259.2</v>
      </c>
      <c r="R43" s="105">
        <v>7</v>
      </c>
      <c r="S43" s="105">
        <v>5703.5999999999995</v>
      </c>
      <c r="T43" s="105">
        <v>5</v>
      </c>
      <c r="U43" s="105">
        <v>4074</v>
      </c>
      <c r="V43" s="105">
        <v>7</v>
      </c>
      <c r="W43" s="105">
        <v>5703.5999999999995</v>
      </c>
      <c r="X43" s="105">
        <v>6</v>
      </c>
      <c r="Y43" s="105">
        <v>4888.7999999999993</v>
      </c>
      <c r="Z43" s="105">
        <v>4</v>
      </c>
      <c r="AA43" s="105">
        <v>3259.2</v>
      </c>
      <c r="AB43" s="105">
        <v>5</v>
      </c>
      <c r="AC43" s="105">
        <v>4074</v>
      </c>
      <c r="AD43" s="105">
        <v>4</v>
      </c>
      <c r="AE43" s="105">
        <v>3259.2</v>
      </c>
      <c r="AF43" s="105">
        <v>6</v>
      </c>
      <c r="AG43" s="105">
        <v>4888.7999999999993</v>
      </c>
      <c r="AH43" s="105">
        <v>5</v>
      </c>
      <c r="AI43" s="105">
        <v>4074</v>
      </c>
      <c r="AJ43" s="105">
        <v>7</v>
      </c>
      <c r="AK43" s="105">
        <v>5703.5999999999995</v>
      </c>
      <c r="AL43" s="105">
        <v>5</v>
      </c>
      <c r="AM43" s="105">
        <v>4074</v>
      </c>
      <c r="AN43" s="105">
        <v>6</v>
      </c>
      <c r="AO43" s="105">
        <v>4888.7999999999993</v>
      </c>
      <c r="AP43" s="105">
        <v>7</v>
      </c>
      <c r="AQ43" s="105">
        <v>5703.5999999999995</v>
      </c>
      <c r="AR43" s="105">
        <v>6</v>
      </c>
      <c r="AS43" s="105">
        <v>4888.7999999999993</v>
      </c>
      <c r="AT43" s="105">
        <v>5</v>
      </c>
      <c r="AU43" s="105">
        <v>4074</v>
      </c>
      <c r="AV43" s="105">
        <v>5</v>
      </c>
      <c r="AW43" s="105">
        <v>4074</v>
      </c>
      <c r="AX43" s="105">
        <v>8</v>
      </c>
      <c r="AY43" s="105">
        <v>6518.4</v>
      </c>
      <c r="AZ43" s="105">
        <v>5</v>
      </c>
      <c r="BA43" s="105">
        <v>4074</v>
      </c>
      <c r="BB43" s="105">
        <v>6</v>
      </c>
      <c r="BC43" s="105">
        <v>4888.7999999999993</v>
      </c>
      <c r="BD43" s="105">
        <v>8</v>
      </c>
      <c r="BE43" s="105">
        <v>6518.4</v>
      </c>
      <c r="BF43" s="105">
        <v>4</v>
      </c>
      <c r="BG43" s="105">
        <v>3259.2</v>
      </c>
      <c r="BH43" s="105">
        <v>8</v>
      </c>
      <c r="BI43" s="105">
        <v>6518.4</v>
      </c>
      <c r="BJ43" s="105">
        <v>7</v>
      </c>
      <c r="BK43" s="105">
        <v>5703.5999999999995</v>
      </c>
      <c r="BL43" s="105">
        <v>6</v>
      </c>
      <c r="BM43" s="105">
        <v>4888.7999999999993</v>
      </c>
      <c r="BN43" s="105">
        <v>5</v>
      </c>
      <c r="BO43" s="105">
        <v>4074</v>
      </c>
      <c r="BP43" s="105">
        <v>8</v>
      </c>
      <c r="BQ43" s="105">
        <v>6518.4</v>
      </c>
      <c r="BR43" s="105">
        <v>7</v>
      </c>
      <c r="BS43" s="105">
        <v>5703.5999999999995</v>
      </c>
      <c r="BT43" s="105">
        <v>5</v>
      </c>
      <c r="BU43" s="105">
        <v>4074</v>
      </c>
      <c r="BV43" s="105">
        <v>7</v>
      </c>
      <c r="BW43" s="105">
        <v>5703.5999999999995</v>
      </c>
      <c r="BX43" s="105">
        <v>6</v>
      </c>
      <c r="BY43" s="105">
        <v>4888.7999999999993</v>
      </c>
      <c r="BZ43" s="105">
        <v>8</v>
      </c>
      <c r="CA43" s="105">
        <v>6518.4</v>
      </c>
      <c r="CB43" s="105">
        <v>6</v>
      </c>
      <c r="CC43" s="105">
        <v>4888.7999999999993</v>
      </c>
      <c r="CD43" s="105">
        <v>5</v>
      </c>
      <c r="CE43" s="105">
        <v>4074</v>
      </c>
      <c r="CF43" s="105">
        <v>5</v>
      </c>
      <c r="CG43" s="105">
        <v>4074</v>
      </c>
      <c r="CH43" s="105">
        <v>8</v>
      </c>
      <c r="CI43" s="105">
        <v>6518.4</v>
      </c>
      <c r="CJ43" s="105">
        <v>5</v>
      </c>
      <c r="CK43" s="105">
        <v>4074</v>
      </c>
      <c r="CL43" s="105">
        <v>8</v>
      </c>
      <c r="CM43" s="105">
        <v>6518.4</v>
      </c>
      <c r="CN43" s="105">
        <v>6</v>
      </c>
      <c r="CO43" s="105">
        <v>4888.7999999999993</v>
      </c>
      <c r="CP43" s="105">
        <v>6</v>
      </c>
      <c r="CQ43" s="105">
        <v>4888.7999999999993</v>
      </c>
      <c r="CR43" s="105">
        <v>6</v>
      </c>
      <c r="CS43" s="105">
        <v>4888.7999999999993</v>
      </c>
      <c r="CT43" s="105">
        <v>9</v>
      </c>
      <c r="CU43" s="105">
        <v>7333.2</v>
      </c>
    </row>
    <row r="44" spans="2:99" x14ac:dyDescent="0.2">
      <c r="C44" s="104" t="s">
        <v>212</v>
      </c>
      <c r="D44" s="105">
        <v>0</v>
      </c>
      <c r="E44" s="105">
        <v>0</v>
      </c>
      <c r="F44" s="105">
        <v>0</v>
      </c>
      <c r="G44" s="105">
        <v>0</v>
      </c>
      <c r="H44" s="105">
        <v>7</v>
      </c>
      <c r="I44" s="105">
        <v>5905.2</v>
      </c>
      <c r="J44" s="105">
        <v>6</v>
      </c>
      <c r="K44" s="105">
        <v>5061.6000000000004</v>
      </c>
      <c r="L44" s="105">
        <v>8</v>
      </c>
      <c r="M44" s="105">
        <v>6748.8</v>
      </c>
      <c r="N44" s="105">
        <v>7</v>
      </c>
      <c r="O44" s="105">
        <v>5905.2</v>
      </c>
      <c r="P44" s="105">
        <v>5</v>
      </c>
      <c r="Q44" s="105">
        <v>4218</v>
      </c>
      <c r="R44" s="105">
        <v>9</v>
      </c>
      <c r="S44" s="105">
        <v>7592.4000000000005</v>
      </c>
      <c r="T44" s="105">
        <v>5</v>
      </c>
      <c r="U44" s="105">
        <v>4218</v>
      </c>
      <c r="V44" s="105">
        <v>7</v>
      </c>
      <c r="W44" s="105">
        <v>5905.2</v>
      </c>
      <c r="X44" s="105">
        <v>6</v>
      </c>
      <c r="Y44" s="105">
        <v>5061.6000000000004</v>
      </c>
      <c r="Z44" s="105">
        <v>5</v>
      </c>
      <c r="AA44" s="105">
        <v>4218</v>
      </c>
      <c r="AB44" s="105">
        <v>4</v>
      </c>
      <c r="AC44" s="105">
        <v>3374.4</v>
      </c>
      <c r="AD44" s="105">
        <v>5</v>
      </c>
      <c r="AE44" s="105">
        <v>4218</v>
      </c>
      <c r="AF44" s="105">
        <v>6</v>
      </c>
      <c r="AG44" s="105">
        <v>5061.6000000000004</v>
      </c>
      <c r="AH44" s="105">
        <v>5</v>
      </c>
      <c r="AI44" s="105">
        <v>4218</v>
      </c>
      <c r="AJ44" s="105">
        <v>7</v>
      </c>
      <c r="AK44" s="105">
        <v>5905.2</v>
      </c>
      <c r="AL44" s="105">
        <v>6</v>
      </c>
      <c r="AM44" s="105">
        <v>5061.6000000000004</v>
      </c>
      <c r="AN44" s="105">
        <v>6</v>
      </c>
      <c r="AO44" s="105">
        <v>5061.6000000000004</v>
      </c>
      <c r="AP44" s="105">
        <v>7</v>
      </c>
      <c r="AQ44" s="105">
        <v>5905.2</v>
      </c>
      <c r="AR44" s="105">
        <v>7</v>
      </c>
      <c r="AS44" s="105">
        <v>5905.2</v>
      </c>
      <c r="AT44" s="105">
        <v>5</v>
      </c>
      <c r="AU44" s="105">
        <v>4218</v>
      </c>
      <c r="AV44" s="105">
        <v>5</v>
      </c>
      <c r="AW44" s="105">
        <v>4218</v>
      </c>
      <c r="AX44" s="105">
        <v>8</v>
      </c>
      <c r="AY44" s="105">
        <v>6748.8</v>
      </c>
      <c r="AZ44" s="105">
        <v>5</v>
      </c>
      <c r="BA44" s="105">
        <v>4218</v>
      </c>
      <c r="BB44" s="105">
        <v>5</v>
      </c>
      <c r="BC44" s="105">
        <v>4218</v>
      </c>
      <c r="BD44" s="105">
        <v>9</v>
      </c>
      <c r="BE44" s="105">
        <v>7592.4000000000005</v>
      </c>
      <c r="BF44" s="105">
        <v>4</v>
      </c>
      <c r="BG44" s="105">
        <v>3374.4</v>
      </c>
      <c r="BH44" s="105">
        <v>8</v>
      </c>
      <c r="BI44" s="105">
        <v>6748.8</v>
      </c>
      <c r="BJ44" s="105">
        <v>8</v>
      </c>
      <c r="BK44" s="105">
        <v>6748.8</v>
      </c>
      <c r="BL44" s="105">
        <v>5</v>
      </c>
      <c r="BM44" s="105">
        <v>4218</v>
      </c>
      <c r="BN44" s="105">
        <v>5</v>
      </c>
      <c r="BO44" s="105">
        <v>4218</v>
      </c>
      <c r="BP44" s="105">
        <v>8</v>
      </c>
      <c r="BQ44" s="105">
        <v>6748.8</v>
      </c>
      <c r="BR44" s="105">
        <v>8</v>
      </c>
      <c r="BS44" s="105">
        <v>6748.8</v>
      </c>
      <c r="BT44" s="105">
        <v>6</v>
      </c>
      <c r="BU44" s="105">
        <v>5061.6000000000004</v>
      </c>
      <c r="BV44" s="105">
        <v>7</v>
      </c>
      <c r="BW44" s="105">
        <v>5905.2</v>
      </c>
      <c r="BX44" s="105">
        <v>6</v>
      </c>
      <c r="BY44" s="105">
        <v>5061.6000000000004</v>
      </c>
      <c r="BZ44" s="105">
        <v>8</v>
      </c>
      <c r="CA44" s="105">
        <v>6748.8</v>
      </c>
      <c r="CB44" s="105">
        <v>7</v>
      </c>
      <c r="CC44" s="105">
        <v>5905.2</v>
      </c>
      <c r="CD44" s="105">
        <v>5</v>
      </c>
      <c r="CE44" s="105">
        <v>4218</v>
      </c>
      <c r="CF44" s="105">
        <v>5</v>
      </c>
      <c r="CG44" s="105">
        <v>4218</v>
      </c>
      <c r="CH44" s="105">
        <v>8</v>
      </c>
      <c r="CI44" s="105">
        <v>6748.8</v>
      </c>
      <c r="CJ44" s="105">
        <v>5</v>
      </c>
      <c r="CK44" s="105">
        <v>4218</v>
      </c>
      <c r="CL44" s="105">
        <v>7</v>
      </c>
      <c r="CM44" s="105">
        <v>5905.2</v>
      </c>
      <c r="CN44" s="105">
        <v>6</v>
      </c>
      <c r="CO44" s="105">
        <v>5061.6000000000004</v>
      </c>
      <c r="CP44" s="105">
        <v>6</v>
      </c>
      <c r="CQ44" s="105">
        <v>5061.6000000000004</v>
      </c>
      <c r="CR44" s="105">
        <v>7</v>
      </c>
      <c r="CS44" s="105">
        <v>5905.2</v>
      </c>
      <c r="CT44" s="105">
        <v>8</v>
      </c>
      <c r="CU44" s="105">
        <v>6748.8</v>
      </c>
    </row>
    <row r="45" spans="2:99" x14ac:dyDescent="0.2">
      <c r="C45" s="104" t="s">
        <v>213</v>
      </c>
      <c r="D45" s="105">
        <v>0</v>
      </c>
      <c r="E45" s="105">
        <v>0</v>
      </c>
      <c r="F45" s="105">
        <v>0</v>
      </c>
      <c r="G45" s="105">
        <v>0</v>
      </c>
      <c r="H45" s="105">
        <v>7</v>
      </c>
      <c r="I45" s="105">
        <v>7282.7999999999993</v>
      </c>
      <c r="J45" s="105">
        <v>6</v>
      </c>
      <c r="K45" s="105">
        <v>6242.4</v>
      </c>
      <c r="L45" s="105">
        <v>7</v>
      </c>
      <c r="M45" s="105">
        <v>7282.7999999999993</v>
      </c>
      <c r="N45" s="105">
        <v>7</v>
      </c>
      <c r="O45" s="105">
        <v>7282.7999999999993</v>
      </c>
      <c r="P45" s="105">
        <v>4</v>
      </c>
      <c r="Q45" s="105">
        <v>4161.5999999999995</v>
      </c>
      <c r="R45" s="105">
        <v>8</v>
      </c>
      <c r="S45" s="105">
        <v>8323.1999999999989</v>
      </c>
      <c r="T45" s="105">
        <v>5</v>
      </c>
      <c r="U45" s="105">
        <v>5201.9999999999991</v>
      </c>
      <c r="V45" s="105">
        <v>7</v>
      </c>
      <c r="W45" s="105">
        <v>7282.7999999999993</v>
      </c>
      <c r="X45" s="105">
        <v>6</v>
      </c>
      <c r="Y45" s="105">
        <v>6242.4</v>
      </c>
      <c r="Z45" s="105">
        <v>5</v>
      </c>
      <c r="AA45" s="105">
        <v>5201.9999999999991</v>
      </c>
      <c r="AB45" s="105">
        <v>4</v>
      </c>
      <c r="AC45" s="105">
        <v>4161.5999999999995</v>
      </c>
      <c r="AD45" s="105">
        <v>5</v>
      </c>
      <c r="AE45" s="105">
        <v>5201.9999999999991</v>
      </c>
      <c r="AF45" s="105">
        <v>6</v>
      </c>
      <c r="AG45" s="105">
        <v>6242.4</v>
      </c>
      <c r="AH45" s="105">
        <v>5</v>
      </c>
      <c r="AI45" s="105">
        <v>5201.9999999999991</v>
      </c>
      <c r="AJ45" s="105">
        <v>6</v>
      </c>
      <c r="AK45" s="105">
        <v>6242.4</v>
      </c>
      <c r="AL45" s="105">
        <v>5</v>
      </c>
      <c r="AM45" s="105">
        <v>5201.9999999999991</v>
      </c>
      <c r="AN45" s="105">
        <v>6</v>
      </c>
      <c r="AO45" s="105">
        <v>6242.4</v>
      </c>
      <c r="AP45" s="105">
        <v>7</v>
      </c>
      <c r="AQ45" s="105">
        <v>7282.7999999999993</v>
      </c>
      <c r="AR45" s="105">
        <v>6</v>
      </c>
      <c r="AS45" s="105">
        <v>6242.4</v>
      </c>
      <c r="AT45" s="105">
        <v>6</v>
      </c>
      <c r="AU45" s="105">
        <v>6242.4</v>
      </c>
      <c r="AV45" s="105">
        <v>5</v>
      </c>
      <c r="AW45" s="105">
        <v>5201.9999999999991</v>
      </c>
      <c r="AX45" s="105">
        <v>8</v>
      </c>
      <c r="AY45" s="105">
        <v>8323.1999999999989</v>
      </c>
      <c r="AZ45" s="105">
        <v>4</v>
      </c>
      <c r="BA45" s="105">
        <v>4161.5999999999995</v>
      </c>
      <c r="BB45" s="105">
        <v>6</v>
      </c>
      <c r="BC45" s="105">
        <v>6242.4</v>
      </c>
      <c r="BD45" s="105">
        <v>8</v>
      </c>
      <c r="BE45" s="105">
        <v>8323.1999999999989</v>
      </c>
      <c r="BF45" s="105">
        <v>4</v>
      </c>
      <c r="BG45" s="105">
        <v>4161.5999999999995</v>
      </c>
      <c r="BH45" s="105">
        <v>8</v>
      </c>
      <c r="BI45" s="105">
        <v>8323.1999999999989</v>
      </c>
      <c r="BJ45" s="105">
        <v>8</v>
      </c>
      <c r="BK45" s="105">
        <v>8323.1999999999989</v>
      </c>
      <c r="BL45" s="105">
        <v>6</v>
      </c>
      <c r="BM45" s="105">
        <v>6242.4</v>
      </c>
      <c r="BN45" s="105">
        <v>5</v>
      </c>
      <c r="BO45" s="105">
        <v>5201.9999999999991</v>
      </c>
      <c r="BP45" s="105">
        <v>7</v>
      </c>
      <c r="BQ45" s="105">
        <v>7282.7999999999993</v>
      </c>
      <c r="BR45" s="105">
        <v>8</v>
      </c>
      <c r="BS45" s="105">
        <v>8323.1999999999989</v>
      </c>
      <c r="BT45" s="105">
        <v>5</v>
      </c>
      <c r="BU45" s="105">
        <v>5201.9999999999991</v>
      </c>
      <c r="BV45" s="105">
        <v>6</v>
      </c>
      <c r="BW45" s="105">
        <v>6242.4</v>
      </c>
      <c r="BX45" s="105">
        <v>5</v>
      </c>
      <c r="BY45" s="105">
        <v>5201.9999999999991</v>
      </c>
      <c r="BZ45" s="105">
        <v>7</v>
      </c>
      <c r="CA45" s="105">
        <v>7282.7999999999993</v>
      </c>
      <c r="CB45" s="105">
        <v>6</v>
      </c>
      <c r="CC45" s="105">
        <v>6242.4</v>
      </c>
      <c r="CD45" s="105">
        <v>5</v>
      </c>
      <c r="CE45" s="105">
        <v>5201.9999999999991</v>
      </c>
      <c r="CF45" s="105">
        <v>5</v>
      </c>
      <c r="CG45" s="105">
        <v>5201.9999999999991</v>
      </c>
      <c r="CH45" s="105">
        <v>8</v>
      </c>
      <c r="CI45" s="105">
        <v>8323.1999999999989</v>
      </c>
      <c r="CJ45" s="105">
        <v>5</v>
      </c>
      <c r="CK45" s="105">
        <v>5201.9999999999991</v>
      </c>
      <c r="CL45" s="105">
        <v>8</v>
      </c>
      <c r="CM45" s="105">
        <v>8323.1999999999989</v>
      </c>
      <c r="CN45" s="105">
        <v>6</v>
      </c>
      <c r="CO45" s="105">
        <v>6242.4</v>
      </c>
      <c r="CP45" s="105">
        <v>6</v>
      </c>
      <c r="CQ45" s="105">
        <v>6242.4</v>
      </c>
      <c r="CR45" s="105">
        <v>7</v>
      </c>
      <c r="CS45" s="105">
        <v>7282.7999999999993</v>
      </c>
      <c r="CT45" s="105">
        <v>8</v>
      </c>
      <c r="CU45" s="105">
        <v>8323.1999999999989</v>
      </c>
    </row>
    <row r="46" spans="2:99" x14ac:dyDescent="0.2">
      <c r="C46" s="104" t="s">
        <v>214</v>
      </c>
      <c r="D46" s="105">
        <v>0</v>
      </c>
      <c r="E46" s="105">
        <v>0</v>
      </c>
      <c r="F46" s="105">
        <v>0</v>
      </c>
      <c r="G46" s="105">
        <v>0</v>
      </c>
      <c r="H46" s="105">
        <v>7</v>
      </c>
      <c r="I46" s="105">
        <v>7123.1999999999989</v>
      </c>
      <c r="J46" s="105">
        <v>5</v>
      </c>
      <c r="K46" s="105">
        <v>5087.9999999999991</v>
      </c>
      <c r="L46" s="105">
        <v>8</v>
      </c>
      <c r="M46" s="105">
        <v>8140.7999999999984</v>
      </c>
      <c r="N46" s="105">
        <v>7</v>
      </c>
      <c r="O46" s="105">
        <v>7123.1999999999989</v>
      </c>
      <c r="P46" s="105">
        <v>4</v>
      </c>
      <c r="Q46" s="105">
        <v>4070.3999999999992</v>
      </c>
      <c r="R46" s="105">
        <v>8</v>
      </c>
      <c r="S46" s="105">
        <v>8140.7999999999984</v>
      </c>
      <c r="T46" s="105">
        <v>5</v>
      </c>
      <c r="U46" s="105">
        <v>5087.9999999999991</v>
      </c>
      <c r="V46" s="105">
        <v>8</v>
      </c>
      <c r="W46" s="105">
        <v>8140.7999999999984</v>
      </c>
      <c r="X46" s="105">
        <v>6</v>
      </c>
      <c r="Y46" s="105">
        <v>6105.5999999999985</v>
      </c>
      <c r="Z46" s="105">
        <v>5</v>
      </c>
      <c r="AA46" s="105">
        <v>5087.9999999999991</v>
      </c>
      <c r="AB46" s="105">
        <v>5</v>
      </c>
      <c r="AC46" s="105">
        <v>5087.9999999999991</v>
      </c>
      <c r="AD46" s="105">
        <v>5</v>
      </c>
      <c r="AE46" s="105">
        <v>5087.9999999999991</v>
      </c>
      <c r="AF46" s="105">
        <v>5</v>
      </c>
      <c r="AG46" s="105">
        <v>5087.9999999999991</v>
      </c>
      <c r="AH46" s="105">
        <v>6</v>
      </c>
      <c r="AI46" s="105">
        <v>6105.5999999999985</v>
      </c>
      <c r="AJ46" s="105">
        <v>7</v>
      </c>
      <c r="AK46" s="105">
        <v>7123.1999999999989</v>
      </c>
      <c r="AL46" s="105">
        <v>6</v>
      </c>
      <c r="AM46" s="105">
        <v>6105.5999999999985</v>
      </c>
      <c r="AN46" s="105">
        <v>6</v>
      </c>
      <c r="AO46" s="105">
        <v>6105.5999999999985</v>
      </c>
      <c r="AP46" s="105">
        <v>6</v>
      </c>
      <c r="AQ46" s="105">
        <v>6105.5999999999985</v>
      </c>
      <c r="AR46" s="105">
        <v>6</v>
      </c>
      <c r="AS46" s="105">
        <v>6105.5999999999985</v>
      </c>
      <c r="AT46" s="105">
        <v>5</v>
      </c>
      <c r="AU46" s="105">
        <v>5087.9999999999991</v>
      </c>
      <c r="AV46" s="105">
        <v>5</v>
      </c>
      <c r="AW46" s="105">
        <v>5087.9999999999991</v>
      </c>
      <c r="AX46" s="105">
        <v>8</v>
      </c>
      <c r="AY46" s="105">
        <v>8140.7999999999984</v>
      </c>
      <c r="AZ46" s="105">
        <v>5</v>
      </c>
      <c r="BA46" s="105">
        <v>5087.9999999999991</v>
      </c>
      <c r="BB46" s="105">
        <v>6</v>
      </c>
      <c r="BC46" s="105">
        <v>6105.5999999999985</v>
      </c>
      <c r="BD46" s="105">
        <v>7</v>
      </c>
      <c r="BE46" s="105">
        <v>7123.1999999999989</v>
      </c>
      <c r="BF46" s="105">
        <v>4</v>
      </c>
      <c r="BG46" s="105">
        <v>4070.3999999999992</v>
      </c>
      <c r="BH46" s="105">
        <v>7</v>
      </c>
      <c r="BI46" s="105">
        <v>7123.1999999999989</v>
      </c>
      <c r="BJ46" s="105">
        <v>7</v>
      </c>
      <c r="BK46" s="105">
        <v>7123.1999999999989</v>
      </c>
      <c r="BL46" s="105">
        <v>6</v>
      </c>
      <c r="BM46" s="105">
        <v>6105.5999999999985</v>
      </c>
      <c r="BN46" s="105">
        <v>4</v>
      </c>
      <c r="BO46" s="105">
        <v>4070.3999999999992</v>
      </c>
      <c r="BP46" s="105">
        <v>9</v>
      </c>
      <c r="BQ46" s="105">
        <v>9158.3999999999978</v>
      </c>
      <c r="BR46" s="105">
        <v>8</v>
      </c>
      <c r="BS46" s="105">
        <v>8140.7999999999984</v>
      </c>
      <c r="BT46" s="105">
        <v>5</v>
      </c>
      <c r="BU46" s="105">
        <v>5087.9999999999991</v>
      </c>
      <c r="BV46" s="105">
        <v>7</v>
      </c>
      <c r="BW46" s="105">
        <v>7123.1999999999989</v>
      </c>
      <c r="BX46" s="105">
        <v>5</v>
      </c>
      <c r="BY46" s="105">
        <v>5087.9999999999991</v>
      </c>
      <c r="BZ46" s="105">
        <v>8</v>
      </c>
      <c r="CA46" s="105">
        <v>8140.7999999999984</v>
      </c>
      <c r="CB46" s="105">
        <v>7</v>
      </c>
      <c r="CC46" s="105">
        <v>7123.1999999999989</v>
      </c>
      <c r="CD46" s="105">
        <v>5</v>
      </c>
      <c r="CE46" s="105">
        <v>5087.9999999999991</v>
      </c>
      <c r="CF46" s="105">
        <v>5</v>
      </c>
      <c r="CG46" s="105">
        <v>5087.9999999999991</v>
      </c>
      <c r="CH46" s="105">
        <v>8</v>
      </c>
      <c r="CI46" s="105">
        <v>8140.7999999999984</v>
      </c>
      <c r="CJ46" s="105">
        <v>5</v>
      </c>
      <c r="CK46" s="105">
        <v>5087.9999999999991</v>
      </c>
      <c r="CL46" s="105">
        <v>8</v>
      </c>
      <c r="CM46" s="105">
        <v>8140.7999999999984</v>
      </c>
      <c r="CN46" s="105">
        <v>6</v>
      </c>
      <c r="CO46" s="105">
        <v>6105.5999999999985</v>
      </c>
      <c r="CP46" s="105">
        <v>7</v>
      </c>
      <c r="CQ46" s="105">
        <v>7123.1999999999989</v>
      </c>
      <c r="CR46" s="105">
        <v>7</v>
      </c>
      <c r="CS46" s="105">
        <v>7123.1999999999989</v>
      </c>
      <c r="CT46" s="105">
        <v>8</v>
      </c>
      <c r="CU46" s="105">
        <v>8140.7999999999984</v>
      </c>
    </row>
    <row r="47" spans="2:99" x14ac:dyDescent="0.2">
      <c r="C47" s="104" t="s">
        <v>215</v>
      </c>
      <c r="D47" s="105">
        <v>0</v>
      </c>
      <c r="E47" s="105">
        <v>0</v>
      </c>
      <c r="F47" s="105">
        <v>0</v>
      </c>
      <c r="G47" s="105">
        <v>0</v>
      </c>
      <c r="H47" s="105">
        <v>6</v>
      </c>
      <c r="I47" s="105">
        <v>7905.5999999999995</v>
      </c>
      <c r="J47" s="105">
        <v>5</v>
      </c>
      <c r="K47" s="105">
        <v>6588</v>
      </c>
      <c r="L47" s="105">
        <v>7</v>
      </c>
      <c r="M47" s="105">
        <v>9223.1999999999989</v>
      </c>
      <c r="N47" s="105">
        <v>7</v>
      </c>
      <c r="O47" s="105">
        <v>9223.1999999999989</v>
      </c>
      <c r="P47" s="105">
        <v>4</v>
      </c>
      <c r="Q47" s="105">
        <v>5270.4</v>
      </c>
      <c r="R47" s="105">
        <v>8</v>
      </c>
      <c r="S47" s="105">
        <v>10540.8</v>
      </c>
      <c r="T47" s="105">
        <v>4</v>
      </c>
      <c r="U47" s="105">
        <v>5270.4</v>
      </c>
      <c r="V47" s="105">
        <v>8</v>
      </c>
      <c r="W47" s="105">
        <v>10540.8</v>
      </c>
      <c r="X47" s="105">
        <v>6</v>
      </c>
      <c r="Y47" s="105">
        <v>7905.5999999999995</v>
      </c>
      <c r="Z47" s="105">
        <v>5</v>
      </c>
      <c r="AA47" s="105">
        <v>6588</v>
      </c>
      <c r="AB47" s="105">
        <v>4</v>
      </c>
      <c r="AC47" s="105">
        <v>5270.4</v>
      </c>
      <c r="AD47" s="105">
        <v>5</v>
      </c>
      <c r="AE47" s="105">
        <v>6588</v>
      </c>
      <c r="AF47" s="105">
        <v>5</v>
      </c>
      <c r="AG47" s="105">
        <v>6588</v>
      </c>
      <c r="AH47" s="105">
        <v>5</v>
      </c>
      <c r="AI47" s="105">
        <v>6588</v>
      </c>
      <c r="AJ47" s="105">
        <v>7</v>
      </c>
      <c r="AK47" s="105">
        <v>9223.1999999999989</v>
      </c>
      <c r="AL47" s="105">
        <v>6</v>
      </c>
      <c r="AM47" s="105">
        <v>7905.5999999999995</v>
      </c>
      <c r="AN47" s="105">
        <v>5</v>
      </c>
      <c r="AO47" s="105">
        <v>6588</v>
      </c>
      <c r="AP47" s="105">
        <v>6</v>
      </c>
      <c r="AQ47" s="105">
        <v>7905.5999999999995</v>
      </c>
      <c r="AR47" s="105">
        <v>5</v>
      </c>
      <c r="AS47" s="105">
        <v>6588</v>
      </c>
      <c r="AT47" s="105">
        <v>5</v>
      </c>
      <c r="AU47" s="105">
        <v>6588</v>
      </c>
      <c r="AV47" s="105">
        <v>5</v>
      </c>
      <c r="AW47" s="105">
        <v>6588</v>
      </c>
      <c r="AX47" s="105">
        <v>8</v>
      </c>
      <c r="AY47" s="105">
        <v>10540.8</v>
      </c>
      <c r="AZ47" s="105">
        <v>5</v>
      </c>
      <c r="BA47" s="105">
        <v>6588</v>
      </c>
      <c r="BB47" s="105">
        <v>6</v>
      </c>
      <c r="BC47" s="105">
        <v>7905.5999999999995</v>
      </c>
      <c r="BD47" s="105">
        <v>8</v>
      </c>
      <c r="BE47" s="105">
        <v>10540.8</v>
      </c>
      <c r="BF47" s="105">
        <v>5</v>
      </c>
      <c r="BG47" s="105">
        <v>6588</v>
      </c>
      <c r="BH47" s="105">
        <v>8</v>
      </c>
      <c r="BI47" s="105">
        <v>10540.8</v>
      </c>
      <c r="BJ47" s="105">
        <v>8</v>
      </c>
      <c r="BK47" s="105">
        <v>10540.8</v>
      </c>
      <c r="BL47" s="105">
        <v>5</v>
      </c>
      <c r="BM47" s="105">
        <v>6588</v>
      </c>
      <c r="BN47" s="105">
        <v>4</v>
      </c>
      <c r="BO47" s="105">
        <v>5270.4</v>
      </c>
      <c r="BP47" s="105">
        <v>8</v>
      </c>
      <c r="BQ47" s="105">
        <v>10540.8</v>
      </c>
      <c r="BR47" s="105">
        <v>8</v>
      </c>
      <c r="BS47" s="105">
        <v>10540.8</v>
      </c>
      <c r="BT47" s="105">
        <v>5</v>
      </c>
      <c r="BU47" s="105">
        <v>6588</v>
      </c>
      <c r="BV47" s="105">
        <v>7</v>
      </c>
      <c r="BW47" s="105">
        <v>9223.1999999999989</v>
      </c>
      <c r="BX47" s="105">
        <v>5</v>
      </c>
      <c r="BY47" s="105">
        <v>6588</v>
      </c>
      <c r="BZ47" s="105">
        <v>8</v>
      </c>
      <c r="CA47" s="105">
        <v>10540.8</v>
      </c>
      <c r="CB47" s="105">
        <v>6</v>
      </c>
      <c r="CC47" s="105">
        <v>7905.5999999999995</v>
      </c>
      <c r="CD47" s="105">
        <v>5</v>
      </c>
      <c r="CE47" s="105">
        <v>6588</v>
      </c>
      <c r="CF47" s="105">
        <v>5</v>
      </c>
      <c r="CG47" s="105">
        <v>6588</v>
      </c>
      <c r="CH47" s="105">
        <v>8</v>
      </c>
      <c r="CI47" s="105">
        <v>10540.8</v>
      </c>
      <c r="CJ47" s="105">
        <v>6</v>
      </c>
      <c r="CK47" s="105">
        <v>7905.5999999999995</v>
      </c>
      <c r="CL47" s="105">
        <v>7</v>
      </c>
      <c r="CM47" s="105">
        <v>9223.1999999999989</v>
      </c>
      <c r="CN47" s="105">
        <v>7</v>
      </c>
      <c r="CO47" s="105">
        <v>9223.1999999999989</v>
      </c>
      <c r="CP47" s="105">
        <v>7</v>
      </c>
      <c r="CQ47" s="105">
        <v>9223.1999999999989</v>
      </c>
      <c r="CR47" s="105">
        <v>7</v>
      </c>
      <c r="CS47" s="105">
        <v>9223.1999999999989</v>
      </c>
      <c r="CT47" s="105">
        <v>7</v>
      </c>
      <c r="CU47" s="105">
        <v>9223.1999999999989</v>
      </c>
    </row>
    <row r="48" spans="2:99" x14ac:dyDescent="0.2">
      <c r="C48" s="104" t="s">
        <v>216</v>
      </c>
      <c r="D48" s="105">
        <v>0</v>
      </c>
      <c r="E48" s="105">
        <v>0</v>
      </c>
      <c r="F48" s="105">
        <v>0</v>
      </c>
      <c r="G48" s="105">
        <v>0</v>
      </c>
      <c r="H48" s="105">
        <v>6</v>
      </c>
      <c r="I48" s="105">
        <v>3945.6000000000004</v>
      </c>
      <c r="J48" s="105">
        <v>5</v>
      </c>
      <c r="K48" s="105">
        <v>3288</v>
      </c>
      <c r="L48" s="105">
        <v>8</v>
      </c>
      <c r="M48" s="105">
        <v>5260.8</v>
      </c>
      <c r="N48" s="105">
        <v>7</v>
      </c>
      <c r="O48" s="105">
        <v>4603.2</v>
      </c>
      <c r="P48" s="105">
        <v>4</v>
      </c>
      <c r="Q48" s="105">
        <v>2630.4</v>
      </c>
      <c r="R48" s="105">
        <v>8</v>
      </c>
      <c r="S48" s="105">
        <v>5260.8</v>
      </c>
      <c r="T48" s="105">
        <v>4</v>
      </c>
      <c r="U48" s="105">
        <v>2630.4</v>
      </c>
      <c r="V48" s="105">
        <v>8</v>
      </c>
      <c r="W48" s="105">
        <v>5260.8</v>
      </c>
      <c r="X48" s="105">
        <v>6</v>
      </c>
      <c r="Y48" s="105">
        <v>3945.6000000000004</v>
      </c>
      <c r="Z48" s="105">
        <v>5</v>
      </c>
      <c r="AA48" s="105">
        <v>3288</v>
      </c>
      <c r="AB48" s="105">
        <v>5</v>
      </c>
      <c r="AC48" s="105">
        <v>3288</v>
      </c>
      <c r="AD48" s="105">
        <v>5</v>
      </c>
      <c r="AE48" s="105">
        <v>3288</v>
      </c>
      <c r="AF48" s="105">
        <v>6</v>
      </c>
      <c r="AG48" s="105">
        <v>3945.6000000000004</v>
      </c>
      <c r="AH48" s="105">
        <v>5</v>
      </c>
      <c r="AI48" s="105">
        <v>3288</v>
      </c>
      <c r="AJ48" s="105">
        <v>7</v>
      </c>
      <c r="AK48" s="105">
        <v>4603.2</v>
      </c>
      <c r="AL48" s="105">
        <v>6</v>
      </c>
      <c r="AM48" s="105">
        <v>3945.6000000000004</v>
      </c>
      <c r="AN48" s="105">
        <v>5</v>
      </c>
      <c r="AO48" s="105">
        <v>3288</v>
      </c>
      <c r="AP48" s="105">
        <v>6</v>
      </c>
      <c r="AQ48" s="105">
        <v>3945.6000000000004</v>
      </c>
      <c r="AR48" s="105">
        <v>6</v>
      </c>
      <c r="AS48" s="105">
        <v>3945.6000000000004</v>
      </c>
      <c r="AT48" s="105">
        <v>6</v>
      </c>
      <c r="AU48" s="105">
        <v>3945.6000000000004</v>
      </c>
      <c r="AV48" s="105">
        <v>5</v>
      </c>
      <c r="AW48" s="105">
        <v>3288</v>
      </c>
      <c r="AX48" s="105">
        <v>9</v>
      </c>
      <c r="AY48" s="105">
        <v>5918.4000000000005</v>
      </c>
      <c r="AZ48" s="105">
        <v>5</v>
      </c>
      <c r="BA48" s="105">
        <v>3288</v>
      </c>
      <c r="BB48" s="105">
        <v>5</v>
      </c>
      <c r="BC48" s="105">
        <v>3288</v>
      </c>
      <c r="BD48" s="105">
        <v>8</v>
      </c>
      <c r="BE48" s="105">
        <v>5260.8</v>
      </c>
      <c r="BF48" s="105">
        <v>5</v>
      </c>
      <c r="BG48" s="105">
        <v>3288</v>
      </c>
      <c r="BH48" s="105">
        <v>8</v>
      </c>
      <c r="BI48" s="105">
        <v>5260.8</v>
      </c>
      <c r="BJ48" s="105">
        <v>8</v>
      </c>
      <c r="BK48" s="105">
        <v>5260.8</v>
      </c>
      <c r="BL48" s="105">
        <v>6</v>
      </c>
      <c r="BM48" s="105">
        <v>3945.6000000000004</v>
      </c>
      <c r="BN48" s="105">
        <v>5</v>
      </c>
      <c r="BO48" s="105">
        <v>3288</v>
      </c>
      <c r="BP48" s="105">
        <v>8</v>
      </c>
      <c r="BQ48" s="105">
        <v>5260.8</v>
      </c>
      <c r="BR48" s="105">
        <v>8</v>
      </c>
      <c r="BS48" s="105">
        <v>5260.8</v>
      </c>
      <c r="BT48" s="105">
        <v>6</v>
      </c>
      <c r="BU48" s="105">
        <v>3945.6000000000004</v>
      </c>
      <c r="BV48" s="105">
        <v>7</v>
      </c>
      <c r="BW48" s="105">
        <v>4603.2</v>
      </c>
      <c r="BX48" s="105">
        <v>6</v>
      </c>
      <c r="BY48" s="105">
        <v>3945.6000000000004</v>
      </c>
      <c r="BZ48" s="105">
        <v>7</v>
      </c>
      <c r="CA48" s="105">
        <v>4603.2</v>
      </c>
      <c r="CB48" s="105">
        <v>7</v>
      </c>
      <c r="CC48" s="105">
        <v>4603.2</v>
      </c>
      <c r="CD48" s="105">
        <v>5</v>
      </c>
      <c r="CE48" s="105">
        <v>3288</v>
      </c>
      <c r="CF48" s="105">
        <v>5</v>
      </c>
      <c r="CG48" s="105">
        <v>3288</v>
      </c>
      <c r="CH48" s="105">
        <v>8</v>
      </c>
      <c r="CI48" s="105">
        <v>5260.8</v>
      </c>
      <c r="CJ48" s="105">
        <v>5</v>
      </c>
      <c r="CK48" s="105">
        <v>3288</v>
      </c>
      <c r="CL48" s="105">
        <v>7</v>
      </c>
      <c r="CM48" s="105">
        <v>4603.2</v>
      </c>
      <c r="CN48" s="105">
        <v>6</v>
      </c>
      <c r="CO48" s="105">
        <v>3945.6000000000004</v>
      </c>
      <c r="CP48" s="105">
        <v>7</v>
      </c>
      <c r="CQ48" s="105">
        <v>4603.2</v>
      </c>
      <c r="CR48" s="105">
        <v>7</v>
      </c>
      <c r="CS48" s="105">
        <v>4603.2</v>
      </c>
      <c r="CT48" s="105">
        <v>8</v>
      </c>
      <c r="CU48" s="105">
        <v>5260.8</v>
      </c>
    </row>
    <row r="49" spans="2:99" x14ac:dyDescent="0.2">
      <c r="B49" s="104" t="s">
        <v>129</v>
      </c>
      <c r="C49" s="104" t="s">
        <v>217</v>
      </c>
      <c r="D49" s="105">
        <v>0</v>
      </c>
      <c r="E49" s="105">
        <v>0</v>
      </c>
      <c r="F49" s="105">
        <v>0</v>
      </c>
      <c r="G49" s="105">
        <v>0</v>
      </c>
      <c r="H49" s="105">
        <v>2.4198895027624312</v>
      </c>
      <c r="I49" s="105">
        <v>1431.6066298342544</v>
      </c>
      <c r="J49" s="105">
        <v>4</v>
      </c>
      <c r="K49" s="105">
        <v>2366.4</v>
      </c>
      <c r="L49" s="105">
        <v>4</v>
      </c>
      <c r="M49" s="105">
        <v>2366.4</v>
      </c>
      <c r="N49" s="105">
        <v>3.5200000000000018</v>
      </c>
      <c r="O49" s="105">
        <v>2082.4320000000012</v>
      </c>
      <c r="P49" s="105">
        <v>5.4409937888198767</v>
      </c>
      <c r="Q49" s="105">
        <v>3218.891925465839</v>
      </c>
      <c r="R49" s="105">
        <v>4</v>
      </c>
      <c r="S49" s="105">
        <v>2366.4</v>
      </c>
      <c r="T49" s="105">
        <v>4</v>
      </c>
      <c r="U49" s="105">
        <v>2366.4</v>
      </c>
      <c r="V49" s="105">
        <v>5</v>
      </c>
      <c r="W49" s="105">
        <v>2958</v>
      </c>
      <c r="X49" s="105">
        <v>5.9603773584905699</v>
      </c>
      <c r="Y49" s="105">
        <v>3526.1592452830214</v>
      </c>
      <c r="Z49" s="105">
        <v>6</v>
      </c>
      <c r="AA49" s="105">
        <v>3549.6000000000004</v>
      </c>
      <c r="AB49" s="105">
        <v>4</v>
      </c>
      <c r="AC49" s="105">
        <v>2366.4</v>
      </c>
      <c r="AD49" s="105">
        <v>5</v>
      </c>
      <c r="AE49" s="105">
        <v>2958</v>
      </c>
      <c r="AF49" s="105">
        <v>5</v>
      </c>
      <c r="AG49" s="105">
        <v>2958</v>
      </c>
      <c r="AH49" s="105">
        <v>5.6463157894736913</v>
      </c>
      <c r="AI49" s="105">
        <v>3340.360421052636</v>
      </c>
      <c r="AJ49" s="105">
        <v>4</v>
      </c>
      <c r="AK49" s="105">
        <v>2366.4</v>
      </c>
      <c r="AL49" s="105">
        <v>3</v>
      </c>
      <c r="AM49" s="105">
        <v>1774.8000000000002</v>
      </c>
      <c r="AN49" s="105">
        <v>3</v>
      </c>
      <c r="AO49" s="105">
        <v>1774.8000000000002</v>
      </c>
      <c r="AP49" s="105">
        <v>5</v>
      </c>
      <c r="AQ49" s="105">
        <v>2958</v>
      </c>
      <c r="AR49" s="105">
        <v>4</v>
      </c>
      <c r="AS49" s="105">
        <v>2366.4</v>
      </c>
      <c r="AT49" s="105">
        <v>5</v>
      </c>
      <c r="AU49" s="105">
        <v>2958</v>
      </c>
      <c r="AV49" s="105">
        <v>5</v>
      </c>
      <c r="AW49" s="105">
        <v>2958</v>
      </c>
      <c r="AX49" s="105">
        <v>6</v>
      </c>
      <c r="AY49" s="105">
        <v>3549.6000000000004</v>
      </c>
      <c r="AZ49" s="105">
        <v>4</v>
      </c>
      <c r="BA49" s="105">
        <v>2366.4</v>
      </c>
      <c r="BB49" s="105">
        <v>4</v>
      </c>
      <c r="BC49" s="105">
        <v>2366.4</v>
      </c>
      <c r="BD49" s="105">
        <v>6</v>
      </c>
      <c r="BE49" s="105">
        <v>3549.6000000000004</v>
      </c>
      <c r="BF49" s="105">
        <v>3</v>
      </c>
      <c r="BG49" s="105">
        <v>1774.8000000000002</v>
      </c>
      <c r="BH49" s="105">
        <v>6</v>
      </c>
      <c r="BI49" s="105">
        <v>3549.6000000000004</v>
      </c>
      <c r="BJ49" s="105">
        <v>2.8143646408839875</v>
      </c>
      <c r="BK49" s="105">
        <v>1664.978121546967</v>
      </c>
      <c r="BL49" s="105">
        <v>3.9727891156462589</v>
      </c>
      <c r="BM49" s="105">
        <v>2350.302040816327</v>
      </c>
      <c r="BN49" s="105">
        <v>3.1739130434782612</v>
      </c>
      <c r="BO49" s="105">
        <v>1877.6869565217394</v>
      </c>
      <c r="BP49" s="105">
        <v>2.0660377358490569</v>
      </c>
      <c r="BQ49" s="105">
        <v>1222.267924528302</v>
      </c>
      <c r="BR49" s="105">
        <v>4.5625000000000009</v>
      </c>
      <c r="BS49" s="105">
        <v>2699.1750000000006</v>
      </c>
      <c r="BT49" s="105">
        <v>5.2142857142857153</v>
      </c>
      <c r="BU49" s="105">
        <v>3084.7714285714292</v>
      </c>
      <c r="BV49" s="105">
        <v>4</v>
      </c>
      <c r="BW49" s="105">
        <v>2366.4</v>
      </c>
      <c r="BX49" s="105">
        <v>4</v>
      </c>
      <c r="BY49" s="105">
        <v>2366.4</v>
      </c>
      <c r="BZ49" s="105">
        <v>4.2462311557788972</v>
      </c>
      <c r="CA49" s="105">
        <v>2512.0703517587958</v>
      </c>
      <c r="CB49" s="105">
        <v>5.2142857142857153</v>
      </c>
      <c r="CC49" s="105">
        <v>3084.7714285714292</v>
      </c>
      <c r="CD49" s="105">
        <v>3.3640552995391713</v>
      </c>
      <c r="CE49" s="105">
        <v>1990.1751152073739</v>
      </c>
      <c r="CF49" s="105">
        <v>4.2441860465116283</v>
      </c>
      <c r="CG49" s="105">
        <v>2510.8604651162796</v>
      </c>
      <c r="CH49" s="105">
        <v>3.7677419354838717</v>
      </c>
      <c r="CI49" s="105">
        <v>2228.9961290322585</v>
      </c>
      <c r="CJ49" s="105">
        <v>3.3015075376884426</v>
      </c>
      <c r="CK49" s="105">
        <v>1953.1718592964828</v>
      </c>
      <c r="CL49" s="105">
        <v>4.4693877551020416</v>
      </c>
      <c r="CM49" s="105">
        <v>2644.0897959183681</v>
      </c>
      <c r="CN49" s="105">
        <v>2.9728506787330318</v>
      </c>
      <c r="CO49" s="105">
        <v>1758.7384615384617</v>
      </c>
      <c r="CP49" s="105">
        <v>4.308196721311476</v>
      </c>
      <c r="CQ49" s="105">
        <v>2548.7291803278695</v>
      </c>
      <c r="CR49" s="105">
        <v>3.8933333333333344</v>
      </c>
      <c r="CS49" s="105">
        <v>2303.2960000000007</v>
      </c>
      <c r="CT49" s="105">
        <v>3.2087912087912098</v>
      </c>
      <c r="CU49" s="105">
        <v>1898.3208791208799</v>
      </c>
    </row>
    <row r="50" spans="2:99" x14ac:dyDescent="0.2">
      <c r="C50" s="104" t="s">
        <v>218</v>
      </c>
      <c r="D50" s="105">
        <v>0</v>
      </c>
      <c r="E50" s="105">
        <v>0</v>
      </c>
      <c r="F50" s="105">
        <v>0</v>
      </c>
      <c r="G50" s="105">
        <v>0</v>
      </c>
      <c r="H50" s="105">
        <v>3</v>
      </c>
      <c r="I50" s="105">
        <v>1159.1999999999998</v>
      </c>
      <c r="J50" s="105">
        <v>5</v>
      </c>
      <c r="K50" s="105">
        <v>1932</v>
      </c>
      <c r="L50" s="105">
        <v>4</v>
      </c>
      <c r="M50" s="105">
        <v>1545.6</v>
      </c>
      <c r="N50" s="105">
        <v>5</v>
      </c>
      <c r="O50" s="105">
        <v>1932</v>
      </c>
      <c r="P50" s="105">
        <v>6</v>
      </c>
      <c r="Q50" s="105">
        <v>2318.3999999999996</v>
      </c>
      <c r="R50" s="105">
        <v>4</v>
      </c>
      <c r="S50" s="105">
        <v>1545.6</v>
      </c>
      <c r="T50" s="105">
        <v>5</v>
      </c>
      <c r="U50" s="105">
        <v>1932</v>
      </c>
      <c r="V50" s="105">
        <v>5</v>
      </c>
      <c r="W50" s="105">
        <v>1932</v>
      </c>
      <c r="X50" s="105">
        <v>6</v>
      </c>
      <c r="Y50" s="105">
        <v>2318.3999999999996</v>
      </c>
      <c r="Z50" s="105">
        <v>5</v>
      </c>
      <c r="AA50" s="105">
        <v>1932</v>
      </c>
      <c r="AB50" s="105">
        <v>4</v>
      </c>
      <c r="AC50" s="105">
        <v>1545.6</v>
      </c>
      <c r="AD50" s="105">
        <v>5</v>
      </c>
      <c r="AE50" s="105">
        <v>1932</v>
      </c>
      <c r="AF50" s="105">
        <v>6</v>
      </c>
      <c r="AG50" s="105">
        <v>2318.3999999999996</v>
      </c>
      <c r="AH50" s="105">
        <v>6</v>
      </c>
      <c r="AI50" s="105">
        <v>2318.3999999999996</v>
      </c>
      <c r="AJ50" s="105">
        <v>4</v>
      </c>
      <c r="AK50" s="105">
        <v>1545.6</v>
      </c>
      <c r="AL50" s="105">
        <v>3</v>
      </c>
      <c r="AM50" s="105">
        <v>1159.1999999999998</v>
      </c>
      <c r="AN50" s="105">
        <v>3</v>
      </c>
      <c r="AO50" s="105">
        <v>1159.1999999999998</v>
      </c>
      <c r="AP50" s="105">
        <v>5</v>
      </c>
      <c r="AQ50" s="105">
        <v>1932</v>
      </c>
      <c r="AR50" s="105">
        <v>4</v>
      </c>
      <c r="AS50" s="105">
        <v>1545.6</v>
      </c>
      <c r="AT50" s="105">
        <v>5</v>
      </c>
      <c r="AU50" s="105">
        <v>1932</v>
      </c>
      <c r="AV50" s="105">
        <v>5</v>
      </c>
      <c r="AW50" s="105">
        <v>1932</v>
      </c>
      <c r="AX50" s="105">
        <v>5</v>
      </c>
      <c r="AY50" s="105">
        <v>1932</v>
      </c>
      <c r="AZ50" s="105">
        <v>4</v>
      </c>
      <c r="BA50" s="105">
        <v>1545.6</v>
      </c>
      <c r="BB50" s="105">
        <v>4</v>
      </c>
      <c r="BC50" s="105">
        <v>1545.6</v>
      </c>
      <c r="BD50" s="105">
        <v>7</v>
      </c>
      <c r="BE50" s="105">
        <v>2704.7999999999997</v>
      </c>
      <c r="BF50" s="105">
        <v>3</v>
      </c>
      <c r="BG50" s="105">
        <v>1159.1999999999998</v>
      </c>
      <c r="BH50" s="105">
        <v>6</v>
      </c>
      <c r="BI50" s="105">
        <v>2318.3999999999996</v>
      </c>
      <c r="BJ50" s="105">
        <v>3</v>
      </c>
      <c r="BK50" s="105">
        <v>1159.1999999999998</v>
      </c>
      <c r="BL50" s="105">
        <v>5</v>
      </c>
      <c r="BM50" s="105">
        <v>1932</v>
      </c>
      <c r="BN50" s="105">
        <v>4</v>
      </c>
      <c r="BO50" s="105">
        <v>1545.6</v>
      </c>
      <c r="BP50" s="105">
        <v>4</v>
      </c>
      <c r="BQ50" s="105">
        <v>1545.6</v>
      </c>
      <c r="BR50" s="105">
        <v>4</v>
      </c>
      <c r="BS50" s="105">
        <v>1545.6</v>
      </c>
      <c r="BT50" s="105">
        <v>6</v>
      </c>
      <c r="BU50" s="105">
        <v>2318.3999999999996</v>
      </c>
      <c r="BV50" s="105">
        <v>5</v>
      </c>
      <c r="BW50" s="105">
        <v>1932</v>
      </c>
      <c r="BX50" s="105">
        <v>5</v>
      </c>
      <c r="BY50" s="105">
        <v>1932</v>
      </c>
      <c r="BZ50" s="105">
        <v>5</v>
      </c>
      <c r="CA50" s="105">
        <v>1932</v>
      </c>
      <c r="CB50" s="105">
        <v>7</v>
      </c>
      <c r="CC50" s="105">
        <v>2704.7999999999997</v>
      </c>
      <c r="CD50" s="105">
        <v>5</v>
      </c>
      <c r="CE50" s="105">
        <v>1932</v>
      </c>
      <c r="CF50" s="105">
        <v>5</v>
      </c>
      <c r="CG50" s="105">
        <v>1932</v>
      </c>
      <c r="CH50" s="105">
        <v>4</v>
      </c>
      <c r="CI50" s="105">
        <v>1545.6</v>
      </c>
      <c r="CJ50" s="105">
        <v>4</v>
      </c>
      <c r="CK50" s="105">
        <v>1545.6</v>
      </c>
      <c r="CL50" s="105">
        <v>6</v>
      </c>
      <c r="CM50" s="105">
        <v>2318.3999999999996</v>
      </c>
      <c r="CN50" s="105">
        <v>5</v>
      </c>
      <c r="CO50" s="105">
        <v>1932</v>
      </c>
      <c r="CP50" s="105">
        <v>6</v>
      </c>
      <c r="CQ50" s="105">
        <v>2318.3999999999996</v>
      </c>
      <c r="CR50" s="105">
        <v>4</v>
      </c>
      <c r="CS50" s="105">
        <v>1545.6</v>
      </c>
      <c r="CT50" s="105">
        <v>4</v>
      </c>
      <c r="CU50" s="105">
        <v>1545.6</v>
      </c>
    </row>
    <row r="51" spans="2:99" x14ac:dyDescent="0.2">
      <c r="C51" s="104" t="s">
        <v>219</v>
      </c>
      <c r="D51" s="105">
        <v>0</v>
      </c>
      <c r="E51" s="105">
        <v>0</v>
      </c>
      <c r="F51" s="105">
        <v>0</v>
      </c>
      <c r="G51" s="105">
        <v>0</v>
      </c>
      <c r="H51" s="105">
        <v>4</v>
      </c>
      <c r="I51" s="105">
        <v>542.4</v>
      </c>
      <c r="J51" s="105">
        <v>5</v>
      </c>
      <c r="K51" s="105">
        <v>678</v>
      </c>
      <c r="L51" s="105">
        <v>4</v>
      </c>
      <c r="M51" s="105">
        <v>542.4</v>
      </c>
      <c r="N51" s="105">
        <v>4</v>
      </c>
      <c r="O51" s="105">
        <v>542.4</v>
      </c>
      <c r="P51" s="105">
        <v>5</v>
      </c>
      <c r="Q51" s="105">
        <v>678</v>
      </c>
      <c r="R51" s="105">
        <v>4</v>
      </c>
      <c r="S51" s="105">
        <v>542.4</v>
      </c>
      <c r="T51" s="105">
        <v>4</v>
      </c>
      <c r="U51" s="105">
        <v>542.4</v>
      </c>
      <c r="V51" s="105">
        <v>2.2424751874633628</v>
      </c>
      <c r="W51" s="105">
        <v>304.07963542003199</v>
      </c>
      <c r="X51" s="105">
        <v>6</v>
      </c>
      <c r="Y51" s="105">
        <v>813.59999999999991</v>
      </c>
      <c r="Z51" s="105">
        <v>5</v>
      </c>
      <c r="AA51" s="105">
        <v>678</v>
      </c>
      <c r="AB51" s="105">
        <v>4</v>
      </c>
      <c r="AC51" s="105">
        <v>542.4</v>
      </c>
      <c r="AD51" s="105">
        <v>5</v>
      </c>
      <c r="AE51" s="105">
        <v>678</v>
      </c>
      <c r="AF51" s="105">
        <v>6</v>
      </c>
      <c r="AG51" s="105">
        <v>813.59999999999991</v>
      </c>
      <c r="AH51" s="105">
        <v>5</v>
      </c>
      <c r="AI51" s="105">
        <v>678</v>
      </c>
      <c r="AJ51" s="105">
        <v>4</v>
      </c>
      <c r="AK51" s="105">
        <v>542.4</v>
      </c>
      <c r="AL51" s="105">
        <v>4</v>
      </c>
      <c r="AM51" s="105">
        <v>542.4</v>
      </c>
      <c r="AN51" s="105">
        <v>4</v>
      </c>
      <c r="AO51" s="105">
        <v>542.4</v>
      </c>
      <c r="AP51" s="105">
        <v>5</v>
      </c>
      <c r="AQ51" s="105">
        <v>678</v>
      </c>
      <c r="AR51" s="105">
        <v>4</v>
      </c>
      <c r="AS51" s="105">
        <v>542.4</v>
      </c>
      <c r="AT51" s="105">
        <v>4</v>
      </c>
      <c r="AU51" s="105">
        <v>542.4</v>
      </c>
      <c r="AV51" s="105">
        <v>5</v>
      </c>
      <c r="AW51" s="105">
        <v>678</v>
      </c>
      <c r="AX51" s="105">
        <v>6</v>
      </c>
      <c r="AY51" s="105">
        <v>813.59999999999991</v>
      </c>
      <c r="AZ51" s="105">
        <v>4</v>
      </c>
      <c r="BA51" s="105">
        <v>542.4</v>
      </c>
      <c r="BB51" s="105">
        <v>3</v>
      </c>
      <c r="BC51" s="105">
        <v>406.79999999999995</v>
      </c>
      <c r="BD51" s="105">
        <v>5.1175042239216229</v>
      </c>
      <c r="BE51" s="105">
        <v>693.93357276377208</v>
      </c>
      <c r="BF51" s="105">
        <v>3.3590722288462356</v>
      </c>
      <c r="BG51" s="105">
        <v>455.49019423154954</v>
      </c>
      <c r="BH51" s="105">
        <v>0</v>
      </c>
      <c r="BI51" s="105">
        <v>0</v>
      </c>
      <c r="BJ51" s="105">
        <v>3</v>
      </c>
      <c r="BK51" s="105">
        <v>406.79999999999995</v>
      </c>
      <c r="BL51" s="105">
        <v>4</v>
      </c>
      <c r="BM51" s="105">
        <v>542.4</v>
      </c>
      <c r="BN51" s="105">
        <v>4</v>
      </c>
      <c r="BO51" s="105">
        <v>542.4</v>
      </c>
      <c r="BP51" s="105">
        <v>4</v>
      </c>
      <c r="BQ51" s="105">
        <v>542.4</v>
      </c>
      <c r="BR51" s="105">
        <v>5</v>
      </c>
      <c r="BS51" s="105">
        <v>678</v>
      </c>
      <c r="BT51" s="105">
        <v>7</v>
      </c>
      <c r="BU51" s="105">
        <v>949.19999999999993</v>
      </c>
      <c r="BV51" s="105">
        <v>5</v>
      </c>
      <c r="BW51" s="105">
        <v>678</v>
      </c>
      <c r="BX51" s="105">
        <v>5</v>
      </c>
      <c r="BY51" s="105">
        <v>678</v>
      </c>
      <c r="BZ51" s="105">
        <v>6</v>
      </c>
      <c r="CA51" s="105">
        <v>813.59999999999991</v>
      </c>
      <c r="CB51" s="105">
        <v>7</v>
      </c>
      <c r="CC51" s="105">
        <v>949.19999999999993</v>
      </c>
      <c r="CD51" s="105">
        <v>5</v>
      </c>
      <c r="CE51" s="105">
        <v>678</v>
      </c>
      <c r="CF51" s="105">
        <v>5</v>
      </c>
      <c r="CG51" s="105">
        <v>678</v>
      </c>
      <c r="CH51" s="105">
        <v>4</v>
      </c>
      <c r="CI51" s="105">
        <v>542.4</v>
      </c>
      <c r="CJ51" s="105">
        <v>3.6811915953087153</v>
      </c>
      <c r="CK51" s="105">
        <v>499.16958032386179</v>
      </c>
      <c r="CL51" s="105">
        <v>5</v>
      </c>
      <c r="CM51" s="105">
        <v>678</v>
      </c>
      <c r="CN51" s="105">
        <v>5</v>
      </c>
      <c r="CO51" s="105">
        <v>678</v>
      </c>
      <c r="CP51" s="105">
        <v>7</v>
      </c>
      <c r="CQ51" s="105">
        <v>949.19999999999993</v>
      </c>
      <c r="CR51" s="105">
        <v>4</v>
      </c>
      <c r="CS51" s="105">
        <v>542.4</v>
      </c>
      <c r="CT51" s="105">
        <v>4</v>
      </c>
      <c r="CU51" s="105">
        <v>542.4</v>
      </c>
    </row>
    <row r="52" spans="2:99" x14ac:dyDescent="0.2">
      <c r="C52" s="104" t="s">
        <v>220</v>
      </c>
      <c r="D52" s="105">
        <v>0</v>
      </c>
      <c r="E52" s="105">
        <v>0</v>
      </c>
      <c r="F52" s="105">
        <v>0</v>
      </c>
      <c r="G52" s="105">
        <v>0</v>
      </c>
      <c r="H52" s="105">
        <v>3</v>
      </c>
      <c r="I52" s="105">
        <v>799.19999999999993</v>
      </c>
      <c r="J52" s="105">
        <v>4</v>
      </c>
      <c r="K52" s="105">
        <v>1065.5999999999999</v>
      </c>
      <c r="L52" s="105">
        <v>4</v>
      </c>
      <c r="M52" s="105">
        <v>1065.5999999999999</v>
      </c>
      <c r="N52" s="105">
        <v>4</v>
      </c>
      <c r="O52" s="105">
        <v>1065.5999999999999</v>
      </c>
      <c r="P52" s="105">
        <v>5</v>
      </c>
      <c r="Q52" s="105">
        <v>1332</v>
      </c>
      <c r="R52" s="105">
        <v>4</v>
      </c>
      <c r="S52" s="105">
        <v>1065.5999999999999</v>
      </c>
      <c r="T52" s="105">
        <v>5</v>
      </c>
      <c r="U52" s="105">
        <v>1332</v>
      </c>
      <c r="V52" s="105">
        <v>2.2424751874633628</v>
      </c>
      <c r="W52" s="105">
        <v>597.39538994023985</v>
      </c>
      <c r="X52" s="105">
        <v>6</v>
      </c>
      <c r="Y52" s="105">
        <v>1598.3999999999999</v>
      </c>
      <c r="Z52" s="105">
        <v>6</v>
      </c>
      <c r="AA52" s="105">
        <v>1598.3999999999999</v>
      </c>
      <c r="AB52" s="105">
        <v>4</v>
      </c>
      <c r="AC52" s="105">
        <v>1065.5999999999999</v>
      </c>
      <c r="AD52" s="105">
        <v>6</v>
      </c>
      <c r="AE52" s="105">
        <v>1598.3999999999999</v>
      </c>
      <c r="AF52" s="105">
        <v>6</v>
      </c>
      <c r="AG52" s="105">
        <v>1598.3999999999999</v>
      </c>
      <c r="AH52" s="105">
        <v>6</v>
      </c>
      <c r="AI52" s="105">
        <v>1598.3999999999999</v>
      </c>
      <c r="AJ52" s="105">
        <v>4</v>
      </c>
      <c r="AK52" s="105">
        <v>1065.5999999999999</v>
      </c>
      <c r="AL52" s="105">
        <v>3</v>
      </c>
      <c r="AM52" s="105">
        <v>799.19999999999993</v>
      </c>
      <c r="AN52" s="105">
        <v>4</v>
      </c>
      <c r="AO52" s="105">
        <v>1065.5999999999999</v>
      </c>
      <c r="AP52" s="105">
        <v>5</v>
      </c>
      <c r="AQ52" s="105">
        <v>1332</v>
      </c>
      <c r="AR52" s="105">
        <v>4</v>
      </c>
      <c r="AS52" s="105">
        <v>1065.5999999999999</v>
      </c>
      <c r="AT52" s="105">
        <v>5</v>
      </c>
      <c r="AU52" s="105">
        <v>1332</v>
      </c>
      <c r="AV52" s="105">
        <v>6</v>
      </c>
      <c r="AW52" s="105">
        <v>1598.3999999999999</v>
      </c>
      <c r="AX52" s="105">
        <v>6</v>
      </c>
      <c r="AY52" s="105">
        <v>1598.3999999999999</v>
      </c>
      <c r="AZ52" s="105">
        <v>4</v>
      </c>
      <c r="BA52" s="105">
        <v>1065.5999999999999</v>
      </c>
      <c r="BB52" s="105">
        <v>4</v>
      </c>
      <c r="BC52" s="105">
        <v>1065.5999999999999</v>
      </c>
      <c r="BD52" s="105">
        <v>5.9704215945752264</v>
      </c>
      <c r="BE52" s="105">
        <v>1590.5203127948403</v>
      </c>
      <c r="BF52" s="105">
        <v>3.3590722288462356</v>
      </c>
      <c r="BG52" s="105">
        <v>894.85684176463712</v>
      </c>
      <c r="BH52" s="105">
        <v>0</v>
      </c>
      <c r="BI52" s="105">
        <v>0</v>
      </c>
      <c r="BJ52" s="105">
        <v>3</v>
      </c>
      <c r="BK52" s="105">
        <v>799.19999999999993</v>
      </c>
      <c r="BL52" s="105">
        <v>4</v>
      </c>
      <c r="BM52" s="105">
        <v>1065.5999999999999</v>
      </c>
      <c r="BN52" s="105">
        <v>4</v>
      </c>
      <c r="BO52" s="105">
        <v>1065.5999999999999</v>
      </c>
      <c r="BP52" s="105">
        <v>3</v>
      </c>
      <c r="BQ52" s="105">
        <v>799.19999999999993</v>
      </c>
      <c r="BR52" s="105">
        <v>5</v>
      </c>
      <c r="BS52" s="105">
        <v>1332</v>
      </c>
      <c r="BT52" s="105">
        <v>6</v>
      </c>
      <c r="BU52" s="105">
        <v>1598.3999999999999</v>
      </c>
      <c r="BV52" s="105">
        <v>4</v>
      </c>
      <c r="BW52" s="105">
        <v>1065.5999999999999</v>
      </c>
      <c r="BX52" s="105">
        <v>5</v>
      </c>
      <c r="BY52" s="105">
        <v>1332</v>
      </c>
      <c r="BZ52" s="105">
        <v>5</v>
      </c>
      <c r="CA52" s="105">
        <v>1332</v>
      </c>
      <c r="CB52" s="105">
        <v>6</v>
      </c>
      <c r="CC52" s="105">
        <v>1598.3999999999999</v>
      </c>
      <c r="CD52" s="105">
        <v>4</v>
      </c>
      <c r="CE52" s="105">
        <v>1065.5999999999999</v>
      </c>
      <c r="CF52" s="105">
        <v>5</v>
      </c>
      <c r="CG52" s="105">
        <v>1332</v>
      </c>
      <c r="CH52" s="105">
        <v>4</v>
      </c>
      <c r="CI52" s="105">
        <v>1065.5999999999999</v>
      </c>
      <c r="CJ52" s="105">
        <v>3.6811915953087153</v>
      </c>
      <c r="CK52" s="105">
        <v>980.6694409902417</v>
      </c>
      <c r="CL52" s="105">
        <v>5</v>
      </c>
      <c r="CM52" s="105">
        <v>1332</v>
      </c>
      <c r="CN52" s="105">
        <v>5</v>
      </c>
      <c r="CO52" s="105">
        <v>1332</v>
      </c>
      <c r="CP52" s="105">
        <v>6</v>
      </c>
      <c r="CQ52" s="105">
        <v>1598.3999999999999</v>
      </c>
      <c r="CR52" s="105">
        <v>4</v>
      </c>
      <c r="CS52" s="105">
        <v>1065.5999999999999</v>
      </c>
      <c r="CT52" s="105">
        <v>4</v>
      </c>
      <c r="CU52" s="105">
        <v>1065.5999999999999</v>
      </c>
    </row>
    <row r="53" spans="2:99" x14ac:dyDescent="0.2">
      <c r="C53" s="104" t="s">
        <v>221</v>
      </c>
      <c r="D53" s="105">
        <v>0</v>
      </c>
      <c r="E53" s="105">
        <v>0</v>
      </c>
      <c r="F53" s="105">
        <v>0</v>
      </c>
      <c r="G53" s="105">
        <v>0</v>
      </c>
      <c r="H53" s="105">
        <v>4</v>
      </c>
      <c r="I53" s="105">
        <v>1569.6</v>
      </c>
      <c r="J53" s="105">
        <v>5</v>
      </c>
      <c r="K53" s="105">
        <v>1962</v>
      </c>
      <c r="L53" s="105">
        <v>4</v>
      </c>
      <c r="M53" s="105">
        <v>1569.6</v>
      </c>
      <c r="N53" s="105">
        <v>4</v>
      </c>
      <c r="O53" s="105">
        <v>1569.6</v>
      </c>
      <c r="P53" s="105">
        <v>6</v>
      </c>
      <c r="Q53" s="105">
        <v>2354.3999999999996</v>
      </c>
      <c r="R53" s="105">
        <v>4</v>
      </c>
      <c r="S53" s="105">
        <v>1569.6</v>
      </c>
      <c r="T53" s="105">
        <v>4</v>
      </c>
      <c r="U53" s="105">
        <v>1569.6</v>
      </c>
      <c r="V53" s="105">
        <v>2.2424751874633628</v>
      </c>
      <c r="W53" s="105">
        <v>879.94726356062347</v>
      </c>
      <c r="X53" s="105">
        <v>6</v>
      </c>
      <c r="Y53" s="105">
        <v>2354.3999999999996</v>
      </c>
      <c r="Z53" s="105">
        <v>5</v>
      </c>
      <c r="AA53" s="105">
        <v>1962</v>
      </c>
      <c r="AB53" s="105">
        <v>4</v>
      </c>
      <c r="AC53" s="105">
        <v>1569.6</v>
      </c>
      <c r="AD53" s="105">
        <v>6</v>
      </c>
      <c r="AE53" s="105">
        <v>2354.3999999999996</v>
      </c>
      <c r="AF53" s="105">
        <v>6</v>
      </c>
      <c r="AG53" s="105">
        <v>2354.3999999999996</v>
      </c>
      <c r="AH53" s="105">
        <v>6</v>
      </c>
      <c r="AI53" s="105">
        <v>2354.3999999999996</v>
      </c>
      <c r="AJ53" s="105">
        <v>4</v>
      </c>
      <c r="AK53" s="105">
        <v>1569.6</v>
      </c>
      <c r="AL53" s="105">
        <v>3</v>
      </c>
      <c r="AM53" s="105">
        <v>1177.1999999999998</v>
      </c>
      <c r="AN53" s="105">
        <v>4</v>
      </c>
      <c r="AO53" s="105">
        <v>1569.6</v>
      </c>
      <c r="AP53" s="105">
        <v>5</v>
      </c>
      <c r="AQ53" s="105">
        <v>1962</v>
      </c>
      <c r="AR53" s="105">
        <v>4</v>
      </c>
      <c r="AS53" s="105">
        <v>1569.6</v>
      </c>
      <c r="AT53" s="105">
        <v>4</v>
      </c>
      <c r="AU53" s="105">
        <v>1569.6</v>
      </c>
      <c r="AV53" s="105">
        <v>5</v>
      </c>
      <c r="AW53" s="105">
        <v>1962</v>
      </c>
      <c r="AX53" s="105">
        <v>6</v>
      </c>
      <c r="AY53" s="105">
        <v>2354.3999999999996</v>
      </c>
      <c r="AZ53" s="105">
        <v>3</v>
      </c>
      <c r="BA53" s="105">
        <v>1177.1999999999998</v>
      </c>
      <c r="BB53" s="105">
        <v>4</v>
      </c>
      <c r="BC53" s="105">
        <v>1569.6</v>
      </c>
      <c r="BD53" s="105">
        <v>5.1175042239216229</v>
      </c>
      <c r="BE53" s="105">
        <v>2008.1086574668448</v>
      </c>
      <c r="BF53" s="105">
        <v>3.3590722288462356</v>
      </c>
      <c r="BG53" s="105">
        <v>1318.0999425992627</v>
      </c>
      <c r="BH53" s="105">
        <v>0</v>
      </c>
      <c r="BI53" s="105">
        <v>0</v>
      </c>
      <c r="BJ53" s="105">
        <v>3</v>
      </c>
      <c r="BK53" s="105">
        <v>1177.1999999999998</v>
      </c>
      <c r="BL53" s="105">
        <v>4</v>
      </c>
      <c r="BM53" s="105">
        <v>1569.6</v>
      </c>
      <c r="BN53" s="105">
        <v>5</v>
      </c>
      <c r="BO53" s="105">
        <v>1962</v>
      </c>
      <c r="BP53" s="105">
        <v>4</v>
      </c>
      <c r="BQ53" s="105">
        <v>1569.6</v>
      </c>
      <c r="BR53" s="105">
        <v>5</v>
      </c>
      <c r="BS53" s="105">
        <v>1962</v>
      </c>
      <c r="BT53" s="105">
        <v>6</v>
      </c>
      <c r="BU53" s="105">
        <v>2354.3999999999996</v>
      </c>
      <c r="BV53" s="105">
        <v>4</v>
      </c>
      <c r="BW53" s="105">
        <v>1569.6</v>
      </c>
      <c r="BX53" s="105">
        <v>4</v>
      </c>
      <c r="BY53" s="105">
        <v>1569.6</v>
      </c>
      <c r="BZ53" s="105">
        <v>5</v>
      </c>
      <c r="CA53" s="105">
        <v>1962</v>
      </c>
      <c r="CB53" s="105">
        <v>7</v>
      </c>
      <c r="CC53" s="105">
        <v>2746.7999999999997</v>
      </c>
      <c r="CD53" s="105">
        <v>4</v>
      </c>
      <c r="CE53" s="105">
        <v>1569.6</v>
      </c>
      <c r="CF53" s="105">
        <v>5</v>
      </c>
      <c r="CG53" s="105">
        <v>1962</v>
      </c>
      <c r="CH53" s="105">
        <v>4</v>
      </c>
      <c r="CI53" s="105">
        <v>1569.6</v>
      </c>
      <c r="CJ53" s="105">
        <v>4.6014894941358948</v>
      </c>
      <c r="CK53" s="105">
        <v>1805.624477498925</v>
      </c>
      <c r="CL53" s="105">
        <v>5</v>
      </c>
      <c r="CM53" s="105">
        <v>1962</v>
      </c>
      <c r="CN53" s="105">
        <v>5</v>
      </c>
      <c r="CO53" s="105">
        <v>1962</v>
      </c>
      <c r="CP53" s="105">
        <v>6</v>
      </c>
      <c r="CQ53" s="105">
        <v>2354.3999999999996</v>
      </c>
      <c r="CR53" s="105">
        <v>4</v>
      </c>
      <c r="CS53" s="105">
        <v>1569.6</v>
      </c>
      <c r="CT53" s="105">
        <v>5</v>
      </c>
      <c r="CU53" s="105">
        <v>1962</v>
      </c>
    </row>
    <row r="54" spans="2:99" x14ac:dyDescent="0.2">
      <c r="C54" s="104" t="s">
        <v>222</v>
      </c>
      <c r="D54" s="105">
        <v>0</v>
      </c>
      <c r="E54" s="105">
        <v>0</v>
      </c>
      <c r="F54" s="105">
        <v>0</v>
      </c>
      <c r="G54" s="105">
        <v>0</v>
      </c>
      <c r="H54" s="105">
        <v>3</v>
      </c>
      <c r="I54" s="105">
        <v>1224</v>
      </c>
      <c r="J54" s="105">
        <v>5</v>
      </c>
      <c r="K54" s="105">
        <v>2040</v>
      </c>
      <c r="L54" s="105">
        <v>4</v>
      </c>
      <c r="M54" s="105">
        <v>1632</v>
      </c>
      <c r="N54" s="105">
        <v>4</v>
      </c>
      <c r="O54" s="105">
        <v>1632</v>
      </c>
      <c r="P54" s="105">
        <v>6</v>
      </c>
      <c r="Q54" s="105">
        <v>2448</v>
      </c>
      <c r="R54" s="105">
        <v>4</v>
      </c>
      <c r="S54" s="105">
        <v>1632</v>
      </c>
      <c r="T54" s="105">
        <v>4</v>
      </c>
      <c r="U54" s="105">
        <v>1632</v>
      </c>
      <c r="V54" s="105">
        <v>4</v>
      </c>
      <c r="W54" s="105">
        <v>1632</v>
      </c>
      <c r="X54" s="105">
        <v>6</v>
      </c>
      <c r="Y54" s="105">
        <v>2448</v>
      </c>
      <c r="Z54" s="105">
        <v>6</v>
      </c>
      <c r="AA54" s="105">
        <v>2448</v>
      </c>
      <c r="AB54" s="105">
        <v>4</v>
      </c>
      <c r="AC54" s="105">
        <v>1632</v>
      </c>
      <c r="AD54" s="105">
        <v>5</v>
      </c>
      <c r="AE54" s="105">
        <v>2040</v>
      </c>
      <c r="AF54" s="105">
        <v>6</v>
      </c>
      <c r="AG54" s="105">
        <v>2448</v>
      </c>
      <c r="AH54" s="105">
        <v>6</v>
      </c>
      <c r="AI54" s="105">
        <v>2448</v>
      </c>
      <c r="AJ54" s="105">
        <v>4</v>
      </c>
      <c r="AK54" s="105">
        <v>1632</v>
      </c>
      <c r="AL54" s="105">
        <v>4</v>
      </c>
      <c r="AM54" s="105">
        <v>1632</v>
      </c>
      <c r="AN54" s="105">
        <v>4</v>
      </c>
      <c r="AO54" s="105">
        <v>1632</v>
      </c>
      <c r="AP54" s="105">
        <v>5</v>
      </c>
      <c r="AQ54" s="105">
        <v>2040</v>
      </c>
      <c r="AR54" s="105">
        <v>4</v>
      </c>
      <c r="AS54" s="105">
        <v>1632</v>
      </c>
      <c r="AT54" s="105">
        <v>5</v>
      </c>
      <c r="AU54" s="105">
        <v>2040</v>
      </c>
      <c r="AV54" s="105">
        <v>6</v>
      </c>
      <c r="AW54" s="105">
        <v>2448</v>
      </c>
      <c r="AX54" s="105">
        <v>6</v>
      </c>
      <c r="AY54" s="105">
        <v>2448</v>
      </c>
      <c r="AZ54" s="105">
        <v>3</v>
      </c>
      <c r="BA54" s="105">
        <v>1224</v>
      </c>
      <c r="BB54" s="105">
        <v>4</v>
      </c>
      <c r="BC54" s="105">
        <v>1632</v>
      </c>
      <c r="BD54" s="105">
        <v>6</v>
      </c>
      <c r="BE54" s="105">
        <v>2448</v>
      </c>
      <c r="BF54" s="105">
        <v>4</v>
      </c>
      <c r="BG54" s="105">
        <v>1632</v>
      </c>
      <c r="BH54" s="105">
        <v>7</v>
      </c>
      <c r="BI54" s="105">
        <v>2856</v>
      </c>
      <c r="BJ54" s="105">
        <v>3</v>
      </c>
      <c r="BK54" s="105">
        <v>1224</v>
      </c>
      <c r="BL54" s="105">
        <v>5</v>
      </c>
      <c r="BM54" s="105">
        <v>2040</v>
      </c>
      <c r="BN54" s="105">
        <v>4</v>
      </c>
      <c r="BO54" s="105">
        <v>1632</v>
      </c>
      <c r="BP54" s="105">
        <v>3</v>
      </c>
      <c r="BQ54" s="105">
        <v>1224</v>
      </c>
      <c r="BR54" s="105">
        <v>5</v>
      </c>
      <c r="BS54" s="105">
        <v>2040</v>
      </c>
      <c r="BT54" s="105">
        <v>6</v>
      </c>
      <c r="BU54" s="105">
        <v>2448</v>
      </c>
      <c r="BV54" s="105">
        <v>4</v>
      </c>
      <c r="BW54" s="105">
        <v>1632</v>
      </c>
      <c r="BX54" s="105">
        <v>5</v>
      </c>
      <c r="BY54" s="105">
        <v>2040</v>
      </c>
      <c r="BZ54" s="105">
        <v>5</v>
      </c>
      <c r="CA54" s="105">
        <v>2040</v>
      </c>
      <c r="CB54" s="105">
        <v>6</v>
      </c>
      <c r="CC54" s="105">
        <v>2448</v>
      </c>
      <c r="CD54" s="105">
        <v>5</v>
      </c>
      <c r="CE54" s="105">
        <v>2040</v>
      </c>
      <c r="CF54" s="105">
        <v>5</v>
      </c>
      <c r="CG54" s="105">
        <v>2040</v>
      </c>
      <c r="CH54" s="105">
        <v>4</v>
      </c>
      <c r="CI54" s="105">
        <v>1632</v>
      </c>
      <c r="CJ54" s="105">
        <v>5</v>
      </c>
      <c r="CK54" s="105">
        <v>2040</v>
      </c>
      <c r="CL54" s="105">
        <v>5</v>
      </c>
      <c r="CM54" s="105">
        <v>2040</v>
      </c>
      <c r="CN54" s="105">
        <v>4</v>
      </c>
      <c r="CO54" s="105">
        <v>1632</v>
      </c>
      <c r="CP54" s="105">
        <v>6</v>
      </c>
      <c r="CQ54" s="105">
        <v>2448</v>
      </c>
      <c r="CR54" s="105">
        <v>4</v>
      </c>
      <c r="CS54" s="105">
        <v>1632</v>
      </c>
      <c r="CT54" s="105">
        <v>4</v>
      </c>
      <c r="CU54" s="105">
        <v>1632</v>
      </c>
    </row>
    <row r="55" spans="2:99" x14ac:dyDescent="0.2">
      <c r="C55" s="104" t="s">
        <v>223</v>
      </c>
      <c r="D55" s="105">
        <v>0</v>
      </c>
      <c r="E55" s="105">
        <v>0</v>
      </c>
      <c r="F55" s="105">
        <v>0</v>
      </c>
      <c r="G55" s="105">
        <v>0</v>
      </c>
      <c r="H55" s="105">
        <v>4</v>
      </c>
      <c r="I55" s="105">
        <v>1017.5999999999998</v>
      </c>
      <c r="J55" s="105">
        <v>5</v>
      </c>
      <c r="K55" s="105">
        <v>1271.9999999999998</v>
      </c>
      <c r="L55" s="105">
        <v>4</v>
      </c>
      <c r="M55" s="105">
        <v>1017.5999999999998</v>
      </c>
      <c r="N55" s="105">
        <v>4</v>
      </c>
      <c r="O55" s="105">
        <v>1017.5999999999998</v>
      </c>
      <c r="P55" s="105">
        <v>6</v>
      </c>
      <c r="Q55" s="105">
        <v>1526.3999999999996</v>
      </c>
      <c r="R55" s="105">
        <v>4</v>
      </c>
      <c r="S55" s="105">
        <v>1017.5999999999998</v>
      </c>
      <c r="T55" s="105">
        <v>5</v>
      </c>
      <c r="U55" s="105">
        <v>1271.9999999999998</v>
      </c>
      <c r="V55" s="105">
        <v>2.2424751874633628</v>
      </c>
      <c r="W55" s="105">
        <v>570.48568769067936</v>
      </c>
      <c r="X55" s="105">
        <v>6</v>
      </c>
      <c r="Y55" s="105">
        <v>1526.3999999999996</v>
      </c>
      <c r="Z55" s="105">
        <v>6</v>
      </c>
      <c r="AA55" s="105">
        <v>1526.3999999999996</v>
      </c>
      <c r="AB55" s="105">
        <v>4</v>
      </c>
      <c r="AC55" s="105">
        <v>1017.5999999999998</v>
      </c>
      <c r="AD55" s="105">
        <v>6</v>
      </c>
      <c r="AE55" s="105">
        <v>1526.3999999999996</v>
      </c>
      <c r="AF55" s="105">
        <v>6</v>
      </c>
      <c r="AG55" s="105">
        <v>1526.3999999999996</v>
      </c>
      <c r="AH55" s="105">
        <v>6</v>
      </c>
      <c r="AI55" s="105">
        <v>1526.3999999999996</v>
      </c>
      <c r="AJ55" s="105">
        <v>4</v>
      </c>
      <c r="AK55" s="105">
        <v>1017.5999999999998</v>
      </c>
      <c r="AL55" s="105">
        <v>3</v>
      </c>
      <c r="AM55" s="105">
        <v>763.19999999999982</v>
      </c>
      <c r="AN55" s="105">
        <v>3</v>
      </c>
      <c r="AO55" s="105">
        <v>763.19999999999982</v>
      </c>
      <c r="AP55" s="105">
        <v>5</v>
      </c>
      <c r="AQ55" s="105">
        <v>1271.9999999999998</v>
      </c>
      <c r="AR55" s="105">
        <v>4</v>
      </c>
      <c r="AS55" s="105">
        <v>1017.5999999999998</v>
      </c>
      <c r="AT55" s="105">
        <v>5</v>
      </c>
      <c r="AU55" s="105">
        <v>1271.9999999999998</v>
      </c>
      <c r="AV55" s="105">
        <v>5</v>
      </c>
      <c r="AW55" s="105">
        <v>1271.9999999999998</v>
      </c>
      <c r="AX55" s="105">
        <v>6</v>
      </c>
      <c r="AY55" s="105">
        <v>1526.3999999999996</v>
      </c>
      <c r="AZ55" s="105">
        <v>3</v>
      </c>
      <c r="BA55" s="105">
        <v>763.19999999999982</v>
      </c>
      <c r="BB55" s="105">
        <v>4</v>
      </c>
      <c r="BC55" s="105">
        <v>1017.5999999999998</v>
      </c>
      <c r="BD55" s="105">
        <v>5.9704215945752264</v>
      </c>
      <c r="BE55" s="105">
        <v>1518.8752536599372</v>
      </c>
      <c r="BF55" s="105">
        <v>3.3590722288462356</v>
      </c>
      <c r="BG55" s="105">
        <v>854.54797501848213</v>
      </c>
      <c r="BH55" s="105">
        <v>0</v>
      </c>
      <c r="BI55" s="105">
        <v>0</v>
      </c>
      <c r="BJ55" s="105">
        <v>4</v>
      </c>
      <c r="BK55" s="105">
        <v>1017.5999999999998</v>
      </c>
      <c r="BL55" s="105">
        <v>4</v>
      </c>
      <c r="BM55" s="105">
        <v>1017.5999999999998</v>
      </c>
      <c r="BN55" s="105">
        <v>4</v>
      </c>
      <c r="BO55" s="105">
        <v>1017.5999999999998</v>
      </c>
      <c r="BP55" s="105">
        <v>3</v>
      </c>
      <c r="BQ55" s="105">
        <v>763.19999999999982</v>
      </c>
      <c r="BR55" s="105">
        <v>5</v>
      </c>
      <c r="BS55" s="105">
        <v>1271.9999999999998</v>
      </c>
      <c r="BT55" s="105">
        <v>6</v>
      </c>
      <c r="BU55" s="105">
        <v>1526.3999999999996</v>
      </c>
      <c r="BV55" s="105">
        <v>4</v>
      </c>
      <c r="BW55" s="105">
        <v>1017.5999999999998</v>
      </c>
      <c r="BX55" s="105">
        <v>5</v>
      </c>
      <c r="BY55" s="105">
        <v>1271.9999999999998</v>
      </c>
      <c r="BZ55" s="105">
        <v>6</v>
      </c>
      <c r="CA55" s="105">
        <v>1526.3999999999996</v>
      </c>
      <c r="CB55" s="105">
        <v>6</v>
      </c>
      <c r="CC55" s="105">
        <v>1526.3999999999996</v>
      </c>
      <c r="CD55" s="105">
        <v>5</v>
      </c>
      <c r="CE55" s="105">
        <v>1271.9999999999998</v>
      </c>
      <c r="CF55" s="105">
        <v>5</v>
      </c>
      <c r="CG55" s="105">
        <v>1271.9999999999998</v>
      </c>
      <c r="CH55" s="105">
        <v>5</v>
      </c>
      <c r="CI55" s="105">
        <v>1271.9999999999998</v>
      </c>
      <c r="CJ55" s="105">
        <v>3.6811915953087153</v>
      </c>
      <c r="CK55" s="105">
        <v>936.49514184653697</v>
      </c>
      <c r="CL55" s="105">
        <v>5</v>
      </c>
      <c r="CM55" s="105">
        <v>1271.9999999999998</v>
      </c>
      <c r="CN55" s="105">
        <v>5</v>
      </c>
      <c r="CO55" s="105">
        <v>1271.9999999999998</v>
      </c>
      <c r="CP55" s="105">
        <v>7</v>
      </c>
      <c r="CQ55" s="105">
        <v>1780.7999999999997</v>
      </c>
      <c r="CR55" s="105">
        <v>4</v>
      </c>
      <c r="CS55" s="105">
        <v>1017.5999999999998</v>
      </c>
      <c r="CT55" s="105">
        <v>4</v>
      </c>
      <c r="CU55" s="105">
        <v>1017.5999999999998</v>
      </c>
    </row>
    <row r="56" spans="2:99" x14ac:dyDescent="0.2">
      <c r="C56" s="104" t="s">
        <v>224</v>
      </c>
      <c r="D56" s="105">
        <v>0</v>
      </c>
      <c r="E56" s="105">
        <v>0</v>
      </c>
      <c r="F56" s="105">
        <v>0</v>
      </c>
      <c r="G56" s="105">
        <v>0</v>
      </c>
      <c r="H56" s="105">
        <v>2.4198895027624312</v>
      </c>
      <c r="I56" s="105">
        <v>1835.2441988950277</v>
      </c>
      <c r="J56" s="105">
        <v>5</v>
      </c>
      <c r="K56" s="105">
        <v>3792</v>
      </c>
      <c r="L56" s="105">
        <v>4</v>
      </c>
      <c r="M56" s="105">
        <v>3033.6</v>
      </c>
      <c r="N56" s="105">
        <v>3.5200000000000018</v>
      </c>
      <c r="O56" s="105">
        <v>2669.5680000000011</v>
      </c>
      <c r="P56" s="105">
        <v>5.4409937888198767</v>
      </c>
      <c r="Q56" s="105">
        <v>4126.449689440994</v>
      </c>
      <c r="R56" s="105">
        <v>4</v>
      </c>
      <c r="S56" s="105">
        <v>3033.6</v>
      </c>
      <c r="T56" s="105">
        <v>5</v>
      </c>
      <c r="U56" s="105">
        <v>3792</v>
      </c>
      <c r="V56" s="105">
        <v>5</v>
      </c>
      <c r="W56" s="105">
        <v>3792</v>
      </c>
      <c r="X56" s="105">
        <v>5.9603773584905699</v>
      </c>
      <c r="Y56" s="105">
        <v>4520.3501886792483</v>
      </c>
      <c r="Z56" s="105">
        <v>6</v>
      </c>
      <c r="AA56" s="105">
        <v>4550.3999999999996</v>
      </c>
      <c r="AB56" s="105">
        <v>4</v>
      </c>
      <c r="AC56" s="105">
        <v>3033.6</v>
      </c>
      <c r="AD56" s="105">
        <v>5</v>
      </c>
      <c r="AE56" s="105">
        <v>3792</v>
      </c>
      <c r="AF56" s="105">
        <v>6</v>
      </c>
      <c r="AG56" s="105">
        <v>4550.3999999999996</v>
      </c>
      <c r="AH56" s="105">
        <v>5.6463157894736913</v>
      </c>
      <c r="AI56" s="105">
        <v>4282.1658947368469</v>
      </c>
      <c r="AJ56" s="105">
        <v>4</v>
      </c>
      <c r="AK56" s="105">
        <v>3033.6</v>
      </c>
      <c r="AL56" s="105">
        <v>3</v>
      </c>
      <c r="AM56" s="105">
        <v>2275.1999999999998</v>
      </c>
      <c r="AN56" s="105">
        <v>4</v>
      </c>
      <c r="AO56" s="105">
        <v>3033.6</v>
      </c>
      <c r="AP56" s="105">
        <v>4</v>
      </c>
      <c r="AQ56" s="105">
        <v>3033.6</v>
      </c>
      <c r="AR56" s="105">
        <v>4</v>
      </c>
      <c r="AS56" s="105">
        <v>3033.6</v>
      </c>
      <c r="AT56" s="105">
        <v>5</v>
      </c>
      <c r="AU56" s="105">
        <v>3792</v>
      </c>
      <c r="AV56" s="105">
        <v>5</v>
      </c>
      <c r="AW56" s="105">
        <v>3792</v>
      </c>
      <c r="AX56" s="105">
        <v>5</v>
      </c>
      <c r="AY56" s="105">
        <v>3792</v>
      </c>
      <c r="AZ56" s="105">
        <v>3</v>
      </c>
      <c r="BA56" s="105">
        <v>2275.1999999999998</v>
      </c>
      <c r="BB56" s="105">
        <v>4</v>
      </c>
      <c r="BC56" s="105">
        <v>3033.6</v>
      </c>
      <c r="BD56" s="105">
        <v>6</v>
      </c>
      <c r="BE56" s="105">
        <v>4550.3999999999996</v>
      </c>
      <c r="BF56" s="105">
        <v>3</v>
      </c>
      <c r="BG56" s="105">
        <v>2275.1999999999998</v>
      </c>
      <c r="BH56" s="105">
        <v>6</v>
      </c>
      <c r="BI56" s="105">
        <v>4550.3999999999996</v>
      </c>
      <c r="BJ56" s="105">
        <v>2.8143646408839875</v>
      </c>
      <c r="BK56" s="105">
        <v>2134.4141436464161</v>
      </c>
      <c r="BL56" s="105">
        <v>3.9727891156462589</v>
      </c>
      <c r="BM56" s="105">
        <v>3012.9632653061226</v>
      </c>
      <c r="BN56" s="105">
        <v>3.9673913043478266</v>
      </c>
      <c r="BO56" s="105">
        <v>3008.8695652173915</v>
      </c>
      <c r="BP56" s="105">
        <v>2.0660377358490569</v>
      </c>
      <c r="BQ56" s="105">
        <v>1566.8830188679246</v>
      </c>
      <c r="BR56" s="105">
        <v>4.5625000000000009</v>
      </c>
      <c r="BS56" s="105">
        <v>3460.2000000000007</v>
      </c>
      <c r="BT56" s="105">
        <v>4.3452380952380958</v>
      </c>
      <c r="BU56" s="105">
        <v>3295.4285714285716</v>
      </c>
      <c r="BV56" s="105">
        <v>4</v>
      </c>
      <c r="BW56" s="105">
        <v>3033.6</v>
      </c>
      <c r="BX56" s="105">
        <v>5</v>
      </c>
      <c r="BY56" s="105">
        <v>3792</v>
      </c>
      <c r="BZ56" s="105">
        <v>4.2462311557788972</v>
      </c>
      <c r="CA56" s="105">
        <v>3220.3417085427154</v>
      </c>
      <c r="CB56" s="105">
        <v>4.4693877551020416</v>
      </c>
      <c r="CC56" s="105">
        <v>3389.583673469388</v>
      </c>
      <c r="CD56" s="105">
        <v>2.6912442396313367</v>
      </c>
      <c r="CE56" s="105">
        <v>2041.0396313364058</v>
      </c>
      <c r="CF56" s="105">
        <v>4.2441860465116283</v>
      </c>
      <c r="CG56" s="105">
        <v>3218.7906976744189</v>
      </c>
      <c r="CH56" s="105">
        <v>3.7677419354838717</v>
      </c>
      <c r="CI56" s="105">
        <v>2857.4554838709682</v>
      </c>
      <c r="CJ56" s="105">
        <v>2.6412060301507538</v>
      </c>
      <c r="CK56" s="105">
        <v>2003.0906532663316</v>
      </c>
      <c r="CL56" s="105">
        <v>4.4693877551020416</v>
      </c>
      <c r="CM56" s="105">
        <v>3389.583673469388</v>
      </c>
      <c r="CN56" s="105">
        <v>2.9728506787330318</v>
      </c>
      <c r="CO56" s="105">
        <v>2254.6099547511312</v>
      </c>
      <c r="CP56" s="105">
        <v>4.308196721311476</v>
      </c>
      <c r="CQ56" s="105">
        <v>3267.3363934426234</v>
      </c>
      <c r="CR56" s="105">
        <v>3.8933333333333344</v>
      </c>
      <c r="CS56" s="105">
        <v>2952.7040000000006</v>
      </c>
      <c r="CT56" s="105">
        <v>3.2087912087912098</v>
      </c>
      <c r="CU56" s="105">
        <v>2433.5472527472534</v>
      </c>
    </row>
    <row r="57" spans="2:99" x14ac:dyDescent="0.2">
      <c r="C57" s="104" t="s">
        <v>225</v>
      </c>
      <c r="D57" s="105">
        <v>0</v>
      </c>
      <c r="E57" s="105">
        <v>0</v>
      </c>
      <c r="F57" s="105">
        <v>0</v>
      </c>
      <c r="G57" s="105">
        <v>0</v>
      </c>
      <c r="H57" s="105">
        <v>3</v>
      </c>
      <c r="I57" s="105">
        <v>2098.8000000000002</v>
      </c>
      <c r="J57" s="105">
        <v>5</v>
      </c>
      <c r="K57" s="105">
        <v>3498</v>
      </c>
      <c r="L57" s="105">
        <v>4</v>
      </c>
      <c r="M57" s="105">
        <v>2798.4</v>
      </c>
      <c r="N57" s="105">
        <v>4</v>
      </c>
      <c r="O57" s="105">
        <v>2798.4</v>
      </c>
      <c r="P57" s="105">
        <v>5</v>
      </c>
      <c r="Q57" s="105">
        <v>3498</v>
      </c>
      <c r="R57" s="105">
        <v>4</v>
      </c>
      <c r="S57" s="105">
        <v>2798.4</v>
      </c>
      <c r="T57" s="105">
        <v>4</v>
      </c>
      <c r="U57" s="105">
        <v>2798.4</v>
      </c>
      <c r="V57" s="105">
        <v>2.2424751874633628</v>
      </c>
      <c r="W57" s="105">
        <v>1568.8356411493687</v>
      </c>
      <c r="X57" s="105">
        <v>6</v>
      </c>
      <c r="Y57" s="105">
        <v>4197.6000000000004</v>
      </c>
      <c r="Z57" s="105">
        <v>6</v>
      </c>
      <c r="AA57" s="105">
        <v>4197.6000000000004</v>
      </c>
      <c r="AB57" s="105">
        <v>4</v>
      </c>
      <c r="AC57" s="105">
        <v>2798.4</v>
      </c>
      <c r="AD57" s="105">
        <v>6</v>
      </c>
      <c r="AE57" s="105">
        <v>4197.6000000000004</v>
      </c>
      <c r="AF57" s="105">
        <v>5</v>
      </c>
      <c r="AG57" s="105">
        <v>3498</v>
      </c>
      <c r="AH57" s="105">
        <v>6</v>
      </c>
      <c r="AI57" s="105">
        <v>4197.6000000000004</v>
      </c>
      <c r="AJ57" s="105">
        <v>4</v>
      </c>
      <c r="AK57" s="105">
        <v>2798.4</v>
      </c>
      <c r="AL57" s="105">
        <v>4</v>
      </c>
      <c r="AM57" s="105">
        <v>2798.4</v>
      </c>
      <c r="AN57" s="105">
        <v>3</v>
      </c>
      <c r="AO57" s="105">
        <v>2098.8000000000002</v>
      </c>
      <c r="AP57" s="105">
        <v>5</v>
      </c>
      <c r="AQ57" s="105">
        <v>3498</v>
      </c>
      <c r="AR57" s="105">
        <v>4</v>
      </c>
      <c r="AS57" s="105">
        <v>2798.4</v>
      </c>
      <c r="AT57" s="105">
        <v>5</v>
      </c>
      <c r="AU57" s="105">
        <v>3498</v>
      </c>
      <c r="AV57" s="105">
        <v>5</v>
      </c>
      <c r="AW57" s="105">
        <v>3498</v>
      </c>
      <c r="AX57" s="105">
        <v>6</v>
      </c>
      <c r="AY57" s="105">
        <v>4197.6000000000004</v>
      </c>
      <c r="AZ57" s="105">
        <v>3</v>
      </c>
      <c r="BA57" s="105">
        <v>2098.8000000000002</v>
      </c>
      <c r="BB57" s="105">
        <v>4</v>
      </c>
      <c r="BC57" s="105">
        <v>2798.4</v>
      </c>
      <c r="BD57" s="105">
        <v>5.1175042239216229</v>
      </c>
      <c r="BE57" s="105">
        <v>3580.2059550555673</v>
      </c>
      <c r="BF57" s="105">
        <v>3.3590722288462356</v>
      </c>
      <c r="BG57" s="105">
        <v>2350.0069313008266</v>
      </c>
      <c r="BH57" s="105">
        <v>0</v>
      </c>
      <c r="BI57" s="105">
        <v>0</v>
      </c>
      <c r="BJ57" s="105">
        <v>3</v>
      </c>
      <c r="BK57" s="105">
        <v>2098.8000000000002</v>
      </c>
      <c r="BL57" s="105">
        <v>4</v>
      </c>
      <c r="BM57" s="105">
        <v>2798.4</v>
      </c>
      <c r="BN57" s="105">
        <v>4</v>
      </c>
      <c r="BO57" s="105">
        <v>2798.4</v>
      </c>
      <c r="BP57" s="105">
        <v>4</v>
      </c>
      <c r="BQ57" s="105">
        <v>2798.4</v>
      </c>
      <c r="BR57" s="105">
        <v>4</v>
      </c>
      <c r="BS57" s="105">
        <v>2798.4</v>
      </c>
      <c r="BT57" s="105">
        <v>6</v>
      </c>
      <c r="BU57" s="105">
        <v>4197.6000000000004</v>
      </c>
      <c r="BV57" s="105">
        <v>4</v>
      </c>
      <c r="BW57" s="105">
        <v>2798.4</v>
      </c>
      <c r="BX57" s="105">
        <v>4</v>
      </c>
      <c r="BY57" s="105">
        <v>2798.4</v>
      </c>
      <c r="BZ57" s="105">
        <v>5</v>
      </c>
      <c r="CA57" s="105">
        <v>3498</v>
      </c>
      <c r="CB57" s="105">
        <v>6</v>
      </c>
      <c r="CC57" s="105">
        <v>4197.6000000000004</v>
      </c>
      <c r="CD57" s="105">
        <v>5</v>
      </c>
      <c r="CE57" s="105">
        <v>3498</v>
      </c>
      <c r="CF57" s="105">
        <v>5</v>
      </c>
      <c r="CG57" s="105">
        <v>3498</v>
      </c>
      <c r="CH57" s="105">
        <v>5</v>
      </c>
      <c r="CI57" s="105">
        <v>3498</v>
      </c>
      <c r="CJ57" s="105">
        <v>3.6811915953087153</v>
      </c>
      <c r="CK57" s="105">
        <v>2575.3616400779774</v>
      </c>
      <c r="CL57" s="105">
        <v>5</v>
      </c>
      <c r="CM57" s="105">
        <v>3498</v>
      </c>
      <c r="CN57" s="105">
        <v>4</v>
      </c>
      <c r="CO57" s="105">
        <v>2798.4</v>
      </c>
      <c r="CP57" s="105">
        <v>6</v>
      </c>
      <c r="CQ57" s="105">
        <v>4197.6000000000004</v>
      </c>
      <c r="CR57" s="105">
        <v>4</v>
      </c>
      <c r="CS57" s="105">
        <v>2798.4</v>
      </c>
      <c r="CT57" s="105">
        <v>4</v>
      </c>
      <c r="CU57" s="105">
        <v>2798.4</v>
      </c>
    </row>
    <row r="58" spans="2:99" x14ac:dyDescent="0.2">
      <c r="C58" s="104" t="s">
        <v>226</v>
      </c>
      <c r="D58" s="105">
        <v>0</v>
      </c>
      <c r="E58" s="105">
        <v>0</v>
      </c>
      <c r="F58" s="105">
        <v>0</v>
      </c>
      <c r="G58" s="105">
        <v>0</v>
      </c>
      <c r="H58" s="105">
        <v>2.4198895027624312</v>
      </c>
      <c r="I58" s="105">
        <v>1829.436464088398</v>
      </c>
      <c r="J58" s="105">
        <v>5</v>
      </c>
      <c r="K58" s="105">
        <v>3780</v>
      </c>
      <c r="L58" s="105">
        <v>4</v>
      </c>
      <c r="M58" s="105">
        <v>3024</v>
      </c>
      <c r="N58" s="105">
        <v>3.5200000000000018</v>
      </c>
      <c r="O58" s="105">
        <v>2661.1200000000013</v>
      </c>
      <c r="P58" s="105">
        <v>5.4409937888198767</v>
      </c>
      <c r="Q58" s="105">
        <v>4113.3913043478269</v>
      </c>
      <c r="R58" s="105">
        <v>4</v>
      </c>
      <c r="S58" s="105">
        <v>3024</v>
      </c>
      <c r="T58" s="105">
        <v>4</v>
      </c>
      <c r="U58" s="105">
        <v>3024</v>
      </c>
      <c r="V58" s="105">
        <v>4</v>
      </c>
      <c r="W58" s="105">
        <v>3024</v>
      </c>
      <c r="X58" s="105">
        <v>5.9603773584905699</v>
      </c>
      <c r="Y58" s="105">
        <v>4506.0452830188706</v>
      </c>
      <c r="Z58" s="105">
        <v>5</v>
      </c>
      <c r="AA58" s="105">
        <v>3780</v>
      </c>
      <c r="AB58" s="105">
        <v>3</v>
      </c>
      <c r="AC58" s="105">
        <v>2268</v>
      </c>
      <c r="AD58" s="105">
        <v>5</v>
      </c>
      <c r="AE58" s="105">
        <v>3780</v>
      </c>
      <c r="AF58" s="105">
        <v>5</v>
      </c>
      <c r="AG58" s="105">
        <v>3780</v>
      </c>
      <c r="AH58" s="105">
        <v>4.7052631578947421</v>
      </c>
      <c r="AI58" s="105">
        <v>3557.1789473684253</v>
      </c>
      <c r="AJ58" s="105">
        <v>4</v>
      </c>
      <c r="AK58" s="105">
        <v>3024</v>
      </c>
      <c r="AL58" s="105">
        <v>4</v>
      </c>
      <c r="AM58" s="105">
        <v>3024</v>
      </c>
      <c r="AN58" s="105">
        <v>4</v>
      </c>
      <c r="AO58" s="105">
        <v>3024</v>
      </c>
      <c r="AP58" s="105">
        <v>5</v>
      </c>
      <c r="AQ58" s="105">
        <v>3780</v>
      </c>
      <c r="AR58" s="105">
        <v>4</v>
      </c>
      <c r="AS58" s="105">
        <v>3024</v>
      </c>
      <c r="AT58" s="105">
        <v>4</v>
      </c>
      <c r="AU58" s="105">
        <v>3024</v>
      </c>
      <c r="AV58" s="105">
        <v>5</v>
      </c>
      <c r="AW58" s="105">
        <v>3780</v>
      </c>
      <c r="AX58" s="105">
        <v>5</v>
      </c>
      <c r="AY58" s="105">
        <v>3780</v>
      </c>
      <c r="AZ58" s="105">
        <v>4</v>
      </c>
      <c r="BA58" s="105">
        <v>3024</v>
      </c>
      <c r="BB58" s="105">
        <v>4</v>
      </c>
      <c r="BC58" s="105">
        <v>3024</v>
      </c>
      <c r="BD58" s="105">
        <v>6</v>
      </c>
      <c r="BE58" s="105">
        <v>4536</v>
      </c>
      <c r="BF58" s="105">
        <v>4</v>
      </c>
      <c r="BG58" s="105">
        <v>3024</v>
      </c>
      <c r="BH58" s="105">
        <v>6</v>
      </c>
      <c r="BI58" s="105">
        <v>4536</v>
      </c>
      <c r="BJ58" s="105">
        <v>2.8143646408839875</v>
      </c>
      <c r="BK58" s="105">
        <v>2127.6596685082945</v>
      </c>
      <c r="BL58" s="105">
        <v>4.9659863945578246</v>
      </c>
      <c r="BM58" s="105">
        <v>3754.2857142857156</v>
      </c>
      <c r="BN58" s="105">
        <v>3.1739130434782612</v>
      </c>
      <c r="BO58" s="105">
        <v>2399.4782608695655</v>
      </c>
      <c r="BP58" s="105">
        <v>2.7547169811320757</v>
      </c>
      <c r="BQ58" s="105">
        <v>2082.5660377358495</v>
      </c>
      <c r="BR58" s="105">
        <v>4.5625000000000009</v>
      </c>
      <c r="BS58" s="105">
        <v>3449.2500000000005</v>
      </c>
      <c r="BT58" s="105">
        <v>5.2142857142857153</v>
      </c>
      <c r="BU58" s="105">
        <v>3942.0000000000009</v>
      </c>
      <c r="BV58" s="105">
        <v>4</v>
      </c>
      <c r="BW58" s="105">
        <v>3024</v>
      </c>
      <c r="BX58" s="105">
        <v>4</v>
      </c>
      <c r="BY58" s="105">
        <v>3024</v>
      </c>
      <c r="BZ58" s="105">
        <v>4.2462311557788972</v>
      </c>
      <c r="CA58" s="105">
        <v>3210.1507537688462</v>
      </c>
      <c r="CB58" s="105">
        <v>4.4693877551020416</v>
      </c>
      <c r="CC58" s="105">
        <v>3378.8571428571436</v>
      </c>
      <c r="CD58" s="105">
        <v>2.6912442396313367</v>
      </c>
      <c r="CE58" s="105">
        <v>2034.5806451612905</v>
      </c>
      <c r="CF58" s="105">
        <v>4.2441860465116283</v>
      </c>
      <c r="CG58" s="105">
        <v>3208.604651162791</v>
      </c>
      <c r="CH58" s="105">
        <v>3.7677419354838717</v>
      </c>
      <c r="CI58" s="105">
        <v>2848.412903225807</v>
      </c>
      <c r="CJ58" s="105">
        <v>2.6412060301507538</v>
      </c>
      <c r="CK58" s="105">
        <v>1996.7517587939699</v>
      </c>
      <c r="CL58" s="105">
        <v>4.4693877551020416</v>
      </c>
      <c r="CM58" s="105">
        <v>3378.8571428571436</v>
      </c>
      <c r="CN58" s="105">
        <v>2.9728506787330318</v>
      </c>
      <c r="CO58" s="105">
        <v>2247.4751131221719</v>
      </c>
      <c r="CP58" s="105">
        <v>4.308196721311476</v>
      </c>
      <c r="CQ58" s="105">
        <v>3256.996721311476</v>
      </c>
      <c r="CR58" s="105">
        <v>2.9200000000000008</v>
      </c>
      <c r="CS58" s="105">
        <v>2207.5200000000004</v>
      </c>
      <c r="CT58" s="105">
        <v>3.2087912087912098</v>
      </c>
      <c r="CU58" s="105">
        <v>2425.8461538461547</v>
      </c>
    </row>
    <row r="59" spans="2:99" x14ac:dyDescent="0.2">
      <c r="C59" s="104" t="s">
        <v>227</v>
      </c>
      <c r="D59" s="105">
        <v>0</v>
      </c>
      <c r="E59" s="105">
        <v>0</v>
      </c>
      <c r="F59" s="105">
        <v>0</v>
      </c>
      <c r="G59" s="105">
        <v>0</v>
      </c>
      <c r="H59" s="105">
        <v>3</v>
      </c>
      <c r="I59" s="105">
        <v>1317.6</v>
      </c>
      <c r="J59" s="105">
        <v>5</v>
      </c>
      <c r="K59" s="105">
        <v>2196</v>
      </c>
      <c r="L59" s="105">
        <v>4</v>
      </c>
      <c r="M59" s="105">
        <v>1756.8</v>
      </c>
      <c r="N59" s="105">
        <v>4</v>
      </c>
      <c r="O59" s="105">
        <v>1756.8</v>
      </c>
      <c r="P59" s="105">
        <v>5</v>
      </c>
      <c r="Q59" s="105">
        <v>2196</v>
      </c>
      <c r="R59" s="105">
        <v>4</v>
      </c>
      <c r="S59" s="105">
        <v>1756.8</v>
      </c>
      <c r="T59" s="105">
        <v>4</v>
      </c>
      <c r="U59" s="105">
        <v>1756.8</v>
      </c>
      <c r="V59" s="105">
        <v>5</v>
      </c>
      <c r="W59" s="105">
        <v>2196</v>
      </c>
      <c r="X59" s="105">
        <v>6</v>
      </c>
      <c r="Y59" s="105">
        <v>2635.2</v>
      </c>
      <c r="Z59" s="105">
        <v>5</v>
      </c>
      <c r="AA59" s="105">
        <v>2196</v>
      </c>
      <c r="AB59" s="105">
        <v>4</v>
      </c>
      <c r="AC59" s="105">
        <v>1756.8</v>
      </c>
      <c r="AD59" s="105">
        <v>6</v>
      </c>
      <c r="AE59" s="105">
        <v>2635.2</v>
      </c>
      <c r="AF59" s="105">
        <v>6</v>
      </c>
      <c r="AG59" s="105">
        <v>2635.2</v>
      </c>
      <c r="AH59" s="105">
        <v>6</v>
      </c>
      <c r="AI59" s="105">
        <v>2635.2</v>
      </c>
      <c r="AJ59" s="105">
        <v>4</v>
      </c>
      <c r="AK59" s="105">
        <v>1756.8</v>
      </c>
      <c r="AL59" s="105">
        <v>4</v>
      </c>
      <c r="AM59" s="105">
        <v>1756.8</v>
      </c>
      <c r="AN59" s="105">
        <v>3</v>
      </c>
      <c r="AO59" s="105">
        <v>1317.6</v>
      </c>
      <c r="AP59" s="105">
        <v>5</v>
      </c>
      <c r="AQ59" s="105">
        <v>2196</v>
      </c>
      <c r="AR59" s="105">
        <v>4</v>
      </c>
      <c r="AS59" s="105">
        <v>1756.8</v>
      </c>
      <c r="AT59" s="105">
        <v>5</v>
      </c>
      <c r="AU59" s="105">
        <v>2196</v>
      </c>
      <c r="AV59" s="105">
        <v>5</v>
      </c>
      <c r="AW59" s="105">
        <v>2196</v>
      </c>
      <c r="AX59" s="105">
        <v>6</v>
      </c>
      <c r="AY59" s="105">
        <v>2635.2</v>
      </c>
      <c r="AZ59" s="105">
        <v>4</v>
      </c>
      <c r="BA59" s="105">
        <v>1756.8</v>
      </c>
      <c r="BB59" s="105">
        <v>4</v>
      </c>
      <c r="BC59" s="105">
        <v>1756.8</v>
      </c>
      <c r="BD59" s="105">
        <v>6</v>
      </c>
      <c r="BE59" s="105">
        <v>2635.2</v>
      </c>
      <c r="BF59" s="105">
        <v>3</v>
      </c>
      <c r="BG59" s="105">
        <v>1317.6</v>
      </c>
      <c r="BH59" s="105">
        <v>6</v>
      </c>
      <c r="BI59" s="105">
        <v>2635.2</v>
      </c>
      <c r="BJ59" s="105">
        <v>3</v>
      </c>
      <c r="BK59" s="105">
        <v>1317.6</v>
      </c>
      <c r="BL59" s="105">
        <v>5</v>
      </c>
      <c r="BM59" s="105">
        <v>2196</v>
      </c>
      <c r="BN59" s="105">
        <v>4</v>
      </c>
      <c r="BO59" s="105">
        <v>1756.8</v>
      </c>
      <c r="BP59" s="105">
        <v>3</v>
      </c>
      <c r="BQ59" s="105">
        <v>1317.6</v>
      </c>
      <c r="BR59" s="105">
        <v>5</v>
      </c>
      <c r="BS59" s="105">
        <v>2196</v>
      </c>
      <c r="BT59" s="105">
        <v>6</v>
      </c>
      <c r="BU59" s="105">
        <v>2635.2</v>
      </c>
      <c r="BV59" s="105">
        <v>4</v>
      </c>
      <c r="BW59" s="105">
        <v>1756.8</v>
      </c>
      <c r="BX59" s="105">
        <v>5</v>
      </c>
      <c r="BY59" s="105">
        <v>2196</v>
      </c>
      <c r="BZ59" s="105">
        <v>5</v>
      </c>
      <c r="CA59" s="105">
        <v>2196</v>
      </c>
      <c r="CB59" s="105">
        <v>6</v>
      </c>
      <c r="CC59" s="105">
        <v>2635.2</v>
      </c>
      <c r="CD59" s="105">
        <v>4</v>
      </c>
      <c r="CE59" s="105">
        <v>1756.8</v>
      </c>
      <c r="CF59" s="105">
        <v>5</v>
      </c>
      <c r="CG59" s="105">
        <v>2196</v>
      </c>
      <c r="CH59" s="105">
        <v>4</v>
      </c>
      <c r="CI59" s="105">
        <v>1756.8</v>
      </c>
      <c r="CJ59" s="105">
        <v>4</v>
      </c>
      <c r="CK59" s="105">
        <v>1756.8</v>
      </c>
      <c r="CL59" s="105">
        <v>6</v>
      </c>
      <c r="CM59" s="105">
        <v>2635.2</v>
      </c>
      <c r="CN59" s="105">
        <v>5</v>
      </c>
      <c r="CO59" s="105">
        <v>2196</v>
      </c>
      <c r="CP59" s="105">
        <v>6</v>
      </c>
      <c r="CQ59" s="105">
        <v>2635.2</v>
      </c>
      <c r="CR59" s="105">
        <v>4</v>
      </c>
      <c r="CS59" s="105">
        <v>1756.8</v>
      </c>
      <c r="CT59" s="105">
        <v>4</v>
      </c>
      <c r="CU59" s="105">
        <v>1756.8</v>
      </c>
    </row>
    <row r="60" spans="2:99" x14ac:dyDescent="0.2">
      <c r="C60" s="104" t="s">
        <v>228</v>
      </c>
      <c r="D60" s="105">
        <v>0</v>
      </c>
      <c r="E60" s="105">
        <v>0</v>
      </c>
      <c r="F60" s="105">
        <v>0</v>
      </c>
      <c r="G60" s="105">
        <v>0</v>
      </c>
      <c r="H60" s="105">
        <v>4</v>
      </c>
      <c r="I60" s="105">
        <v>840</v>
      </c>
      <c r="J60" s="105">
        <v>4</v>
      </c>
      <c r="K60" s="105">
        <v>840</v>
      </c>
      <c r="L60" s="105">
        <v>4</v>
      </c>
      <c r="M60" s="105">
        <v>840</v>
      </c>
      <c r="N60" s="105">
        <v>4</v>
      </c>
      <c r="O60" s="105">
        <v>840</v>
      </c>
      <c r="P60" s="105">
        <v>5</v>
      </c>
      <c r="Q60" s="105">
        <v>1050</v>
      </c>
      <c r="R60" s="105">
        <v>4</v>
      </c>
      <c r="S60" s="105">
        <v>840</v>
      </c>
      <c r="T60" s="105">
        <v>4</v>
      </c>
      <c r="U60" s="105">
        <v>840</v>
      </c>
      <c r="V60" s="105">
        <v>2.2424751874633628</v>
      </c>
      <c r="W60" s="105">
        <v>470.91978936730618</v>
      </c>
      <c r="X60" s="105">
        <v>6</v>
      </c>
      <c r="Y60" s="105">
        <v>1260</v>
      </c>
      <c r="Z60" s="105">
        <v>6</v>
      </c>
      <c r="AA60" s="105">
        <v>1260</v>
      </c>
      <c r="AB60" s="105">
        <v>4</v>
      </c>
      <c r="AC60" s="105">
        <v>840</v>
      </c>
      <c r="AD60" s="105">
        <v>6</v>
      </c>
      <c r="AE60" s="105">
        <v>1260</v>
      </c>
      <c r="AF60" s="105">
        <v>6</v>
      </c>
      <c r="AG60" s="105">
        <v>1260</v>
      </c>
      <c r="AH60" s="105">
        <v>6</v>
      </c>
      <c r="AI60" s="105">
        <v>1260</v>
      </c>
      <c r="AJ60" s="105">
        <v>3</v>
      </c>
      <c r="AK60" s="105">
        <v>630</v>
      </c>
      <c r="AL60" s="105">
        <v>4</v>
      </c>
      <c r="AM60" s="105">
        <v>840</v>
      </c>
      <c r="AN60" s="105">
        <v>3</v>
      </c>
      <c r="AO60" s="105">
        <v>630</v>
      </c>
      <c r="AP60" s="105">
        <v>5</v>
      </c>
      <c r="AQ60" s="105">
        <v>1050</v>
      </c>
      <c r="AR60" s="105">
        <v>4</v>
      </c>
      <c r="AS60" s="105">
        <v>840</v>
      </c>
      <c r="AT60" s="105">
        <v>5</v>
      </c>
      <c r="AU60" s="105">
        <v>1050</v>
      </c>
      <c r="AV60" s="105">
        <v>5</v>
      </c>
      <c r="AW60" s="105">
        <v>1050</v>
      </c>
      <c r="AX60" s="105">
        <v>5</v>
      </c>
      <c r="AY60" s="105">
        <v>1050</v>
      </c>
      <c r="AZ60" s="105">
        <v>4</v>
      </c>
      <c r="BA60" s="105">
        <v>840</v>
      </c>
      <c r="BB60" s="105">
        <v>4</v>
      </c>
      <c r="BC60" s="105">
        <v>840</v>
      </c>
      <c r="BD60" s="105">
        <v>5.1175042239216229</v>
      </c>
      <c r="BE60" s="105">
        <v>1074.6758870235408</v>
      </c>
      <c r="BF60" s="105">
        <v>2.5193041716346767</v>
      </c>
      <c r="BG60" s="105">
        <v>529.05387604328212</v>
      </c>
      <c r="BH60" s="105">
        <v>0</v>
      </c>
      <c r="BI60" s="105">
        <v>0</v>
      </c>
      <c r="BJ60" s="105">
        <v>4</v>
      </c>
      <c r="BK60" s="105">
        <v>840</v>
      </c>
      <c r="BL60" s="105">
        <v>4</v>
      </c>
      <c r="BM60" s="105">
        <v>840</v>
      </c>
      <c r="BN60" s="105">
        <v>5</v>
      </c>
      <c r="BO60" s="105">
        <v>1050</v>
      </c>
      <c r="BP60" s="105">
        <v>3</v>
      </c>
      <c r="BQ60" s="105">
        <v>630</v>
      </c>
      <c r="BR60" s="105">
        <v>5</v>
      </c>
      <c r="BS60" s="105">
        <v>1050</v>
      </c>
      <c r="BT60" s="105">
        <v>6</v>
      </c>
      <c r="BU60" s="105">
        <v>1260</v>
      </c>
      <c r="BV60" s="105">
        <v>5</v>
      </c>
      <c r="BW60" s="105">
        <v>1050</v>
      </c>
      <c r="BX60" s="105">
        <v>5</v>
      </c>
      <c r="BY60" s="105">
        <v>1050</v>
      </c>
      <c r="BZ60" s="105">
        <v>5</v>
      </c>
      <c r="CA60" s="105">
        <v>1050</v>
      </c>
      <c r="CB60" s="105">
        <v>6</v>
      </c>
      <c r="CC60" s="105">
        <v>1260</v>
      </c>
      <c r="CD60" s="105">
        <v>5</v>
      </c>
      <c r="CE60" s="105">
        <v>1050</v>
      </c>
      <c r="CF60" s="105">
        <v>5</v>
      </c>
      <c r="CG60" s="105">
        <v>1050</v>
      </c>
      <c r="CH60" s="105">
        <v>4</v>
      </c>
      <c r="CI60" s="105">
        <v>840</v>
      </c>
      <c r="CJ60" s="105">
        <v>4.6014894941358948</v>
      </c>
      <c r="CK60" s="105">
        <v>966.31279376853786</v>
      </c>
      <c r="CL60" s="105">
        <v>5</v>
      </c>
      <c r="CM60" s="105">
        <v>1050</v>
      </c>
      <c r="CN60" s="105">
        <v>5</v>
      </c>
      <c r="CO60" s="105">
        <v>1050</v>
      </c>
      <c r="CP60" s="105">
        <v>6</v>
      </c>
      <c r="CQ60" s="105">
        <v>1260</v>
      </c>
      <c r="CR60" s="105">
        <v>4</v>
      </c>
      <c r="CS60" s="105">
        <v>840</v>
      </c>
      <c r="CT60" s="105">
        <v>4</v>
      </c>
      <c r="CU60" s="105">
        <v>840</v>
      </c>
    </row>
    <row r="61" spans="2:99" x14ac:dyDescent="0.2">
      <c r="C61" s="104" t="s">
        <v>229</v>
      </c>
      <c r="D61" s="105">
        <v>0</v>
      </c>
      <c r="E61" s="105">
        <v>0</v>
      </c>
      <c r="F61" s="105">
        <v>0</v>
      </c>
      <c r="G61" s="105">
        <v>0</v>
      </c>
      <c r="H61" s="105">
        <v>3</v>
      </c>
      <c r="I61" s="105">
        <v>594</v>
      </c>
      <c r="J61" s="105">
        <v>5</v>
      </c>
      <c r="K61" s="105">
        <v>990</v>
      </c>
      <c r="L61" s="105">
        <v>4</v>
      </c>
      <c r="M61" s="105">
        <v>792</v>
      </c>
      <c r="N61" s="105">
        <v>4</v>
      </c>
      <c r="O61" s="105">
        <v>792</v>
      </c>
      <c r="P61" s="105">
        <v>6</v>
      </c>
      <c r="Q61" s="105">
        <v>1188</v>
      </c>
      <c r="R61" s="105">
        <v>4</v>
      </c>
      <c r="S61" s="105">
        <v>792</v>
      </c>
      <c r="T61" s="105">
        <v>5</v>
      </c>
      <c r="U61" s="105">
        <v>990</v>
      </c>
      <c r="V61" s="105">
        <v>1.7939801499706902</v>
      </c>
      <c r="W61" s="105">
        <v>355.20806969419664</v>
      </c>
      <c r="X61" s="105">
        <v>6</v>
      </c>
      <c r="Y61" s="105">
        <v>1188</v>
      </c>
      <c r="Z61" s="105">
        <v>5</v>
      </c>
      <c r="AA61" s="105">
        <v>990</v>
      </c>
      <c r="AB61" s="105">
        <v>4</v>
      </c>
      <c r="AC61" s="105">
        <v>792</v>
      </c>
      <c r="AD61" s="105">
        <v>6</v>
      </c>
      <c r="AE61" s="105">
        <v>1188</v>
      </c>
      <c r="AF61" s="105">
        <v>5</v>
      </c>
      <c r="AG61" s="105">
        <v>990</v>
      </c>
      <c r="AH61" s="105">
        <v>6</v>
      </c>
      <c r="AI61" s="105">
        <v>1188</v>
      </c>
      <c r="AJ61" s="105">
        <v>4</v>
      </c>
      <c r="AK61" s="105">
        <v>792</v>
      </c>
      <c r="AL61" s="105">
        <v>3</v>
      </c>
      <c r="AM61" s="105">
        <v>594</v>
      </c>
      <c r="AN61" s="105">
        <v>4</v>
      </c>
      <c r="AO61" s="105">
        <v>792</v>
      </c>
      <c r="AP61" s="105">
        <v>5</v>
      </c>
      <c r="AQ61" s="105">
        <v>990</v>
      </c>
      <c r="AR61" s="105">
        <v>4</v>
      </c>
      <c r="AS61" s="105">
        <v>792</v>
      </c>
      <c r="AT61" s="105">
        <v>5</v>
      </c>
      <c r="AU61" s="105">
        <v>990</v>
      </c>
      <c r="AV61" s="105">
        <v>5</v>
      </c>
      <c r="AW61" s="105">
        <v>990</v>
      </c>
      <c r="AX61" s="105">
        <v>5</v>
      </c>
      <c r="AY61" s="105">
        <v>990</v>
      </c>
      <c r="AZ61" s="105">
        <v>4</v>
      </c>
      <c r="BA61" s="105">
        <v>792</v>
      </c>
      <c r="BB61" s="105">
        <v>4</v>
      </c>
      <c r="BC61" s="105">
        <v>792</v>
      </c>
      <c r="BD61" s="105">
        <v>5.1175042239216229</v>
      </c>
      <c r="BE61" s="105">
        <v>1013.2658363364814</v>
      </c>
      <c r="BF61" s="105">
        <v>3.3590722288462356</v>
      </c>
      <c r="BG61" s="105">
        <v>665.09630131155461</v>
      </c>
      <c r="BH61" s="105">
        <v>0</v>
      </c>
      <c r="BI61" s="105">
        <v>0</v>
      </c>
      <c r="BJ61" s="105">
        <v>4</v>
      </c>
      <c r="BK61" s="105">
        <v>792</v>
      </c>
      <c r="BL61" s="105">
        <v>5</v>
      </c>
      <c r="BM61" s="105">
        <v>990</v>
      </c>
      <c r="BN61" s="105">
        <v>4</v>
      </c>
      <c r="BO61" s="105">
        <v>792</v>
      </c>
      <c r="BP61" s="105">
        <v>3</v>
      </c>
      <c r="BQ61" s="105">
        <v>594</v>
      </c>
      <c r="BR61" s="105">
        <v>5</v>
      </c>
      <c r="BS61" s="105">
        <v>990</v>
      </c>
      <c r="BT61" s="105">
        <v>7</v>
      </c>
      <c r="BU61" s="105">
        <v>1386</v>
      </c>
      <c r="BV61" s="105">
        <v>4</v>
      </c>
      <c r="BW61" s="105">
        <v>792</v>
      </c>
      <c r="BX61" s="105">
        <v>5</v>
      </c>
      <c r="BY61" s="105">
        <v>990</v>
      </c>
      <c r="BZ61" s="105">
        <v>5</v>
      </c>
      <c r="CA61" s="105">
        <v>990</v>
      </c>
      <c r="CB61" s="105">
        <v>6</v>
      </c>
      <c r="CC61" s="105">
        <v>1188</v>
      </c>
      <c r="CD61" s="105">
        <v>5</v>
      </c>
      <c r="CE61" s="105">
        <v>990</v>
      </c>
      <c r="CF61" s="105">
        <v>5</v>
      </c>
      <c r="CG61" s="105">
        <v>990</v>
      </c>
      <c r="CH61" s="105">
        <v>4</v>
      </c>
      <c r="CI61" s="105">
        <v>792</v>
      </c>
      <c r="CJ61" s="105">
        <v>3.6811915953087153</v>
      </c>
      <c r="CK61" s="105">
        <v>728.87593587112565</v>
      </c>
      <c r="CL61" s="105">
        <v>5</v>
      </c>
      <c r="CM61" s="105">
        <v>990</v>
      </c>
      <c r="CN61" s="105">
        <v>5</v>
      </c>
      <c r="CO61" s="105">
        <v>990</v>
      </c>
      <c r="CP61" s="105">
        <v>6</v>
      </c>
      <c r="CQ61" s="105">
        <v>1188</v>
      </c>
      <c r="CR61" s="105">
        <v>4</v>
      </c>
      <c r="CS61" s="105">
        <v>792</v>
      </c>
      <c r="CT61" s="105">
        <v>4</v>
      </c>
      <c r="CU61" s="105">
        <v>792</v>
      </c>
    </row>
    <row r="62" spans="2:99" x14ac:dyDescent="0.2">
      <c r="C62" s="104" t="s">
        <v>230</v>
      </c>
      <c r="D62" s="105">
        <v>0</v>
      </c>
      <c r="E62" s="105">
        <v>0</v>
      </c>
      <c r="F62" s="105">
        <v>0</v>
      </c>
      <c r="G62" s="105">
        <v>0</v>
      </c>
      <c r="H62" s="105">
        <v>4</v>
      </c>
      <c r="I62" s="105">
        <v>3825.6</v>
      </c>
      <c r="J62" s="105">
        <v>4</v>
      </c>
      <c r="K62" s="105">
        <v>3825.6</v>
      </c>
      <c r="L62" s="105">
        <v>4</v>
      </c>
      <c r="M62" s="105">
        <v>3825.6</v>
      </c>
      <c r="N62" s="105">
        <v>4</v>
      </c>
      <c r="O62" s="105">
        <v>3825.6</v>
      </c>
      <c r="P62" s="105">
        <v>5</v>
      </c>
      <c r="Q62" s="105">
        <v>4782</v>
      </c>
      <c r="R62" s="105">
        <v>4</v>
      </c>
      <c r="S62" s="105">
        <v>3825.6</v>
      </c>
      <c r="T62" s="105">
        <v>5</v>
      </c>
      <c r="U62" s="105">
        <v>4782</v>
      </c>
      <c r="V62" s="105">
        <v>2.2424751874633628</v>
      </c>
      <c r="W62" s="105">
        <v>2144.7032692899602</v>
      </c>
      <c r="X62" s="105">
        <v>5</v>
      </c>
      <c r="Y62" s="105">
        <v>4782</v>
      </c>
      <c r="Z62" s="105">
        <v>5</v>
      </c>
      <c r="AA62" s="105">
        <v>4782</v>
      </c>
      <c r="AB62" s="105">
        <v>4</v>
      </c>
      <c r="AC62" s="105">
        <v>3825.6</v>
      </c>
      <c r="AD62" s="105">
        <v>5</v>
      </c>
      <c r="AE62" s="105">
        <v>4782</v>
      </c>
      <c r="AF62" s="105">
        <v>6</v>
      </c>
      <c r="AG62" s="105">
        <v>5738.4</v>
      </c>
      <c r="AH62" s="105">
        <v>6</v>
      </c>
      <c r="AI62" s="105">
        <v>5738.4</v>
      </c>
      <c r="AJ62" s="105">
        <v>3</v>
      </c>
      <c r="AK62" s="105">
        <v>2869.2</v>
      </c>
      <c r="AL62" s="105">
        <v>3</v>
      </c>
      <c r="AM62" s="105">
        <v>2869.2</v>
      </c>
      <c r="AN62" s="105">
        <v>3</v>
      </c>
      <c r="AO62" s="105">
        <v>2869.2</v>
      </c>
      <c r="AP62" s="105">
        <v>5</v>
      </c>
      <c r="AQ62" s="105">
        <v>4782</v>
      </c>
      <c r="AR62" s="105">
        <v>4</v>
      </c>
      <c r="AS62" s="105">
        <v>3825.6</v>
      </c>
      <c r="AT62" s="105">
        <v>5</v>
      </c>
      <c r="AU62" s="105">
        <v>4782</v>
      </c>
      <c r="AV62" s="105">
        <v>5</v>
      </c>
      <c r="AW62" s="105">
        <v>4782</v>
      </c>
      <c r="AX62" s="105">
        <v>6</v>
      </c>
      <c r="AY62" s="105">
        <v>5738.4</v>
      </c>
      <c r="AZ62" s="105">
        <v>3</v>
      </c>
      <c r="BA62" s="105">
        <v>2869.2</v>
      </c>
      <c r="BB62" s="105">
        <v>3</v>
      </c>
      <c r="BC62" s="105">
        <v>2869.2</v>
      </c>
      <c r="BD62" s="105">
        <v>5.1175042239216229</v>
      </c>
      <c r="BE62" s="105">
        <v>4894.3810397586403</v>
      </c>
      <c r="BF62" s="105">
        <v>2.5193041716346767</v>
      </c>
      <c r="BG62" s="105">
        <v>2409.4625097514049</v>
      </c>
      <c r="BH62" s="105">
        <v>0</v>
      </c>
      <c r="BI62" s="105">
        <v>0</v>
      </c>
      <c r="BJ62" s="105">
        <v>3</v>
      </c>
      <c r="BK62" s="105">
        <v>2869.2</v>
      </c>
      <c r="BL62" s="105">
        <v>5</v>
      </c>
      <c r="BM62" s="105">
        <v>4782</v>
      </c>
      <c r="BN62" s="105">
        <v>4</v>
      </c>
      <c r="BO62" s="105">
        <v>3825.6</v>
      </c>
      <c r="BP62" s="105">
        <v>3</v>
      </c>
      <c r="BQ62" s="105">
        <v>2869.2</v>
      </c>
      <c r="BR62" s="105">
        <v>4</v>
      </c>
      <c r="BS62" s="105">
        <v>3825.6</v>
      </c>
      <c r="BT62" s="105">
        <v>6</v>
      </c>
      <c r="BU62" s="105">
        <v>5738.4</v>
      </c>
      <c r="BV62" s="105">
        <v>4</v>
      </c>
      <c r="BW62" s="105">
        <v>3825.6</v>
      </c>
      <c r="BX62" s="105">
        <v>5</v>
      </c>
      <c r="BY62" s="105">
        <v>4782</v>
      </c>
      <c r="BZ62" s="105">
        <v>5</v>
      </c>
      <c r="CA62" s="105">
        <v>4782</v>
      </c>
      <c r="CB62" s="105">
        <v>6</v>
      </c>
      <c r="CC62" s="105">
        <v>5738.4</v>
      </c>
      <c r="CD62" s="105">
        <v>4</v>
      </c>
      <c r="CE62" s="105">
        <v>3825.6</v>
      </c>
      <c r="CF62" s="105">
        <v>5</v>
      </c>
      <c r="CG62" s="105">
        <v>4782</v>
      </c>
      <c r="CH62" s="105">
        <v>4</v>
      </c>
      <c r="CI62" s="105">
        <v>3825.6</v>
      </c>
      <c r="CJ62" s="105">
        <v>3.6811915953087153</v>
      </c>
      <c r="CK62" s="105">
        <v>3520.6916417532552</v>
      </c>
      <c r="CL62" s="105">
        <v>5</v>
      </c>
      <c r="CM62" s="105">
        <v>4782</v>
      </c>
      <c r="CN62" s="105">
        <v>4</v>
      </c>
      <c r="CO62" s="105">
        <v>3825.6</v>
      </c>
      <c r="CP62" s="105">
        <v>6</v>
      </c>
      <c r="CQ62" s="105">
        <v>5738.4</v>
      </c>
      <c r="CR62" s="105">
        <v>4</v>
      </c>
      <c r="CS62" s="105">
        <v>3825.6</v>
      </c>
      <c r="CT62" s="105">
        <v>4</v>
      </c>
      <c r="CU62" s="105">
        <v>3825.6</v>
      </c>
    </row>
    <row r="63" spans="2:99" x14ac:dyDescent="0.2">
      <c r="C63" s="104" t="s">
        <v>231</v>
      </c>
      <c r="D63" s="105">
        <v>0</v>
      </c>
      <c r="E63" s="105">
        <v>0</v>
      </c>
      <c r="F63" s="105">
        <v>0</v>
      </c>
      <c r="G63" s="105">
        <v>0</v>
      </c>
      <c r="H63" s="105">
        <v>4</v>
      </c>
      <c r="I63" s="105">
        <v>120</v>
      </c>
      <c r="J63" s="105">
        <v>5</v>
      </c>
      <c r="K63" s="105">
        <v>150</v>
      </c>
      <c r="L63" s="105">
        <v>4</v>
      </c>
      <c r="M63" s="105">
        <v>120</v>
      </c>
      <c r="N63" s="105">
        <v>4</v>
      </c>
      <c r="O63" s="105">
        <v>120</v>
      </c>
      <c r="P63" s="105">
        <v>6</v>
      </c>
      <c r="Q63" s="105">
        <v>180</v>
      </c>
      <c r="R63" s="105">
        <v>4</v>
      </c>
      <c r="S63" s="105">
        <v>120</v>
      </c>
      <c r="T63" s="105">
        <v>5</v>
      </c>
      <c r="U63" s="105">
        <v>150</v>
      </c>
      <c r="V63" s="105">
        <v>1.7939801499706902</v>
      </c>
      <c r="W63" s="105">
        <v>53.819404499120708</v>
      </c>
      <c r="X63" s="105">
        <v>6</v>
      </c>
      <c r="Y63" s="105">
        <v>180</v>
      </c>
      <c r="Z63" s="105">
        <v>6</v>
      </c>
      <c r="AA63" s="105">
        <v>180</v>
      </c>
      <c r="AB63" s="105">
        <v>4</v>
      </c>
      <c r="AC63" s="105">
        <v>120</v>
      </c>
      <c r="AD63" s="105">
        <v>5</v>
      </c>
      <c r="AE63" s="105">
        <v>150</v>
      </c>
      <c r="AF63" s="105">
        <v>6</v>
      </c>
      <c r="AG63" s="105">
        <v>180</v>
      </c>
      <c r="AH63" s="105">
        <v>6</v>
      </c>
      <c r="AI63" s="105">
        <v>180</v>
      </c>
      <c r="AJ63" s="105">
        <v>4</v>
      </c>
      <c r="AK63" s="105">
        <v>120</v>
      </c>
      <c r="AL63" s="105">
        <v>3</v>
      </c>
      <c r="AM63" s="105">
        <v>90</v>
      </c>
      <c r="AN63" s="105">
        <v>3</v>
      </c>
      <c r="AO63" s="105">
        <v>90</v>
      </c>
      <c r="AP63" s="105">
        <v>5</v>
      </c>
      <c r="AQ63" s="105">
        <v>150</v>
      </c>
      <c r="AR63" s="105">
        <v>4</v>
      </c>
      <c r="AS63" s="105">
        <v>120</v>
      </c>
      <c r="AT63" s="105">
        <v>5</v>
      </c>
      <c r="AU63" s="105">
        <v>150</v>
      </c>
      <c r="AV63" s="105">
        <v>5</v>
      </c>
      <c r="AW63" s="105">
        <v>150</v>
      </c>
      <c r="AX63" s="105">
        <v>5</v>
      </c>
      <c r="AY63" s="105">
        <v>150</v>
      </c>
      <c r="AZ63" s="105">
        <v>4</v>
      </c>
      <c r="BA63" s="105">
        <v>120</v>
      </c>
      <c r="BB63" s="105">
        <v>4</v>
      </c>
      <c r="BC63" s="105">
        <v>120</v>
      </c>
      <c r="BD63" s="105">
        <v>5.1175042239216229</v>
      </c>
      <c r="BE63" s="105">
        <v>153.52512671764867</v>
      </c>
      <c r="BF63" s="105">
        <v>2.5193041716346767</v>
      </c>
      <c r="BG63" s="105">
        <v>75.579125149040294</v>
      </c>
      <c r="BH63" s="105">
        <v>0</v>
      </c>
      <c r="BI63" s="105">
        <v>0</v>
      </c>
      <c r="BJ63" s="105">
        <v>3</v>
      </c>
      <c r="BK63" s="105">
        <v>90</v>
      </c>
      <c r="BL63" s="105">
        <v>4</v>
      </c>
      <c r="BM63" s="105">
        <v>120</v>
      </c>
      <c r="BN63" s="105">
        <v>4</v>
      </c>
      <c r="BO63" s="105">
        <v>120</v>
      </c>
      <c r="BP63" s="105">
        <v>4</v>
      </c>
      <c r="BQ63" s="105">
        <v>120</v>
      </c>
      <c r="BR63" s="105">
        <v>5</v>
      </c>
      <c r="BS63" s="105">
        <v>150</v>
      </c>
      <c r="BT63" s="105">
        <v>7</v>
      </c>
      <c r="BU63" s="105">
        <v>210</v>
      </c>
      <c r="BV63" s="105">
        <v>4</v>
      </c>
      <c r="BW63" s="105">
        <v>120</v>
      </c>
      <c r="BX63" s="105">
        <v>5</v>
      </c>
      <c r="BY63" s="105">
        <v>150</v>
      </c>
      <c r="BZ63" s="105">
        <v>5</v>
      </c>
      <c r="CA63" s="105">
        <v>150</v>
      </c>
      <c r="CB63" s="105">
        <v>7</v>
      </c>
      <c r="CC63" s="105">
        <v>210</v>
      </c>
      <c r="CD63" s="105">
        <v>5</v>
      </c>
      <c r="CE63" s="105">
        <v>150</v>
      </c>
      <c r="CF63" s="105">
        <v>5</v>
      </c>
      <c r="CG63" s="105">
        <v>150</v>
      </c>
      <c r="CH63" s="105">
        <v>4</v>
      </c>
      <c r="CI63" s="105">
        <v>120</v>
      </c>
      <c r="CJ63" s="105">
        <v>4.6014894941358948</v>
      </c>
      <c r="CK63" s="105">
        <v>138.04468482407685</v>
      </c>
      <c r="CL63" s="105">
        <v>6</v>
      </c>
      <c r="CM63" s="105">
        <v>180</v>
      </c>
      <c r="CN63" s="105">
        <v>5</v>
      </c>
      <c r="CO63" s="105">
        <v>150</v>
      </c>
      <c r="CP63" s="105">
        <v>6</v>
      </c>
      <c r="CQ63" s="105">
        <v>180</v>
      </c>
      <c r="CR63" s="105">
        <v>4</v>
      </c>
      <c r="CS63" s="105">
        <v>120</v>
      </c>
      <c r="CT63" s="105">
        <v>5</v>
      </c>
      <c r="CU63" s="105">
        <v>150</v>
      </c>
    </row>
    <row r="64" spans="2:99" x14ac:dyDescent="0.2">
      <c r="C64" s="104" t="s">
        <v>232</v>
      </c>
      <c r="D64" s="105">
        <v>0</v>
      </c>
      <c r="E64" s="105">
        <v>0</v>
      </c>
      <c r="F64" s="105">
        <v>0</v>
      </c>
      <c r="G64" s="105">
        <v>0</v>
      </c>
      <c r="H64" s="105">
        <v>3</v>
      </c>
      <c r="I64" s="105">
        <v>673.2</v>
      </c>
      <c r="J64" s="105">
        <v>4</v>
      </c>
      <c r="K64" s="105">
        <v>897.6</v>
      </c>
      <c r="L64" s="105">
        <v>4</v>
      </c>
      <c r="M64" s="105">
        <v>897.6</v>
      </c>
      <c r="N64" s="105">
        <v>4</v>
      </c>
      <c r="O64" s="105">
        <v>897.6</v>
      </c>
      <c r="P64" s="105">
        <v>6</v>
      </c>
      <c r="Q64" s="105">
        <v>1346.4</v>
      </c>
      <c r="R64" s="105">
        <v>4</v>
      </c>
      <c r="S64" s="105">
        <v>897.6</v>
      </c>
      <c r="T64" s="105">
        <v>4</v>
      </c>
      <c r="U64" s="105">
        <v>897.6</v>
      </c>
      <c r="V64" s="105">
        <v>2.2424751874633628</v>
      </c>
      <c r="W64" s="105">
        <v>503.21143206677863</v>
      </c>
      <c r="X64" s="105">
        <v>6</v>
      </c>
      <c r="Y64" s="105">
        <v>1346.4</v>
      </c>
      <c r="Z64" s="105">
        <v>5</v>
      </c>
      <c r="AA64" s="105">
        <v>1122</v>
      </c>
      <c r="AB64" s="105">
        <v>4</v>
      </c>
      <c r="AC64" s="105">
        <v>897.6</v>
      </c>
      <c r="AD64" s="105">
        <v>6</v>
      </c>
      <c r="AE64" s="105">
        <v>1346.4</v>
      </c>
      <c r="AF64" s="105">
        <v>5</v>
      </c>
      <c r="AG64" s="105">
        <v>1122</v>
      </c>
      <c r="AH64" s="105">
        <v>6</v>
      </c>
      <c r="AI64" s="105">
        <v>1346.4</v>
      </c>
      <c r="AJ64" s="105">
        <v>4</v>
      </c>
      <c r="AK64" s="105">
        <v>897.6</v>
      </c>
      <c r="AL64" s="105">
        <v>3</v>
      </c>
      <c r="AM64" s="105">
        <v>673.2</v>
      </c>
      <c r="AN64" s="105">
        <v>4</v>
      </c>
      <c r="AO64" s="105">
        <v>897.6</v>
      </c>
      <c r="AP64" s="105">
        <v>5</v>
      </c>
      <c r="AQ64" s="105">
        <v>1122</v>
      </c>
      <c r="AR64" s="105">
        <v>4</v>
      </c>
      <c r="AS64" s="105">
        <v>897.6</v>
      </c>
      <c r="AT64" s="105">
        <v>5</v>
      </c>
      <c r="AU64" s="105">
        <v>1122</v>
      </c>
      <c r="AV64" s="105">
        <v>5</v>
      </c>
      <c r="AW64" s="105">
        <v>1122</v>
      </c>
      <c r="AX64" s="105">
        <v>5</v>
      </c>
      <c r="AY64" s="105">
        <v>1122</v>
      </c>
      <c r="AZ64" s="105">
        <v>3</v>
      </c>
      <c r="BA64" s="105">
        <v>673.2</v>
      </c>
      <c r="BB64" s="105">
        <v>3</v>
      </c>
      <c r="BC64" s="105">
        <v>673.2</v>
      </c>
      <c r="BD64" s="105">
        <v>5.9704215945752264</v>
      </c>
      <c r="BE64" s="105">
        <v>1339.7626058226808</v>
      </c>
      <c r="BF64" s="105">
        <v>3.3590722288462356</v>
      </c>
      <c r="BG64" s="105">
        <v>753.77580815309523</v>
      </c>
      <c r="BH64" s="105">
        <v>0</v>
      </c>
      <c r="BI64" s="105">
        <v>0</v>
      </c>
      <c r="BJ64" s="105">
        <v>3</v>
      </c>
      <c r="BK64" s="105">
        <v>673.2</v>
      </c>
      <c r="BL64" s="105">
        <v>5</v>
      </c>
      <c r="BM64" s="105">
        <v>1122</v>
      </c>
      <c r="BN64" s="105">
        <v>4</v>
      </c>
      <c r="BO64" s="105">
        <v>897.6</v>
      </c>
      <c r="BP64" s="105">
        <v>3</v>
      </c>
      <c r="BQ64" s="105">
        <v>673.2</v>
      </c>
      <c r="BR64" s="105">
        <v>5</v>
      </c>
      <c r="BS64" s="105">
        <v>1122</v>
      </c>
      <c r="BT64" s="105">
        <v>6</v>
      </c>
      <c r="BU64" s="105">
        <v>1346.4</v>
      </c>
      <c r="BV64" s="105">
        <v>5</v>
      </c>
      <c r="BW64" s="105">
        <v>1122</v>
      </c>
      <c r="BX64" s="105">
        <v>5</v>
      </c>
      <c r="BY64" s="105">
        <v>1122</v>
      </c>
      <c r="BZ64" s="105">
        <v>5</v>
      </c>
      <c r="CA64" s="105">
        <v>1122</v>
      </c>
      <c r="CB64" s="105">
        <v>7</v>
      </c>
      <c r="CC64" s="105">
        <v>1570.8</v>
      </c>
      <c r="CD64" s="105">
        <v>4</v>
      </c>
      <c r="CE64" s="105">
        <v>897.6</v>
      </c>
      <c r="CF64" s="105">
        <v>5</v>
      </c>
      <c r="CG64" s="105">
        <v>1122</v>
      </c>
      <c r="CH64" s="105">
        <v>4</v>
      </c>
      <c r="CI64" s="105">
        <v>897.6</v>
      </c>
      <c r="CJ64" s="105">
        <v>4.6014894941358948</v>
      </c>
      <c r="CK64" s="105">
        <v>1032.5742424840948</v>
      </c>
      <c r="CL64" s="105">
        <v>5</v>
      </c>
      <c r="CM64" s="105">
        <v>1122</v>
      </c>
      <c r="CN64" s="105">
        <v>5</v>
      </c>
      <c r="CO64" s="105">
        <v>1122</v>
      </c>
      <c r="CP64" s="105">
        <v>7</v>
      </c>
      <c r="CQ64" s="105">
        <v>1570.8</v>
      </c>
      <c r="CR64" s="105">
        <v>4</v>
      </c>
      <c r="CS64" s="105">
        <v>897.6</v>
      </c>
      <c r="CT64" s="105">
        <v>4</v>
      </c>
      <c r="CU64" s="105">
        <v>897.6</v>
      </c>
    </row>
    <row r="65" spans="2:99" x14ac:dyDescent="0.2">
      <c r="C65" s="104" t="s">
        <v>233</v>
      </c>
      <c r="D65" s="105">
        <v>0</v>
      </c>
      <c r="E65" s="105">
        <v>0</v>
      </c>
      <c r="F65" s="105">
        <v>0</v>
      </c>
      <c r="G65" s="105">
        <v>0</v>
      </c>
      <c r="H65" s="105">
        <v>3</v>
      </c>
      <c r="I65" s="105">
        <v>1483.1999999999998</v>
      </c>
      <c r="J65" s="105">
        <v>4</v>
      </c>
      <c r="K65" s="105">
        <v>1977.6</v>
      </c>
      <c r="L65" s="105">
        <v>4</v>
      </c>
      <c r="M65" s="105">
        <v>1977.6</v>
      </c>
      <c r="N65" s="105">
        <v>4</v>
      </c>
      <c r="O65" s="105">
        <v>1977.6</v>
      </c>
      <c r="P65" s="105">
        <v>6</v>
      </c>
      <c r="Q65" s="105">
        <v>2966.3999999999996</v>
      </c>
      <c r="R65" s="105">
        <v>4</v>
      </c>
      <c r="S65" s="105">
        <v>1977.6</v>
      </c>
      <c r="T65" s="105">
        <v>5</v>
      </c>
      <c r="U65" s="105">
        <v>2472</v>
      </c>
      <c r="V65" s="105">
        <v>1.7939801499706902</v>
      </c>
      <c r="W65" s="105">
        <v>886.94378614550919</v>
      </c>
      <c r="X65" s="105">
        <v>6</v>
      </c>
      <c r="Y65" s="105">
        <v>2966.3999999999996</v>
      </c>
      <c r="Z65" s="105">
        <v>6</v>
      </c>
      <c r="AA65" s="105">
        <v>2966.3999999999996</v>
      </c>
      <c r="AB65" s="105">
        <v>4</v>
      </c>
      <c r="AC65" s="105">
        <v>1977.6</v>
      </c>
      <c r="AD65" s="105">
        <v>5</v>
      </c>
      <c r="AE65" s="105">
        <v>2472</v>
      </c>
      <c r="AF65" s="105">
        <v>6</v>
      </c>
      <c r="AG65" s="105">
        <v>2966.3999999999996</v>
      </c>
      <c r="AH65" s="105">
        <v>6</v>
      </c>
      <c r="AI65" s="105">
        <v>2966.3999999999996</v>
      </c>
      <c r="AJ65" s="105">
        <v>3</v>
      </c>
      <c r="AK65" s="105">
        <v>1483.1999999999998</v>
      </c>
      <c r="AL65" s="105">
        <v>3</v>
      </c>
      <c r="AM65" s="105">
        <v>1483.1999999999998</v>
      </c>
      <c r="AN65" s="105">
        <v>4</v>
      </c>
      <c r="AO65" s="105">
        <v>1977.6</v>
      </c>
      <c r="AP65" s="105">
        <v>5</v>
      </c>
      <c r="AQ65" s="105">
        <v>2472</v>
      </c>
      <c r="AR65" s="105">
        <v>4</v>
      </c>
      <c r="AS65" s="105">
        <v>1977.6</v>
      </c>
      <c r="AT65" s="105">
        <v>5</v>
      </c>
      <c r="AU65" s="105">
        <v>2472</v>
      </c>
      <c r="AV65" s="105">
        <v>5</v>
      </c>
      <c r="AW65" s="105">
        <v>2472</v>
      </c>
      <c r="AX65" s="105">
        <v>6</v>
      </c>
      <c r="AY65" s="105">
        <v>2966.3999999999996</v>
      </c>
      <c r="AZ65" s="105">
        <v>4</v>
      </c>
      <c r="BA65" s="105">
        <v>1977.6</v>
      </c>
      <c r="BB65" s="105">
        <v>4</v>
      </c>
      <c r="BC65" s="105">
        <v>1977.6</v>
      </c>
      <c r="BD65" s="105">
        <v>5.1175042239216229</v>
      </c>
      <c r="BE65" s="105">
        <v>2530.0940883068502</v>
      </c>
      <c r="BF65" s="105">
        <v>2.5193041716346767</v>
      </c>
      <c r="BG65" s="105">
        <v>1245.543982456184</v>
      </c>
      <c r="BH65" s="105">
        <v>0</v>
      </c>
      <c r="BI65" s="105">
        <v>0</v>
      </c>
      <c r="BJ65" s="105">
        <v>3</v>
      </c>
      <c r="BK65" s="105">
        <v>1483.1999999999998</v>
      </c>
      <c r="BL65" s="105">
        <v>4</v>
      </c>
      <c r="BM65" s="105">
        <v>1977.6</v>
      </c>
      <c r="BN65" s="105">
        <v>4</v>
      </c>
      <c r="BO65" s="105">
        <v>1977.6</v>
      </c>
      <c r="BP65" s="105">
        <v>4</v>
      </c>
      <c r="BQ65" s="105">
        <v>1977.6</v>
      </c>
      <c r="BR65" s="105">
        <v>5</v>
      </c>
      <c r="BS65" s="105">
        <v>2472</v>
      </c>
      <c r="BT65" s="105">
        <v>6</v>
      </c>
      <c r="BU65" s="105">
        <v>2966.3999999999996</v>
      </c>
      <c r="BV65" s="105">
        <v>4</v>
      </c>
      <c r="BW65" s="105">
        <v>1977.6</v>
      </c>
      <c r="BX65" s="105">
        <v>5</v>
      </c>
      <c r="BY65" s="105">
        <v>2472</v>
      </c>
      <c r="BZ65" s="105">
        <v>6</v>
      </c>
      <c r="CA65" s="105">
        <v>2966.3999999999996</v>
      </c>
      <c r="CB65" s="105">
        <v>6</v>
      </c>
      <c r="CC65" s="105">
        <v>2966.3999999999996</v>
      </c>
      <c r="CD65" s="105">
        <v>4</v>
      </c>
      <c r="CE65" s="105">
        <v>1977.6</v>
      </c>
      <c r="CF65" s="105">
        <v>5</v>
      </c>
      <c r="CG65" s="105">
        <v>2472</v>
      </c>
      <c r="CH65" s="105">
        <v>4</v>
      </c>
      <c r="CI65" s="105">
        <v>1977.6</v>
      </c>
      <c r="CJ65" s="105">
        <v>3.6811915953087153</v>
      </c>
      <c r="CK65" s="105">
        <v>1819.9811247206287</v>
      </c>
      <c r="CL65" s="105">
        <v>5</v>
      </c>
      <c r="CM65" s="105">
        <v>2472</v>
      </c>
      <c r="CN65" s="105">
        <v>4</v>
      </c>
      <c r="CO65" s="105">
        <v>1977.6</v>
      </c>
      <c r="CP65" s="105">
        <v>6</v>
      </c>
      <c r="CQ65" s="105">
        <v>2966.3999999999996</v>
      </c>
      <c r="CR65" s="105">
        <v>4</v>
      </c>
      <c r="CS65" s="105">
        <v>1977.6</v>
      </c>
      <c r="CT65" s="105">
        <v>4</v>
      </c>
      <c r="CU65" s="105">
        <v>1977.6</v>
      </c>
    </row>
    <row r="66" spans="2:99" x14ac:dyDescent="0.2">
      <c r="C66" s="104" t="s">
        <v>234</v>
      </c>
      <c r="D66" s="105">
        <v>0</v>
      </c>
      <c r="E66" s="105">
        <v>0</v>
      </c>
      <c r="F66" s="105">
        <v>0</v>
      </c>
      <c r="G66" s="105">
        <v>0</v>
      </c>
      <c r="H66" s="105">
        <v>4</v>
      </c>
      <c r="I66" s="105">
        <v>1593.6</v>
      </c>
      <c r="J66" s="105">
        <v>5</v>
      </c>
      <c r="K66" s="105">
        <v>1992</v>
      </c>
      <c r="L66" s="105">
        <v>4</v>
      </c>
      <c r="M66" s="105">
        <v>1593.6</v>
      </c>
      <c r="N66" s="105">
        <v>4</v>
      </c>
      <c r="O66" s="105">
        <v>1593.6</v>
      </c>
      <c r="P66" s="105">
        <v>6</v>
      </c>
      <c r="Q66" s="105">
        <v>2390.3999999999996</v>
      </c>
      <c r="R66" s="105">
        <v>4</v>
      </c>
      <c r="S66" s="105">
        <v>1593.6</v>
      </c>
      <c r="T66" s="105">
        <v>4</v>
      </c>
      <c r="U66" s="105">
        <v>1593.6</v>
      </c>
      <c r="V66" s="105">
        <v>2.2424751874633628</v>
      </c>
      <c r="W66" s="105">
        <v>893.40211468540372</v>
      </c>
      <c r="X66" s="105">
        <v>6</v>
      </c>
      <c r="Y66" s="105">
        <v>2390.3999999999996</v>
      </c>
      <c r="Z66" s="105">
        <v>6</v>
      </c>
      <c r="AA66" s="105">
        <v>2390.3999999999996</v>
      </c>
      <c r="AB66" s="105">
        <v>4</v>
      </c>
      <c r="AC66" s="105">
        <v>1593.6</v>
      </c>
      <c r="AD66" s="105">
        <v>5</v>
      </c>
      <c r="AE66" s="105">
        <v>1992</v>
      </c>
      <c r="AF66" s="105">
        <v>5</v>
      </c>
      <c r="AG66" s="105">
        <v>1992</v>
      </c>
      <c r="AH66" s="105">
        <v>6</v>
      </c>
      <c r="AI66" s="105">
        <v>2390.3999999999996</v>
      </c>
      <c r="AJ66" s="105">
        <v>4</v>
      </c>
      <c r="AK66" s="105">
        <v>1593.6</v>
      </c>
      <c r="AL66" s="105">
        <v>3</v>
      </c>
      <c r="AM66" s="105">
        <v>1195.1999999999998</v>
      </c>
      <c r="AN66" s="105">
        <v>4</v>
      </c>
      <c r="AO66" s="105">
        <v>1593.6</v>
      </c>
      <c r="AP66" s="105">
        <v>5</v>
      </c>
      <c r="AQ66" s="105">
        <v>1992</v>
      </c>
      <c r="AR66" s="105">
        <v>4</v>
      </c>
      <c r="AS66" s="105">
        <v>1593.6</v>
      </c>
      <c r="AT66" s="105">
        <v>5</v>
      </c>
      <c r="AU66" s="105">
        <v>1992</v>
      </c>
      <c r="AV66" s="105">
        <v>5</v>
      </c>
      <c r="AW66" s="105">
        <v>1992</v>
      </c>
      <c r="AX66" s="105">
        <v>6</v>
      </c>
      <c r="AY66" s="105">
        <v>2390.3999999999996</v>
      </c>
      <c r="AZ66" s="105">
        <v>4</v>
      </c>
      <c r="BA66" s="105">
        <v>1593.6</v>
      </c>
      <c r="BB66" s="105">
        <v>4</v>
      </c>
      <c r="BC66" s="105">
        <v>1593.6</v>
      </c>
      <c r="BD66" s="105">
        <v>5.9704215945752264</v>
      </c>
      <c r="BE66" s="105">
        <v>2378.6159632787699</v>
      </c>
      <c r="BF66" s="105">
        <v>3.3590722288462356</v>
      </c>
      <c r="BG66" s="105">
        <v>1338.2543759723401</v>
      </c>
      <c r="BH66" s="105">
        <v>0</v>
      </c>
      <c r="BI66" s="105">
        <v>0</v>
      </c>
      <c r="BJ66" s="105">
        <v>3</v>
      </c>
      <c r="BK66" s="105">
        <v>1195.1999999999998</v>
      </c>
      <c r="BL66" s="105">
        <v>5</v>
      </c>
      <c r="BM66" s="105">
        <v>1992</v>
      </c>
      <c r="BN66" s="105">
        <v>4</v>
      </c>
      <c r="BO66" s="105">
        <v>1593.6</v>
      </c>
      <c r="BP66" s="105">
        <v>4</v>
      </c>
      <c r="BQ66" s="105">
        <v>1593.6</v>
      </c>
      <c r="BR66" s="105">
        <v>5</v>
      </c>
      <c r="BS66" s="105">
        <v>1992</v>
      </c>
      <c r="BT66" s="105">
        <v>6</v>
      </c>
      <c r="BU66" s="105">
        <v>2390.3999999999996</v>
      </c>
      <c r="BV66" s="105">
        <v>5</v>
      </c>
      <c r="BW66" s="105">
        <v>1992</v>
      </c>
      <c r="BX66" s="105">
        <v>5</v>
      </c>
      <c r="BY66" s="105">
        <v>1992</v>
      </c>
      <c r="BZ66" s="105">
        <v>5</v>
      </c>
      <c r="CA66" s="105">
        <v>1992</v>
      </c>
      <c r="CB66" s="105">
        <v>6</v>
      </c>
      <c r="CC66" s="105">
        <v>2390.3999999999996</v>
      </c>
      <c r="CD66" s="105">
        <v>4</v>
      </c>
      <c r="CE66" s="105">
        <v>1593.6</v>
      </c>
      <c r="CF66" s="105">
        <v>5</v>
      </c>
      <c r="CG66" s="105">
        <v>1992</v>
      </c>
      <c r="CH66" s="105">
        <v>5</v>
      </c>
      <c r="CI66" s="105">
        <v>1992</v>
      </c>
      <c r="CJ66" s="105">
        <v>4.6014894941358948</v>
      </c>
      <c r="CK66" s="105">
        <v>1833.2334144637405</v>
      </c>
      <c r="CL66" s="105">
        <v>5</v>
      </c>
      <c r="CM66" s="105">
        <v>1992</v>
      </c>
      <c r="CN66" s="105">
        <v>5</v>
      </c>
      <c r="CO66" s="105">
        <v>1992</v>
      </c>
      <c r="CP66" s="105">
        <v>6</v>
      </c>
      <c r="CQ66" s="105">
        <v>2390.3999999999996</v>
      </c>
      <c r="CR66" s="105">
        <v>4</v>
      </c>
      <c r="CS66" s="105">
        <v>1593.6</v>
      </c>
      <c r="CT66" s="105">
        <v>4</v>
      </c>
      <c r="CU66" s="105">
        <v>1593.6</v>
      </c>
    </row>
    <row r="67" spans="2:99" x14ac:dyDescent="0.2">
      <c r="C67" s="104" t="s">
        <v>235</v>
      </c>
      <c r="D67" s="105">
        <v>0</v>
      </c>
      <c r="E67" s="105">
        <v>0</v>
      </c>
      <c r="F67" s="105">
        <v>0</v>
      </c>
      <c r="G67" s="105">
        <v>0</v>
      </c>
      <c r="H67" s="105">
        <v>3</v>
      </c>
      <c r="I67" s="105">
        <v>1422</v>
      </c>
      <c r="J67" s="105">
        <v>4</v>
      </c>
      <c r="K67" s="105">
        <v>1896</v>
      </c>
      <c r="L67" s="105">
        <v>4</v>
      </c>
      <c r="M67" s="105">
        <v>1896</v>
      </c>
      <c r="N67" s="105">
        <v>4</v>
      </c>
      <c r="O67" s="105">
        <v>1896</v>
      </c>
      <c r="P67" s="105">
        <v>6</v>
      </c>
      <c r="Q67" s="105">
        <v>2844</v>
      </c>
      <c r="R67" s="105">
        <v>4</v>
      </c>
      <c r="S67" s="105">
        <v>1896</v>
      </c>
      <c r="T67" s="105">
        <v>4</v>
      </c>
      <c r="U67" s="105">
        <v>1896</v>
      </c>
      <c r="V67" s="105">
        <v>2.2424751874633628</v>
      </c>
      <c r="W67" s="105">
        <v>1062.933238857634</v>
      </c>
      <c r="X67" s="105">
        <v>6</v>
      </c>
      <c r="Y67" s="105">
        <v>2844</v>
      </c>
      <c r="Z67" s="105">
        <v>5</v>
      </c>
      <c r="AA67" s="105">
        <v>2370</v>
      </c>
      <c r="AB67" s="105">
        <v>4</v>
      </c>
      <c r="AC67" s="105">
        <v>1896</v>
      </c>
      <c r="AD67" s="105">
        <v>6</v>
      </c>
      <c r="AE67" s="105">
        <v>2844</v>
      </c>
      <c r="AF67" s="105">
        <v>6</v>
      </c>
      <c r="AG67" s="105">
        <v>2844</v>
      </c>
      <c r="AH67" s="105">
        <v>5</v>
      </c>
      <c r="AI67" s="105">
        <v>2370</v>
      </c>
      <c r="AJ67" s="105">
        <v>4</v>
      </c>
      <c r="AK67" s="105">
        <v>1896</v>
      </c>
      <c r="AL67" s="105">
        <v>3</v>
      </c>
      <c r="AM67" s="105">
        <v>1422</v>
      </c>
      <c r="AN67" s="105">
        <v>4</v>
      </c>
      <c r="AO67" s="105">
        <v>1896</v>
      </c>
      <c r="AP67" s="105">
        <v>5</v>
      </c>
      <c r="AQ67" s="105">
        <v>2370</v>
      </c>
      <c r="AR67" s="105">
        <v>4</v>
      </c>
      <c r="AS67" s="105">
        <v>1896</v>
      </c>
      <c r="AT67" s="105">
        <v>4</v>
      </c>
      <c r="AU67" s="105">
        <v>1896</v>
      </c>
      <c r="AV67" s="105">
        <v>5</v>
      </c>
      <c r="AW67" s="105">
        <v>2370</v>
      </c>
      <c r="AX67" s="105">
        <v>5</v>
      </c>
      <c r="AY67" s="105">
        <v>2370</v>
      </c>
      <c r="AZ67" s="105">
        <v>4</v>
      </c>
      <c r="BA67" s="105">
        <v>1896</v>
      </c>
      <c r="BB67" s="105">
        <v>4</v>
      </c>
      <c r="BC67" s="105">
        <v>1896</v>
      </c>
      <c r="BD67" s="105">
        <v>5.1175042239216229</v>
      </c>
      <c r="BE67" s="105">
        <v>2425.6970021388493</v>
      </c>
      <c r="BF67" s="105">
        <v>3.3590722288462356</v>
      </c>
      <c r="BG67" s="105">
        <v>1592.2002364731156</v>
      </c>
      <c r="BH67" s="105">
        <v>0</v>
      </c>
      <c r="BI67" s="105">
        <v>0</v>
      </c>
      <c r="BJ67" s="105">
        <v>3</v>
      </c>
      <c r="BK67" s="105">
        <v>1422</v>
      </c>
      <c r="BL67" s="105">
        <v>5</v>
      </c>
      <c r="BM67" s="105">
        <v>2370</v>
      </c>
      <c r="BN67" s="105">
        <v>5</v>
      </c>
      <c r="BO67" s="105">
        <v>2370</v>
      </c>
      <c r="BP67" s="105">
        <v>3</v>
      </c>
      <c r="BQ67" s="105">
        <v>1422</v>
      </c>
      <c r="BR67" s="105">
        <v>5</v>
      </c>
      <c r="BS67" s="105">
        <v>2370</v>
      </c>
      <c r="BT67" s="105">
        <v>6</v>
      </c>
      <c r="BU67" s="105">
        <v>2844</v>
      </c>
      <c r="BV67" s="105">
        <v>4</v>
      </c>
      <c r="BW67" s="105">
        <v>1896</v>
      </c>
      <c r="BX67" s="105">
        <v>4</v>
      </c>
      <c r="BY67" s="105">
        <v>1896</v>
      </c>
      <c r="BZ67" s="105">
        <v>5</v>
      </c>
      <c r="CA67" s="105">
        <v>2370</v>
      </c>
      <c r="CB67" s="105">
        <v>6</v>
      </c>
      <c r="CC67" s="105">
        <v>2844</v>
      </c>
      <c r="CD67" s="105">
        <v>4</v>
      </c>
      <c r="CE67" s="105">
        <v>1896</v>
      </c>
      <c r="CF67" s="105">
        <v>5</v>
      </c>
      <c r="CG67" s="105">
        <v>2370</v>
      </c>
      <c r="CH67" s="105">
        <v>4</v>
      </c>
      <c r="CI67" s="105">
        <v>1896</v>
      </c>
      <c r="CJ67" s="105">
        <v>3.6811915953087153</v>
      </c>
      <c r="CK67" s="105">
        <v>1744.884816176331</v>
      </c>
      <c r="CL67" s="105">
        <v>5</v>
      </c>
      <c r="CM67" s="105">
        <v>2370</v>
      </c>
      <c r="CN67" s="105">
        <v>5</v>
      </c>
      <c r="CO67" s="105">
        <v>2370</v>
      </c>
      <c r="CP67" s="105">
        <v>6</v>
      </c>
      <c r="CQ67" s="105">
        <v>2844</v>
      </c>
      <c r="CR67" s="105">
        <v>4</v>
      </c>
      <c r="CS67" s="105">
        <v>1896</v>
      </c>
      <c r="CT67" s="105">
        <v>5</v>
      </c>
      <c r="CU67" s="105">
        <v>2370</v>
      </c>
    </row>
    <row r="68" spans="2:99" x14ac:dyDescent="0.2">
      <c r="C68" s="104" t="s">
        <v>236</v>
      </c>
      <c r="D68" s="105">
        <v>0</v>
      </c>
      <c r="E68" s="105">
        <v>0</v>
      </c>
      <c r="F68" s="105">
        <v>0</v>
      </c>
      <c r="G68" s="105">
        <v>0</v>
      </c>
      <c r="H68" s="105">
        <v>3</v>
      </c>
      <c r="I68" s="105">
        <v>810</v>
      </c>
      <c r="J68" s="105">
        <v>5</v>
      </c>
      <c r="K68" s="105">
        <v>1350</v>
      </c>
      <c r="L68" s="105">
        <v>4</v>
      </c>
      <c r="M68" s="105">
        <v>1080</v>
      </c>
      <c r="N68" s="105">
        <v>5</v>
      </c>
      <c r="O68" s="105">
        <v>1350</v>
      </c>
      <c r="P68" s="105">
        <v>6</v>
      </c>
      <c r="Q68" s="105">
        <v>1620</v>
      </c>
      <c r="R68" s="105">
        <v>4</v>
      </c>
      <c r="S68" s="105">
        <v>1080</v>
      </c>
      <c r="T68" s="105">
        <v>5</v>
      </c>
      <c r="U68" s="105">
        <v>1350</v>
      </c>
      <c r="V68" s="105">
        <v>1.7939801499706902</v>
      </c>
      <c r="W68" s="105">
        <v>484.37464049208637</v>
      </c>
      <c r="X68" s="105">
        <v>6</v>
      </c>
      <c r="Y68" s="105">
        <v>1620</v>
      </c>
      <c r="Z68" s="105">
        <v>6</v>
      </c>
      <c r="AA68" s="105">
        <v>1620</v>
      </c>
      <c r="AB68" s="105">
        <v>4</v>
      </c>
      <c r="AC68" s="105">
        <v>1080</v>
      </c>
      <c r="AD68" s="105">
        <v>6</v>
      </c>
      <c r="AE68" s="105">
        <v>1620</v>
      </c>
      <c r="AF68" s="105">
        <v>6</v>
      </c>
      <c r="AG68" s="105">
        <v>1620</v>
      </c>
      <c r="AH68" s="105">
        <v>6</v>
      </c>
      <c r="AI68" s="105">
        <v>1620</v>
      </c>
      <c r="AJ68" s="105">
        <v>4</v>
      </c>
      <c r="AK68" s="105">
        <v>1080</v>
      </c>
      <c r="AL68" s="105">
        <v>3</v>
      </c>
      <c r="AM68" s="105">
        <v>810</v>
      </c>
      <c r="AN68" s="105">
        <v>3</v>
      </c>
      <c r="AO68" s="105">
        <v>810</v>
      </c>
      <c r="AP68" s="105">
        <v>5</v>
      </c>
      <c r="AQ68" s="105">
        <v>1350</v>
      </c>
      <c r="AR68" s="105">
        <v>4</v>
      </c>
      <c r="AS68" s="105">
        <v>1080</v>
      </c>
      <c r="AT68" s="105">
        <v>5</v>
      </c>
      <c r="AU68" s="105">
        <v>1350</v>
      </c>
      <c r="AV68" s="105">
        <v>5</v>
      </c>
      <c r="AW68" s="105">
        <v>1350</v>
      </c>
      <c r="AX68" s="105">
        <v>6</v>
      </c>
      <c r="AY68" s="105">
        <v>1620</v>
      </c>
      <c r="AZ68" s="105">
        <v>4</v>
      </c>
      <c r="BA68" s="105">
        <v>1080</v>
      </c>
      <c r="BB68" s="105">
        <v>4</v>
      </c>
      <c r="BC68" s="105">
        <v>1080</v>
      </c>
      <c r="BD68" s="105">
        <v>5.9704215945752264</v>
      </c>
      <c r="BE68" s="105">
        <v>1612.0138305353112</v>
      </c>
      <c r="BF68" s="105">
        <v>3.3590722288462356</v>
      </c>
      <c r="BG68" s="105">
        <v>906.94950178848364</v>
      </c>
      <c r="BH68" s="105">
        <v>0</v>
      </c>
      <c r="BI68" s="105">
        <v>0</v>
      </c>
      <c r="BJ68" s="105">
        <v>4</v>
      </c>
      <c r="BK68" s="105">
        <v>1080</v>
      </c>
      <c r="BL68" s="105">
        <v>5</v>
      </c>
      <c r="BM68" s="105">
        <v>1350</v>
      </c>
      <c r="BN68" s="105">
        <v>4</v>
      </c>
      <c r="BO68" s="105">
        <v>1080</v>
      </c>
      <c r="BP68" s="105">
        <v>3</v>
      </c>
      <c r="BQ68" s="105">
        <v>810</v>
      </c>
      <c r="BR68" s="105">
        <v>5</v>
      </c>
      <c r="BS68" s="105">
        <v>1350</v>
      </c>
      <c r="BT68" s="105">
        <v>6</v>
      </c>
      <c r="BU68" s="105">
        <v>1620</v>
      </c>
      <c r="BV68" s="105">
        <v>4</v>
      </c>
      <c r="BW68" s="105">
        <v>1080</v>
      </c>
      <c r="BX68" s="105">
        <v>5</v>
      </c>
      <c r="BY68" s="105">
        <v>1350</v>
      </c>
      <c r="BZ68" s="105">
        <v>5</v>
      </c>
      <c r="CA68" s="105">
        <v>1350</v>
      </c>
      <c r="CB68" s="105">
        <v>6</v>
      </c>
      <c r="CC68" s="105">
        <v>1620</v>
      </c>
      <c r="CD68" s="105">
        <v>5</v>
      </c>
      <c r="CE68" s="105">
        <v>1350</v>
      </c>
      <c r="CF68" s="105">
        <v>5</v>
      </c>
      <c r="CG68" s="105">
        <v>1350</v>
      </c>
      <c r="CH68" s="105">
        <v>5</v>
      </c>
      <c r="CI68" s="105">
        <v>1350</v>
      </c>
      <c r="CJ68" s="105">
        <v>4.6014894941358948</v>
      </c>
      <c r="CK68" s="105">
        <v>1242.4021634166916</v>
      </c>
      <c r="CL68" s="105">
        <v>6</v>
      </c>
      <c r="CM68" s="105">
        <v>1620</v>
      </c>
      <c r="CN68" s="105">
        <v>5</v>
      </c>
      <c r="CO68" s="105">
        <v>1350</v>
      </c>
      <c r="CP68" s="105">
        <v>6</v>
      </c>
      <c r="CQ68" s="105">
        <v>1620</v>
      </c>
      <c r="CR68" s="105">
        <v>4</v>
      </c>
      <c r="CS68" s="105">
        <v>1080</v>
      </c>
      <c r="CT68" s="105">
        <v>4</v>
      </c>
      <c r="CU68" s="105">
        <v>1080</v>
      </c>
    </row>
    <row r="69" spans="2:99" x14ac:dyDescent="0.2">
      <c r="C69" s="104" t="s">
        <v>237</v>
      </c>
      <c r="D69" s="105">
        <v>0</v>
      </c>
      <c r="E69" s="105">
        <v>0</v>
      </c>
      <c r="F69" s="105">
        <v>0</v>
      </c>
      <c r="G69" s="105">
        <v>0</v>
      </c>
      <c r="H69" s="105">
        <v>3</v>
      </c>
      <c r="I69" s="105">
        <v>518.4</v>
      </c>
      <c r="J69" s="105">
        <v>5</v>
      </c>
      <c r="K69" s="105">
        <v>863.99999999999989</v>
      </c>
      <c r="L69" s="105">
        <v>4</v>
      </c>
      <c r="M69" s="105">
        <v>691.19999999999993</v>
      </c>
      <c r="N69" s="105">
        <v>4</v>
      </c>
      <c r="O69" s="105">
        <v>691.19999999999993</v>
      </c>
      <c r="P69" s="105">
        <v>6</v>
      </c>
      <c r="Q69" s="105">
        <v>1036.8</v>
      </c>
      <c r="R69" s="105">
        <v>4</v>
      </c>
      <c r="S69" s="105">
        <v>691.19999999999993</v>
      </c>
      <c r="T69" s="105">
        <v>4</v>
      </c>
      <c r="U69" s="105">
        <v>691.19999999999993</v>
      </c>
      <c r="V69" s="105">
        <v>2.2424751874633628</v>
      </c>
      <c r="W69" s="105">
        <v>387.49971239366909</v>
      </c>
      <c r="X69" s="105">
        <v>6</v>
      </c>
      <c r="Y69" s="105">
        <v>1036.8</v>
      </c>
      <c r="Z69" s="105">
        <v>5</v>
      </c>
      <c r="AA69" s="105">
        <v>863.99999999999989</v>
      </c>
      <c r="AB69" s="105">
        <v>4</v>
      </c>
      <c r="AC69" s="105">
        <v>691.19999999999993</v>
      </c>
      <c r="AD69" s="105">
        <v>5</v>
      </c>
      <c r="AE69" s="105">
        <v>863.99999999999989</v>
      </c>
      <c r="AF69" s="105">
        <v>6</v>
      </c>
      <c r="AG69" s="105">
        <v>1036.8</v>
      </c>
      <c r="AH69" s="105">
        <v>6</v>
      </c>
      <c r="AI69" s="105">
        <v>1036.8</v>
      </c>
      <c r="AJ69" s="105">
        <v>3</v>
      </c>
      <c r="AK69" s="105">
        <v>518.4</v>
      </c>
      <c r="AL69" s="105">
        <v>4</v>
      </c>
      <c r="AM69" s="105">
        <v>691.19999999999993</v>
      </c>
      <c r="AN69" s="105">
        <v>4</v>
      </c>
      <c r="AO69" s="105">
        <v>691.19999999999993</v>
      </c>
      <c r="AP69" s="105">
        <v>5</v>
      </c>
      <c r="AQ69" s="105">
        <v>863.99999999999989</v>
      </c>
      <c r="AR69" s="105">
        <v>4</v>
      </c>
      <c r="AS69" s="105">
        <v>691.19999999999993</v>
      </c>
      <c r="AT69" s="105">
        <v>5</v>
      </c>
      <c r="AU69" s="105">
        <v>863.99999999999989</v>
      </c>
      <c r="AV69" s="105">
        <v>6</v>
      </c>
      <c r="AW69" s="105">
        <v>1036.8</v>
      </c>
      <c r="AX69" s="105">
        <v>6</v>
      </c>
      <c r="AY69" s="105">
        <v>1036.8</v>
      </c>
      <c r="AZ69" s="105">
        <v>4</v>
      </c>
      <c r="BA69" s="105">
        <v>691.19999999999993</v>
      </c>
      <c r="BB69" s="105">
        <v>3</v>
      </c>
      <c r="BC69" s="105">
        <v>518.4</v>
      </c>
      <c r="BD69" s="105">
        <v>5.9704215945752264</v>
      </c>
      <c r="BE69" s="105">
        <v>1031.688851542599</v>
      </c>
      <c r="BF69" s="105">
        <v>3.3590722288462356</v>
      </c>
      <c r="BG69" s="105">
        <v>580.44768114462943</v>
      </c>
      <c r="BH69" s="105">
        <v>0</v>
      </c>
      <c r="BI69" s="105">
        <v>0</v>
      </c>
      <c r="BJ69" s="105">
        <v>3</v>
      </c>
      <c r="BK69" s="105">
        <v>518.4</v>
      </c>
      <c r="BL69" s="105">
        <v>5</v>
      </c>
      <c r="BM69" s="105">
        <v>863.99999999999989</v>
      </c>
      <c r="BN69" s="105">
        <v>4</v>
      </c>
      <c r="BO69" s="105">
        <v>691.19999999999993</v>
      </c>
      <c r="BP69" s="105">
        <v>3</v>
      </c>
      <c r="BQ69" s="105">
        <v>518.4</v>
      </c>
      <c r="BR69" s="105">
        <v>5</v>
      </c>
      <c r="BS69" s="105">
        <v>863.99999999999989</v>
      </c>
      <c r="BT69" s="105">
        <v>6</v>
      </c>
      <c r="BU69" s="105">
        <v>1036.8</v>
      </c>
      <c r="BV69" s="105">
        <v>4</v>
      </c>
      <c r="BW69" s="105">
        <v>691.19999999999993</v>
      </c>
      <c r="BX69" s="105">
        <v>5</v>
      </c>
      <c r="BY69" s="105">
        <v>863.99999999999989</v>
      </c>
      <c r="BZ69" s="105">
        <v>5</v>
      </c>
      <c r="CA69" s="105">
        <v>863.99999999999989</v>
      </c>
      <c r="CB69" s="105">
        <v>6</v>
      </c>
      <c r="CC69" s="105">
        <v>1036.8</v>
      </c>
      <c r="CD69" s="105">
        <v>5</v>
      </c>
      <c r="CE69" s="105">
        <v>863.99999999999989</v>
      </c>
      <c r="CF69" s="105">
        <v>5</v>
      </c>
      <c r="CG69" s="105">
        <v>863.99999999999989</v>
      </c>
      <c r="CH69" s="105">
        <v>5</v>
      </c>
      <c r="CI69" s="105">
        <v>863.99999999999989</v>
      </c>
      <c r="CJ69" s="105">
        <v>4.6014894941358948</v>
      </c>
      <c r="CK69" s="105">
        <v>795.13738458668251</v>
      </c>
      <c r="CL69" s="105">
        <v>5</v>
      </c>
      <c r="CM69" s="105">
        <v>863.99999999999989</v>
      </c>
      <c r="CN69" s="105">
        <v>4</v>
      </c>
      <c r="CO69" s="105">
        <v>691.19999999999993</v>
      </c>
      <c r="CP69" s="105">
        <v>7</v>
      </c>
      <c r="CQ69" s="105">
        <v>1209.5999999999999</v>
      </c>
      <c r="CR69" s="105">
        <v>4</v>
      </c>
      <c r="CS69" s="105">
        <v>691.19999999999993</v>
      </c>
      <c r="CT69" s="105">
        <v>4</v>
      </c>
      <c r="CU69" s="105">
        <v>691.19999999999993</v>
      </c>
    </row>
    <row r="70" spans="2:99" x14ac:dyDescent="0.2">
      <c r="C70" s="104" t="s">
        <v>238</v>
      </c>
      <c r="D70" s="105">
        <v>0</v>
      </c>
      <c r="E70" s="105">
        <v>0</v>
      </c>
      <c r="F70" s="105">
        <v>0</v>
      </c>
      <c r="G70" s="105">
        <v>0</v>
      </c>
      <c r="H70" s="105">
        <v>4</v>
      </c>
      <c r="I70" s="105">
        <v>1718.3999999999999</v>
      </c>
      <c r="J70" s="105">
        <v>5</v>
      </c>
      <c r="K70" s="105">
        <v>2148</v>
      </c>
      <c r="L70" s="105">
        <v>4</v>
      </c>
      <c r="M70" s="105">
        <v>1718.3999999999999</v>
      </c>
      <c r="N70" s="105">
        <v>4</v>
      </c>
      <c r="O70" s="105">
        <v>1718.3999999999999</v>
      </c>
      <c r="P70" s="105">
        <v>5</v>
      </c>
      <c r="Q70" s="105">
        <v>2148</v>
      </c>
      <c r="R70" s="105">
        <v>4</v>
      </c>
      <c r="S70" s="105">
        <v>1718.3999999999999</v>
      </c>
      <c r="T70" s="105">
        <v>4</v>
      </c>
      <c r="U70" s="105">
        <v>1718.3999999999999</v>
      </c>
      <c r="V70" s="105">
        <v>2.2424751874633628</v>
      </c>
      <c r="W70" s="105">
        <v>963.36734053426062</v>
      </c>
      <c r="X70" s="105">
        <v>6</v>
      </c>
      <c r="Y70" s="105">
        <v>2577.6</v>
      </c>
      <c r="Z70" s="105">
        <v>5</v>
      </c>
      <c r="AA70" s="105">
        <v>2148</v>
      </c>
      <c r="AB70" s="105">
        <v>4</v>
      </c>
      <c r="AC70" s="105">
        <v>1718.3999999999999</v>
      </c>
      <c r="AD70" s="105">
        <v>6</v>
      </c>
      <c r="AE70" s="105">
        <v>2577.6</v>
      </c>
      <c r="AF70" s="105">
        <v>6</v>
      </c>
      <c r="AG70" s="105">
        <v>2577.6</v>
      </c>
      <c r="AH70" s="105">
        <v>6</v>
      </c>
      <c r="AI70" s="105">
        <v>2577.6</v>
      </c>
      <c r="AJ70" s="105">
        <v>4</v>
      </c>
      <c r="AK70" s="105">
        <v>1718.3999999999999</v>
      </c>
      <c r="AL70" s="105">
        <v>3</v>
      </c>
      <c r="AM70" s="105">
        <v>1288.8</v>
      </c>
      <c r="AN70" s="105">
        <v>3</v>
      </c>
      <c r="AO70" s="105">
        <v>1288.8</v>
      </c>
      <c r="AP70" s="105">
        <v>5</v>
      </c>
      <c r="AQ70" s="105">
        <v>2148</v>
      </c>
      <c r="AR70" s="105">
        <v>4</v>
      </c>
      <c r="AS70" s="105">
        <v>1718.3999999999999</v>
      </c>
      <c r="AT70" s="105">
        <v>5</v>
      </c>
      <c r="AU70" s="105">
        <v>2148</v>
      </c>
      <c r="AV70" s="105">
        <v>5</v>
      </c>
      <c r="AW70" s="105">
        <v>2148</v>
      </c>
      <c r="AX70" s="105">
        <v>6</v>
      </c>
      <c r="AY70" s="105">
        <v>2577.6</v>
      </c>
      <c r="AZ70" s="105">
        <v>4</v>
      </c>
      <c r="BA70" s="105">
        <v>1718.3999999999999</v>
      </c>
      <c r="BB70" s="105">
        <v>4</v>
      </c>
      <c r="BC70" s="105">
        <v>1718.3999999999999</v>
      </c>
      <c r="BD70" s="105">
        <v>5.1175042239216229</v>
      </c>
      <c r="BE70" s="105">
        <v>2198.4798145967288</v>
      </c>
      <c r="BF70" s="105">
        <v>3.3590722288462356</v>
      </c>
      <c r="BG70" s="105">
        <v>1443.0574295123427</v>
      </c>
      <c r="BH70" s="105">
        <v>0</v>
      </c>
      <c r="BI70" s="105">
        <v>0</v>
      </c>
      <c r="BJ70" s="105">
        <v>3</v>
      </c>
      <c r="BK70" s="105">
        <v>1288.8</v>
      </c>
      <c r="BL70" s="105">
        <v>5</v>
      </c>
      <c r="BM70" s="105">
        <v>2148</v>
      </c>
      <c r="BN70" s="105">
        <v>4</v>
      </c>
      <c r="BO70" s="105">
        <v>1718.3999999999999</v>
      </c>
      <c r="BP70" s="105">
        <v>3</v>
      </c>
      <c r="BQ70" s="105">
        <v>1288.8</v>
      </c>
      <c r="BR70" s="105">
        <v>5</v>
      </c>
      <c r="BS70" s="105">
        <v>2148</v>
      </c>
      <c r="BT70" s="105">
        <v>6</v>
      </c>
      <c r="BU70" s="105">
        <v>2577.6</v>
      </c>
      <c r="BV70" s="105">
        <v>4</v>
      </c>
      <c r="BW70" s="105">
        <v>1718.3999999999999</v>
      </c>
      <c r="BX70" s="105">
        <v>5</v>
      </c>
      <c r="BY70" s="105">
        <v>2148</v>
      </c>
      <c r="BZ70" s="105">
        <v>5</v>
      </c>
      <c r="CA70" s="105">
        <v>2148</v>
      </c>
      <c r="CB70" s="105">
        <v>6</v>
      </c>
      <c r="CC70" s="105">
        <v>2577.6</v>
      </c>
      <c r="CD70" s="105">
        <v>5</v>
      </c>
      <c r="CE70" s="105">
        <v>2148</v>
      </c>
      <c r="CF70" s="105">
        <v>5</v>
      </c>
      <c r="CG70" s="105">
        <v>2148</v>
      </c>
      <c r="CH70" s="105">
        <v>5</v>
      </c>
      <c r="CI70" s="105">
        <v>2148</v>
      </c>
      <c r="CJ70" s="105">
        <v>3.6811915953087153</v>
      </c>
      <c r="CK70" s="105">
        <v>1581.4399093446241</v>
      </c>
      <c r="CL70" s="105">
        <v>5</v>
      </c>
      <c r="CM70" s="105">
        <v>2148</v>
      </c>
      <c r="CN70" s="105">
        <v>5</v>
      </c>
      <c r="CO70" s="105">
        <v>2148</v>
      </c>
      <c r="CP70" s="105">
        <v>6</v>
      </c>
      <c r="CQ70" s="105">
        <v>2577.6</v>
      </c>
      <c r="CR70" s="105">
        <v>4</v>
      </c>
      <c r="CS70" s="105">
        <v>1718.3999999999999</v>
      </c>
      <c r="CT70" s="105">
        <v>4</v>
      </c>
      <c r="CU70" s="105">
        <v>1718.3999999999999</v>
      </c>
    </row>
    <row r="71" spans="2:99" x14ac:dyDescent="0.2">
      <c r="B71" s="104" t="s">
        <v>130</v>
      </c>
      <c r="C71" s="104" t="s">
        <v>239</v>
      </c>
      <c r="D71" s="105">
        <v>0</v>
      </c>
      <c r="E71" s="105">
        <v>0</v>
      </c>
      <c r="F71" s="105">
        <v>0</v>
      </c>
      <c r="G71" s="105">
        <v>0</v>
      </c>
      <c r="H71" s="105">
        <v>8.8729281767955808</v>
      </c>
      <c r="I71" s="105">
        <v>1629.0696132596686</v>
      </c>
      <c r="J71" s="105">
        <v>7</v>
      </c>
      <c r="K71" s="105">
        <v>1285.2</v>
      </c>
      <c r="L71" s="105">
        <v>8</v>
      </c>
      <c r="M71" s="105">
        <v>1468.8</v>
      </c>
      <c r="N71" s="105">
        <v>8.8000000000000043</v>
      </c>
      <c r="O71" s="105">
        <v>1615.6800000000007</v>
      </c>
      <c r="P71" s="105">
        <v>8.1614906832298146</v>
      </c>
      <c r="Q71" s="105">
        <v>1498.449689440994</v>
      </c>
      <c r="R71" s="105">
        <v>6</v>
      </c>
      <c r="S71" s="105">
        <v>1101.5999999999999</v>
      </c>
      <c r="T71" s="105">
        <v>7</v>
      </c>
      <c r="U71" s="105">
        <v>1285.2</v>
      </c>
      <c r="V71" s="105">
        <v>7</v>
      </c>
      <c r="W71" s="105">
        <v>1285.2</v>
      </c>
      <c r="X71" s="105">
        <v>11.92075471698114</v>
      </c>
      <c r="Y71" s="105">
        <v>2188.650566037737</v>
      </c>
      <c r="Z71" s="105">
        <v>6</v>
      </c>
      <c r="AA71" s="105">
        <v>1101.5999999999999</v>
      </c>
      <c r="AB71" s="105">
        <v>8</v>
      </c>
      <c r="AC71" s="105">
        <v>1468.8</v>
      </c>
      <c r="AD71" s="105">
        <v>10</v>
      </c>
      <c r="AE71" s="105">
        <v>1836</v>
      </c>
      <c r="AF71" s="105">
        <v>7</v>
      </c>
      <c r="AG71" s="105">
        <v>1285.2</v>
      </c>
      <c r="AH71" s="105">
        <v>9.4105263157894843</v>
      </c>
      <c r="AI71" s="105">
        <v>1727.7726315789494</v>
      </c>
      <c r="AJ71" s="105">
        <v>7</v>
      </c>
      <c r="AK71" s="105">
        <v>1285.2</v>
      </c>
      <c r="AL71" s="105">
        <v>7</v>
      </c>
      <c r="AM71" s="105">
        <v>1285.2</v>
      </c>
      <c r="AN71" s="105">
        <v>9</v>
      </c>
      <c r="AO71" s="105">
        <v>1652.3999999999999</v>
      </c>
      <c r="AP71" s="105">
        <v>6</v>
      </c>
      <c r="AQ71" s="105">
        <v>1101.5999999999999</v>
      </c>
      <c r="AR71" s="105">
        <v>7</v>
      </c>
      <c r="AS71" s="105">
        <v>1285.2</v>
      </c>
      <c r="AT71" s="105">
        <v>9</v>
      </c>
      <c r="AU71" s="105">
        <v>1652.3999999999999</v>
      </c>
      <c r="AV71" s="105">
        <v>9</v>
      </c>
      <c r="AW71" s="105">
        <v>1652.3999999999999</v>
      </c>
      <c r="AX71" s="105">
        <v>8</v>
      </c>
      <c r="AY71" s="105">
        <v>1468.8</v>
      </c>
      <c r="AZ71" s="105">
        <v>6</v>
      </c>
      <c r="BA71" s="105">
        <v>1101.5999999999999</v>
      </c>
      <c r="BB71" s="105">
        <v>11</v>
      </c>
      <c r="BC71" s="105">
        <v>2019.6</v>
      </c>
      <c r="BD71" s="105">
        <v>7</v>
      </c>
      <c r="BE71" s="105">
        <v>1285.2</v>
      </c>
      <c r="BF71" s="105">
        <v>8</v>
      </c>
      <c r="BG71" s="105">
        <v>1468.8</v>
      </c>
      <c r="BH71" s="105">
        <v>10</v>
      </c>
      <c r="BI71" s="105">
        <v>1836</v>
      </c>
      <c r="BJ71" s="105">
        <v>10.31933701657462</v>
      </c>
      <c r="BK71" s="105">
        <v>1894.6302762431001</v>
      </c>
      <c r="BL71" s="105">
        <v>6.9523809523809534</v>
      </c>
      <c r="BM71" s="105">
        <v>1276.457142857143</v>
      </c>
      <c r="BN71" s="105">
        <v>8.7282608695652186</v>
      </c>
      <c r="BO71" s="105">
        <v>1602.5086956521741</v>
      </c>
      <c r="BP71" s="105">
        <v>8.2641509433962277</v>
      </c>
      <c r="BQ71" s="105">
        <v>1517.2981132075474</v>
      </c>
      <c r="BR71" s="105">
        <v>7.3000000000000016</v>
      </c>
      <c r="BS71" s="105">
        <v>1340.2800000000002</v>
      </c>
      <c r="BT71" s="105">
        <v>7.821428571428573</v>
      </c>
      <c r="BU71" s="105">
        <v>1436.014285714286</v>
      </c>
      <c r="BV71" s="105">
        <v>8</v>
      </c>
      <c r="BW71" s="105">
        <v>1468.8</v>
      </c>
      <c r="BX71" s="105">
        <v>7</v>
      </c>
      <c r="BY71" s="105">
        <v>1285.2</v>
      </c>
      <c r="BZ71" s="105">
        <v>9.3417085427135724</v>
      </c>
      <c r="CA71" s="105">
        <v>1715.1376884422118</v>
      </c>
      <c r="CB71" s="105">
        <v>8.1938775510204103</v>
      </c>
      <c r="CC71" s="105">
        <v>1504.3959183673473</v>
      </c>
      <c r="CD71" s="105">
        <v>8.0737327188940107</v>
      </c>
      <c r="CE71" s="105">
        <v>1482.3373271889402</v>
      </c>
      <c r="CF71" s="105">
        <v>7.6395348837209323</v>
      </c>
      <c r="CG71" s="105">
        <v>1402.6186046511632</v>
      </c>
      <c r="CH71" s="105">
        <v>8.4774193548387125</v>
      </c>
      <c r="CI71" s="105">
        <v>1556.4541935483876</v>
      </c>
      <c r="CJ71" s="105">
        <v>7.263316582914574</v>
      </c>
      <c r="CK71" s="105">
        <v>1333.5449246231158</v>
      </c>
      <c r="CL71" s="105">
        <v>7.1510204081632658</v>
      </c>
      <c r="CM71" s="105">
        <v>1312.9273469387756</v>
      </c>
      <c r="CN71" s="105">
        <v>7.7294117647058824</v>
      </c>
      <c r="CO71" s="105">
        <v>1419.12</v>
      </c>
      <c r="CP71" s="105">
        <v>7.1803278688524594</v>
      </c>
      <c r="CQ71" s="105">
        <v>1318.3081967213116</v>
      </c>
      <c r="CR71" s="105">
        <v>7.7866666666666688</v>
      </c>
      <c r="CS71" s="105">
        <v>1429.6320000000003</v>
      </c>
      <c r="CT71" s="105">
        <v>8.0219780219780237</v>
      </c>
      <c r="CU71" s="105">
        <v>1472.8351648351652</v>
      </c>
    </row>
    <row r="72" spans="2:99" x14ac:dyDescent="0.2">
      <c r="C72" s="104" t="s">
        <v>240</v>
      </c>
      <c r="D72" s="105">
        <v>0</v>
      </c>
      <c r="E72" s="105">
        <v>0</v>
      </c>
      <c r="F72" s="105">
        <v>0</v>
      </c>
      <c r="G72" s="105">
        <v>0</v>
      </c>
      <c r="H72" s="105">
        <v>8.0662983425414385</v>
      </c>
      <c r="I72" s="105">
        <v>3949.2596685082881</v>
      </c>
      <c r="J72" s="105">
        <v>6</v>
      </c>
      <c r="K72" s="105">
        <v>2937.6</v>
      </c>
      <c r="L72" s="105">
        <v>9</v>
      </c>
      <c r="M72" s="105">
        <v>4406.3999999999996</v>
      </c>
      <c r="N72" s="105">
        <v>7.9200000000000044</v>
      </c>
      <c r="O72" s="105">
        <v>3877.6320000000019</v>
      </c>
      <c r="P72" s="105">
        <v>7.254658385093169</v>
      </c>
      <c r="Q72" s="105">
        <v>3551.8807453416152</v>
      </c>
      <c r="R72" s="105">
        <v>7</v>
      </c>
      <c r="S72" s="105">
        <v>3427.2</v>
      </c>
      <c r="T72" s="105">
        <v>6</v>
      </c>
      <c r="U72" s="105">
        <v>2937.6</v>
      </c>
      <c r="V72" s="105">
        <v>7</v>
      </c>
      <c r="W72" s="105">
        <v>3427.2</v>
      </c>
      <c r="X72" s="105">
        <v>11.92075471698114</v>
      </c>
      <c r="Y72" s="105">
        <v>5836.4015094339657</v>
      </c>
      <c r="Z72" s="105">
        <v>6</v>
      </c>
      <c r="AA72" s="105">
        <v>2937.6</v>
      </c>
      <c r="AB72" s="105">
        <v>7</v>
      </c>
      <c r="AC72" s="105">
        <v>3427.2</v>
      </c>
      <c r="AD72" s="105">
        <v>9</v>
      </c>
      <c r="AE72" s="105">
        <v>4406.3999999999996</v>
      </c>
      <c r="AF72" s="105">
        <v>8</v>
      </c>
      <c r="AG72" s="105">
        <v>3916.7999999999997</v>
      </c>
      <c r="AH72" s="105">
        <v>10.351578947368433</v>
      </c>
      <c r="AI72" s="105">
        <v>5068.1330526315842</v>
      </c>
      <c r="AJ72" s="105">
        <v>7</v>
      </c>
      <c r="AK72" s="105">
        <v>3427.2</v>
      </c>
      <c r="AL72" s="105">
        <v>7</v>
      </c>
      <c r="AM72" s="105">
        <v>3427.2</v>
      </c>
      <c r="AN72" s="105">
        <v>11</v>
      </c>
      <c r="AO72" s="105">
        <v>5385.5999999999995</v>
      </c>
      <c r="AP72" s="105">
        <v>7</v>
      </c>
      <c r="AQ72" s="105">
        <v>3427.2</v>
      </c>
      <c r="AR72" s="105">
        <v>6</v>
      </c>
      <c r="AS72" s="105">
        <v>2937.6</v>
      </c>
      <c r="AT72" s="105">
        <v>8</v>
      </c>
      <c r="AU72" s="105">
        <v>3916.7999999999997</v>
      </c>
      <c r="AV72" s="105">
        <v>10</v>
      </c>
      <c r="AW72" s="105">
        <v>4896</v>
      </c>
      <c r="AX72" s="105">
        <v>9</v>
      </c>
      <c r="AY72" s="105">
        <v>4406.3999999999996</v>
      </c>
      <c r="AZ72" s="105">
        <v>6</v>
      </c>
      <c r="BA72" s="105">
        <v>2937.6</v>
      </c>
      <c r="BB72" s="105">
        <v>11</v>
      </c>
      <c r="BC72" s="105">
        <v>5385.5999999999995</v>
      </c>
      <c r="BD72" s="105">
        <v>7</v>
      </c>
      <c r="BE72" s="105">
        <v>3427.2</v>
      </c>
      <c r="BF72" s="105">
        <v>9</v>
      </c>
      <c r="BG72" s="105">
        <v>4406.3999999999996</v>
      </c>
      <c r="BH72" s="105">
        <v>10</v>
      </c>
      <c r="BI72" s="105">
        <v>4896</v>
      </c>
      <c r="BJ72" s="105">
        <v>9.3812154696132914</v>
      </c>
      <c r="BK72" s="105">
        <v>4593.0430939226671</v>
      </c>
      <c r="BL72" s="105">
        <v>7.9455782312925178</v>
      </c>
      <c r="BM72" s="105">
        <v>3890.1551020408165</v>
      </c>
      <c r="BN72" s="105">
        <v>8.7282608695652186</v>
      </c>
      <c r="BO72" s="105">
        <v>4273.3565217391306</v>
      </c>
      <c r="BP72" s="105">
        <v>7.5754716981132093</v>
      </c>
      <c r="BQ72" s="105">
        <v>3708.9509433962271</v>
      </c>
      <c r="BR72" s="105">
        <v>7.3000000000000016</v>
      </c>
      <c r="BS72" s="105">
        <v>3574.0800000000004</v>
      </c>
      <c r="BT72" s="105">
        <v>7.821428571428573</v>
      </c>
      <c r="BU72" s="105">
        <v>3829.3714285714291</v>
      </c>
      <c r="BV72" s="105">
        <v>7</v>
      </c>
      <c r="BW72" s="105">
        <v>3427.2</v>
      </c>
      <c r="BX72" s="105">
        <v>7</v>
      </c>
      <c r="BY72" s="105">
        <v>3427.2</v>
      </c>
      <c r="BZ72" s="105">
        <v>8.4924623115577944</v>
      </c>
      <c r="CA72" s="105">
        <v>4157.9095477386954</v>
      </c>
      <c r="CB72" s="105">
        <v>7.4489795918367365</v>
      </c>
      <c r="CC72" s="105">
        <v>3647.020408163266</v>
      </c>
      <c r="CD72" s="105">
        <v>7.400921658986177</v>
      </c>
      <c r="CE72" s="105">
        <v>3623.4912442396321</v>
      </c>
      <c r="CF72" s="105">
        <v>7.6395348837209323</v>
      </c>
      <c r="CG72" s="105">
        <v>3740.3162790697684</v>
      </c>
      <c r="CH72" s="105">
        <v>7.5354838709677434</v>
      </c>
      <c r="CI72" s="105">
        <v>3689.372903225807</v>
      </c>
      <c r="CJ72" s="105">
        <v>7.9236180904522611</v>
      </c>
      <c r="CK72" s="105">
        <v>3879.4034170854266</v>
      </c>
      <c r="CL72" s="105">
        <v>7.1510204081632658</v>
      </c>
      <c r="CM72" s="105">
        <v>3501.1395918367348</v>
      </c>
      <c r="CN72" s="105">
        <v>7.1348416289592764</v>
      </c>
      <c r="CO72" s="105">
        <v>3493.2184615384613</v>
      </c>
      <c r="CP72" s="105">
        <v>6.4622950819672136</v>
      </c>
      <c r="CQ72" s="105">
        <v>3163.9396721311477</v>
      </c>
      <c r="CR72" s="105">
        <v>7.7866666666666688</v>
      </c>
      <c r="CS72" s="105">
        <v>3812.3520000000008</v>
      </c>
      <c r="CT72" s="105">
        <v>7.2197802197802208</v>
      </c>
      <c r="CU72" s="105">
        <v>3534.8043956043957</v>
      </c>
    </row>
    <row r="73" spans="2:99" x14ac:dyDescent="0.2">
      <c r="C73" s="104" t="s">
        <v>241</v>
      </c>
      <c r="D73" s="105">
        <v>0</v>
      </c>
      <c r="E73" s="105">
        <v>0</v>
      </c>
      <c r="F73" s="105">
        <v>0</v>
      </c>
      <c r="G73" s="105">
        <v>0</v>
      </c>
      <c r="H73" s="105">
        <v>7.2596685082872936</v>
      </c>
      <c r="I73" s="105">
        <v>4120.5878453038677</v>
      </c>
      <c r="J73" s="105">
        <v>7</v>
      </c>
      <c r="K73" s="105">
        <v>3973.2000000000003</v>
      </c>
      <c r="L73" s="105">
        <v>8</v>
      </c>
      <c r="M73" s="105">
        <v>4540.8</v>
      </c>
      <c r="N73" s="105">
        <v>7.9200000000000044</v>
      </c>
      <c r="O73" s="105">
        <v>4495.3920000000026</v>
      </c>
      <c r="P73" s="105">
        <v>7.254658385093169</v>
      </c>
      <c r="Q73" s="105">
        <v>4117.7440993788832</v>
      </c>
      <c r="R73" s="105">
        <v>7</v>
      </c>
      <c r="S73" s="105">
        <v>3973.2000000000003</v>
      </c>
      <c r="T73" s="105">
        <v>6</v>
      </c>
      <c r="U73" s="105">
        <v>3405.6000000000004</v>
      </c>
      <c r="V73" s="105">
        <v>7</v>
      </c>
      <c r="W73" s="105">
        <v>3973.2000000000003</v>
      </c>
      <c r="X73" s="105">
        <v>11.92075471698114</v>
      </c>
      <c r="Y73" s="105">
        <v>6766.2203773584952</v>
      </c>
      <c r="Z73" s="105">
        <v>6</v>
      </c>
      <c r="AA73" s="105">
        <v>3405.6000000000004</v>
      </c>
      <c r="AB73" s="105">
        <v>7</v>
      </c>
      <c r="AC73" s="105">
        <v>3973.2000000000003</v>
      </c>
      <c r="AD73" s="105">
        <v>9</v>
      </c>
      <c r="AE73" s="105">
        <v>5108.4000000000005</v>
      </c>
      <c r="AF73" s="105">
        <v>8</v>
      </c>
      <c r="AG73" s="105">
        <v>4540.8</v>
      </c>
      <c r="AH73" s="105">
        <v>10.351578947368433</v>
      </c>
      <c r="AI73" s="105">
        <v>5875.5562105263225</v>
      </c>
      <c r="AJ73" s="105">
        <v>7</v>
      </c>
      <c r="AK73" s="105">
        <v>3973.2000000000003</v>
      </c>
      <c r="AL73" s="105">
        <v>7</v>
      </c>
      <c r="AM73" s="105">
        <v>3973.2000000000003</v>
      </c>
      <c r="AN73" s="105">
        <v>10</v>
      </c>
      <c r="AO73" s="105">
        <v>5676</v>
      </c>
      <c r="AP73" s="105">
        <v>7</v>
      </c>
      <c r="AQ73" s="105">
        <v>3973.2000000000003</v>
      </c>
      <c r="AR73" s="105">
        <v>6</v>
      </c>
      <c r="AS73" s="105">
        <v>3405.6000000000004</v>
      </c>
      <c r="AT73" s="105">
        <v>7</v>
      </c>
      <c r="AU73" s="105">
        <v>3973.2000000000003</v>
      </c>
      <c r="AV73" s="105">
        <v>10</v>
      </c>
      <c r="AW73" s="105">
        <v>5676</v>
      </c>
      <c r="AX73" s="105">
        <v>8</v>
      </c>
      <c r="AY73" s="105">
        <v>4540.8</v>
      </c>
      <c r="AZ73" s="105">
        <v>6</v>
      </c>
      <c r="BA73" s="105">
        <v>3405.6000000000004</v>
      </c>
      <c r="BB73" s="105">
        <v>12</v>
      </c>
      <c r="BC73" s="105">
        <v>6811.2000000000007</v>
      </c>
      <c r="BD73" s="105">
        <v>7</v>
      </c>
      <c r="BE73" s="105">
        <v>3973.2000000000003</v>
      </c>
      <c r="BF73" s="105">
        <v>8</v>
      </c>
      <c r="BG73" s="105">
        <v>4540.8</v>
      </c>
      <c r="BH73" s="105">
        <v>9</v>
      </c>
      <c r="BI73" s="105">
        <v>5108.4000000000005</v>
      </c>
      <c r="BJ73" s="105">
        <v>8.443093922651963</v>
      </c>
      <c r="BK73" s="105">
        <v>4792.3001104972545</v>
      </c>
      <c r="BL73" s="105">
        <v>7.9455782312925178</v>
      </c>
      <c r="BM73" s="105">
        <v>4509.9102040816333</v>
      </c>
      <c r="BN73" s="105">
        <v>7.9347826086956532</v>
      </c>
      <c r="BO73" s="105">
        <v>4503.7826086956529</v>
      </c>
      <c r="BP73" s="105">
        <v>8.2641509433962277</v>
      </c>
      <c r="BQ73" s="105">
        <v>4690.7320754716993</v>
      </c>
      <c r="BR73" s="105">
        <v>8.2125000000000021</v>
      </c>
      <c r="BS73" s="105">
        <v>4661.4150000000018</v>
      </c>
      <c r="BT73" s="105">
        <v>7.821428571428573</v>
      </c>
      <c r="BU73" s="105">
        <v>4439.442857142858</v>
      </c>
      <c r="BV73" s="105">
        <v>7</v>
      </c>
      <c r="BW73" s="105">
        <v>3973.2000000000003</v>
      </c>
      <c r="BX73" s="105">
        <v>6</v>
      </c>
      <c r="BY73" s="105">
        <v>3405.6000000000004</v>
      </c>
      <c r="BZ73" s="105">
        <v>9.3417085427135724</v>
      </c>
      <c r="CA73" s="105">
        <v>5302.3537688442239</v>
      </c>
      <c r="CB73" s="105">
        <v>7.4489795918367365</v>
      </c>
      <c r="CC73" s="105">
        <v>4228.040816326532</v>
      </c>
      <c r="CD73" s="105">
        <v>8.0737327188940107</v>
      </c>
      <c r="CE73" s="105">
        <v>4582.650691244241</v>
      </c>
      <c r="CF73" s="105">
        <v>7.6395348837209323</v>
      </c>
      <c r="CG73" s="105">
        <v>4336.2000000000016</v>
      </c>
      <c r="CH73" s="105">
        <v>8.4774193548387125</v>
      </c>
      <c r="CI73" s="105">
        <v>4811.7832258064536</v>
      </c>
      <c r="CJ73" s="105">
        <v>7.263316582914574</v>
      </c>
      <c r="CK73" s="105">
        <v>4122.6584924623121</v>
      </c>
      <c r="CL73" s="105">
        <v>7.1510204081632658</v>
      </c>
      <c r="CM73" s="105">
        <v>4058.9191836734699</v>
      </c>
      <c r="CN73" s="105">
        <v>7.7294117647058824</v>
      </c>
      <c r="CO73" s="105">
        <v>4387.2141176470586</v>
      </c>
      <c r="CP73" s="105">
        <v>7.1803278688524594</v>
      </c>
      <c r="CQ73" s="105">
        <v>4075.5540983606561</v>
      </c>
      <c r="CR73" s="105">
        <v>8.7600000000000016</v>
      </c>
      <c r="CS73" s="105">
        <v>4972.1760000000013</v>
      </c>
      <c r="CT73" s="105">
        <v>8.0219780219780237</v>
      </c>
      <c r="CU73" s="105">
        <v>4553.2747252747267</v>
      </c>
    </row>
    <row r="74" spans="2:99" x14ac:dyDescent="0.2">
      <c r="C74" s="104" t="s">
        <v>242</v>
      </c>
      <c r="D74" s="105">
        <v>0</v>
      </c>
      <c r="E74" s="105">
        <v>0</v>
      </c>
      <c r="F74" s="105">
        <v>0</v>
      </c>
      <c r="G74" s="105">
        <v>0</v>
      </c>
      <c r="H74" s="105">
        <v>8.0662983425414385</v>
      </c>
      <c r="I74" s="105">
        <v>2536.0441988950279</v>
      </c>
      <c r="J74" s="105">
        <v>6</v>
      </c>
      <c r="K74" s="105">
        <v>1886.3999999999999</v>
      </c>
      <c r="L74" s="105">
        <v>9</v>
      </c>
      <c r="M74" s="105">
        <v>2829.6</v>
      </c>
      <c r="N74" s="105">
        <v>8.8000000000000043</v>
      </c>
      <c r="O74" s="105">
        <v>2766.7200000000012</v>
      </c>
      <c r="P74" s="105">
        <v>8.1614906832298146</v>
      </c>
      <c r="Q74" s="105">
        <v>2565.9726708074536</v>
      </c>
      <c r="R74" s="105">
        <v>6</v>
      </c>
      <c r="S74" s="105">
        <v>1886.3999999999999</v>
      </c>
      <c r="T74" s="105">
        <v>7</v>
      </c>
      <c r="U74" s="105">
        <v>2200.7999999999997</v>
      </c>
      <c r="V74" s="105">
        <v>7</v>
      </c>
      <c r="W74" s="105">
        <v>2200.7999999999997</v>
      </c>
      <c r="X74" s="105">
        <v>9.9339622641509511</v>
      </c>
      <c r="Y74" s="105">
        <v>3123.2377358490589</v>
      </c>
      <c r="Z74" s="105">
        <v>7</v>
      </c>
      <c r="AA74" s="105">
        <v>2200.7999999999997</v>
      </c>
      <c r="AB74" s="105">
        <v>8</v>
      </c>
      <c r="AC74" s="105">
        <v>2515.1999999999998</v>
      </c>
      <c r="AD74" s="105">
        <v>9</v>
      </c>
      <c r="AE74" s="105">
        <v>2829.6</v>
      </c>
      <c r="AF74" s="105">
        <v>8</v>
      </c>
      <c r="AG74" s="105">
        <v>2515.1999999999998</v>
      </c>
      <c r="AH74" s="105">
        <v>10.351578947368433</v>
      </c>
      <c r="AI74" s="105">
        <v>3254.536421052635</v>
      </c>
      <c r="AJ74" s="105">
        <v>7</v>
      </c>
      <c r="AK74" s="105">
        <v>2200.7999999999997</v>
      </c>
      <c r="AL74" s="105">
        <v>7</v>
      </c>
      <c r="AM74" s="105">
        <v>2200.7999999999997</v>
      </c>
      <c r="AN74" s="105">
        <v>10</v>
      </c>
      <c r="AO74" s="105">
        <v>3144</v>
      </c>
      <c r="AP74" s="105">
        <v>7</v>
      </c>
      <c r="AQ74" s="105">
        <v>2200.7999999999997</v>
      </c>
      <c r="AR74" s="105">
        <v>6</v>
      </c>
      <c r="AS74" s="105">
        <v>1886.3999999999999</v>
      </c>
      <c r="AT74" s="105">
        <v>9</v>
      </c>
      <c r="AU74" s="105">
        <v>2829.6</v>
      </c>
      <c r="AV74" s="105">
        <v>9</v>
      </c>
      <c r="AW74" s="105">
        <v>2829.6</v>
      </c>
      <c r="AX74" s="105">
        <v>8</v>
      </c>
      <c r="AY74" s="105">
        <v>2515.1999999999998</v>
      </c>
      <c r="AZ74" s="105">
        <v>6</v>
      </c>
      <c r="BA74" s="105">
        <v>1886.3999999999999</v>
      </c>
      <c r="BB74" s="105">
        <v>13</v>
      </c>
      <c r="BC74" s="105">
        <v>4087.2</v>
      </c>
      <c r="BD74" s="105">
        <v>7</v>
      </c>
      <c r="BE74" s="105">
        <v>2200.7999999999997</v>
      </c>
      <c r="BF74" s="105">
        <v>9</v>
      </c>
      <c r="BG74" s="105">
        <v>2829.6</v>
      </c>
      <c r="BH74" s="105">
        <v>10</v>
      </c>
      <c r="BI74" s="105">
        <v>3144</v>
      </c>
      <c r="BJ74" s="105">
        <v>10.31933701657462</v>
      </c>
      <c r="BK74" s="105">
        <v>3244.3995580110604</v>
      </c>
      <c r="BL74" s="105">
        <v>6.9523809523809534</v>
      </c>
      <c r="BM74" s="105">
        <v>2185.8285714285716</v>
      </c>
      <c r="BN74" s="105">
        <v>8.7282608695652186</v>
      </c>
      <c r="BO74" s="105">
        <v>2744.1652173913044</v>
      </c>
      <c r="BP74" s="105">
        <v>7.5754716981132093</v>
      </c>
      <c r="BQ74" s="105">
        <v>2381.7283018867929</v>
      </c>
      <c r="BR74" s="105">
        <v>8.2125000000000021</v>
      </c>
      <c r="BS74" s="105">
        <v>2582.0100000000007</v>
      </c>
      <c r="BT74" s="105">
        <v>7.821428571428573</v>
      </c>
      <c r="BU74" s="105">
        <v>2459.0571428571429</v>
      </c>
      <c r="BV74" s="105">
        <v>8</v>
      </c>
      <c r="BW74" s="105">
        <v>2515.1999999999998</v>
      </c>
      <c r="BX74" s="105">
        <v>7</v>
      </c>
      <c r="BY74" s="105">
        <v>2200.7999999999997</v>
      </c>
      <c r="BZ74" s="105">
        <v>9.3417085427135724</v>
      </c>
      <c r="CA74" s="105">
        <v>2937.033165829147</v>
      </c>
      <c r="CB74" s="105">
        <v>7.4489795918367365</v>
      </c>
      <c r="CC74" s="105">
        <v>2341.9591836734699</v>
      </c>
      <c r="CD74" s="105">
        <v>8.0737327188940107</v>
      </c>
      <c r="CE74" s="105">
        <v>2538.3815668202769</v>
      </c>
      <c r="CF74" s="105">
        <v>8.4883720930232567</v>
      </c>
      <c r="CG74" s="105">
        <v>2668.7441860465119</v>
      </c>
      <c r="CH74" s="105">
        <v>7.5354838709677434</v>
      </c>
      <c r="CI74" s="105">
        <v>2369.1561290322584</v>
      </c>
      <c r="CJ74" s="105">
        <v>7.263316582914574</v>
      </c>
      <c r="CK74" s="105">
        <v>2283.5867336683418</v>
      </c>
      <c r="CL74" s="105">
        <v>7.1510204081632658</v>
      </c>
      <c r="CM74" s="105">
        <v>2248.2808163265304</v>
      </c>
      <c r="CN74" s="105">
        <v>7.7294117647058824</v>
      </c>
      <c r="CO74" s="105">
        <v>2430.1270588235293</v>
      </c>
      <c r="CP74" s="105">
        <v>6.4622950819672136</v>
      </c>
      <c r="CQ74" s="105">
        <v>2031.7455737704918</v>
      </c>
      <c r="CR74" s="105">
        <v>7.7866666666666688</v>
      </c>
      <c r="CS74" s="105">
        <v>2448.1280000000006</v>
      </c>
      <c r="CT74" s="105">
        <v>8.0219780219780237</v>
      </c>
      <c r="CU74" s="105">
        <v>2522.1098901098903</v>
      </c>
    </row>
    <row r="75" spans="2:99" x14ac:dyDescent="0.2">
      <c r="C75" s="104" t="s">
        <v>243</v>
      </c>
      <c r="D75" s="105">
        <v>0</v>
      </c>
      <c r="E75" s="105">
        <v>0</v>
      </c>
      <c r="F75" s="105">
        <v>0</v>
      </c>
      <c r="G75" s="105">
        <v>0</v>
      </c>
      <c r="H75" s="105">
        <v>7.2596685082872936</v>
      </c>
      <c r="I75" s="105">
        <v>4347.089502762431</v>
      </c>
      <c r="J75" s="105">
        <v>7</v>
      </c>
      <c r="K75" s="105">
        <v>4191.5999999999995</v>
      </c>
      <c r="L75" s="105">
        <v>8</v>
      </c>
      <c r="M75" s="105">
        <v>4790.3999999999996</v>
      </c>
      <c r="N75" s="105">
        <v>7.9200000000000044</v>
      </c>
      <c r="O75" s="105">
        <v>4742.4960000000019</v>
      </c>
      <c r="P75" s="105">
        <v>7.254658385093169</v>
      </c>
      <c r="Q75" s="105">
        <v>4344.0894409937891</v>
      </c>
      <c r="R75" s="105">
        <v>6</v>
      </c>
      <c r="S75" s="105">
        <v>3592.7999999999997</v>
      </c>
      <c r="T75" s="105">
        <v>6</v>
      </c>
      <c r="U75" s="105">
        <v>3592.7999999999997</v>
      </c>
      <c r="V75" s="105">
        <v>7</v>
      </c>
      <c r="W75" s="105">
        <v>4191.5999999999995</v>
      </c>
      <c r="X75" s="105">
        <v>10.927358490566045</v>
      </c>
      <c r="Y75" s="105">
        <v>6543.3022641509469</v>
      </c>
      <c r="Z75" s="105">
        <v>6</v>
      </c>
      <c r="AA75" s="105">
        <v>3592.7999999999997</v>
      </c>
      <c r="AB75" s="105">
        <v>7</v>
      </c>
      <c r="AC75" s="105">
        <v>4191.5999999999995</v>
      </c>
      <c r="AD75" s="105">
        <v>9</v>
      </c>
      <c r="AE75" s="105">
        <v>5389.2</v>
      </c>
      <c r="AF75" s="105">
        <v>7</v>
      </c>
      <c r="AG75" s="105">
        <v>4191.5999999999995</v>
      </c>
      <c r="AH75" s="105">
        <v>9.4105263157894843</v>
      </c>
      <c r="AI75" s="105">
        <v>5635.0231578947423</v>
      </c>
      <c r="AJ75" s="105">
        <v>7</v>
      </c>
      <c r="AK75" s="105">
        <v>4191.5999999999995</v>
      </c>
      <c r="AL75" s="105">
        <v>7</v>
      </c>
      <c r="AM75" s="105">
        <v>4191.5999999999995</v>
      </c>
      <c r="AN75" s="105">
        <v>9</v>
      </c>
      <c r="AO75" s="105">
        <v>5389.2</v>
      </c>
      <c r="AP75" s="105">
        <v>6</v>
      </c>
      <c r="AQ75" s="105">
        <v>3592.7999999999997</v>
      </c>
      <c r="AR75" s="105">
        <v>7</v>
      </c>
      <c r="AS75" s="105">
        <v>4191.5999999999995</v>
      </c>
      <c r="AT75" s="105">
        <v>8</v>
      </c>
      <c r="AU75" s="105">
        <v>4790.3999999999996</v>
      </c>
      <c r="AV75" s="105">
        <v>10</v>
      </c>
      <c r="AW75" s="105">
        <v>5988</v>
      </c>
      <c r="AX75" s="105">
        <v>8</v>
      </c>
      <c r="AY75" s="105">
        <v>4790.3999999999996</v>
      </c>
      <c r="AZ75" s="105">
        <v>6</v>
      </c>
      <c r="BA75" s="105">
        <v>3592.7999999999997</v>
      </c>
      <c r="BB75" s="105">
        <v>12</v>
      </c>
      <c r="BC75" s="105">
        <v>7185.5999999999995</v>
      </c>
      <c r="BD75" s="105">
        <v>7</v>
      </c>
      <c r="BE75" s="105">
        <v>4191.5999999999995</v>
      </c>
      <c r="BF75" s="105">
        <v>9</v>
      </c>
      <c r="BG75" s="105">
        <v>5389.2</v>
      </c>
      <c r="BH75" s="105">
        <v>9</v>
      </c>
      <c r="BI75" s="105">
        <v>5389.2</v>
      </c>
      <c r="BJ75" s="105">
        <v>8.443093922651963</v>
      </c>
      <c r="BK75" s="105">
        <v>5055.7246408839947</v>
      </c>
      <c r="BL75" s="105">
        <v>7.9455782312925178</v>
      </c>
      <c r="BM75" s="105">
        <v>4757.8122448979593</v>
      </c>
      <c r="BN75" s="105">
        <v>7.9347826086956532</v>
      </c>
      <c r="BO75" s="105">
        <v>4751.347826086957</v>
      </c>
      <c r="BP75" s="105">
        <v>8.2641509433962277</v>
      </c>
      <c r="BQ75" s="105">
        <v>4948.5735849056609</v>
      </c>
      <c r="BR75" s="105">
        <v>7.3000000000000016</v>
      </c>
      <c r="BS75" s="105">
        <v>4371.2400000000007</v>
      </c>
      <c r="BT75" s="105">
        <v>6.9523809523809534</v>
      </c>
      <c r="BU75" s="105">
        <v>4163.0857142857149</v>
      </c>
      <c r="BV75" s="105">
        <v>7</v>
      </c>
      <c r="BW75" s="105">
        <v>4191.5999999999995</v>
      </c>
      <c r="BX75" s="105">
        <v>6</v>
      </c>
      <c r="BY75" s="105">
        <v>3592.7999999999997</v>
      </c>
      <c r="BZ75" s="105">
        <v>9.3417085427135724</v>
      </c>
      <c r="CA75" s="105">
        <v>5593.8150753768869</v>
      </c>
      <c r="CB75" s="105">
        <v>8.1938775510204103</v>
      </c>
      <c r="CC75" s="105">
        <v>4906.4938775510209</v>
      </c>
      <c r="CD75" s="105">
        <v>8.0737327188940107</v>
      </c>
      <c r="CE75" s="105">
        <v>4834.5511520737336</v>
      </c>
      <c r="CF75" s="105">
        <v>7.6395348837209323</v>
      </c>
      <c r="CG75" s="105">
        <v>4574.5534883720939</v>
      </c>
      <c r="CH75" s="105">
        <v>8.4774193548387125</v>
      </c>
      <c r="CI75" s="105">
        <v>5076.2787096774209</v>
      </c>
      <c r="CJ75" s="105">
        <v>6.6030150753768853</v>
      </c>
      <c r="CK75" s="105">
        <v>3953.8854271356786</v>
      </c>
      <c r="CL75" s="105">
        <v>7.1510204081632658</v>
      </c>
      <c r="CM75" s="105">
        <v>4282.0310204081634</v>
      </c>
      <c r="CN75" s="105">
        <v>6.5402714932126695</v>
      </c>
      <c r="CO75" s="105">
        <v>3916.3145701357462</v>
      </c>
      <c r="CP75" s="105">
        <v>6.4622950819672136</v>
      </c>
      <c r="CQ75" s="105">
        <v>3869.6222950819674</v>
      </c>
      <c r="CR75" s="105">
        <v>7.7866666666666688</v>
      </c>
      <c r="CS75" s="105">
        <v>4662.6560000000009</v>
      </c>
      <c r="CT75" s="105">
        <v>8.0219780219780237</v>
      </c>
      <c r="CU75" s="105">
        <v>4803.5604395604405</v>
      </c>
    </row>
    <row r="76" spans="2:99" x14ac:dyDescent="0.2">
      <c r="C76" s="104" t="s">
        <v>244</v>
      </c>
      <c r="D76" s="105">
        <v>0</v>
      </c>
      <c r="E76" s="105">
        <v>0</v>
      </c>
      <c r="F76" s="105">
        <v>0</v>
      </c>
      <c r="G76" s="105">
        <v>0</v>
      </c>
      <c r="H76" s="105">
        <v>8.0662983425414385</v>
      </c>
      <c r="I76" s="105">
        <v>6959.6022099447528</v>
      </c>
      <c r="J76" s="105">
        <v>6</v>
      </c>
      <c r="K76" s="105">
        <v>5176.7999999999993</v>
      </c>
      <c r="L76" s="105">
        <v>9</v>
      </c>
      <c r="M76" s="105">
        <v>7765.2</v>
      </c>
      <c r="N76" s="105">
        <v>7.9200000000000044</v>
      </c>
      <c r="O76" s="105">
        <v>6833.3760000000038</v>
      </c>
      <c r="P76" s="105">
        <v>8.1614906832298146</v>
      </c>
      <c r="Q76" s="105">
        <v>7041.7341614906836</v>
      </c>
      <c r="R76" s="105">
        <v>6</v>
      </c>
      <c r="S76" s="105">
        <v>5176.7999999999993</v>
      </c>
      <c r="T76" s="105">
        <v>6</v>
      </c>
      <c r="U76" s="105">
        <v>5176.7999999999993</v>
      </c>
      <c r="V76" s="105">
        <v>6</v>
      </c>
      <c r="W76" s="105">
        <v>5176.7999999999993</v>
      </c>
      <c r="X76" s="105">
        <v>10.927358490566045</v>
      </c>
      <c r="Y76" s="105">
        <v>9428.1249056603829</v>
      </c>
      <c r="Z76" s="105">
        <v>6</v>
      </c>
      <c r="AA76" s="105">
        <v>5176.7999999999993</v>
      </c>
      <c r="AB76" s="105">
        <v>7</v>
      </c>
      <c r="AC76" s="105">
        <v>6039.5999999999995</v>
      </c>
      <c r="AD76" s="105">
        <v>8</v>
      </c>
      <c r="AE76" s="105">
        <v>6902.4</v>
      </c>
      <c r="AF76" s="105">
        <v>7</v>
      </c>
      <c r="AG76" s="105">
        <v>6039.5999999999995</v>
      </c>
      <c r="AH76" s="105">
        <v>8.469473684210536</v>
      </c>
      <c r="AI76" s="105">
        <v>7307.4618947368499</v>
      </c>
      <c r="AJ76" s="105">
        <v>7</v>
      </c>
      <c r="AK76" s="105">
        <v>6039.5999999999995</v>
      </c>
      <c r="AL76" s="105">
        <v>6</v>
      </c>
      <c r="AM76" s="105">
        <v>5176.7999999999993</v>
      </c>
      <c r="AN76" s="105">
        <v>9</v>
      </c>
      <c r="AO76" s="105">
        <v>7765.2</v>
      </c>
      <c r="AP76" s="105">
        <v>7</v>
      </c>
      <c r="AQ76" s="105">
        <v>6039.5999999999995</v>
      </c>
      <c r="AR76" s="105">
        <v>6</v>
      </c>
      <c r="AS76" s="105">
        <v>5176.7999999999993</v>
      </c>
      <c r="AT76" s="105">
        <v>8</v>
      </c>
      <c r="AU76" s="105">
        <v>6902.4</v>
      </c>
      <c r="AV76" s="105">
        <v>10</v>
      </c>
      <c r="AW76" s="105">
        <v>8628</v>
      </c>
      <c r="AX76" s="105">
        <v>8</v>
      </c>
      <c r="AY76" s="105">
        <v>6902.4</v>
      </c>
      <c r="AZ76" s="105">
        <v>7</v>
      </c>
      <c r="BA76" s="105">
        <v>6039.5999999999995</v>
      </c>
      <c r="BB76" s="105">
        <v>11</v>
      </c>
      <c r="BC76" s="105">
        <v>9490.7999999999993</v>
      </c>
      <c r="BD76" s="105">
        <v>7</v>
      </c>
      <c r="BE76" s="105">
        <v>6039.5999999999995</v>
      </c>
      <c r="BF76" s="105">
        <v>7</v>
      </c>
      <c r="BG76" s="105">
        <v>6039.5999999999995</v>
      </c>
      <c r="BH76" s="105">
        <v>9</v>
      </c>
      <c r="BI76" s="105">
        <v>7765.2</v>
      </c>
      <c r="BJ76" s="105">
        <v>9.3812154696132914</v>
      </c>
      <c r="BK76" s="105">
        <v>8094.1127071823475</v>
      </c>
      <c r="BL76" s="105">
        <v>7.9455782312925178</v>
      </c>
      <c r="BM76" s="105">
        <v>6855.4448979591843</v>
      </c>
      <c r="BN76" s="105">
        <v>7.1413043478260887</v>
      </c>
      <c r="BO76" s="105">
        <v>6161.5173913043491</v>
      </c>
      <c r="BP76" s="105">
        <v>7.5754716981132093</v>
      </c>
      <c r="BQ76" s="105">
        <v>6536.1169811320769</v>
      </c>
      <c r="BR76" s="105">
        <v>7.3000000000000016</v>
      </c>
      <c r="BS76" s="105">
        <v>6298.4400000000014</v>
      </c>
      <c r="BT76" s="105">
        <v>6.9523809523809534</v>
      </c>
      <c r="BU76" s="105">
        <v>5998.5142857142864</v>
      </c>
      <c r="BV76" s="105">
        <v>8</v>
      </c>
      <c r="BW76" s="105">
        <v>6902.4</v>
      </c>
      <c r="BX76" s="105">
        <v>6</v>
      </c>
      <c r="BY76" s="105">
        <v>5176.7999999999993</v>
      </c>
      <c r="BZ76" s="105">
        <v>8.4924623115577944</v>
      </c>
      <c r="CA76" s="105">
        <v>7327.2964824120645</v>
      </c>
      <c r="CB76" s="105">
        <v>8.1938775510204103</v>
      </c>
      <c r="CC76" s="105">
        <v>7069.6775510204097</v>
      </c>
      <c r="CD76" s="105">
        <v>8.0737327188940107</v>
      </c>
      <c r="CE76" s="105">
        <v>6966.0165898617524</v>
      </c>
      <c r="CF76" s="105">
        <v>7.6395348837209323</v>
      </c>
      <c r="CG76" s="105">
        <v>6591.3906976744202</v>
      </c>
      <c r="CH76" s="105">
        <v>7.5354838709677434</v>
      </c>
      <c r="CI76" s="105">
        <v>6501.615483870969</v>
      </c>
      <c r="CJ76" s="105">
        <v>7.263316582914574</v>
      </c>
      <c r="CK76" s="105">
        <v>6266.7895477386937</v>
      </c>
      <c r="CL76" s="105">
        <v>7.1510204081632658</v>
      </c>
      <c r="CM76" s="105">
        <v>6169.9004081632656</v>
      </c>
      <c r="CN76" s="105">
        <v>7.1348416289592764</v>
      </c>
      <c r="CO76" s="105">
        <v>6155.941357466063</v>
      </c>
      <c r="CP76" s="105">
        <v>6.4622950819672136</v>
      </c>
      <c r="CQ76" s="105">
        <v>5575.6681967213117</v>
      </c>
      <c r="CR76" s="105">
        <v>7.7866666666666688</v>
      </c>
      <c r="CS76" s="105">
        <v>6718.3360000000011</v>
      </c>
      <c r="CT76" s="105">
        <v>8.0219780219780237</v>
      </c>
      <c r="CU76" s="105">
        <v>6921.3626373626385</v>
      </c>
    </row>
    <row r="77" spans="2:99" x14ac:dyDescent="0.2">
      <c r="C77" s="104" t="s">
        <v>245</v>
      </c>
      <c r="D77" s="105">
        <v>0</v>
      </c>
      <c r="E77" s="105">
        <v>0</v>
      </c>
      <c r="F77" s="105">
        <v>0</v>
      </c>
      <c r="G77" s="105">
        <v>0</v>
      </c>
      <c r="H77" s="105">
        <v>7.2596685082872936</v>
      </c>
      <c r="I77" s="105">
        <v>5009.1712707182323</v>
      </c>
      <c r="J77" s="105">
        <v>6</v>
      </c>
      <c r="K77" s="105">
        <v>4140</v>
      </c>
      <c r="L77" s="105">
        <v>8</v>
      </c>
      <c r="M77" s="105">
        <v>5520</v>
      </c>
      <c r="N77" s="105">
        <v>8.8000000000000043</v>
      </c>
      <c r="O77" s="105">
        <v>6072.0000000000027</v>
      </c>
      <c r="P77" s="105">
        <v>7.254658385093169</v>
      </c>
      <c r="Q77" s="105">
        <v>5005.7142857142862</v>
      </c>
      <c r="R77" s="105">
        <v>7</v>
      </c>
      <c r="S77" s="105">
        <v>4830</v>
      </c>
      <c r="T77" s="105">
        <v>6</v>
      </c>
      <c r="U77" s="105">
        <v>4140</v>
      </c>
      <c r="V77" s="105">
        <v>6</v>
      </c>
      <c r="W77" s="105">
        <v>4140</v>
      </c>
      <c r="X77" s="105">
        <v>10.927358490566045</v>
      </c>
      <c r="Y77" s="105">
        <v>7539.8773584905712</v>
      </c>
      <c r="Z77" s="105">
        <v>6</v>
      </c>
      <c r="AA77" s="105">
        <v>4140</v>
      </c>
      <c r="AB77" s="105">
        <v>8</v>
      </c>
      <c r="AC77" s="105">
        <v>5520</v>
      </c>
      <c r="AD77" s="105">
        <v>9</v>
      </c>
      <c r="AE77" s="105">
        <v>6210</v>
      </c>
      <c r="AF77" s="105">
        <v>8</v>
      </c>
      <c r="AG77" s="105">
        <v>5520</v>
      </c>
      <c r="AH77" s="105">
        <v>9.4105263157894843</v>
      </c>
      <c r="AI77" s="105">
        <v>6493.2631578947439</v>
      </c>
      <c r="AJ77" s="105">
        <v>7</v>
      </c>
      <c r="AK77" s="105">
        <v>4830</v>
      </c>
      <c r="AL77" s="105">
        <v>6</v>
      </c>
      <c r="AM77" s="105">
        <v>4140</v>
      </c>
      <c r="AN77" s="105">
        <v>9</v>
      </c>
      <c r="AO77" s="105">
        <v>6210</v>
      </c>
      <c r="AP77" s="105">
        <v>6</v>
      </c>
      <c r="AQ77" s="105">
        <v>4140</v>
      </c>
      <c r="AR77" s="105">
        <v>6</v>
      </c>
      <c r="AS77" s="105">
        <v>4140</v>
      </c>
      <c r="AT77" s="105">
        <v>7</v>
      </c>
      <c r="AU77" s="105">
        <v>4830</v>
      </c>
      <c r="AV77" s="105">
        <v>9</v>
      </c>
      <c r="AW77" s="105">
        <v>6210</v>
      </c>
      <c r="AX77" s="105">
        <v>9</v>
      </c>
      <c r="AY77" s="105">
        <v>6210</v>
      </c>
      <c r="AZ77" s="105">
        <v>6</v>
      </c>
      <c r="BA77" s="105">
        <v>4140</v>
      </c>
      <c r="BB77" s="105">
        <v>11</v>
      </c>
      <c r="BC77" s="105">
        <v>7590</v>
      </c>
      <c r="BD77" s="105">
        <v>6</v>
      </c>
      <c r="BE77" s="105">
        <v>4140</v>
      </c>
      <c r="BF77" s="105">
        <v>9</v>
      </c>
      <c r="BG77" s="105">
        <v>6210</v>
      </c>
      <c r="BH77" s="105">
        <v>9</v>
      </c>
      <c r="BI77" s="105">
        <v>6210</v>
      </c>
      <c r="BJ77" s="105">
        <v>10.31933701657462</v>
      </c>
      <c r="BK77" s="105">
        <v>7120.3425414364874</v>
      </c>
      <c r="BL77" s="105">
        <v>7.9455782312925178</v>
      </c>
      <c r="BM77" s="105">
        <v>5482.4489795918371</v>
      </c>
      <c r="BN77" s="105">
        <v>7.1413043478260887</v>
      </c>
      <c r="BO77" s="105">
        <v>4927.5000000000009</v>
      </c>
      <c r="BP77" s="105">
        <v>8.2641509433962277</v>
      </c>
      <c r="BQ77" s="105">
        <v>5702.264150943397</v>
      </c>
      <c r="BR77" s="105">
        <v>7.3000000000000016</v>
      </c>
      <c r="BS77" s="105">
        <v>5037.0000000000009</v>
      </c>
      <c r="BT77" s="105">
        <v>6.9523809523809534</v>
      </c>
      <c r="BU77" s="105">
        <v>4797.1428571428578</v>
      </c>
      <c r="BV77" s="105">
        <v>8</v>
      </c>
      <c r="BW77" s="105">
        <v>5520</v>
      </c>
      <c r="BX77" s="105">
        <v>7</v>
      </c>
      <c r="BY77" s="105">
        <v>4830</v>
      </c>
      <c r="BZ77" s="105">
        <v>9.3417085427135724</v>
      </c>
      <c r="CA77" s="105">
        <v>6445.7788944723652</v>
      </c>
      <c r="CB77" s="105">
        <v>8.1938775510204103</v>
      </c>
      <c r="CC77" s="105">
        <v>5653.7755102040828</v>
      </c>
      <c r="CD77" s="105">
        <v>7.400921658986177</v>
      </c>
      <c r="CE77" s="105">
        <v>5106.6359447004625</v>
      </c>
      <c r="CF77" s="105">
        <v>8.4883720930232567</v>
      </c>
      <c r="CG77" s="105">
        <v>5856.9767441860467</v>
      </c>
      <c r="CH77" s="105">
        <v>8.4774193548387125</v>
      </c>
      <c r="CI77" s="105">
        <v>5849.419354838712</v>
      </c>
      <c r="CJ77" s="105">
        <v>6.6030150753768853</v>
      </c>
      <c r="CK77" s="105">
        <v>4556.0804020100504</v>
      </c>
      <c r="CL77" s="105">
        <v>7.1510204081632658</v>
      </c>
      <c r="CM77" s="105">
        <v>4934.2040816326535</v>
      </c>
      <c r="CN77" s="105">
        <v>6.5402714932126695</v>
      </c>
      <c r="CO77" s="105">
        <v>4512.7873303167416</v>
      </c>
      <c r="CP77" s="105">
        <v>7.1803278688524594</v>
      </c>
      <c r="CQ77" s="105">
        <v>4954.4262295081971</v>
      </c>
      <c r="CR77" s="105">
        <v>7.7866666666666688</v>
      </c>
      <c r="CS77" s="105">
        <v>5372.8000000000011</v>
      </c>
      <c r="CT77" s="105">
        <v>8.0219780219780237</v>
      </c>
      <c r="CU77" s="105">
        <v>5535.1648351648364</v>
      </c>
    </row>
    <row r="78" spans="2:99" x14ac:dyDescent="0.2">
      <c r="C78" s="104" t="s">
        <v>246</v>
      </c>
      <c r="D78" s="105">
        <v>0</v>
      </c>
      <c r="E78" s="105">
        <v>0</v>
      </c>
      <c r="F78" s="105">
        <v>0</v>
      </c>
      <c r="G78" s="105">
        <v>0</v>
      </c>
      <c r="H78" s="105">
        <v>8.0662983425414385</v>
      </c>
      <c r="I78" s="105">
        <v>1045.3922651933703</v>
      </c>
      <c r="J78" s="105">
        <v>6</v>
      </c>
      <c r="K78" s="105">
        <v>777.59999999999991</v>
      </c>
      <c r="L78" s="105">
        <v>9</v>
      </c>
      <c r="M78" s="105">
        <v>1166.3999999999999</v>
      </c>
      <c r="N78" s="105">
        <v>8.8000000000000043</v>
      </c>
      <c r="O78" s="105">
        <v>1140.4800000000005</v>
      </c>
      <c r="P78" s="105">
        <v>7.254658385093169</v>
      </c>
      <c r="Q78" s="105">
        <v>940.20372670807467</v>
      </c>
      <c r="R78" s="105">
        <v>7</v>
      </c>
      <c r="S78" s="105">
        <v>907.19999999999993</v>
      </c>
      <c r="T78" s="105">
        <v>6</v>
      </c>
      <c r="U78" s="105">
        <v>777.59999999999991</v>
      </c>
      <c r="V78" s="105">
        <v>7</v>
      </c>
      <c r="W78" s="105">
        <v>907.19999999999993</v>
      </c>
      <c r="X78" s="105">
        <v>11.92075471698114</v>
      </c>
      <c r="Y78" s="105">
        <v>1544.9298113207556</v>
      </c>
      <c r="Z78" s="105">
        <v>7</v>
      </c>
      <c r="AA78" s="105">
        <v>907.19999999999993</v>
      </c>
      <c r="AB78" s="105">
        <v>8</v>
      </c>
      <c r="AC78" s="105">
        <v>1036.8</v>
      </c>
      <c r="AD78" s="105">
        <v>9</v>
      </c>
      <c r="AE78" s="105">
        <v>1166.3999999999999</v>
      </c>
      <c r="AF78" s="105">
        <v>8</v>
      </c>
      <c r="AG78" s="105">
        <v>1036.8</v>
      </c>
      <c r="AH78" s="105">
        <v>9.4105263157894843</v>
      </c>
      <c r="AI78" s="105">
        <v>1219.604210526317</v>
      </c>
      <c r="AJ78" s="105">
        <v>7</v>
      </c>
      <c r="AK78" s="105">
        <v>907.19999999999993</v>
      </c>
      <c r="AL78" s="105">
        <v>7</v>
      </c>
      <c r="AM78" s="105">
        <v>907.19999999999993</v>
      </c>
      <c r="AN78" s="105">
        <v>9</v>
      </c>
      <c r="AO78" s="105">
        <v>1166.3999999999999</v>
      </c>
      <c r="AP78" s="105">
        <v>8</v>
      </c>
      <c r="AQ78" s="105">
        <v>1036.8</v>
      </c>
      <c r="AR78" s="105">
        <v>6</v>
      </c>
      <c r="AS78" s="105">
        <v>777.59999999999991</v>
      </c>
      <c r="AT78" s="105">
        <v>8</v>
      </c>
      <c r="AU78" s="105">
        <v>1036.8</v>
      </c>
      <c r="AV78" s="105">
        <v>10</v>
      </c>
      <c r="AW78" s="105">
        <v>1296</v>
      </c>
      <c r="AX78" s="105">
        <v>8</v>
      </c>
      <c r="AY78" s="105">
        <v>1036.8</v>
      </c>
      <c r="AZ78" s="105">
        <v>6</v>
      </c>
      <c r="BA78" s="105">
        <v>777.59999999999991</v>
      </c>
      <c r="BB78" s="105">
        <v>12</v>
      </c>
      <c r="BC78" s="105">
        <v>1555.1999999999998</v>
      </c>
      <c r="BD78" s="105">
        <v>7</v>
      </c>
      <c r="BE78" s="105">
        <v>907.19999999999993</v>
      </c>
      <c r="BF78" s="105">
        <v>9</v>
      </c>
      <c r="BG78" s="105">
        <v>1166.3999999999999</v>
      </c>
      <c r="BH78" s="105">
        <v>9</v>
      </c>
      <c r="BI78" s="105">
        <v>1166.3999999999999</v>
      </c>
      <c r="BJ78" s="105">
        <v>8.443093922651963</v>
      </c>
      <c r="BK78" s="105">
        <v>1094.2249723756943</v>
      </c>
      <c r="BL78" s="105">
        <v>7.9455782312925178</v>
      </c>
      <c r="BM78" s="105">
        <v>1029.7469387755102</v>
      </c>
      <c r="BN78" s="105">
        <v>7.9347826086956532</v>
      </c>
      <c r="BO78" s="105">
        <v>1028.3478260869565</v>
      </c>
      <c r="BP78" s="105">
        <v>8.952830188679247</v>
      </c>
      <c r="BQ78" s="105">
        <v>1160.2867924528305</v>
      </c>
      <c r="BR78" s="105">
        <v>7.3000000000000016</v>
      </c>
      <c r="BS78" s="105">
        <v>946.08000000000015</v>
      </c>
      <c r="BT78" s="105">
        <v>8.6904761904761916</v>
      </c>
      <c r="BU78" s="105">
        <v>1126.2857142857144</v>
      </c>
      <c r="BV78" s="105">
        <v>8</v>
      </c>
      <c r="BW78" s="105">
        <v>1036.8</v>
      </c>
      <c r="BX78" s="105">
        <v>7</v>
      </c>
      <c r="BY78" s="105">
        <v>907.19999999999993</v>
      </c>
      <c r="BZ78" s="105">
        <v>8.4924623115577944</v>
      </c>
      <c r="CA78" s="105">
        <v>1100.6231155778901</v>
      </c>
      <c r="CB78" s="105">
        <v>7.4489795918367365</v>
      </c>
      <c r="CC78" s="105">
        <v>965.38775510204096</v>
      </c>
      <c r="CD78" s="105">
        <v>8.0737327188940107</v>
      </c>
      <c r="CE78" s="105">
        <v>1046.3557603686638</v>
      </c>
      <c r="CF78" s="105">
        <v>8.4883720930232567</v>
      </c>
      <c r="CG78" s="105">
        <v>1100.0930232558139</v>
      </c>
      <c r="CH78" s="105">
        <v>7.5354838709677434</v>
      </c>
      <c r="CI78" s="105">
        <v>976.59870967741949</v>
      </c>
      <c r="CJ78" s="105">
        <v>6.6030150753768853</v>
      </c>
      <c r="CK78" s="105">
        <v>855.75075376884433</v>
      </c>
      <c r="CL78" s="105">
        <v>7.1510204081632658</v>
      </c>
      <c r="CM78" s="105">
        <v>926.77224489795924</v>
      </c>
      <c r="CN78" s="105">
        <v>7.7294117647058824</v>
      </c>
      <c r="CO78" s="105">
        <v>1001.7317647058824</v>
      </c>
      <c r="CP78" s="105">
        <v>7.1803278688524594</v>
      </c>
      <c r="CQ78" s="105">
        <v>930.57049180327874</v>
      </c>
      <c r="CR78" s="105">
        <v>7.7866666666666688</v>
      </c>
      <c r="CS78" s="105">
        <v>1009.1520000000003</v>
      </c>
      <c r="CT78" s="105">
        <v>8.0219780219780237</v>
      </c>
      <c r="CU78" s="105">
        <v>1039.6483516483518</v>
      </c>
    </row>
    <row r="79" spans="2:99" x14ac:dyDescent="0.2">
      <c r="C79" s="104" t="s">
        <v>247</v>
      </c>
      <c r="D79" s="105">
        <v>0</v>
      </c>
      <c r="E79" s="105">
        <v>0</v>
      </c>
      <c r="F79" s="105">
        <v>0</v>
      </c>
      <c r="G79" s="105">
        <v>0</v>
      </c>
      <c r="H79" s="105">
        <v>8.8729281767955808</v>
      </c>
      <c r="I79" s="105">
        <v>4259.0055248618792</v>
      </c>
      <c r="J79" s="105">
        <v>6</v>
      </c>
      <c r="K79" s="105">
        <v>2880</v>
      </c>
      <c r="L79" s="105">
        <v>8</v>
      </c>
      <c r="M79" s="105">
        <v>3840</v>
      </c>
      <c r="N79" s="105">
        <v>7.9200000000000044</v>
      </c>
      <c r="O79" s="105">
        <v>3801.6000000000022</v>
      </c>
      <c r="P79" s="105">
        <v>7.254658385093169</v>
      </c>
      <c r="Q79" s="105">
        <v>3482.2360248447212</v>
      </c>
      <c r="R79" s="105">
        <v>6</v>
      </c>
      <c r="S79" s="105">
        <v>2880</v>
      </c>
      <c r="T79" s="105">
        <v>6</v>
      </c>
      <c r="U79" s="105">
        <v>2880</v>
      </c>
      <c r="V79" s="105">
        <v>7</v>
      </c>
      <c r="W79" s="105">
        <v>3360</v>
      </c>
      <c r="X79" s="105">
        <v>11.92075471698114</v>
      </c>
      <c r="Y79" s="105">
        <v>5721.9622641509468</v>
      </c>
      <c r="Z79" s="105">
        <v>6</v>
      </c>
      <c r="AA79" s="105">
        <v>2880</v>
      </c>
      <c r="AB79" s="105">
        <v>8</v>
      </c>
      <c r="AC79" s="105">
        <v>3840</v>
      </c>
      <c r="AD79" s="105">
        <v>9</v>
      </c>
      <c r="AE79" s="105">
        <v>4320</v>
      </c>
      <c r="AF79" s="105">
        <v>8</v>
      </c>
      <c r="AG79" s="105">
        <v>3840</v>
      </c>
      <c r="AH79" s="105">
        <v>10.351578947368433</v>
      </c>
      <c r="AI79" s="105">
        <v>4968.7578947368474</v>
      </c>
      <c r="AJ79" s="105">
        <v>7</v>
      </c>
      <c r="AK79" s="105">
        <v>3360</v>
      </c>
      <c r="AL79" s="105">
        <v>7</v>
      </c>
      <c r="AM79" s="105">
        <v>3360</v>
      </c>
      <c r="AN79" s="105">
        <v>9</v>
      </c>
      <c r="AO79" s="105">
        <v>4320</v>
      </c>
      <c r="AP79" s="105">
        <v>6</v>
      </c>
      <c r="AQ79" s="105">
        <v>2880</v>
      </c>
      <c r="AR79" s="105">
        <v>7</v>
      </c>
      <c r="AS79" s="105">
        <v>3360</v>
      </c>
      <c r="AT79" s="105">
        <v>8</v>
      </c>
      <c r="AU79" s="105">
        <v>3840</v>
      </c>
      <c r="AV79" s="105">
        <v>9</v>
      </c>
      <c r="AW79" s="105">
        <v>4320</v>
      </c>
      <c r="AX79" s="105">
        <v>9</v>
      </c>
      <c r="AY79" s="105">
        <v>4320</v>
      </c>
      <c r="AZ79" s="105">
        <v>6</v>
      </c>
      <c r="BA79" s="105">
        <v>2880</v>
      </c>
      <c r="BB79" s="105">
        <v>13</v>
      </c>
      <c r="BC79" s="105">
        <v>6240</v>
      </c>
      <c r="BD79" s="105">
        <v>7</v>
      </c>
      <c r="BE79" s="105">
        <v>3360</v>
      </c>
      <c r="BF79" s="105">
        <v>8</v>
      </c>
      <c r="BG79" s="105">
        <v>3840</v>
      </c>
      <c r="BH79" s="105">
        <v>10</v>
      </c>
      <c r="BI79" s="105">
        <v>4800</v>
      </c>
      <c r="BJ79" s="105">
        <v>9.3812154696132914</v>
      </c>
      <c r="BK79" s="105">
        <v>4502.9834254143798</v>
      </c>
      <c r="BL79" s="105">
        <v>6.9523809523809534</v>
      </c>
      <c r="BM79" s="105">
        <v>3337.1428571428578</v>
      </c>
      <c r="BN79" s="105">
        <v>8.7282608695652186</v>
      </c>
      <c r="BO79" s="105">
        <v>4189.5652173913049</v>
      </c>
      <c r="BP79" s="105">
        <v>8.952830188679247</v>
      </c>
      <c r="BQ79" s="105">
        <v>4297.3584905660382</v>
      </c>
      <c r="BR79" s="105">
        <v>8.2125000000000021</v>
      </c>
      <c r="BS79" s="105">
        <v>3942.0000000000009</v>
      </c>
      <c r="BT79" s="105">
        <v>7.821428571428573</v>
      </c>
      <c r="BU79" s="105">
        <v>3754.2857142857151</v>
      </c>
      <c r="BV79" s="105">
        <v>7</v>
      </c>
      <c r="BW79" s="105">
        <v>3360</v>
      </c>
      <c r="BX79" s="105">
        <v>6</v>
      </c>
      <c r="BY79" s="105">
        <v>2880</v>
      </c>
      <c r="BZ79" s="105">
        <v>9.3417085427135724</v>
      </c>
      <c r="CA79" s="105">
        <v>4484.0201005025147</v>
      </c>
      <c r="CB79" s="105">
        <v>7.4489795918367365</v>
      </c>
      <c r="CC79" s="105">
        <v>3575.5102040816337</v>
      </c>
      <c r="CD79" s="105">
        <v>8.0737327188940107</v>
      </c>
      <c r="CE79" s="105">
        <v>3875.3917050691252</v>
      </c>
      <c r="CF79" s="105">
        <v>7.6395348837209323</v>
      </c>
      <c r="CG79" s="105">
        <v>3666.9767441860477</v>
      </c>
      <c r="CH79" s="105">
        <v>7.5354838709677434</v>
      </c>
      <c r="CI79" s="105">
        <v>3617.032258064517</v>
      </c>
      <c r="CJ79" s="105">
        <v>6.6030150753768853</v>
      </c>
      <c r="CK79" s="105">
        <v>3169.4472361809048</v>
      </c>
      <c r="CL79" s="105">
        <v>7.1510204081632658</v>
      </c>
      <c r="CM79" s="105">
        <v>3432.4897959183677</v>
      </c>
      <c r="CN79" s="105">
        <v>7.7294117647058824</v>
      </c>
      <c r="CO79" s="105">
        <v>3710.1176470588234</v>
      </c>
      <c r="CP79" s="105">
        <v>7.1803278688524594</v>
      </c>
      <c r="CQ79" s="105">
        <v>3446.5573770491806</v>
      </c>
      <c r="CR79" s="105">
        <v>6.8133333333333352</v>
      </c>
      <c r="CS79" s="105">
        <v>3270.400000000001</v>
      </c>
      <c r="CT79" s="105">
        <v>8.0219780219780237</v>
      </c>
      <c r="CU79" s="105">
        <v>3850.5494505494512</v>
      </c>
    </row>
    <row r="80" spans="2:99" x14ac:dyDescent="0.2">
      <c r="C80" s="104" t="s">
        <v>248</v>
      </c>
      <c r="D80" s="105">
        <v>0</v>
      </c>
      <c r="E80" s="105">
        <v>0</v>
      </c>
      <c r="F80" s="105">
        <v>0</v>
      </c>
      <c r="G80" s="105">
        <v>0</v>
      </c>
      <c r="H80" s="105">
        <v>8.0662983425414385</v>
      </c>
      <c r="I80" s="105">
        <v>6146.5193370165762</v>
      </c>
      <c r="J80" s="105">
        <v>6</v>
      </c>
      <c r="K80" s="105">
        <v>4572</v>
      </c>
      <c r="L80" s="105">
        <v>8</v>
      </c>
      <c r="M80" s="105">
        <v>6096</v>
      </c>
      <c r="N80" s="105">
        <v>8.8000000000000043</v>
      </c>
      <c r="O80" s="105">
        <v>6705.6000000000031</v>
      </c>
      <c r="P80" s="105">
        <v>7.254658385093169</v>
      </c>
      <c r="Q80" s="105">
        <v>5528.0496894409944</v>
      </c>
      <c r="R80" s="105">
        <v>7</v>
      </c>
      <c r="S80" s="105">
        <v>5334</v>
      </c>
      <c r="T80" s="105">
        <v>6</v>
      </c>
      <c r="U80" s="105">
        <v>4572</v>
      </c>
      <c r="V80" s="105">
        <v>7</v>
      </c>
      <c r="W80" s="105">
        <v>5334</v>
      </c>
      <c r="X80" s="105">
        <v>10.927358490566045</v>
      </c>
      <c r="Y80" s="105">
        <v>8326.6471698113255</v>
      </c>
      <c r="Z80" s="105">
        <v>6</v>
      </c>
      <c r="AA80" s="105">
        <v>4572</v>
      </c>
      <c r="AB80" s="105">
        <v>8</v>
      </c>
      <c r="AC80" s="105">
        <v>6096</v>
      </c>
      <c r="AD80" s="105">
        <v>9</v>
      </c>
      <c r="AE80" s="105">
        <v>6858</v>
      </c>
      <c r="AF80" s="105">
        <v>7</v>
      </c>
      <c r="AG80" s="105">
        <v>5334</v>
      </c>
      <c r="AH80" s="105">
        <v>9.4105263157894843</v>
      </c>
      <c r="AI80" s="105">
        <v>7170.821052631587</v>
      </c>
      <c r="AJ80" s="105">
        <v>7</v>
      </c>
      <c r="AK80" s="105">
        <v>5334</v>
      </c>
      <c r="AL80" s="105">
        <v>7</v>
      </c>
      <c r="AM80" s="105">
        <v>5334</v>
      </c>
      <c r="AN80" s="105">
        <v>9</v>
      </c>
      <c r="AO80" s="105">
        <v>6858</v>
      </c>
      <c r="AP80" s="105">
        <v>6</v>
      </c>
      <c r="AQ80" s="105">
        <v>4572</v>
      </c>
      <c r="AR80" s="105">
        <v>6</v>
      </c>
      <c r="AS80" s="105">
        <v>4572</v>
      </c>
      <c r="AT80" s="105">
        <v>8</v>
      </c>
      <c r="AU80" s="105">
        <v>6096</v>
      </c>
      <c r="AV80" s="105">
        <v>9</v>
      </c>
      <c r="AW80" s="105">
        <v>6858</v>
      </c>
      <c r="AX80" s="105">
        <v>9</v>
      </c>
      <c r="AY80" s="105">
        <v>6858</v>
      </c>
      <c r="AZ80" s="105">
        <v>5</v>
      </c>
      <c r="BA80" s="105">
        <v>3810</v>
      </c>
      <c r="BB80" s="105">
        <v>11</v>
      </c>
      <c r="BC80" s="105">
        <v>8382</v>
      </c>
      <c r="BD80" s="105">
        <v>6</v>
      </c>
      <c r="BE80" s="105">
        <v>4572</v>
      </c>
      <c r="BF80" s="105">
        <v>7</v>
      </c>
      <c r="BG80" s="105">
        <v>5334</v>
      </c>
      <c r="BH80" s="105">
        <v>9</v>
      </c>
      <c r="BI80" s="105">
        <v>6858</v>
      </c>
      <c r="BJ80" s="105">
        <v>8.443093922651963</v>
      </c>
      <c r="BK80" s="105">
        <v>6433.6375690607956</v>
      </c>
      <c r="BL80" s="105">
        <v>7.9455782312925178</v>
      </c>
      <c r="BM80" s="105">
        <v>6054.5306122448983</v>
      </c>
      <c r="BN80" s="105">
        <v>7.1413043478260887</v>
      </c>
      <c r="BO80" s="105">
        <v>5441.6739130434798</v>
      </c>
      <c r="BP80" s="105">
        <v>8.2641509433962277</v>
      </c>
      <c r="BQ80" s="105">
        <v>6297.2830188679254</v>
      </c>
      <c r="BR80" s="105">
        <v>7.3000000000000016</v>
      </c>
      <c r="BS80" s="105">
        <v>5562.6000000000013</v>
      </c>
      <c r="BT80" s="105">
        <v>7.821428571428573</v>
      </c>
      <c r="BU80" s="105">
        <v>5959.9285714285725</v>
      </c>
      <c r="BV80" s="105">
        <v>7</v>
      </c>
      <c r="BW80" s="105">
        <v>5334</v>
      </c>
      <c r="BX80" s="105">
        <v>7</v>
      </c>
      <c r="BY80" s="105">
        <v>5334</v>
      </c>
      <c r="BZ80" s="105">
        <v>8.4924623115577944</v>
      </c>
      <c r="CA80" s="105">
        <v>6471.2562814070398</v>
      </c>
      <c r="CB80" s="105">
        <v>7.4489795918367365</v>
      </c>
      <c r="CC80" s="105">
        <v>5676.1224489795932</v>
      </c>
      <c r="CD80" s="105">
        <v>7.400921658986177</v>
      </c>
      <c r="CE80" s="105">
        <v>5639.5023041474669</v>
      </c>
      <c r="CF80" s="105">
        <v>6.7906976744186061</v>
      </c>
      <c r="CG80" s="105">
        <v>5174.511627906978</v>
      </c>
      <c r="CH80" s="105">
        <v>7.5354838709677434</v>
      </c>
      <c r="CI80" s="105">
        <v>5742.0387096774202</v>
      </c>
      <c r="CJ80" s="105">
        <v>6.6030150753768853</v>
      </c>
      <c r="CK80" s="105">
        <v>5031.4974874371865</v>
      </c>
      <c r="CL80" s="105">
        <v>6.2571428571428571</v>
      </c>
      <c r="CM80" s="105">
        <v>4767.9428571428571</v>
      </c>
      <c r="CN80" s="105">
        <v>7.1348416289592764</v>
      </c>
      <c r="CO80" s="105">
        <v>5436.7493212669688</v>
      </c>
      <c r="CP80" s="105">
        <v>6.4622950819672136</v>
      </c>
      <c r="CQ80" s="105">
        <v>4924.2688524590167</v>
      </c>
      <c r="CR80" s="105">
        <v>8.7600000000000016</v>
      </c>
      <c r="CS80" s="105">
        <v>6675.1200000000008</v>
      </c>
      <c r="CT80" s="105">
        <v>8.0219780219780237</v>
      </c>
      <c r="CU80" s="105">
        <v>6112.7472527472537</v>
      </c>
    </row>
    <row r="81" spans="2:99" x14ac:dyDescent="0.2">
      <c r="C81" s="104" t="s">
        <v>249</v>
      </c>
      <c r="D81" s="105">
        <v>0</v>
      </c>
      <c r="E81" s="105">
        <v>0</v>
      </c>
      <c r="F81" s="105">
        <v>0</v>
      </c>
      <c r="G81" s="105">
        <v>0</v>
      </c>
      <c r="H81" s="105">
        <v>8.0662983425414385</v>
      </c>
      <c r="I81" s="105">
        <v>5033.3701657458578</v>
      </c>
      <c r="J81" s="105">
        <v>6</v>
      </c>
      <c r="K81" s="105">
        <v>3744</v>
      </c>
      <c r="L81" s="105">
        <v>9</v>
      </c>
      <c r="M81" s="105">
        <v>5616</v>
      </c>
      <c r="N81" s="105">
        <v>8.8000000000000043</v>
      </c>
      <c r="O81" s="105">
        <v>5491.2000000000025</v>
      </c>
      <c r="P81" s="105">
        <v>6.3478260869565224</v>
      </c>
      <c r="Q81" s="105">
        <v>3961.04347826087</v>
      </c>
      <c r="R81" s="105">
        <v>7</v>
      </c>
      <c r="S81" s="105">
        <v>4368</v>
      </c>
      <c r="T81" s="105">
        <v>6</v>
      </c>
      <c r="U81" s="105">
        <v>3744</v>
      </c>
      <c r="V81" s="105">
        <v>6</v>
      </c>
      <c r="W81" s="105">
        <v>3744</v>
      </c>
      <c r="X81" s="105">
        <v>11.92075471698114</v>
      </c>
      <c r="Y81" s="105">
        <v>7438.5509433962316</v>
      </c>
      <c r="Z81" s="105">
        <v>6</v>
      </c>
      <c r="AA81" s="105">
        <v>3744</v>
      </c>
      <c r="AB81" s="105">
        <v>7</v>
      </c>
      <c r="AC81" s="105">
        <v>4368</v>
      </c>
      <c r="AD81" s="105">
        <v>10</v>
      </c>
      <c r="AE81" s="105">
        <v>6240</v>
      </c>
      <c r="AF81" s="105">
        <v>7</v>
      </c>
      <c r="AG81" s="105">
        <v>4368</v>
      </c>
      <c r="AH81" s="105">
        <v>9.4105263157894843</v>
      </c>
      <c r="AI81" s="105">
        <v>5872.1684210526382</v>
      </c>
      <c r="AJ81" s="105">
        <v>7</v>
      </c>
      <c r="AK81" s="105">
        <v>4368</v>
      </c>
      <c r="AL81" s="105">
        <v>7</v>
      </c>
      <c r="AM81" s="105">
        <v>4368</v>
      </c>
      <c r="AN81" s="105">
        <v>9</v>
      </c>
      <c r="AO81" s="105">
        <v>5616</v>
      </c>
      <c r="AP81" s="105">
        <v>6</v>
      </c>
      <c r="AQ81" s="105">
        <v>3744</v>
      </c>
      <c r="AR81" s="105">
        <v>7</v>
      </c>
      <c r="AS81" s="105">
        <v>4368</v>
      </c>
      <c r="AT81" s="105">
        <v>8</v>
      </c>
      <c r="AU81" s="105">
        <v>4992</v>
      </c>
      <c r="AV81" s="105">
        <v>10</v>
      </c>
      <c r="AW81" s="105">
        <v>6240</v>
      </c>
      <c r="AX81" s="105">
        <v>9</v>
      </c>
      <c r="AY81" s="105">
        <v>5616</v>
      </c>
      <c r="AZ81" s="105">
        <v>6</v>
      </c>
      <c r="BA81" s="105">
        <v>3744</v>
      </c>
      <c r="BB81" s="105">
        <v>11</v>
      </c>
      <c r="BC81" s="105">
        <v>6864</v>
      </c>
      <c r="BD81" s="105">
        <v>7</v>
      </c>
      <c r="BE81" s="105">
        <v>4368</v>
      </c>
      <c r="BF81" s="105">
        <v>8</v>
      </c>
      <c r="BG81" s="105">
        <v>4992</v>
      </c>
      <c r="BH81" s="105">
        <v>10</v>
      </c>
      <c r="BI81" s="105">
        <v>6240</v>
      </c>
      <c r="BJ81" s="105">
        <v>9.3812154696132914</v>
      </c>
      <c r="BK81" s="105">
        <v>5853.8784530386938</v>
      </c>
      <c r="BL81" s="105">
        <v>6.9523809523809534</v>
      </c>
      <c r="BM81" s="105">
        <v>4338.2857142857147</v>
      </c>
      <c r="BN81" s="105">
        <v>8.7282608695652186</v>
      </c>
      <c r="BO81" s="105">
        <v>5446.434782608696</v>
      </c>
      <c r="BP81" s="105">
        <v>8.952830188679247</v>
      </c>
      <c r="BQ81" s="105">
        <v>5586.5660377358499</v>
      </c>
      <c r="BR81" s="105">
        <v>6.3875000000000011</v>
      </c>
      <c r="BS81" s="105">
        <v>3985.8000000000006</v>
      </c>
      <c r="BT81" s="105">
        <v>6.9523809523809534</v>
      </c>
      <c r="BU81" s="105">
        <v>4338.2857142857147</v>
      </c>
      <c r="BV81" s="105">
        <v>7</v>
      </c>
      <c r="BW81" s="105">
        <v>4368</v>
      </c>
      <c r="BX81" s="105">
        <v>7</v>
      </c>
      <c r="BY81" s="105">
        <v>4368</v>
      </c>
      <c r="BZ81" s="105">
        <v>8.4924623115577944</v>
      </c>
      <c r="CA81" s="105">
        <v>5299.2964824120636</v>
      </c>
      <c r="CB81" s="105">
        <v>8.1938775510204103</v>
      </c>
      <c r="CC81" s="105">
        <v>5112.9795918367363</v>
      </c>
      <c r="CD81" s="105">
        <v>8.7465437788018452</v>
      </c>
      <c r="CE81" s="105">
        <v>5457.8433179723515</v>
      </c>
      <c r="CF81" s="105">
        <v>8.4883720930232567</v>
      </c>
      <c r="CG81" s="105">
        <v>5296.7441860465124</v>
      </c>
      <c r="CH81" s="105">
        <v>8.4774193548387125</v>
      </c>
      <c r="CI81" s="105">
        <v>5289.9096774193567</v>
      </c>
      <c r="CJ81" s="105">
        <v>7.263316582914574</v>
      </c>
      <c r="CK81" s="105">
        <v>4532.3095477386942</v>
      </c>
      <c r="CL81" s="105">
        <v>6.2571428571428571</v>
      </c>
      <c r="CM81" s="105">
        <v>3904.457142857143</v>
      </c>
      <c r="CN81" s="105">
        <v>7.1348416289592764</v>
      </c>
      <c r="CO81" s="105">
        <v>4452.1411764705881</v>
      </c>
      <c r="CP81" s="105">
        <v>7.1803278688524594</v>
      </c>
      <c r="CQ81" s="105">
        <v>4480.5245901639346</v>
      </c>
      <c r="CR81" s="105">
        <v>6.8133333333333352</v>
      </c>
      <c r="CS81" s="105">
        <v>4251.5200000000013</v>
      </c>
      <c r="CT81" s="105">
        <v>8.0219780219780237</v>
      </c>
      <c r="CU81" s="105">
        <v>5005.7142857142871</v>
      </c>
    </row>
    <row r="82" spans="2:99" x14ac:dyDescent="0.2">
      <c r="C82" s="104" t="s">
        <v>250</v>
      </c>
      <c r="D82" s="105">
        <v>0</v>
      </c>
      <c r="E82" s="105">
        <v>0</v>
      </c>
      <c r="F82" s="105">
        <v>0</v>
      </c>
      <c r="G82" s="105">
        <v>0</v>
      </c>
      <c r="H82" s="105">
        <v>8.0662983425414385</v>
      </c>
      <c r="I82" s="105">
        <v>2884.5082872928183</v>
      </c>
      <c r="J82" s="105">
        <v>7</v>
      </c>
      <c r="K82" s="105">
        <v>2503.1999999999998</v>
      </c>
      <c r="L82" s="105">
        <v>9</v>
      </c>
      <c r="M82" s="105">
        <v>3218.3999999999996</v>
      </c>
      <c r="N82" s="105">
        <v>8.8000000000000043</v>
      </c>
      <c r="O82" s="105">
        <v>3146.880000000001</v>
      </c>
      <c r="P82" s="105">
        <v>6.3478260869565224</v>
      </c>
      <c r="Q82" s="105">
        <v>2269.9826086956523</v>
      </c>
      <c r="R82" s="105">
        <v>7</v>
      </c>
      <c r="S82" s="105">
        <v>2503.1999999999998</v>
      </c>
      <c r="T82" s="105">
        <v>6</v>
      </c>
      <c r="U82" s="105">
        <v>2145.6</v>
      </c>
      <c r="V82" s="105">
        <v>7</v>
      </c>
      <c r="W82" s="105">
        <v>2503.1999999999998</v>
      </c>
      <c r="X82" s="105">
        <v>10.927358490566045</v>
      </c>
      <c r="Y82" s="105">
        <v>3907.6233962264173</v>
      </c>
      <c r="Z82" s="105">
        <v>6</v>
      </c>
      <c r="AA82" s="105">
        <v>2145.6</v>
      </c>
      <c r="AB82" s="105">
        <v>7</v>
      </c>
      <c r="AC82" s="105">
        <v>2503.1999999999998</v>
      </c>
      <c r="AD82" s="105">
        <v>10</v>
      </c>
      <c r="AE82" s="105">
        <v>3575.9999999999995</v>
      </c>
      <c r="AF82" s="105">
        <v>7</v>
      </c>
      <c r="AG82" s="105">
        <v>2503.1999999999998</v>
      </c>
      <c r="AH82" s="105">
        <v>8.469473684210536</v>
      </c>
      <c r="AI82" s="105">
        <v>3028.6837894736873</v>
      </c>
      <c r="AJ82" s="105">
        <v>6</v>
      </c>
      <c r="AK82" s="105">
        <v>2145.6</v>
      </c>
      <c r="AL82" s="105">
        <v>6</v>
      </c>
      <c r="AM82" s="105">
        <v>2145.6</v>
      </c>
      <c r="AN82" s="105">
        <v>9</v>
      </c>
      <c r="AO82" s="105">
        <v>3218.3999999999996</v>
      </c>
      <c r="AP82" s="105">
        <v>7</v>
      </c>
      <c r="AQ82" s="105">
        <v>2503.1999999999998</v>
      </c>
      <c r="AR82" s="105">
        <v>6</v>
      </c>
      <c r="AS82" s="105">
        <v>2145.6</v>
      </c>
      <c r="AT82" s="105">
        <v>8</v>
      </c>
      <c r="AU82" s="105">
        <v>2860.7999999999997</v>
      </c>
      <c r="AV82" s="105">
        <v>11</v>
      </c>
      <c r="AW82" s="105">
        <v>3933.5999999999995</v>
      </c>
      <c r="AX82" s="105">
        <v>8</v>
      </c>
      <c r="AY82" s="105">
        <v>2860.7999999999997</v>
      </c>
      <c r="AZ82" s="105">
        <v>6</v>
      </c>
      <c r="BA82" s="105">
        <v>2145.6</v>
      </c>
      <c r="BB82" s="105">
        <v>13</v>
      </c>
      <c r="BC82" s="105">
        <v>4648.7999999999993</v>
      </c>
      <c r="BD82" s="105">
        <v>6</v>
      </c>
      <c r="BE82" s="105">
        <v>2145.6</v>
      </c>
      <c r="BF82" s="105">
        <v>8</v>
      </c>
      <c r="BG82" s="105">
        <v>2860.7999999999997</v>
      </c>
      <c r="BH82" s="105">
        <v>9</v>
      </c>
      <c r="BI82" s="105">
        <v>3218.3999999999996</v>
      </c>
      <c r="BJ82" s="105">
        <v>9.3812154696132914</v>
      </c>
      <c r="BK82" s="105">
        <v>3354.7226519337128</v>
      </c>
      <c r="BL82" s="105">
        <v>7.9455782312925178</v>
      </c>
      <c r="BM82" s="105">
        <v>2841.338775510204</v>
      </c>
      <c r="BN82" s="105">
        <v>7.9347826086956532</v>
      </c>
      <c r="BO82" s="105">
        <v>2837.4782608695655</v>
      </c>
      <c r="BP82" s="105">
        <v>8.2641509433962277</v>
      </c>
      <c r="BQ82" s="105">
        <v>2955.2603773584906</v>
      </c>
      <c r="BR82" s="105">
        <v>7.3000000000000016</v>
      </c>
      <c r="BS82" s="105">
        <v>2610.4800000000005</v>
      </c>
      <c r="BT82" s="105">
        <v>7.821428571428573</v>
      </c>
      <c r="BU82" s="105">
        <v>2796.9428571428575</v>
      </c>
      <c r="BV82" s="105">
        <v>8</v>
      </c>
      <c r="BW82" s="105">
        <v>2860.7999999999997</v>
      </c>
      <c r="BX82" s="105">
        <v>7</v>
      </c>
      <c r="BY82" s="105">
        <v>2503.1999999999998</v>
      </c>
      <c r="BZ82" s="105">
        <v>8.4924623115577944</v>
      </c>
      <c r="CA82" s="105">
        <v>3036.904522613067</v>
      </c>
      <c r="CB82" s="105">
        <v>8.1938775510204103</v>
      </c>
      <c r="CC82" s="105">
        <v>2930.1306122448987</v>
      </c>
      <c r="CD82" s="105">
        <v>8.0737327188940107</v>
      </c>
      <c r="CE82" s="105">
        <v>2887.1668202764981</v>
      </c>
      <c r="CF82" s="105">
        <v>8.4883720930232567</v>
      </c>
      <c r="CG82" s="105">
        <v>3035.4418604651164</v>
      </c>
      <c r="CH82" s="105">
        <v>7.5354838709677434</v>
      </c>
      <c r="CI82" s="105">
        <v>2694.6890322580648</v>
      </c>
      <c r="CJ82" s="105">
        <v>7.9236180904522611</v>
      </c>
      <c r="CK82" s="105">
        <v>2833.4858291457281</v>
      </c>
      <c r="CL82" s="105">
        <v>7.1510204081632658</v>
      </c>
      <c r="CM82" s="105">
        <v>2557.2048979591837</v>
      </c>
      <c r="CN82" s="105">
        <v>7.7294117647058824</v>
      </c>
      <c r="CO82" s="105">
        <v>2764.0376470588235</v>
      </c>
      <c r="CP82" s="105">
        <v>6.4622950819672136</v>
      </c>
      <c r="CQ82" s="105">
        <v>2310.9167213114752</v>
      </c>
      <c r="CR82" s="105">
        <v>7.7866666666666688</v>
      </c>
      <c r="CS82" s="105">
        <v>2784.5120000000006</v>
      </c>
      <c r="CT82" s="105">
        <v>8.0219780219780237</v>
      </c>
      <c r="CU82" s="105">
        <v>2868.6593406593411</v>
      </c>
    </row>
    <row r="83" spans="2:99" x14ac:dyDescent="0.2">
      <c r="C83" s="104" t="s">
        <v>251</v>
      </c>
      <c r="D83" s="105">
        <v>0</v>
      </c>
      <c r="E83" s="105">
        <v>0</v>
      </c>
      <c r="F83" s="105">
        <v>0</v>
      </c>
      <c r="G83" s="105">
        <v>0</v>
      </c>
      <c r="H83" s="105">
        <v>8.0662983425414385</v>
      </c>
      <c r="I83" s="105">
        <v>4820.4198895027639</v>
      </c>
      <c r="J83" s="105">
        <v>7</v>
      </c>
      <c r="K83" s="105">
        <v>4183.2</v>
      </c>
      <c r="L83" s="105">
        <v>8</v>
      </c>
      <c r="M83" s="105">
        <v>4780.8</v>
      </c>
      <c r="N83" s="105">
        <v>7.9200000000000044</v>
      </c>
      <c r="O83" s="105">
        <v>4732.9920000000029</v>
      </c>
      <c r="P83" s="105">
        <v>7.254658385093169</v>
      </c>
      <c r="Q83" s="105">
        <v>4335.3838509316784</v>
      </c>
      <c r="R83" s="105">
        <v>6</v>
      </c>
      <c r="S83" s="105">
        <v>3585.6000000000004</v>
      </c>
      <c r="T83" s="105">
        <v>6</v>
      </c>
      <c r="U83" s="105">
        <v>3585.6000000000004</v>
      </c>
      <c r="V83" s="105">
        <v>7</v>
      </c>
      <c r="W83" s="105">
        <v>4183.2</v>
      </c>
      <c r="X83" s="105">
        <v>11.92075471698114</v>
      </c>
      <c r="Y83" s="105">
        <v>7123.8430188679295</v>
      </c>
      <c r="Z83" s="105">
        <v>6</v>
      </c>
      <c r="AA83" s="105">
        <v>3585.6000000000004</v>
      </c>
      <c r="AB83" s="105">
        <v>7</v>
      </c>
      <c r="AC83" s="105">
        <v>4183.2</v>
      </c>
      <c r="AD83" s="105">
        <v>10</v>
      </c>
      <c r="AE83" s="105">
        <v>5976</v>
      </c>
      <c r="AF83" s="105">
        <v>8</v>
      </c>
      <c r="AG83" s="105">
        <v>4780.8</v>
      </c>
      <c r="AH83" s="105">
        <v>10.351578947368433</v>
      </c>
      <c r="AI83" s="105">
        <v>6186.1035789473754</v>
      </c>
      <c r="AJ83" s="105">
        <v>7</v>
      </c>
      <c r="AK83" s="105">
        <v>4183.2</v>
      </c>
      <c r="AL83" s="105">
        <v>6</v>
      </c>
      <c r="AM83" s="105">
        <v>3585.6000000000004</v>
      </c>
      <c r="AN83" s="105">
        <v>10</v>
      </c>
      <c r="AO83" s="105">
        <v>5976</v>
      </c>
      <c r="AP83" s="105">
        <v>7</v>
      </c>
      <c r="AQ83" s="105">
        <v>4183.2</v>
      </c>
      <c r="AR83" s="105">
        <v>6</v>
      </c>
      <c r="AS83" s="105">
        <v>3585.6000000000004</v>
      </c>
      <c r="AT83" s="105">
        <v>8</v>
      </c>
      <c r="AU83" s="105">
        <v>4780.8</v>
      </c>
      <c r="AV83" s="105">
        <v>9</v>
      </c>
      <c r="AW83" s="105">
        <v>5378.4000000000005</v>
      </c>
      <c r="AX83" s="105">
        <v>8</v>
      </c>
      <c r="AY83" s="105">
        <v>4780.8</v>
      </c>
      <c r="AZ83" s="105">
        <v>6</v>
      </c>
      <c r="BA83" s="105">
        <v>3585.6000000000004</v>
      </c>
      <c r="BB83" s="105">
        <v>13</v>
      </c>
      <c r="BC83" s="105">
        <v>7768.8</v>
      </c>
      <c r="BD83" s="105">
        <v>7</v>
      </c>
      <c r="BE83" s="105">
        <v>4183.2</v>
      </c>
      <c r="BF83" s="105">
        <v>8</v>
      </c>
      <c r="BG83" s="105">
        <v>4780.8</v>
      </c>
      <c r="BH83" s="105">
        <v>9</v>
      </c>
      <c r="BI83" s="105">
        <v>5378.4000000000005</v>
      </c>
      <c r="BJ83" s="105">
        <v>9.3812154696132914</v>
      </c>
      <c r="BK83" s="105">
        <v>5606.2143646409031</v>
      </c>
      <c r="BL83" s="105">
        <v>6.9523809523809534</v>
      </c>
      <c r="BM83" s="105">
        <v>4154.7428571428582</v>
      </c>
      <c r="BN83" s="105">
        <v>7.9347826086956532</v>
      </c>
      <c r="BO83" s="105">
        <v>4741.8260869565229</v>
      </c>
      <c r="BP83" s="105">
        <v>7.5754716981132093</v>
      </c>
      <c r="BQ83" s="105">
        <v>4527.101886792454</v>
      </c>
      <c r="BR83" s="105">
        <v>7.3000000000000016</v>
      </c>
      <c r="BS83" s="105">
        <v>4362.4800000000014</v>
      </c>
      <c r="BT83" s="105">
        <v>7.821428571428573</v>
      </c>
      <c r="BU83" s="105">
        <v>4674.0857142857158</v>
      </c>
      <c r="BV83" s="105">
        <v>7</v>
      </c>
      <c r="BW83" s="105">
        <v>4183.2</v>
      </c>
      <c r="BX83" s="105">
        <v>7</v>
      </c>
      <c r="BY83" s="105">
        <v>4183.2</v>
      </c>
      <c r="BZ83" s="105">
        <v>9.3417085427135724</v>
      </c>
      <c r="CA83" s="105">
        <v>5582.6050251256311</v>
      </c>
      <c r="CB83" s="105">
        <v>8.1938775510204103</v>
      </c>
      <c r="CC83" s="105">
        <v>4896.661224489797</v>
      </c>
      <c r="CD83" s="105">
        <v>7.400921658986177</v>
      </c>
      <c r="CE83" s="105">
        <v>4422.7907834101397</v>
      </c>
      <c r="CF83" s="105">
        <v>7.6395348837209323</v>
      </c>
      <c r="CG83" s="105">
        <v>4565.3860465116295</v>
      </c>
      <c r="CH83" s="105">
        <v>7.5354838709677434</v>
      </c>
      <c r="CI83" s="105">
        <v>4503.2051612903233</v>
      </c>
      <c r="CJ83" s="105">
        <v>6.6030150753768853</v>
      </c>
      <c r="CK83" s="105">
        <v>3945.9618090452268</v>
      </c>
      <c r="CL83" s="105">
        <v>6.2571428571428571</v>
      </c>
      <c r="CM83" s="105">
        <v>3739.2685714285717</v>
      </c>
      <c r="CN83" s="105">
        <v>6.5402714932126695</v>
      </c>
      <c r="CO83" s="105">
        <v>3908.4662443438915</v>
      </c>
      <c r="CP83" s="105">
        <v>7.1803278688524594</v>
      </c>
      <c r="CQ83" s="105">
        <v>4290.9639344262296</v>
      </c>
      <c r="CR83" s="105">
        <v>7.7866666666666688</v>
      </c>
      <c r="CS83" s="105">
        <v>4653.3120000000017</v>
      </c>
      <c r="CT83" s="105">
        <v>8.0219780219780237</v>
      </c>
      <c r="CU83" s="105">
        <v>4793.9340659340669</v>
      </c>
    </row>
    <row r="84" spans="2:99" x14ac:dyDescent="0.2">
      <c r="C84" s="104" t="s">
        <v>252</v>
      </c>
      <c r="D84" s="105">
        <v>0</v>
      </c>
      <c r="E84" s="105">
        <v>0</v>
      </c>
      <c r="F84" s="105">
        <v>0</v>
      </c>
      <c r="G84" s="105">
        <v>0</v>
      </c>
      <c r="H84" s="105">
        <v>8.8729281767955808</v>
      </c>
      <c r="I84" s="105">
        <v>4535.8408839779004</v>
      </c>
      <c r="J84" s="105">
        <v>6</v>
      </c>
      <c r="K84" s="105">
        <v>3067.2</v>
      </c>
      <c r="L84" s="105">
        <v>8</v>
      </c>
      <c r="M84" s="105">
        <v>4089.6</v>
      </c>
      <c r="N84" s="105">
        <v>8.8000000000000043</v>
      </c>
      <c r="O84" s="105">
        <v>4498.5600000000022</v>
      </c>
      <c r="P84" s="105">
        <v>8.1614906832298146</v>
      </c>
      <c r="Q84" s="105">
        <v>4172.1540372670815</v>
      </c>
      <c r="R84" s="105">
        <v>6</v>
      </c>
      <c r="S84" s="105">
        <v>3067.2</v>
      </c>
      <c r="T84" s="105">
        <v>6</v>
      </c>
      <c r="U84" s="105">
        <v>3067.2</v>
      </c>
      <c r="V84" s="105">
        <v>6</v>
      </c>
      <c r="W84" s="105">
        <v>3067.2</v>
      </c>
      <c r="X84" s="105">
        <v>11.92075471698114</v>
      </c>
      <c r="Y84" s="105">
        <v>6093.8898113207588</v>
      </c>
      <c r="Z84" s="105">
        <v>6</v>
      </c>
      <c r="AA84" s="105">
        <v>3067.2</v>
      </c>
      <c r="AB84" s="105">
        <v>8</v>
      </c>
      <c r="AC84" s="105">
        <v>4089.6</v>
      </c>
      <c r="AD84" s="105">
        <v>9</v>
      </c>
      <c r="AE84" s="105">
        <v>4600.8</v>
      </c>
      <c r="AF84" s="105">
        <v>7</v>
      </c>
      <c r="AG84" s="105">
        <v>3578.4</v>
      </c>
      <c r="AH84" s="105">
        <v>9.4105263157894843</v>
      </c>
      <c r="AI84" s="105">
        <v>4810.6610526315844</v>
      </c>
      <c r="AJ84" s="105">
        <v>7</v>
      </c>
      <c r="AK84" s="105">
        <v>3578.4</v>
      </c>
      <c r="AL84" s="105">
        <v>7</v>
      </c>
      <c r="AM84" s="105">
        <v>3578.4</v>
      </c>
      <c r="AN84" s="105">
        <v>11</v>
      </c>
      <c r="AO84" s="105">
        <v>5623.2</v>
      </c>
      <c r="AP84" s="105">
        <v>7</v>
      </c>
      <c r="AQ84" s="105">
        <v>3578.4</v>
      </c>
      <c r="AR84" s="105">
        <v>6</v>
      </c>
      <c r="AS84" s="105">
        <v>3067.2</v>
      </c>
      <c r="AT84" s="105">
        <v>8</v>
      </c>
      <c r="AU84" s="105">
        <v>4089.6</v>
      </c>
      <c r="AV84" s="105">
        <v>9</v>
      </c>
      <c r="AW84" s="105">
        <v>4600.8</v>
      </c>
      <c r="AX84" s="105">
        <v>9</v>
      </c>
      <c r="AY84" s="105">
        <v>4600.8</v>
      </c>
      <c r="AZ84" s="105">
        <v>6</v>
      </c>
      <c r="BA84" s="105">
        <v>3067.2</v>
      </c>
      <c r="BB84" s="105">
        <v>13</v>
      </c>
      <c r="BC84" s="105">
        <v>6645.5999999999995</v>
      </c>
      <c r="BD84" s="105">
        <v>7</v>
      </c>
      <c r="BE84" s="105">
        <v>3578.4</v>
      </c>
      <c r="BF84" s="105">
        <v>8</v>
      </c>
      <c r="BG84" s="105">
        <v>4089.6</v>
      </c>
      <c r="BH84" s="105">
        <v>10</v>
      </c>
      <c r="BI84" s="105">
        <v>5112</v>
      </c>
      <c r="BJ84" s="105">
        <v>9.3812154696132914</v>
      </c>
      <c r="BK84" s="105">
        <v>4795.6773480663142</v>
      </c>
      <c r="BL84" s="105">
        <v>7.9455782312925178</v>
      </c>
      <c r="BM84" s="105">
        <v>4061.7795918367351</v>
      </c>
      <c r="BN84" s="105">
        <v>7.9347826086956532</v>
      </c>
      <c r="BO84" s="105">
        <v>4056.2608695652179</v>
      </c>
      <c r="BP84" s="105">
        <v>8.952830188679247</v>
      </c>
      <c r="BQ84" s="105">
        <v>4576.6867924528306</v>
      </c>
      <c r="BR84" s="105">
        <v>8.2125000000000021</v>
      </c>
      <c r="BS84" s="105">
        <v>4198.2300000000014</v>
      </c>
      <c r="BT84" s="105">
        <v>7.821428571428573</v>
      </c>
      <c r="BU84" s="105">
        <v>3998.3142857142866</v>
      </c>
      <c r="BV84" s="105">
        <v>8</v>
      </c>
      <c r="BW84" s="105">
        <v>4089.6</v>
      </c>
      <c r="BX84" s="105">
        <v>6</v>
      </c>
      <c r="BY84" s="105">
        <v>3067.2</v>
      </c>
      <c r="BZ84" s="105">
        <v>10.190954773869352</v>
      </c>
      <c r="CA84" s="105">
        <v>5209.6160804020128</v>
      </c>
      <c r="CB84" s="105">
        <v>7.4489795918367365</v>
      </c>
      <c r="CC84" s="105">
        <v>3807.9183673469397</v>
      </c>
      <c r="CD84" s="105">
        <v>8.7465437788018452</v>
      </c>
      <c r="CE84" s="105">
        <v>4471.2331797235029</v>
      </c>
      <c r="CF84" s="105">
        <v>7.6395348837209323</v>
      </c>
      <c r="CG84" s="105">
        <v>3905.3302325581403</v>
      </c>
      <c r="CH84" s="105">
        <v>6.5935483870967753</v>
      </c>
      <c r="CI84" s="105">
        <v>3370.6219354838713</v>
      </c>
      <c r="CJ84" s="105">
        <v>7.9236180904522611</v>
      </c>
      <c r="CK84" s="105">
        <v>4050.5535678391957</v>
      </c>
      <c r="CL84" s="105">
        <v>6.2571428571428571</v>
      </c>
      <c r="CM84" s="105">
        <v>3198.6514285714284</v>
      </c>
      <c r="CN84" s="105">
        <v>7.1348416289592764</v>
      </c>
      <c r="CO84" s="105">
        <v>3647.3310407239819</v>
      </c>
      <c r="CP84" s="105">
        <v>6.4622950819672136</v>
      </c>
      <c r="CQ84" s="105">
        <v>3303.5252459016397</v>
      </c>
      <c r="CR84" s="105">
        <v>6.8133333333333352</v>
      </c>
      <c r="CS84" s="105">
        <v>3482.976000000001</v>
      </c>
      <c r="CT84" s="105">
        <v>8.0219780219780237</v>
      </c>
      <c r="CU84" s="105">
        <v>4100.8351648351654</v>
      </c>
    </row>
    <row r="85" spans="2:99" x14ac:dyDescent="0.2">
      <c r="C85" s="104" t="s">
        <v>253</v>
      </c>
      <c r="D85" s="105">
        <v>0</v>
      </c>
      <c r="E85" s="105">
        <v>0</v>
      </c>
      <c r="F85" s="105">
        <v>0</v>
      </c>
      <c r="G85" s="105">
        <v>0</v>
      </c>
      <c r="H85" s="105">
        <v>8.8729281767955808</v>
      </c>
      <c r="I85" s="105">
        <v>2416.9856353591158</v>
      </c>
      <c r="J85" s="105">
        <v>7</v>
      </c>
      <c r="K85" s="105">
        <v>1906.7999999999997</v>
      </c>
      <c r="L85" s="105">
        <v>9</v>
      </c>
      <c r="M85" s="105">
        <v>2451.6</v>
      </c>
      <c r="N85" s="105">
        <v>9.6800000000000068</v>
      </c>
      <c r="O85" s="105">
        <v>2636.8320000000017</v>
      </c>
      <c r="P85" s="105">
        <v>7.254658385093169</v>
      </c>
      <c r="Q85" s="105">
        <v>1976.1689440993791</v>
      </c>
      <c r="R85" s="105">
        <v>7</v>
      </c>
      <c r="S85" s="105">
        <v>1906.7999999999997</v>
      </c>
      <c r="T85" s="105">
        <v>6</v>
      </c>
      <c r="U85" s="105">
        <v>1634.3999999999999</v>
      </c>
      <c r="V85" s="105">
        <v>6</v>
      </c>
      <c r="W85" s="105">
        <v>1634.3999999999999</v>
      </c>
      <c r="X85" s="105">
        <v>11.92075471698114</v>
      </c>
      <c r="Y85" s="105">
        <v>3247.2135849056622</v>
      </c>
      <c r="Z85" s="105">
        <v>6</v>
      </c>
      <c r="AA85" s="105">
        <v>1634.3999999999999</v>
      </c>
      <c r="AB85" s="105">
        <v>8</v>
      </c>
      <c r="AC85" s="105">
        <v>2179.1999999999998</v>
      </c>
      <c r="AD85" s="105">
        <v>9</v>
      </c>
      <c r="AE85" s="105">
        <v>2451.6</v>
      </c>
      <c r="AF85" s="105">
        <v>8</v>
      </c>
      <c r="AG85" s="105">
        <v>2179.1999999999998</v>
      </c>
      <c r="AH85" s="105">
        <v>9.4105263157894843</v>
      </c>
      <c r="AI85" s="105">
        <v>2563.4273684210552</v>
      </c>
      <c r="AJ85" s="105">
        <v>7</v>
      </c>
      <c r="AK85" s="105">
        <v>1906.7999999999997</v>
      </c>
      <c r="AL85" s="105">
        <v>7</v>
      </c>
      <c r="AM85" s="105">
        <v>1906.7999999999997</v>
      </c>
      <c r="AN85" s="105">
        <v>11</v>
      </c>
      <c r="AO85" s="105">
        <v>2996.3999999999996</v>
      </c>
      <c r="AP85" s="105">
        <v>7</v>
      </c>
      <c r="AQ85" s="105">
        <v>1906.7999999999997</v>
      </c>
      <c r="AR85" s="105">
        <v>6</v>
      </c>
      <c r="AS85" s="105">
        <v>1634.3999999999999</v>
      </c>
      <c r="AT85" s="105">
        <v>8</v>
      </c>
      <c r="AU85" s="105">
        <v>2179.1999999999998</v>
      </c>
      <c r="AV85" s="105">
        <v>10</v>
      </c>
      <c r="AW85" s="105">
        <v>2724</v>
      </c>
      <c r="AX85" s="105">
        <v>9</v>
      </c>
      <c r="AY85" s="105">
        <v>2451.6</v>
      </c>
      <c r="AZ85" s="105">
        <v>6</v>
      </c>
      <c r="BA85" s="105">
        <v>1634.3999999999999</v>
      </c>
      <c r="BB85" s="105">
        <v>13</v>
      </c>
      <c r="BC85" s="105">
        <v>3541.2</v>
      </c>
      <c r="BD85" s="105">
        <v>6</v>
      </c>
      <c r="BE85" s="105">
        <v>1634.3999999999999</v>
      </c>
      <c r="BF85" s="105">
        <v>9</v>
      </c>
      <c r="BG85" s="105">
        <v>2451.6</v>
      </c>
      <c r="BH85" s="105">
        <v>9</v>
      </c>
      <c r="BI85" s="105">
        <v>2451.6</v>
      </c>
      <c r="BJ85" s="105">
        <v>9.3812154696132914</v>
      </c>
      <c r="BK85" s="105">
        <v>2555.4430939226604</v>
      </c>
      <c r="BL85" s="105">
        <v>6.9523809523809534</v>
      </c>
      <c r="BM85" s="105">
        <v>1893.8285714285716</v>
      </c>
      <c r="BN85" s="105">
        <v>7.9347826086956532</v>
      </c>
      <c r="BO85" s="105">
        <v>2161.434782608696</v>
      </c>
      <c r="BP85" s="105">
        <v>8.2641509433962277</v>
      </c>
      <c r="BQ85" s="105">
        <v>2251.1547169811324</v>
      </c>
      <c r="BR85" s="105">
        <v>7.3000000000000016</v>
      </c>
      <c r="BS85" s="105">
        <v>1988.5200000000002</v>
      </c>
      <c r="BT85" s="105">
        <v>7.821428571428573</v>
      </c>
      <c r="BU85" s="105">
        <v>2130.5571428571429</v>
      </c>
      <c r="BV85" s="105">
        <v>8</v>
      </c>
      <c r="BW85" s="105">
        <v>2179.1999999999998</v>
      </c>
      <c r="BX85" s="105">
        <v>7</v>
      </c>
      <c r="BY85" s="105">
        <v>1906.7999999999997</v>
      </c>
      <c r="BZ85" s="105">
        <v>9.3417085427135724</v>
      </c>
      <c r="CA85" s="105">
        <v>2544.681407035177</v>
      </c>
      <c r="CB85" s="105">
        <v>8.1938775510204103</v>
      </c>
      <c r="CC85" s="105">
        <v>2232.0122448979596</v>
      </c>
      <c r="CD85" s="105">
        <v>8.0737327188940107</v>
      </c>
      <c r="CE85" s="105">
        <v>2199.2847926267282</v>
      </c>
      <c r="CF85" s="105">
        <v>7.6395348837209323</v>
      </c>
      <c r="CG85" s="105">
        <v>2081.0093023255818</v>
      </c>
      <c r="CH85" s="105">
        <v>8.4774193548387125</v>
      </c>
      <c r="CI85" s="105">
        <v>2309.2490322580652</v>
      </c>
      <c r="CJ85" s="105">
        <v>6.6030150753768853</v>
      </c>
      <c r="CK85" s="105">
        <v>1798.6613065326635</v>
      </c>
      <c r="CL85" s="105">
        <v>6.2571428571428571</v>
      </c>
      <c r="CM85" s="105">
        <v>1704.4457142857141</v>
      </c>
      <c r="CN85" s="105">
        <v>7.1348416289592764</v>
      </c>
      <c r="CO85" s="105">
        <v>1943.5308597285068</v>
      </c>
      <c r="CP85" s="105">
        <v>7.8983606557377053</v>
      </c>
      <c r="CQ85" s="105">
        <v>2151.5134426229506</v>
      </c>
      <c r="CR85" s="105">
        <v>7.7866666666666688</v>
      </c>
      <c r="CS85" s="105">
        <v>2121.0880000000002</v>
      </c>
      <c r="CT85" s="105">
        <v>7.2197802197802208</v>
      </c>
      <c r="CU85" s="105">
        <v>1966.6681318681319</v>
      </c>
    </row>
    <row r="86" spans="2:99" x14ac:dyDescent="0.2">
      <c r="C86" s="104" t="s">
        <v>254</v>
      </c>
      <c r="D86" s="105">
        <v>0</v>
      </c>
      <c r="E86" s="105">
        <v>0</v>
      </c>
      <c r="F86" s="105">
        <v>0</v>
      </c>
      <c r="G86" s="105">
        <v>0</v>
      </c>
      <c r="H86" s="105">
        <v>7.2596685082872936</v>
      </c>
      <c r="I86" s="105">
        <v>3597.8917127071823</v>
      </c>
      <c r="J86" s="105">
        <v>7</v>
      </c>
      <c r="K86" s="105">
        <v>3469.2</v>
      </c>
      <c r="L86" s="105">
        <v>9</v>
      </c>
      <c r="M86" s="105">
        <v>4460.3999999999996</v>
      </c>
      <c r="N86" s="105">
        <v>8.8000000000000043</v>
      </c>
      <c r="O86" s="105">
        <v>4361.2800000000016</v>
      </c>
      <c r="P86" s="105">
        <v>8.1614906832298146</v>
      </c>
      <c r="Q86" s="105">
        <v>4044.8347826086961</v>
      </c>
      <c r="R86" s="105">
        <v>6</v>
      </c>
      <c r="S86" s="105">
        <v>2973.6</v>
      </c>
      <c r="T86" s="105">
        <v>6</v>
      </c>
      <c r="U86" s="105">
        <v>2973.6</v>
      </c>
      <c r="V86" s="105">
        <v>7</v>
      </c>
      <c r="W86" s="105">
        <v>3469.2</v>
      </c>
      <c r="X86" s="105">
        <v>11.92075471698114</v>
      </c>
      <c r="Y86" s="105">
        <v>5907.9260377358523</v>
      </c>
      <c r="Z86" s="105">
        <v>6</v>
      </c>
      <c r="AA86" s="105">
        <v>2973.6</v>
      </c>
      <c r="AB86" s="105">
        <v>8</v>
      </c>
      <c r="AC86" s="105">
        <v>3964.7999999999997</v>
      </c>
      <c r="AD86" s="105">
        <v>9</v>
      </c>
      <c r="AE86" s="105">
        <v>4460.3999999999996</v>
      </c>
      <c r="AF86" s="105">
        <v>7</v>
      </c>
      <c r="AG86" s="105">
        <v>3469.2</v>
      </c>
      <c r="AH86" s="105">
        <v>10.351578947368433</v>
      </c>
      <c r="AI86" s="105">
        <v>5130.2425263157947</v>
      </c>
      <c r="AJ86" s="105">
        <v>7</v>
      </c>
      <c r="AK86" s="105">
        <v>3469.2</v>
      </c>
      <c r="AL86" s="105">
        <v>6</v>
      </c>
      <c r="AM86" s="105">
        <v>2973.6</v>
      </c>
      <c r="AN86" s="105">
        <v>9</v>
      </c>
      <c r="AO86" s="105">
        <v>4460.3999999999996</v>
      </c>
      <c r="AP86" s="105">
        <v>7</v>
      </c>
      <c r="AQ86" s="105">
        <v>3469.2</v>
      </c>
      <c r="AR86" s="105">
        <v>6</v>
      </c>
      <c r="AS86" s="105">
        <v>2973.6</v>
      </c>
      <c r="AT86" s="105">
        <v>9</v>
      </c>
      <c r="AU86" s="105">
        <v>4460.3999999999996</v>
      </c>
      <c r="AV86" s="105">
        <v>11</v>
      </c>
      <c r="AW86" s="105">
        <v>5451.5999999999995</v>
      </c>
      <c r="AX86" s="105">
        <v>8</v>
      </c>
      <c r="AY86" s="105">
        <v>3964.7999999999997</v>
      </c>
      <c r="AZ86" s="105">
        <v>7</v>
      </c>
      <c r="BA86" s="105">
        <v>3469.2</v>
      </c>
      <c r="BB86" s="105">
        <v>12</v>
      </c>
      <c r="BC86" s="105">
        <v>5947.2</v>
      </c>
      <c r="BD86" s="105">
        <v>7</v>
      </c>
      <c r="BE86" s="105">
        <v>3469.2</v>
      </c>
      <c r="BF86" s="105">
        <v>8</v>
      </c>
      <c r="BG86" s="105">
        <v>3964.7999999999997</v>
      </c>
      <c r="BH86" s="105">
        <v>11</v>
      </c>
      <c r="BI86" s="105">
        <v>5451.5999999999995</v>
      </c>
      <c r="BJ86" s="105">
        <v>9.3812154696132914</v>
      </c>
      <c r="BK86" s="105">
        <v>4649.3303867403465</v>
      </c>
      <c r="BL86" s="105">
        <v>7.9455782312925178</v>
      </c>
      <c r="BM86" s="105">
        <v>3937.8285714285716</v>
      </c>
      <c r="BN86" s="105">
        <v>7.1413043478260887</v>
      </c>
      <c r="BO86" s="105">
        <v>3539.2304347826093</v>
      </c>
      <c r="BP86" s="105">
        <v>8.2641509433962277</v>
      </c>
      <c r="BQ86" s="105">
        <v>4095.71320754717</v>
      </c>
      <c r="BR86" s="105">
        <v>8.2125000000000021</v>
      </c>
      <c r="BS86" s="105">
        <v>4070.1150000000007</v>
      </c>
      <c r="BT86" s="105">
        <v>6.9523809523809534</v>
      </c>
      <c r="BU86" s="105">
        <v>3445.6000000000004</v>
      </c>
      <c r="BV86" s="105">
        <v>8</v>
      </c>
      <c r="BW86" s="105">
        <v>3964.7999999999997</v>
      </c>
      <c r="BX86" s="105">
        <v>7</v>
      </c>
      <c r="BY86" s="105">
        <v>3469.2</v>
      </c>
      <c r="BZ86" s="105">
        <v>10.190954773869352</v>
      </c>
      <c r="CA86" s="105">
        <v>5050.6371859296505</v>
      </c>
      <c r="CB86" s="105">
        <v>8.1938775510204103</v>
      </c>
      <c r="CC86" s="105">
        <v>4060.885714285715</v>
      </c>
      <c r="CD86" s="105">
        <v>8.0737327188940107</v>
      </c>
      <c r="CE86" s="105">
        <v>4001.3419354838716</v>
      </c>
      <c r="CF86" s="105">
        <v>7.6395348837209323</v>
      </c>
      <c r="CG86" s="105">
        <v>3786.1534883720938</v>
      </c>
      <c r="CH86" s="105">
        <v>8.4774193548387125</v>
      </c>
      <c r="CI86" s="105">
        <v>4201.409032258066</v>
      </c>
      <c r="CJ86" s="105">
        <v>7.263316582914574</v>
      </c>
      <c r="CK86" s="105">
        <v>3599.6996984924626</v>
      </c>
      <c r="CL86" s="105">
        <v>6.2571428571428571</v>
      </c>
      <c r="CM86" s="105">
        <v>3101.04</v>
      </c>
      <c r="CN86" s="105">
        <v>7.7294117647058824</v>
      </c>
      <c r="CO86" s="105">
        <v>3830.6964705882351</v>
      </c>
      <c r="CP86" s="105">
        <v>7.1803278688524594</v>
      </c>
      <c r="CQ86" s="105">
        <v>3558.5704918032789</v>
      </c>
      <c r="CR86" s="105">
        <v>7.7866666666666688</v>
      </c>
      <c r="CS86" s="105">
        <v>3859.072000000001</v>
      </c>
      <c r="CT86" s="105">
        <v>8.0219780219780237</v>
      </c>
      <c r="CU86" s="105">
        <v>3975.6923076923081</v>
      </c>
    </row>
    <row r="87" spans="2:99" x14ac:dyDescent="0.2">
      <c r="B87" s="104" t="s">
        <v>131</v>
      </c>
      <c r="C87" s="104" t="s">
        <v>255</v>
      </c>
      <c r="D87" s="105">
        <v>0</v>
      </c>
      <c r="E87" s="105">
        <v>0</v>
      </c>
      <c r="F87" s="105">
        <v>4</v>
      </c>
      <c r="G87" s="105">
        <v>3763.2</v>
      </c>
      <c r="H87" s="105">
        <v>4</v>
      </c>
      <c r="I87" s="105">
        <v>3763.2</v>
      </c>
      <c r="J87" s="105">
        <v>5</v>
      </c>
      <c r="K87" s="105">
        <v>4704</v>
      </c>
      <c r="L87" s="105">
        <v>5</v>
      </c>
      <c r="M87" s="105">
        <v>4704</v>
      </c>
      <c r="N87" s="105">
        <v>4</v>
      </c>
      <c r="O87" s="105">
        <v>3763.2</v>
      </c>
      <c r="P87" s="105">
        <v>5</v>
      </c>
      <c r="Q87" s="105">
        <v>4704</v>
      </c>
      <c r="R87" s="105">
        <v>6</v>
      </c>
      <c r="S87" s="105">
        <v>5644.7999999999993</v>
      </c>
      <c r="T87" s="105">
        <v>4</v>
      </c>
      <c r="U87" s="105">
        <v>3763.2</v>
      </c>
      <c r="V87" s="105">
        <v>5</v>
      </c>
      <c r="W87" s="105">
        <v>4704</v>
      </c>
      <c r="X87" s="105">
        <v>4</v>
      </c>
      <c r="Y87" s="105">
        <v>3763.2</v>
      </c>
      <c r="Z87" s="105">
        <v>3</v>
      </c>
      <c r="AA87" s="105">
        <v>2822.3999999999996</v>
      </c>
      <c r="AB87" s="105">
        <v>4</v>
      </c>
      <c r="AC87" s="105">
        <v>3763.2</v>
      </c>
      <c r="AD87" s="105">
        <v>5</v>
      </c>
      <c r="AE87" s="105">
        <v>4704</v>
      </c>
      <c r="AF87" s="105">
        <v>6</v>
      </c>
      <c r="AG87" s="105">
        <v>5644.7999999999993</v>
      </c>
      <c r="AH87" s="105">
        <v>5</v>
      </c>
      <c r="AI87" s="105">
        <v>4704</v>
      </c>
      <c r="AJ87" s="105">
        <v>3</v>
      </c>
      <c r="AK87" s="105">
        <v>2822.3999999999996</v>
      </c>
      <c r="AL87" s="105">
        <v>5</v>
      </c>
      <c r="AM87" s="105">
        <v>4704</v>
      </c>
      <c r="AN87" s="105">
        <v>5</v>
      </c>
      <c r="AO87" s="105">
        <v>4704</v>
      </c>
      <c r="AP87" s="105">
        <v>5</v>
      </c>
      <c r="AQ87" s="105">
        <v>4704</v>
      </c>
      <c r="AR87" s="105">
        <v>6</v>
      </c>
      <c r="AS87" s="105">
        <v>5644.7999999999993</v>
      </c>
      <c r="AT87" s="105">
        <v>3</v>
      </c>
      <c r="AU87" s="105">
        <v>2822.3999999999996</v>
      </c>
      <c r="AV87" s="105">
        <v>6</v>
      </c>
      <c r="AW87" s="105">
        <v>5644.7999999999993</v>
      </c>
      <c r="AX87" s="105">
        <v>6</v>
      </c>
      <c r="AY87" s="105">
        <v>5644.7999999999993</v>
      </c>
      <c r="AZ87" s="105">
        <v>4</v>
      </c>
      <c r="BA87" s="105">
        <v>3763.2</v>
      </c>
      <c r="BB87" s="105">
        <v>5</v>
      </c>
      <c r="BC87" s="105">
        <v>4704</v>
      </c>
      <c r="BD87" s="105">
        <v>4</v>
      </c>
      <c r="BE87" s="105">
        <v>3763.2</v>
      </c>
      <c r="BF87" s="105">
        <v>3</v>
      </c>
      <c r="BG87" s="105">
        <v>2822.3999999999996</v>
      </c>
      <c r="BH87" s="105">
        <v>5</v>
      </c>
      <c r="BI87" s="105">
        <v>4704</v>
      </c>
      <c r="BJ87" s="105">
        <v>3</v>
      </c>
      <c r="BK87" s="105">
        <v>2822.3999999999996</v>
      </c>
      <c r="BL87" s="105">
        <v>6</v>
      </c>
      <c r="BM87" s="105">
        <v>5644.7999999999993</v>
      </c>
      <c r="BN87" s="105">
        <v>6</v>
      </c>
      <c r="BO87" s="105">
        <v>5644.7999999999993</v>
      </c>
      <c r="BP87" s="105">
        <v>6</v>
      </c>
      <c r="BQ87" s="105">
        <v>5644.7999999999993</v>
      </c>
      <c r="BR87" s="105">
        <v>4</v>
      </c>
      <c r="BS87" s="105">
        <v>3763.2</v>
      </c>
      <c r="BT87" s="105">
        <v>5</v>
      </c>
      <c r="BU87" s="105">
        <v>4704</v>
      </c>
      <c r="BV87" s="105">
        <v>6</v>
      </c>
      <c r="BW87" s="105">
        <v>5644.7999999999993</v>
      </c>
      <c r="BX87" s="105">
        <v>6</v>
      </c>
      <c r="BY87" s="105">
        <v>5644.7999999999993</v>
      </c>
      <c r="BZ87" s="105">
        <v>7</v>
      </c>
      <c r="CA87" s="105">
        <v>6585.5999999999995</v>
      </c>
      <c r="CB87" s="105">
        <v>4</v>
      </c>
      <c r="CC87" s="105">
        <v>3763.2</v>
      </c>
      <c r="CD87" s="105">
        <v>6</v>
      </c>
      <c r="CE87" s="105">
        <v>5644.7999999999993</v>
      </c>
      <c r="CF87" s="105">
        <v>4</v>
      </c>
      <c r="CG87" s="105">
        <v>3763.2</v>
      </c>
      <c r="CH87" s="105">
        <v>4</v>
      </c>
      <c r="CI87" s="105">
        <v>3763.2</v>
      </c>
      <c r="CJ87" s="105">
        <v>4</v>
      </c>
      <c r="CK87" s="105">
        <v>3763.2</v>
      </c>
      <c r="CL87" s="105">
        <v>7</v>
      </c>
      <c r="CM87" s="105">
        <v>6585.5999999999995</v>
      </c>
      <c r="CN87" s="105">
        <v>4</v>
      </c>
      <c r="CO87" s="105">
        <v>3763.2</v>
      </c>
      <c r="CP87" s="105">
        <v>5</v>
      </c>
      <c r="CQ87" s="105">
        <v>4704</v>
      </c>
      <c r="CR87" s="105">
        <v>4</v>
      </c>
      <c r="CS87" s="105">
        <v>3763.2</v>
      </c>
      <c r="CT87" s="105">
        <v>4</v>
      </c>
      <c r="CU87" s="105">
        <v>3763.2</v>
      </c>
    </row>
    <row r="88" spans="2:99" x14ac:dyDescent="0.2">
      <c r="C88" s="104" t="s">
        <v>256</v>
      </c>
      <c r="D88" s="105">
        <v>0</v>
      </c>
      <c r="E88" s="105">
        <v>0</v>
      </c>
      <c r="F88" s="105">
        <v>4</v>
      </c>
      <c r="G88" s="105">
        <v>3504</v>
      </c>
      <c r="H88" s="105">
        <v>4</v>
      </c>
      <c r="I88" s="105">
        <v>3504</v>
      </c>
      <c r="J88" s="105">
        <v>5</v>
      </c>
      <c r="K88" s="105">
        <v>4380</v>
      </c>
      <c r="L88" s="105">
        <v>5</v>
      </c>
      <c r="M88" s="105">
        <v>4380</v>
      </c>
      <c r="N88" s="105">
        <v>4</v>
      </c>
      <c r="O88" s="105">
        <v>3504</v>
      </c>
      <c r="P88" s="105">
        <v>6</v>
      </c>
      <c r="Q88" s="105">
        <v>5256</v>
      </c>
      <c r="R88" s="105">
        <v>6</v>
      </c>
      <c r="S88" s="105">
        <v>5256</v>
      </c>
      <c r="T88" s="105">
        <v>4</v>
      </c>
      <c r="U88" s="105">
        <v>3504</v>
      </c>
      <c r="V88" s="105">
        <v>5</v>
      </c>
      <c r="W88" s="105">
        <v>4380</v>
      </c>
      <c r="X88" s="105">
        <v>5</v>
      </c>
      <c r="Y88" s="105">
        <v>4380</v>
      </c>
      <c r="Z88" s="105">
        <v>3</v>
      </c>
      <c r="AA88" s="105">
        <v>2628</v>
      </c>
      <c r="AB88" s="105">
        <v>4</v>
      </c>
      <c r="AC88" s="105">
        <v>3504</v>
      </c>
      <c r="AD88" s="105">
        <v>6</v>
      </c>
      <c r="AE88" s="105">
        <v>5256</v>
      </c>
      <c r="AF88" s="105">
        <v>6</v>
      </c>
      <c r="AG88" s="105">
        <v>5256</v>
      </c>
      <c r="AH88" s="105">
        <v>5</v>
      </c>
      <c r="AI88" s="105">
        <v>4380</v>
      </c>
      <c r="AJ88" s="105">
        <v>4</v>
      </c>
      <c r="AK88" s="105">
        <v>3504</v>
      </c>
      <c r="AL88" s="105">
        <v>5</v>
      </c>
      <c r="AM88" s="105">
        <v>4380</v>
      </c>
      <c r="AN88" s="105">
        <v>4</v>
      </c>
      <c r="AO88" s="105">
        <v>3504</v>
      </c>
      <c r="AP88" s="105">
        <v>5</v>
      </c>
      <c r="AQ88" s="105">
        <v>4380</v>
      </c>
      <c r="AR88" s="105">
        <v>6</v>
      </c>
      <c r="AS88" s="105">
        <v>5256</v>
      </c>
      <c r="AT88" s="105">
        <v>4</v>
      </c>
      <c r="AU88" s="105">
        <v>3504</v>
      </c>
      <c r="AV88" s="105">
        <v>6</v>
      </c>
      <c r="AW88" s="105">
        <v>5256</v>
      </c>
      <c r="AX88" s="105">
        <v>6</v>
      </c>
      <c r="AY88" s="105">
        <v>5256</v>
      </c>
      <c r="AZ88" s="105">
        <v>5</v>
      </c>
      <c r="BA88" s="105">
        <v>4380</v>
      </c>
      <c r="BB88" s="105">
        <v>5</v>
      </c>
      <c r="BC88" s="105">
        <v>4380</v>
      </c>
      <c r="BD88" s="105">
        <v>4</v>
      </c>
      <c r="BE88" s="105">
        <v>3504</v>
      </c>
      <c r="BF88" s="105">
        <v>3</v>
      </c>
      <c r="BG88" s="105">
        <v>2628</v>
      </c>
      <c r="BH88" s="105">
        <v>6</v>
      </c>
      <c r="BI88" s="105">
        <v>5256</v>
      </c>
      <c r="BJ88" s="105">
        <v>3</v>
      </c>
      <c r="BK88" s="105">
        <v>2628</v>
      </c>
      <c r="BL88" s="105">
        <v>6</v>
      </c>
      <c r="BM88" s="105">
        <v>5256</v>
      </c>
      <c r="BN88" s="105">
        <v>6</v>
      </c>
      <c r="BO88" s="105">
        <v>5256</v>
      </c>
      <c r="BP88" s="105">
        <v>6</v>
      </c>
      <c r="BQ88" s="105">
        <v>5256</v>
      </c>
      <c r="BR88" s="105">
        <v>3</v>
      </c>
      <c r="BS88" s="105">
        <v>2628</v>
      </c>
      <c r="BT88" s="105">
        <v>5</v>
      </c>
      <c r="BU88" s="105">
        <v>4380</v>
      </c>
      <c r="BV88" s="105">
        <v>6</v>
      </c>
      <c r="BW88" s="105">
        <v>5256</v>
      </c>
      <c r="BX88" s="105">
        <v>6</v>
      </c>
      <c r="BY88" s="105">
        <v>5256</v>
      </c>
      <c r="BZ88" s="105">
        <v>7</v>
      </c>
      <c r="CA88" s="105">
        <v>6132</v>
      </c>
      <c r="CB88" s="105">
        <v>4</v>
      </c>
      <c r="CC88" s="105">
        <v>3504</v>
      </c>
      <c r="CD88" s="105">
        <v>5</v>
      </c>
      <c r="CE88" s="105">
        <v>4380</v>
      </c>
      <c r="CF88" s="105">
        <v>4</v>
      </c>
      <c r="CG88" s="105">
        <v>3504</v>
      </c>
      <c r="CH88" s="105">
        <v>4</v>
      </c>
      <c r="CI88" s="105">
        <v>3504</v>
      </c>
      <c r="CJ88" s="105">
        <v>4</v>
      </c>
      <c r="CK88" s="105">
        <v>3504</v>
      </c>
      <c r="CL88" s="105">
        <v>6</v>
      </c>
      <c r="CM88" s="105">
        <v>5256</v>
      </c>
      <c r="CN88" s="105">
        <v>4</v>
      </c>
      <c r="CO88" s="105">
        <v>3504</v>
      </c>
      <c r="CP88" s="105">
        <v>5</v>
      </c>
      <c r="CQ88" s="105">
        <v>4380</v>
      </c>
      <c r="CR88" s="105">
        <v>4</v>
      </c>
      <c r="CS88" s="105">
        <v>3504</v>
      </c>
      <c r="CT88" s="105">
        <v>4</v>
      </c>
      <c r="CU88" s="105">
        <v>3504</v>
      </c>
    </row>
    <row r="89" spans="2:99" x14ac:dyDescent="0.2">
      <c r="C89" s="104" t="s">
        <v>257</v>
      </c>
      <c r="D89" s="105">
        <v>0</v>
      </c>
      <c r="E89" s="105">
        <v>0</v>
      </c>
      <c r="F89" s="105">
        <v>4</v>
      </c>
      <c r="G89" s="105">
        <v>2332.7999999999997</v>
      </c>
      <c r="H89" s="105">
        <v>4</v>
      </c>
      <c r="I89" s="105">
        <v>2332.7999999999997</v>
      </c>
      <c r="J89" s="105">
        <v>5</v>
      </c>
      <c r="K89" s="105">
        <v>2915.9999999999995</v>
      </c>
      <c r="L89" s="105">
        <v>5</v>
      </c>
      <c r="M89" s="105">
        <v>2915.9999999999995</v>
      </c>
      <c r="N89" s="105">
        <v>4</v>
      </c>
      <c r="O89" s="105">
        <v>2332.7999999999997</v>
      </c>
      <c r="P89" s="105">
        <v>5</v>
      </c>
      <c r="Q89" s="105">
        <v>2915.9999999999995</v>
      </c>
      <c r="R89" s="105">
        <v>6</v>
      </c>
      <c r="S89" s="105">
        <v>3499.2</v>
      </c>
      <c r="T89" s="105">
        <v>4</v>
      </c>
      <c r="U89" s="105">
        <v>2332.7999999999997</v>
      </c>
      <c r="V89" s="105">
        <v>5</v>
      </c>
      <c r="W89" s="105">
        <v>2915.9999999999995</v>
      </c>
      <c r="X89" s="105">
        <v>5</v>
      </c>
      <c r="Y89" s="105">
        <v>2915.9999999999995</v>
      </c>
      <c r="Z89" s="105">
        <v>4</v>
      </c>
      <c r="AA89" s="105">
        <v>2332.7999999999997</v>
      </c>
      <c r="AB89" s="105">
        <v>4</v>
      </c>
      <c r="AC89" s="105">
        <v>2332.7999999999997</v>
      </c>
      <c r="AD89" s="105">
        <v>6</v>
      </c>
      <c r="AE89" s="105">
        <v>3499.2</v>
      </c>
      <c r="AF89" s="105">
        <v>6</v>
      </c>
      <c r="AG89" s="105">
        <v>3499.2</v>
      </c>
      <c r="AH89" s="105">
        <v>6</v>
      </c>
      <c r="AI89" s="105">
        <v>3499.2</v>
      </c>
      <c r="AJ89" s="105">
        <v>3</v>
      </c>
      <c r="AK89" s="105">
        <v>1749.6</v>
      </c>
      <c r="AL89" s="105">
        <v>5</v>
      </c>
      <c r="AM89" s="105">
        <v>2915.9999999999995</v>
      </c>
      <c r="AN89" s="105">
        <v>4</v>
      </c>
      <c r="AO89" s="105">
        <v>2332.7999999999997</v>
      </c>
      <c r="AP89" s="105">
        <v>6</v>
      </c>
      <c r="AQ89" s="105">
        <v>3499.2</v>
      </c>
      <c r="AR89" s="105">
        <v>6</v>
      </c>
      <c r="AS89" s="105">
        <v>3499.2</v>
      </c>
      <c r="AT89" s="105">
        <v>4</v>
      </c>
      <c r="AU89" s="105">
        <v>2332.7999999999997</v>
      </c>
      <c r="AV89" s="105">
        <v>7</v>
      </c>
      <c r="AW89" s="105">
        <v>4082.3999999999996</v>
      </c>
      <c r="AX89" s="105">
        <v>6</v>
      </c>
      <c r="AY89" s="105">
        <v>3499.2</v>
      </c>
      <c r="AZ89" s="105">
        <v>5</v>
      </c>
      <c r="BA89" s="105">
        <v>2915.9999999999995</v>
      </c>
      <c r="BB89" s="105">
        <v>4</v>
      </c>
      <c r="BC89" s="105">
        <v>2332.7999999999997</v>
      </c>
      <c r="BD89" s="105">
        <v>4</v>
      </c>
      <c r="BE89" s="105">
        <v>2332.7999999999997</v>
      </c>
      <c r="BF89" s="105">
        <v>4</v>
      </c>
      <c r="BG89" s="105">
        <v>2332.7999999999997</v>
      </c>
      <c r="BH89" s="105">
        <v>5</v>
      </c>
      <c r="BI89" s="105">
        <v>2915.9999999999995</v>
      </c>
      <c r="BJ89" s="105">
        <v>3</v>
      </c>
      <c r="BK89" s="105">
        <v>1749.6</v>
      </c>
      <c r="BL89" s="105">
        <v>6</v>
      </c>
      <c r="BM89" s="105">
        <v>3499.2</v>
      </c>
      <c r="BN89" s="105">
        <v>6</v>
      </c>
      <c r="BO89" s="105">
        <v>3499.2</v>
      </c>
      <c r="BP89" s="105">
        <v>6</v>
      </c>
      <c r="BQ89" s="105">
        <v>3499.2</v>
      </c>
      <c r="BR89" s="105">
        <v>3</v>
      </c>
      <c r="BS89" s="105">
        <v>1749.6</v>
      </c>
      <c r="BT89" s="105">
        <v>5</v>
      </c>
      <c r="BU89" s="105">
        <v>2915.9999999999995</v>
      </c>
      <c r="BV89" s="105">
        <v>6</v>
      </c>
      <c r="BW89" s="105">
        <v>3499.2</v>
      </c>
      <c r="BX89" s="105">
        <v>5</v>
      </c>
      <c r="BY89" s="105">
        <v>2915.9999999999995</v>
      </c>
      <c r="BZ89" s="105">
        <v>7</v>
      </c>
      <c r="CA89" s="105">
        <v>4082.3999999999996</v>
      </c>
      <c r="CB89" s="105">
        <v>5</v>
      </c>
      <c r="CC89" s="105">
        <v>2915.9999999999995</v>
      </c>
      <c r="CD89" s="105">
        <v>6</v>
      </c>
      <c r="CE89" s="105">
        <v>3499.2</v>
      </c>
      <c r="CF89" s="105">
        <v>4</v>
      </c>
      <c r="CG89" s="105">
        <v>2332.7999999999997</v>
      </c>
      <c r="CH89" s="105">
        <v>4</v>
      </c>
      <c r="CI89" s="105">
        <v>2332.7999999999997</v>
      </c>
      <c r="CJ89" s="105">
        <v>3</v>
      </c>
      <c r="CK89" s="105">
        <v>1749.6</v>
      </c>
      <c r="CL89" s="105">
        <v>7</v>
      </c>
      <c r="CM89" s="105">
        <v>4082.3999999999996</v>
      </c>
      <c r="CN89" s="105">
        <v>5</v>
      </c>
      <c r="CO89" s="105">
        <v>2915.9999999999995</v>
      </c>
      <c r="CP89" s="105">
        <v>5</v>
      </c>
      <c r="CQ89" s="105">
        <v>2915.9999999999995</v>
      </c>
      <c r="CR89" s="105">
        <v>4</v>
      </c>
      <c r="CS89" s="105">
        <v>2332.7999999999997</v>
      </c>
      <c r="CT89" s="105">
        <v>4</v>
      </c>
      <c r="CU89" s="105">
        <v>2332.7999999999997</v>
      </c>
    </row>
    <row r="90" spans="2:99" x14ac:dyDescent="0.2">
      <c r="C90" s="104" t="s">
        <v>258</v>
      </c>
      <c r="D90" s="105">
        <v>0</v>
      </c>
      <c r="E90" s="105">
        <v>0</v>
      </c>
      <c r="F90" s="105">
        <v>4</v>
      </c>
      <c r="G90" s="105">
        <v>3273.6</v>
      </c>
      <c r="H90" s="105">
        <v>5</v>
      </c>
      <c r="I90" s="105">
        <v>4092</v>
      </c>
      <c r="J90" s="105">
        <v>5</v>
      </c>
      <c r="K90" s="105">
        <v>4092</v>
      </c>
      <c r="L90" s="105">
        <v>4</v>
      </c>
      <c r="M90" s="105">
        <v>3273.6</v>
      </c>
      <c r="N90" s="105">
        <v>4</v>
      </c>
      <c r="O90" s="105">
        <v>3273.6</v>
      </c>
      <c r="P90" s="105">
        <v>5</v>
      </c>
      <c r="Q90" s="105">
        <v>4092</v>
      </c>
      <c r="R90" s="105">
        <v>6</v>
      </c>
      <c r="S90" s="105">
        <v>4910.3999999999996</v>
      </c>
      <c r="T90" s="105">
        <v>4</v>
      </c>
      <c r="U90" s="105">
        <v>3273.6</v>
      </c>
      <c r="V90" s="105">
        <v>5</v>
      </c>
      <c r="W90" s="105">
        <v>4092</v>
      </c>
      <c r="X90" s="105">
        <v>4</v>
      </c>
      <c r="Y90" s="105">
        <v>3273.6</v>
      </c>
      <c r="Z90" s="105">
        <v>3</v>
      </c>
      <c r="AA90" s="105">
        <v>2455.1999999999998</v>
      </c>
      <c r="AB90" s="105">
        <v>4</v>
      </c>
      <c r="AC90" s="105">
        <v>3273.6</v>
      </c>
      <c r="AD90" s="105">
        <v>6</v>
      </c>
      <c r="AE90" s="105">
        <v>4910.3999999999996</v>
      </c>
      <c r="AF90" s="105">
        <v>6</v>
      </c>
      <c r="AG90" s="105">
        <v>4910.3999999999996</v>
      </c>
      <c r="AH90" s="105">
        <v>6</v>
      </c>
      <c r="AI90" s="105">
        <v>4910.3999999999996</v>
      </c>
      <c r="AJ90" s="105">
        <v>4</v>
      </c>
      <c r="AK90" s="105">
        <v>3273.6</v>
      </c>
      <c r="AL90" s="105">
        <v>5</v>
      </c>
      <c r="AM90" s="105">
        <v>4092</v>
      </c>
      <c r="AN90" s="105">
        <v>5</v>
      </c>
      <c r="AO90" s="105">
        <v>4092</v>
      </c>
      <c r="AP90" s="105">
        <v>5</v>
      </c>
      <c r="AQ90" s="105">
        <v>4092</v>
      </c>
      <c r="AR90" s="105">
        <v>6</v>
      </c>
      <c r="AS90" s="105">
        <v>4910.3999999999996</v>
      </c>
      <c r="AT90" s="105">
        <v>4</v>
      </c>
      <c r="AU90" s="105">
        <v>3273.6</v>
      </c>
      <c r="AV90" s="105">
        <v>6</v>
      </c>
      <c r="AW90" s="105">
        <v>4910.3999999999996</v>
      </c>
      <c r="AX90" s="105">
        <v>6</v>
      </c>
      <c r="AY90" s="105">
        <v>4910.3999999999996</v>
      </c>
      <c r="AZ90" s="105">
        <v>5</v>
      </c>
      <c r="BA90" s="105">
        <v>4092</v>
      </c>
      <c r="BB90" s="105">
        <v>5</v>
      </c>
      <c r="BC90" s="105">
        <v>4092</v>
      </c>
      <c r="BD90" s="105">
        <v>4</v>
      </c>
      <c r="BE90" s="105">
        <v>3273.6</v>
      </c>
      <c r="BF90" s="105">
        <v>4</v>
      </c>
      <c r="BG90" s="105">
        <v>3273.6</v>
      </c>
      <c r="BH90" s="105">
        <v>6</v>
      </c>
      <c r="BI90" s="105">
        <v>4910.3999999999996</v>
      </c>
      <c r="BJ90" s="105">
        <v>4</v>
      </c>
      <c r="BK90" s="105">
        <v>3273.6</v>
      </c>
      <c r="BL90" s="105">
        <v>6</v>
      </c>
      <c r="BM90" s="105">
        <v>4910.3999999999996</v>
      </c>
      <c r="BN90" s="105">
        <v>6</v>
      </c>
      <c r="BO90" s="105">
        <v>4910.3999999999996</v>
      </c>
      <c r="BP90" s="105">
        <v>6</v>
      </c>
      <c r="BQ90" s="105">
        <v>4910.3999999999996</v>
      </c>
      <c r="BR90" s="105">
        <v>3</v>
      </c>
      <c r="BS90" s="105">
        <v>2455.1999999999998</v>
      </c>
      <c r="BT90" s="105">
        <v>5</v>
      </c>
      <c r="BU90" s="105">
        <v>4092</v>
      </c>
      <c r="BV90" s="105">
        <v>7</v>
      </c>
      <c r="BW90" s="105">
        <v>5728.8</v>
      </c>
      <c r="BX90" s="105">
        <v>6</v>
      </c>
      <c r="BY90" s="105">
        <v>4910.3999999999996</v>
      </c>
      <c r="BZ90" s="105">
        <v>6</v>
      </c>
      <c r="CA90" s="105">
        <v>4910.3999999999996</v>
      </c>
      <c r="CB90" s="105">
        <v>5</v>
      </c>
      <c r="CC90" s="105">
        <v>4092</v>
      </c>
      <c r="CD90" s="105">
        <v>5</v>
      </c>
      <c r="CE90" s="105">
        <v>4092</v>
      </c>
      <c r="CF90" s="105">
        <v>4</v>
      </c>
      <c r="CG90" s="105">
        <v>3273.6</v>
      </c>
      <c r="CH90" s="105">
        <v>4</v>
      </c>
      <c r="CI90" s="105">
        <v>3273.6</v>
      </c>
      <c r="CJ90" s="105">
        <v>4</v>
      </c>
      <c r="CK90" s="105">
        <v>3273.6</v>
      </c>
      <c r="CL90" s="105">
        <v>7</v>
      </c>
      <c r="CM90" s="105">
        <v>5728.8</v>
      </c>
      <c r="CN90" s="105">
        <v>4</v>
      </c>
      <c r="CO90" s="105">
        <v>3273.6</v>
      </c>
      <c r="CP90" s="105">
        <v>5</v>
      </c>
      <c r="CQ90" s="105">
        <v>4092</v>
      </c>
      <c r="CR90" s="105">
        <v>4</v>
      </c>
      <c r="CS90" s="105">
        <v>3273.6</v>
      </c>
      <c r="CT90" s="105">
        <v>4</v>
      </c>
      <c r="CU90" s="105">
        <v>3273.6</v>
      </c>
    </row>
    <row r="91" spans="2:99" x14ac:dyDescent="0.2">
      <c r="C91" s="104" t="s">
        <v>259</v>
      </c>
      <c r="D91" s="105">
        <v>0</v>
      </c>
      <c r="E91" s="105">
        <v>0</v>
      </c>
      <c r="F91" s="105">
        <v>4</v>
      </c>
      <c r="G91" s="105">
        <v>3144</v>
      </c>
      <c r="H91" s="105">
        <v>4</v>
      </c>
      <c r="I91" s="105">
        <v>3144</v>
      </c>
      <c r="J91" s="105">
        <v>5</v>
      </c>
      <c r="K91" s="105">
        <v>3930</v>
      </c>
      <c r="L91" s="105">
        <v>4</v>
      </c>
      <c r="M91" s="105">
        <v>3144</v>
      </c>
      <c r="N91" s="105">
        <v>4</v>
      </c>
      <c r="O91" s="105">
        <v>3144</v>
      </c>
      <c r="P91" s="105">
        <v>6</v>
      </c>
      <c r="Q91" s="105">
        <v>4716</v>
      </c>
      <c r="R91" s="105">
        <v>6</v>
      </c>
      <c r="S91" s="105">
        <v>4716</v>
      </c>
      <c r="T91" s="105">
        <v>4</v>
      </c>
      <c r="U91" s="105">
        <v>3144</v>
      </c>
      <c r="V91" s="105">
        <v>6</v>
      </c>
      <c r="W91" s="105">
        <v>4716</v>
      </c>
      <c r="X91" s="105">
        <v>5</v>
      </c>
      <c r="Y91" s="105">
        <v>3930</v>
      </c>
      <c r="Z91" s="105">
        <v>3</v>
      </c>
      <c r="AA91" s="105">
        <v>2358</v>
      </c>
      <c r="AB91" s="105">
        <v>4</v>
      </c>
      <c r="AC91" s="105">
        <v>3144</v>
      </c>
      <c r="AD91" s="105">
        <v>6</v>
      </c>
      <c r="AE91" s="105">
        <v>4716</v>
      </c>
      <c r="AF91" s="105">
        <v>6</v>
      </c>
      <c r="AG91" s="105">
        <v>4716</v>
      </c>
      <c r="AH91" s="105">
        <v>6</v>
      </c>
      <c r="AI91" s="105">
        <v>4716</v>
      </c>
      <c r="AJ91" s="105">
        <v>4</v>
      </c>
      <c r="AK91" s="105">
        <v>3144</v>
      </c>
      <c r="AL91" s="105">
        <v>5</v>
      </c>
      <c r="AM91" s="105">
        <v>3930</v>
      </c>
      <c r="AN91" s="105">
        <v>4</v>
      </c>
      <c r="AO91" s="105">
        <v>3144</v>
      </c>
      <c r="AP91" s="105">
        <v>5</v>
      </c>
      <c r="AQ91" s="105">
        <v>3930</v>
      </c>
      <c r="AR91" s="105">
        <v>6</v>
      </c>
      <c r="AS91" s="105">
        <v>4716</v>
      </c>
      <c r="AT91" s="105">
        <v>4</v>
      </c>
      <c r="AU91" s="105">
        <v>3144</v>
      </c>
      <c r="AV91" s="105">
        <v>6</v>
      </c>
      <c r="AW91" s="105">
        <v>4716</v>
      </c>
      <c r="AX91" s="105">
        <v>6</v>
      </c>
      <c r="AY91" s="105">
        <v>4716</v>
      </c>
      <c r="AZ91" s="105">
        <v>5</v>
      </c>
      <c r="BA91" s="105">
        <v>3930</v>
      </c>
      <c r="BB91" s="105">
        <v>5</v>
      </c>
      <c r="BC91" s="105">
        <v>3930</v>
      </c>
      <c r="BD91" s="105">
        <v>4</v>
      </c>
      <c r="BE91" s="105">
        <v>3144</v>
      </c>
      <c r="BF91" s="105">
        <v>4</v>
      </c>
      <c r="BG91" s="105">
        <v>3144</v>
      </c>
      <c r="BH91" s="105">
        <v>6</v>
      </c>
      <c r="BI91" s="105">
        <v>4716</v>
      </c>
      <c r="BJ91" s="105">
        <v>3</v>
      </c>
      <c r="BK91" s="105">
        <v>2358</v>
      </c>
      <c r="BL91" s="105">
        <v>6</v>
      </c>
      <c r="BM91" s="105">
        <v>4716</v>
      </c>
      <c r="BN91" s="105">
        <v>5</v>
      </c>
      <c r="BO91" s="105">
        <v>3930</v>
      </c>
      <c r="BP91" s="105">
        <v>6</v>
      </c>
      <c r="BQ91" s="105">
        <v>4716</v>
      </c>
      <c r="BR91" s="105">
        <v>3</v>
      </c>
      <c r="BS91" s="105">
        <v>2358</v>
      </c>
      <c r="BT91" s="105">
        <v>5</v>
      </c>
      <c r="BU91" s="105">
        <v>3930</v>
      </c>
      <c r="BV91" s="105">
        <v>6</v>
      </c>
      <c r="BW91" s="105">
        <v>4716</v>
      </c>
      <c r="BX91" s="105">
        <v>6</v>
      </c>
      <c r="BY91" s="105">
        <v>4716</v>
      </c>
      <c r="BZ91" s="105">
        <v>7</v>
      </c>
      <c r="CA91" s="105">
        <v>5502</v>
      </c>
      <c r="CB91" s="105">
        <v>4</v>
      </c>
      <c r="CC91" s="105">
        <v>3144</v>
      </c>
      <c r="CD91" s="105">
        <v>6</v>
      </c>
      <c r="CE91" s="105">
        <v>4716</v>
      </c>
      <c r="CF91" s="105">
        <v>4</v>
      </c>
      <c r="CG91" s="105">
        <v>3144</v>
      </c>
      <c r="CH91" s="105">
        <v>4</v>
      </c>
      <c r="CI91" s="105">
        <v>3144</v>
      </c>
      <c r="CJ91" s="105">
        <v>4</v>
      </c>
      <c r="CK91" s="105">
        <v>3144</v>
      </c>
      <c r="CL91" s="105">
        <v>6</v>
      </c>
      <c r="CM91" s="105">
        <v>4716</v>
      </c>
      <c r="CN91" s="105">
        <v>4</v>
      </c>
      <c r="CO91" s="105">
        <v>3144</v>
      </c>
      <c r="CP91" s="105">
        <v>5</v>
      </c>
      <c r="CQ91" s="105">
        <v>3930</v>
      </c>
      <c r="CR91" s="105">
        <v>4</v>
      </c>
      <c r="CS91" s="105">
        <v>3144</v>
      </c>
      <c r="CT91" s="105">
        <v>4</v>
      </c>
      <c r="CU91" s="105">
        <v>3144</v>
      </c>
    </row>
    <row r="92" spans="2:99" x14ac:dyDescent="0.2">
      <c r="C92" s="104" t="s">
        <v>260</v>
      </c>
      <c r="D92" s="105">
        <v>0</v>
      </c>
      <c r="E92" s="105">
        <v>0</v>
      </c>
      <c r="F92" s="105">
        <v>4</v>
      </c>
      <c r="G92" s="105">
        <v>3748.7999999999997</v>
      </c>
      <c r="H92" s="105">
        <v>4</v>
      </c>
      <c r="I92" s="105">
        <v>3748.7999999999997</v>
      </c>
      <c r="J92" s="105">
        <v>4</v>
      </c>
      <c r="K92" s="105">
        <v>3748.7999999999997</v>
      </c>
      <c r="L92" s="105">
        <v>4</v>
      </c>
      <c r="M92" s="105">
        <v>3748.7999999999997</v>
      </c>
      <c r="N92" s="105">
        <v>4</v>
      </c>
      <c r="O92" s="105">
        <v>3748.7999999999997</v>
      </c>
      <c r="P92" s="105">
        <v>6</v>
      </c>
      <c r="Q92" s="105">
        <v>5623.2</v>
      </c>
      <c r="R92" s="105">
        <v>5</v>
      </c>
      <c r="S92" s="105">
        <v>4686</v>
      </c>
      <c r="T92" s="105">
        <v>5</v>
      </c>
      <c r="U92" s="105">
        <v>4686</v>
      </c>
      <c r="V92" s="105">
        <v>5</v>
      </c>
      <c r="W92" s="105">
        <v>4686</v>
      </c>
      <c r="X92" s="105">
        <v>5</v>
      </c>
      <c r="Y92" s="105">
        <v>4686</v>
      </c>
      <c r="Z92" s="105">
        <v>3</v>
      </c>
      <c r="AA92" s="105">
        <v>2811.6</v>
      </c>
      <c r="AB92" s="105">
        <v>4</v>
      </c>
      <c r="AC92" s="105">
        <v>3748.7999999999997</v>
      </c>
      <c r="AD92" s="105">
        <v>6</v>
      </c>
      <c r="AE92" s="105">
        <v>5623.2</v>
      </c>
      <c r="AF92" s="105">
        <v>6</v>
      </c>
      <c r="AG92" s="105">
        <v>5623.2</v>
      </c>
      <c r="AH92" s="105">
        <v>6</v>
      </c>
      <c r="AI92" s="105">
        <v>5623.2</v>
      </c>
      <c r="AJ92" s="105">
        <v>4</v>
      </c>
      <c r="AK92" s="105">
        <v>3748.7999999999997</v>
      </c>
      <c r="AL92" s="105">
        <v>5</v>
      </c>
      <c r="AM92" s="105">
        <v>4686</v>
      </c>
      <c r="AN92" s="105">
        <v>4</v>
      </c>
      <c r="AO92" s="105">
        <v>3748.7999999999997</v>
      </c>
      <c r="AP92" s="105">
        <v>5</v>
      </c>
      <c r="AQ92" s="105">
        <v>4686</v>
      </c>
      <c r="AR92" s="105">
        <v>6</v>
      </c>
      <c r="AS92" s="105">
        <v>5623.2</v>
      </c>
      <c r="AT92" s="105">
        <v>4</v>
      </c>
      <c r="AU92" s="105">
        <v>3748.7999999999997</v>
      </c>
      <c r="AV92" s="105">
        <v>6</v>
      </c>
      <c r="AW92" s="105">
        <v>5623.2</v>
      </c>
      <c r="AX92" s="105">
        <v>6</v>
      </c>
      <c r="AY92" s="105">
        <v>5623.2</v>
      </c>
      <c r="AZ92" s="105">
        <v>5</v>
      </c>
      <c r="BA92" s="105">
        <v>4686</v>
      </c>
      <c r="BB92" s="105">
        <v>5</v>
      </c>
      <c r="BC92" s="105">
        <v>4686</v>
      </c>
      <c r="BD92" s="105">
        <v>4</v>
      </c>
      <c r="BE92" s="105">
        <v>3748.7999999999997</v>
      </c>
      <c r="BF92" s="105">
        <v>4</v>
      </c>
      <c r="BG92" s="105">
        <v>3748.7999999999997</v>
      </c>
      <c r="BH92" s="105">
        <v>6</v>
      </c>
      <c r="BI92" s="105">
        <v>5623.2</v>
      </c>
      <c r="BJ92" s="105">
        <v>3</v>
      </c>
      <c r="BK92" s="105">
        <v>2811.6</v>
      </c>
      <c r="BL92" s="105">
        <v>6</v>
      </c>
      <c r="BM92" s="105">
        <v>5623.2</v>
      </c>
      <c r="BN92" s="105">
        <v>6</v>
      </c>
      <c r="BO92" s="105">
        <v>5623.2</v>
      </c>
      <c r="BP92" s="105">
        <v>5</v>
      </c>
      <c r="BQ92" s="105">
        <v>4686</v>
      </c>
      <c r="BR92" s="105">
        <v>3</v>
      </c>
      <c r="BS92" s="105">
        <v>2811.6</v>
      </c>
      <c r="BT92" s="105">
        <v>5</v>
      </c>
      <c r="BU92" s="105">
        <v>4686</v>
      </c>
      <c r="BV92" s="105">
        <v>7</v>
      </c>
      <c r="BW92" s="105">
        <v>6560.4</v>
      </c>
      <c r="BX92" s="105">
        <v>6</v>
      </c>
      <c r="BY92" s="105">
        <v>5623.2</v>
      </c>
      <c r="BZ92" s="105">
        <v>6</v>
      </c>
      <c r="CA92" s="105">
        <v>5623.2</v>
      </c>
      <c r="CB92" s="105">
        <v>5</v>
      </c>
      <c r="CC92" s="105">
        <v>4686</v>
      </c>
      <c r="CD92" s="105">
        <v>6</v>
      </c>
      <c r="CE92" s="105">
        <v>5623.2</v>
      </c>
      <c r="CF92" s="105">
        <v>4</v>
      </c>
      <c r="CG92" s="105">
        <v>3748.7999999999997</v>
      </c>
      <c r="CH92" s="105">
        <v>4</v>
      </c>
      <c r="CI92" s="105">
        <v>3748.7999999999997</v>
      </c>
      <c r="CJ92" s="105">
        <v>4</v>
      </c>
      <c r="CK92" s="105">
        <v>3748.7999999999997</v>
      </c>
      <c r="CL92" s="105">
        <v>7</v>
      </c>
      <c r="CM92" s="105">
        <v>6560.4</v>
      </c>
      <c r="CN92" s="105">
        <v>5</v>
      </c>
      <c r="CO92" s="105">
        <v>4686</v>
      </c>
      <c r="CP92" s="105">
        <v>5</v>
      </c>
      <c r="CQ92" s="105">
        <v>4686</v>
      </c>
      <c r="CR92" s="105">
        <v>4</v>
      </c>
      <c r="CS92" s="105">
        <v>3748.7999999999997</v>
      </c>
      <c r="CT92" s="105">
        <v>4</v>
      </c>
      <c r="CU92" s="105">
        <v>3748.7999999999997</v>
      </c>
    </row>
    <row r="93" spans="2:99" x14ac:dyDescent="0.2">
      <c r="C93" s="104" t="s">
        <v>261</v>
      </c>
      <c r="D93" s="105">
        <v>0</v>
      </c>
      <c r="E93" s="105">
        <v>0</v>
      </c>
      <c r="F93" s="105">
        <v>4</v>
      </c>
      <c r="G93" s="105">
        <v>2337.6</v>
      </c>
      <c r="H93" s="105">
        <v>4</v>
      </c>
      <c r="I93" s="105">
        <v>2337.6</v>
      </c>
      <c r="J93" s="105">
        <v>5</v>
      </c>
      <c r="K93" s="105">
        <v>2922</v>
      </c>
      <c r="L93" s="105">
        <v>5</v>
      </c>
      <c r="M93" s="105">
        <v>2922</v>
      </c>
      <c r="N93" s="105">
        <v>4</v>
      </c>
      <c r="O93" s="105">
        <v>2337.6</v>
      </c>
      <c r="P93" s="105">
        <v>6</v>
      </c>
      <c r="Q93" s="105">
        <v>3506.3999999999996</v>
      </c>
      <c r="R93" s="105">
        <v>5</v>
      </c>
      <c r="S93" s="105">
        <v>2922</v>
      </c>
      <c r="T93" s="105">
        <v>4</v>
      </c>
      <c r="U93" s="105">
        <v>2337.6</v>
      </c>
      <c r="V93" s="105">
        <v>5</v>
      </c>
      <c r="W93" s="105">
        <v>2922</v>
      </c>
      <c r="X93" s="105">
        <v>5</v>
      </c>
      <c r="Y93" s="105">
        <v>2922</v>
      </c>
      <c r="Z93" s="105">
        <v>3</v>
      </c>
      <c r="AA93" s="105">
        <v>1753.1999999999998</v>
      </c>
      <c r="AB93" s="105">
        <v>4</v>
      </c>
      <c r="AC93" s="105">
        <v>2337.6</v>
      </c>
      <c r="AD93" s="105">
        <v>5</v>
      </c>
      <c r="AE93" s="105">
        <v>2922</v>
      </c>
      <c r="AF93" s="105">
        <v>6</v>
      </c>
      <c r="AG93" s="105">
        <v>3506.3999999999996</v>
      </c>
      <c r="AH93" s="105">
        <v>6</v>
      </c>
      <c r="AI93" s="105">
        <v>3506.3999999999996</v>
      </c>
      <c r="AJ93" s="105">
        <v>3</v>
      </c>
      <c r="AK93" s="105">
        <v>1753.1999999999998</v>
      </c>
      <c r="AL93" s="105">
        <v>5</v>
      </c>
      <c r="AM93" s="105">
        <v>2922</v>
      </c>
      <c r="AN93" s="105">
        <v>4</v>
      </c>
      <c r="AO93" s="105">
        <v>2337.6</v>
      </c>
      <c r="AP93" s="105">
        <v>5</v>
      </c>
      <c r="AQ93" s="105">
        <v>2922</v>
      </c>
      <c r="AR93" s="105">
        <v>6</v>
      </c>
      <c r="AS93" s="105">
        <v>3506.3999999999996</v>
      </c>
      <c r="AT93" s="105">
        <v>4</v>
      </c>
      <c r="AU93" s="105">
        <v>2337.6</v>
      </c>
      <c r="AV93" s="105">
        <v>6</v>
      </c>
      <c r="AW93" s="105">
        <v>3506.3999999999996</v>
      </c>
      <c r="AX93" s="105">
        <v>6</v>
      </c>
      <c r="AY93" s="105">
        <v>3506.3999999999996</v>
      </c>
      <c r="AZ93" s="105">
        <v>5</v>
      </c>
      <c r="BA93" s="105">
        <v>2922</v>
      </c>
      <c r="BB93" s="105">
        <v>5</v>
      </c>
      <c r="BC93" s="105">
        <v>2922</v>
      </c>
      <c r="BD93" s="105">
        <v>4</v>
      </c>
      <c r="BE93" s="105">
        <v>2337.6</v>
      </c>
      <c r="BF93" s="105">
        <v>4</v>
      </c>
      <c r="BG93" s="105">
        <v>2337.6</v>
      </c>
      <c r="BH93" s="105">
        <v>5</v>
      </c>
      <c r="BI93" s="105">
        <v>2922</v>
      </c>
      <c r="BJ93" s="105">
        <v>3</v>
      </c>
      <c r="BK93" s="105">
        <v>1753.1999999999998</v>
      </c>
      <c r="BL93" s="105">
        <v>6</v>
      </c>
      <c r="BM93" s="105">
        <v>3506.3999999999996</v>
      </c>
      <c r="BN93" s="105">
        <v>5</v>
      </c>
      <c r="BO93" s="105">
        <v>2922</v>
      </c>
      <c r="BP93" s="105">
        <v>6</v>
      </c>
      <c r="BQ93" s="105">
        <v>3506.3999999999996</v>
      </c>
      <c r="BR93" s="105">
        <v>4</v>
      </c>
      <c r="BS93" s="105">
        <v>2337.6</v>
      </c>
      <c r="BT93" s="105">
        <v>5</v>
      </c>
      <c r="BU93" s="105">
        <v>2922</v>
      </c>
      <c r="BV93" s="105">
        <v>7</v>
      </c>
      <c r="BW93" s="105">
        <v>4090.7999999999997</v>
      </c>
      <c r="BX93" s="105">
        <v>6</v>
      </c>
      <c r="BY93" s="105">
        <v>3506.3999999999996</v>
      </c>
      <c r="BZ93" s="105">
        <v>6</v>
      </c>
      <c r="CA93" s="105">
        <v>3506.3999999999996</v>
      </c>
      <c r="CB93" s="105">
        <v>5</v>
      </c>
      <c r="CC93" s="105">
        <v>2922</v>
      </c>
      <c r="CD93" s="105">
        <v>6</v>
      </c>
      <c r="CE93" s="105">
        <v>3506.3999999999996</v>
      </c>
      <c r="CF93" s="105">
        <v>4</v>
      </c>
      <c r="CG93" s="105">
        <v>2337.6</v>
      </c>
      <c r="CH93" s="105">
        <v>4</v>
      </c>
      <c r="CI93" s="105">
        <v>2337.6</v>
      </c>
      <c r="CJ93" s="105">
        <v>4</v>
      </c>
      <c r="CK93" s="105">
        <v>2337.6</v>
      </c>
      <c r="CL93" s="105">
        <v>7</v>
      </c>
      <c r="CM93" s="105">
        <v>4090.7999999999997</v>
      </c>
      <c r="CN93" s="105">
        <v>4</v>
      </c>
      <c r="CO93" s="105">
        <v>2337.6</v>
      </c>
      <c r="CP93" s="105">
        <v>5</v>
      </c>
      <c r="CQ93" s="105">
        <v>2922</v>
      </c>
      <c r="CR93" s="105">
        <v>4</v>
      </c>
      <c r="CS93" s="105">
        <v>2337.6</v>
      </c>
      <c r="CT93" s="105">
        <v>4</v>
      </c>
      <c r="CU93" s="105">
        <v>2337.6</v>
      </c>
    </row>
    <row r="94" spans="2:99" x14ac:dyDescent="0.2">
      <c r="C94" s="104" t="s">
        <v>262</v>
      </c>
      <c r="D94" s="105">
        <v>0</v>
      </c>
      <c r="E94" s="105">
        <v>0</v>
      </c>
      <c r="F94" s="105">
        <v>4</v>
      </c>
      <c r="G94" s="105">
        <v>3206.4</v>
      </c>
      <c r="H94" s="105">
        <v>4</v>
      </c>
      <c r="I94" s="105">
        <v>3206.4</v>
      </c>
      <c r="J94" s="105">
        <v>5</v>
      </c>
      <c r="K94" s="105">
        <v>4008</v>
      </c>
      <c r="L94" s="105">
        <v>5</v>
      </c>
      <c r="M94" s="105">
        <v>4008</v>
      </c>
      <c r="N94" s="105">
        <v>4</v>
      </c>
      <c r="O94" s="105">
        <v>3206.4</v>
      </c>
      <c r="P94" s="105">
        <v>6</v>
      </c>
      <c r="Q94" s="105">
        <v>4809.6000000000004</v>
      </c>
      <c r="R94" s="105">
        <v>6</v>
      </c>
      <c r="S94" s="105">
        <v>4809.6000000000004</v>
      </c>
      <c r="T94" s="105">
        <v>5</v>
      </c>
      <c r="U94" s="105">
        <v>4008</v>
      </c>
      <c r="V94" s="105">
        <v>5</v>
      </c>
      <c r="W94" s="105">
        <v>4008</v>
      </c>
      <c r="X94" s="105">
        <v>5</v>
      </c>
      <c r="Y94" s="105">
        <v>4008</v>
      </c>
      <c r="Z94" s="105">
        <v>3</v>
      </c>
      <c r="AA94" s="105">
        <v>2404.8000000000002</v>
      </c>
      <c r="AB94" s="105">
        <v>4</v>
      </c>
      <c r="AC94" s="105">
        <v>3206.4</v>
      </c>
      <c r="AD94" s="105">
        <v>5</v>
      </c>
      <c r="AE94" s="105">
        <v>4008</v>
      </c>
      <c r="AF94" s="105">
        <v>6</v>
      </c>
      <c r="AG94" s="105">
        <v>4809.6000000000004</v>
      </c>
      <c r="AH94" s="105">
        <v>6</v>
      </c>
      <c r="AI94" s="105">
        <v>4809.6000000000004</v>
      </c>
      <c r="AJ94" s="105">
        <v>3</v>
      </c>
      <c r="AK94" s="105">
        <v>2404.8000000000002</v>
      </c>
      <c r="AL94" s="105">
        <v>6</v>
      </c>
      <c r="AM94" s="105">
        <v>4809.6000000000004</v>
      </c>
      <c r="AN94" s="105">
        <v>5</v>
      </c>
      <c r="AO94" s="105">
        <v>4008</v>
      </c>
      <c r="AP94" s="105">
        <v>5</v>
      </c>
      <c r="AQ94" s="105">
        <v>4008</v>
      </c>
      <c r="AR94" s="105">
        <v>6</v>
      </c>
      <c r="AS94" s="105">
        <v>4809.6000000000004</v>
      </c>
      <c r="AT94" s="105">
        <v>4</v>
      </c>
      <c r="AU94" s="105">
        <v>3206.4</v>
      </c>
      <c r="AV94" s="105">
        <v>6</v>
      </c>
      <c r="AW94" s="105">
        <v>4809.6000000000004</v>
      </c>
      <c r="AX94" s="105">
        <v>6</v>
      </c>
      <c r="AY94" s="105">
        <v>4809.6000000000004</v>
      </c>
      <c r="AZ94" s="105">
        <v>5</v>
      </c>
      <c r="BA94" s="105">
        <v>4008</v>
      </c>
      <c r="BB94" s="105">
        <v>4</v>
      </c>
      <c r="BC94" s="105">
        <v>3206.4</v>
      </c>
      <c r="BD94" s="105">
        <v>4</v>
      </c>
      <c r="BE94" s="105">
        <v>3206.4</v>
      </c>
      <c r="BF94" s="105">
        <v>4</v>
      </c>
      <c r="BG94" s="105">
        <v>3206.4</v>
      </c>
      <c r="BH94" s="105">
        <v>5</v>
      </c>
      <c r="BI94" s="105">
        <v>4008</v>
      </c>
      <c r="BJ94" s="105">
        <v>4</v>
      </c>
      <c r="BK94" s="105">
        <v>3206.4</v>
      </c>
      <c r="BL94" s="105">
        <v>5</v>
      </c>
      <c r="BM94" s="105">
        <v>4008</v>
      </c>
      <c r="BN94" s="105">
        <v>6</v>
      </c>
      <c r="BO94" s="105">
        <v>4809.6000000000004</v>
      </c>
      <c r="BP94" s="105">
        <v>6</v>
      </c>
      <c r="BQ94" s="105">
        <v>4809.6000000000004</v>
      </c>
      <c r="BR94" s="105">
        <v>3</v>
      </c>
      <c r="BS94" s="105">
        <v>2404.8000000000002</v>
      </c>
      <c r="BT94" s="105">
        <v>5</v>
      </c>
      <c r="BU94" s="105">
        <v>4008</v>
      </c>
      <c r="BV94" s="105">
        <v>6</v>
      </c>
      <c r="BW94" s="105">
        <v>4809.6000000000004</v>
      </c>
      <c r="BX94" s="105">
        <v>6</v>
      </c>
      <c r="BY94" s="105">
        <v>4809.6000000000004</v>
      </c>
      <c r="BZ94" s="105">
        <v>7</v>
      </c>
      <c r="CA94" s="105">
        <v>5611.2</v>
      </c>
      <c r="CB94" s="105">
        <v>4</v>
      </c>
      <c r="CC94" s="105">
        <v>3206.4</v>
      </c>
      <c r="CD94" s="105">
        <v>6</v>
      </c>
      <c r="CE94" s="105">
        <v>4809.6000000000004</v>
      </c>
      <c r="CF94" s="105">
        <v>4</v>
      </c>
      <c r="CG94" s="105">
        <v>3206.4</v>
      </c>
      <c r="CH94" s="105">
        <v>4</v>
      </c>
      <c r="CI94" s="105">
        <v>3206.4</v>
      </c>
      <c r="CJ94" s="105">
        <v>4</v>
      </c>
      <c r="CK94" s="105">
        <v>3206.4</v>
      </c>
      <c r="CL94" s="105">
        <v>7</v>
      </c>
      <c r="CM94" s="105">
        <v>5611.2</v>
      </c>
      <c r="CN94" s="105">
        <v>4</v>
      </c>
      <c r="CO94" s="105">
        <v>3206.4</v>
      </c>
      <c r="CP94" s="105">
        <v>5</v>
      </c>
      <c r="CQ94" s="105">
        <v>4008</v>
      </c>
      <c r="CR94" s="105">
        <v>4</v>
      </c>
      <c r="CS94" s="105">
        <v>3206.4</v>
      </c>
      <c r="CT94" s="105">
        <v>4</v>
      </c>
      <c r="CU94" s="105">
        <v>3206.4</v>
      </c>
    </row>
    <row r="95" spans="2:99" x14ac:dyDescent="0.2">
      <c r="B95" s="104" t="s">
        <v>132</v>
      </c>
      <c r="C95" s="104" t="s">
        <v>263</v>
      </c>
      <c r="D95" s="105">
        <v>0</v>
      </c>
      <c r="E95" s="105">
        <v>0</v>
      </c>
      <c r="F95" s="105">
        <v>7</v>
      </c>
      <c r="G95" s="105">
        <v>2688</v>
      </c>
      <c r="H95" s="105">
        <v>6</v>
      </c>
      <c r="I95" s="105">
        <v>2304</v>
      </c>
      <c r="J95" s="105">
        <v>4</v>
      </c>
      <c r="K95" s="105">
        <v>1536</v>
      </c>
      <c r="L95" s="105">
        <v>6</v>
      </c>
      <c r="M95" s="105">
        <v>2304</v>
      </c>
      <c r="N95" s="105">
        <v>5</v>
      </c>
      <c r="O95" s="105">
        <v>1920</v>
      </c>
      <c r="P95" s="105">
        <v>7</v>
      </c>
      <c r="Q95" s="105">
        <v>2688</v>
      </c>
      <c r="R95" s="105">
        <v>7</v>
      </c>
      <c r="S95" s="105">
        <v>2688</v>
      </c>
      <c r="T95" s="105">
        <v>8</v>
      </c>
      <c r="U95" s="105">
        <v>3072</v>
      </c>
      <c r="V95" s="105">
        <v>7</v>
      </c>
      <c r="W95" s="105">
        <v>2688</v>
      </c>
      <c r="X95" s="105">
        <v>5</v>
      </c>
      <c r="Y95" s="105">
        <v>1920</v>
      </c>
      <c r="Z95" s="105">
        <v>6</v>
      </c>
      <c r="AA95" s="105">
        <v>2304</v>
      </c>
      <c r="AB95" s="105">
        <v>7</v>
      </c>
      <c r="AC95" s="105">
        <v>2688</v>
      </c>
      <c r="AD95" s="105">
        <v>6</v>
      </c>
      <c r="AE95" s="105">
        <v>2304</v>
      </c>
      <c r="AF95" s="105">
        <v>7</v>
      </c>
      <c r="AG95" s="105">
        <v>2688</v>
      </c>
      <c r="AH95" s="105">
        <v>4</v>
      </c>
      <c r="AI95" s="105">
        <v>1536</v>
      </c>
      <c r="AJ95" s="105">
        <v>4</v>
      </c>
      <c r="AK95" s="105">
        <v>1536</v>
      </c>
      <c r="AL95" s="105">
        <v>6</v>
      </c>
      <c r="AM95" s="105">
        <v>2304</v>
      </c>
      <c r="AN95" s="105">
        <v>4</v>
      </c>
      <c r="AO95" s="105">
        <v>1536</v>
      </c>
      <c r="AP95" s="105">
        <v>8</v>
      </c>
      <c r="AQ95" s="105">
        <v>3072</v>
      </c>
      <c r="AR95" s="105">
        <v>4</v>
      </c>
      <c r="AS95" s="105">
        <v>1536</v>
      </c>
      <c r="AT95" s="105">
        <v>4</v>
      </c>
      <c r="AU95" s="105">
        <v>1536</v>
      </c>
      <c r="AV95" s="105">
        <v>4</v>
      </c>
      <c r="AW95" s="105">
        <v>1536</v>
      </c>
      <c r="AX95" s="105">
        <v>5</v>
      </c>
      <c r="AY95" s="105">
        <v>1920</v>
      </c>
      <c r="AZ95" s="105">
        <v>6</v>
      </c>
      <c r="BA95" s="105">
        <v>2304</v>
      </c>
      <c r="BB95" s="105">
        <v>7</v>
      </c>
      <c r="BC95" s="105">
        <v>2688</v>
      </c>
      <c r="BD95" s="105">
        <v>8</v>
      </c>
      <c r="BE95" s="105">
        <v>3072</v>
      </c>
      <c r="BF95" s="105">
        <v>7</v>
      </c>
      <c r="BG95" s="105">
        <v>2688</v>
      </c>
      <c r="BH95" s="105">
        <v>5</v>
      </c>
      <c r="BI95" s="105">
        <v>1920</v>
      </c>
      <c r="BJ95" s="105">
        <v>7</v>
      </c>
      <c r="BK95" s="105">
        <v>2688</v>
      </c>
      <c r="BL95" s="105">
        <v>6</v>
      </c>
      <c r="BM95" s="105">
        <v>2304</v>
      </c>
      <c r="BN95" s="105">
        <v>6</v>
      </c>
      <c r="BO95" s="105">
        <v>2304</v>
      </c>
      <c r="BP95" s="105">
        <v>6</v>
      </c>
      <c r="BQ95" s="105">
        <v>2304</v>
      </c>
      <c r="BR95" s="105">
        <v>7</v>
      </c>
      <c r="BS95" s="105">
        <v>2688</v>
      </c>
      <c r="BT95" s="105">
        <v>6</v>
      </c>
      <c r="BU95" s="105">
        <v>2304</v>
      </c>
      <c r="BV95" s="105">
        <v>5</v>
      </c>
      <c r="BW95" s="105">
        <v>1920</v>
      </c>
      <c r="BX95" s="105">
        <v>4</v>
      </c>
      <c r="BY95" s="105">
        <v>1536</v>
      </c>
      <c r="BZ95" s="105">
        <v>6</v>
      </c>
      <c r="CA95" s="105">
        <v>2304</v>
      </c>
      <c r="CB95" s="105">
        <v>4</v>
      </c>
      <c r="CC95" s="105">
        <v>1536</v>
      </c>
      <c r="CD95" s="105">
        <v>7</v>
      </c>
      <c r="CE95" s="105">
        <v>2688</v>
      </c>
      <c r="CF95" s="105">
        <v>5</v>
      </c>
      <c r="CG95" s="105">
        <v>1920</v>
      </c>
      <c r="CH95" s="105">
        <v>4</v>
      </c>
      <c r="CI95" s="105">
        <v>1536</v>
      </c>
      <c r="CJ95" s="105">
        <v>8</v>
      </c>
      <c r="CK95" s="105">
        <v>3072</v>
      </c>
      <c r="CL95" s="105">
        <v>4</v>
      </c>
      <c r="CM95" s="105">
        <v>1536</v>
      </c>
      <c r="CN95" s="105">
        <v>6</v>
      </c>
      <c r="CO95" s="105">
        <v>2304</v>
      </c>
      <c r="CP95" s="105">
        <v>6</v>
      </c>
      <c r="CQ95" s="105">
        <v>2304</v>
      </c>
      <c r="CR95" s="105">
        <v>6</v>
      </c>
      <c r="CS95" s="105">
        <v>2304</v>
      </c>
      <c r="CT95" s="105">
        <v>6</v>
      </c>
      <c r="CU95" s="105">
        <v>2304</v>
      </c>
    </row>
    <row r="96" spans="2:99" x14ac:dyDescent="0.2">
      <c r="C96" s="104" t="s">
        <v>264</v>
      </c>
      <c r="D96" s="105">
        <v>0</v>
      </c>
      <c r="E96" s="105">
        <v>0</v>
      </c>
      <c r="F96" s="105">
        <v>0</v>
      </c>
      <c r="G96" s="105">
        <v>0</v>
      </c>
      <c r="H96" s="105">
        <v>4.8397790055248624</v>
      </c>
      <c r="I96" s="105">
        <v>4047.991160220995</v>
      </c>
      <c r="J96" s="105">
        <v>4</v>
      </c>
      <c r="K96" s="105">
        <v>3345.6</v>
      </c>
      <c r="L96" s="105">
        <v>6</v>
      </c>
      <c r="M96" s="105">
        <v>5018.3999999999996</v>
      </c>
      <c r="N96" s="105">
        <v>3.5200000000000018</v>
      </c>
      <c r="O96" s="105">
        <v>2944.1280000000015</v>
      </c>
      <c r="P96" s="105">
        <v>5.4409937888198767</v>
      </c>
      <c r="Q96" s="105">
        <v>4550.8472049689444</v>
      </c>
      <c r="R96" s="105">
        <v>7</v>
      </c>
      <c r="S96" s="105">
        <v>5854.8</v>
      </c>
      <c r="T96" s="105">
        <v>7</v>
      </c>
      <c r="U96" s="105">
        <v>5854.8</v>
      </c>
      <c r="V96" s="105">
        <v>6</v>
      </c>
      <c r="W96" s="105">
        <v>5018.3999999999996</v>
      </c>
      <c r="X96" s="105">
        <v>4.9669811320754755</v>
      </c>
      <c r="Y96" s="105">
        <v>4154.3830188679276</v>
      </c>
      <c r="Z96" s="105">
        <v>6</v>
      </c>
      <c r="AA96" s="105">
        <v>5018.3999999999996</v>
      </c>
      <c r="AB96" s="105">
        <v>7</v>
      </c>
      <c r="AC96" s="105">
        <v>5854.8</v>
      </c>
      <c r="AD96" s="105">
        <v>5</v>
      </c>
      <c r="AE96" s="105">
        <v>4182</v>
      </c>
      <c r="AF96" s="105">
        <v>7</v>
      </c>
      <c r="AG96" s="105">
        <v>5854.8</v>
      </c>
      <c r="AH96" s="105">
        <v>3.7642105263157939</v>
      </c>
      <c r="AI96" s="105">
        <v>3148.3856842105301</v>
      </c>
      <c r="AJ96" s="105">
        <v>4</v>
      </c>
      <c r="AK96" s="105">
        <v>3345.6</v>
      </c>
      <c r="AL96" s="105">
        <v>5</v>
      </c>
      <c r="AM96" s="105">
        <v>4182</v>
      </c>
      <c r="AN96" s="105">
        <v>4</v>
      </c>
      <c r="AO96" s="105">
        <v>3345.6</v>
      </c>
      <c r="AP96" s="105">
        <v>8</v>
      </c>
      <c r="AQ96" s="105">
        <v>6691.2</v>
      </c>
      <c r="AR96" s="105">
        <v>5</v>
      </c>
      <c r="AS96" s="105">
        <v>4182</v>
      </c>
      <c r="AT96" s="105">
        <v>4</v>
      </c>
      <c r="AU96" s="105">
        <v>3345.6</v>
      </c>
      <c r="AV96" s="105">
        <v>4</v>
      </c>
      <c r="AW96" s="105">
        <v>3345.6</v>
      </c>
      <c r="AX96" s="105">
        <v>4</v>
      </c>
      <c r="AY96" s="105">
        <v>3345.6</v>
      </c>
      <c r="AZ96" s="105">
        <v>5</v>
      </c>
      <c r="BA96" s="105">
        <v>4182</v>
      </c>
      <c r="BB96" s="105">
        <v>7</v>
      </c>
      <c r="BC96" s="105">
        <v>5854.8</v>
      </c>
      <c r="BD96" s="105">
        <v>8</v>
      </c>
      <c r="BE96" s="105">
        <v>6691.2</v>
      </c>
      <c r="BF96" s="105">
        <v>6</v>
      </c>
      <c r="BG96" s="105">
        <v>5018.3999999999996</v>
      </c>
      <c r="BH96" s="105">
        <v>5</v>
      </c>
      <c r="BI96" s="105">
        <v>4182</v>
      </c>
      <c r="BJ96" s="105">
        <v>5.628729281767975</v>
      </c>
      <c r="BK96" s="105">
        <v>4707.8691712707341</v>
      </c>
      <c r="BL96" s="105">
        <v>5.9591836734693882</v>
      </c>
      <c r="BM96" s="105">
        <v>4984.2612244897964</v>
      </c>
      <c r="BN96" s="105">
        <v>3.9673913043478266</v>
      </c>
      <c r="BO96" s="105">
        <v>3318.326086956522</v>
      </c>
      <c r="BP96" s="105">
        <v>3.4433962264150955</v>
      </c>
      <c r="BQ96" s="105">
        <v>2880.0566037735857</v>
      </c>
      <c r="BR96" s="105">
        <v>6.3875000000000011</v>
      </c>
      <c r="BS96" s="105">
        <v>5342.505000000001</v>
      </c>
      <c r="BT96" s="105">
        <v>5.2142857142857153</v>
      </c>
      <c r="BU96" s="105">
        <v>4361.2285714285717</v>
      </c>
      <c r="BV96" s="105">
        <v>4</v>
      </c>
      <c r="BW96" s="105">
        <v>3345.6</v>
      </c>
      <c r="BX96" s="105">
        <v>4</v>
      </c>
      <c r="BY96" s="105">
        <v>3345.6</v>
      </c>
      <c r="BZ96" s="105">
        <v>5.0954773869346761</v>
      </c>
      <c r="CA96" s="105">
        <v>4261.8572864321632</v>
      </c>
      <c r="CB96" s="105">
        <v>2.9795918367346941</v>
      </c>
      <c r="CC96" s="105">
        <v>2492.1306122448982</v>
      </c>
      <c r="CD96" s="105">
        <v>4.7096774193548399</v>
      </c>
      <c r="CE96" s="105">
        <v>3939.1741935483878</v>
      </c>
      <c r="CF96" s="105">
        <v>3.395348837209303</v>
      </c>
      <c r="CG96" s="105">
        <v>2839.8697674418609</v>
      </c>
      <c r="CH96" s="105">
        <v>4.7096774193548399</v>
      </c>
      <c r="CI96" s="105">
        <v>3939.1741935483878</v>
      </c>
      <c r="CJ96" s="105">
        <v>4.6221105527638189</v>
      </c>
      <c r="CK96" s="105">
        <v>3865.9332663316582</v>
      </c>
      <c r="CL96" s="105">
        <v>4.4693877551020416</v>
      </c>
      <c r="CM96" s="105">
        <v>3738.1959183673475</v>
      </c>
      <c r="CN96" s="105">
        <v>2.9728506787330318</v>
      </c>
      <c r="CO96" s="105">
        <v>2486.4923076923078</v>
      </c>
      <c r="CP96" s="105">
        <v>4.308196721311476</v>
      </c>
      <c r="CQ96" s="105">
        <v>3603.3757377049183</v>
      </c>
      <c r="CR96" s="105">
        <v>5.8400000000000016</v>
      </c>
      <c r="CS96" s="105">
        <v>4884.5760000000009</v>
      </c>
      <c r="CT96" s="105">
        <v>4.8131868131868139</v>
      </c>
      <c r="CU96" s="105">
        <v>4025.749450549451</v>
      </c>
    </row>
    <row r="97" spans="2:99" x14ac:dyDescent="0.2">
      <c r="C97" s="104" t="s">
        <v>265</v>
      </c>
      <c r="D97" s="105">
        <v>0</v>
      </c>
      <c r="E97" s="105">
        <v>0</v>
      </c>
      <c r="F97" s="105">
        <v>8</v>
      </c>
      <c r="G97" s="105">
        <v>2016</v>
      </c>
      <c r="H97" s="105">
        <v>5</v>
      </c>
      <c r="I97" s="105">
        <v>1260</v>
      </c>
      <c r="J97" s="105">
        <v>4</v>
      </c>
      <c r="K97" s="105">
        <v>1008</v>
      </c>
      <c r="L97" s="105">
        <v>6</v>
      </c>
      <c r="M97" s="105">
        <v>1512</v>
      </c>
      <c r="N97" s="105">
        <v>5</v>
      </c>
      <c r="O97" s="105">
        <v>1260</v>
      </c>
      <c r="P97" s="105">
        <v>6</v>
      </c>
      <c r="Q97" s="105">
        <v>1512</v>
      </c>
      <c r="R97" s="105">
        <v>7</v>
      </c>
      <c r="S97" s="105">
        <v>1764</v>
      </c>
      <c r="T97" s="105">
        <v>7</v>
      </c>
      <c r="U97" s="105">
        <v>1764</v>
      </c>
      <c r="V97" s="105">
        <v>6</v>
      </c>
      <c r="W97" s="105">
        <v>1512</v>
      </c>
      <c r="X97" s="105">
        <v>5</v>
      </c>
      <c r="Y97" s="105">
        <v>1260</v>
      </c>
      <c r="Z97" s="105">
        <v>6</v>
      </c>
      <c r="AA97" s="105">
        <v>1512</v>
      </c>
      <c r="AB97" s="105">
        <v>8</v>
      </c>
      <c r="AC97" s="105">
        <v>2016</v>
      </c>
      <c r="AD97" s="105">
        <v>5</v>
      </c>
      <c r="AE97" s="105">
        <v>1260</v>
      </c>
      <c r="AF97" s="105">
        <v>7</v>
      </c>
      <c r="AG97" s="105">
        <v>1764</v>
      </c>
      <c r="AH97" s="105">
        <v>5</v>
      </c>
      <c r="AI97" s="105">
        <v>1260</v>
      </c>
      <c r="AJ97" s="105">
        <v>4</v>
      </c>
      <c r="AK97" s="105">
        <v>1008</v>
      </c>
      <c r="AL97" s="105">
        <v>5</v>
      </c>
      <c r="AM97" s="105">
        <v>1260</v>
      </c>
      <c r="AN97" s="105">
        <v>4</v>
      </c>
      <c r="AO97" s="105">
        <v>1008</v>
      </c>
      <c r="AP97" s="105">
        <v>7</v>
      </c>
      <c r="AQ97" s="105">
        <v>1764</v>
      </c>
      <c r="AR97" s="105">
        <v>5</v>
      </c>
      <c r="AS97" s="105">
        <v>1260</v>
      </c>
      <c r="AT97" s="105">
        <v>4</v>
      </c>
      <c r="AU97" s="105">
        <v>1008</v>
      </c>
      <c r="AV97" s="105">
        <v>4</v>
      </c>
      <c r="AW97" s="105">
        <v>1008</v>
      </c>
      <c r="AX97" s="105">
        <v>5</v>
      </c>
      <c r="AY97" s="105">
        <v>1260</v>
      </c>
      <c r="AZ97" s="105">
        <v>6</v>
      </c>
      <c r="BA97" s="105">
        <v>1512</v>
      </c>
      <c r="BB97" s="105">
        <v>7</v>
      </c>
      <c r="BC97" s="105">
        <v>1764</v>
      </c>
      <c r="BD97" s="105">
        <v>8</v>
      </c>
      <c r="BE97" s="105">
        <v>2016</v>
      </c>
      <c r="BF97" s="105">
        <v>6</v>
      </c>
      <c r="BG97" s="105">
        <v>1512</v>
      </c>
      <c r="BH97" s="105">
        <v>5</v>
      </c>
      <c r="BI97" s="105">
        <v>1260</v>
      </c>
      <c r="BJ97" s="105">
        <v>6</v>
      </c>
      <c r="BK97" s="105">
        <v>1512</v>
      </c>
      <c r="BL97" s="105">
        <v>6</v>
      </c>
      <c r="BM97" s="105">
        <v>1512</v>
      </c>
      <c r="BN97" s="105">
        <v>6</v>
      </c>
      <c r="BO97" s="105">
        <v>1512</v>
      </c>
      <c r="BP97" s="105">
        <v>5</v>
      </c>
      <c r="BQ97" s="105">
        <v>1260</v>
      </c>
      <c r="BR97" s="105">
        <v>7</v>
      </c>
      <c r="BS97" s="105">
        <v>1764</v>
      </c>
      <c r="BT97" s="105">
        <v>6</v>
      </c>
      <c r="BU97" s="105">
        <v>1512</v>
      </c>
      <c r="BV97" s="105">
        <v>4</v>
      </c>
      <c r="BW97" s="105">
        <v>1008</v>
      </c>
      <c r="BX97" s="105">
        <v>4</v>
      </c>
      <c r="BY97" s="105">
        <v>1008</v>
      </c>
      <c r="BZ97" s="105">
        <v>6</v>
      </c>
      <c r="CA97" s="105">
        <v>1512</v>
      </c>
      <c r="CB97" s="105">
        <v>5</v>
      </c>
      <c r="CC97" s="105">
        <v>1260</v>
      </c>
      <c r="CD97" s="105">
        <v>7</v>
      </c>
      <c r="CE97" s="105">
        <v>1764</v>
      </c>
      <c r="CF97" s="105">
        <v>5</v>
      </c>
      <c r="CG97" s="105">
        <v>1260</v>
      </c>
      <c r="CH97" s="105">
        <v>4</v>
      </c>
      <c r="CI97" s="105">
        <v>1008</v>
      </c>
      <c r="CJ97" s="105">
        <v>8</v>
      </c>
      <c r="CK97" s="105">
        <v>2016</v>
      </c>
      <c r="CL97" s="105">
        <v>4</v>
      </c>
      <c r="CM97" s="105">
        <v>1008</v>
      </c>
      <c r="CN97" s="105">
        <v>6</v>
      </c>
      <c r="CO97" s="105">
        <v>1512</v>
      </c>
      <c r="CP97" s="105">
        <v>6</v>
      </c>
      <c r="CQ97" s="105">
        <v>1512</v>
      </c>
      <c r="CR97" s="105">
        <v>7</v>
      </c>
      <c r="CS97" s="105">
        <v>1764</v>
      </c>
      <c r="CT97" s="105">
        <v>7</v>
      </c>
      <c r="CU97" s="105">
        <v>1764</v>
      </c>
    </row>
    <row r="98" spans="2:99" x14ac:dyDescent="0.2">
      <c r="C98" s="104" t="s">
        <v>266</v>
      </c>
      <c r="D98" s="105">
        <v>0</v>
      </c>
      <c r="E98" s="105">
        <v>0</v>
      </c>
      <c r="F98" s="105">
        <v>7</v>
      </c>
      <c r="G98" s="105">
        <v>5695.2</v>
      </c>
      <c r="H98" s="105">
        <v>5</v>
      </c>
      <c r="I98" s="105">
        <v>4068</v>
      </c>
      <c r="J98" s="105">
        <v>4</v>
      </c>
      <c r="K98" s="105">
        <v>3254.4</v>
      </c>
      <c r="L98" s="105">
        <v>6</v>
      </c>
      <c r="M98" s="105">
        <v>4881.6000000000004</v>
      </c>
      <c r="N98" s="105">
        <v>4</v>
      </c>
      <c r="O98" s="105">
        <v>3254.4</v>
      </c>
      <c r="P98" s="105">
        <v>6</v>
      </c>
      <c r="Q98" s="105">
        <v>4881.6000000000004</v>
      </c>
      <c r="R98" s="105">
        <v>7</v>
      </c>
      <c r="S98" s="105">
        <v>5695.2</v>
      </c>
      <c r="T98" s="105">
        <v>8</v>
      </c>
      <c r="U98" s="105">
        <v>6508.8</v>
      </c>
      <c r="V98" s="105">
        <v>6</v>
      </c>
      <c r="W98" s="105">
        <v>4881.6000000000004</v>
      </c>
      <c r="X98" s="105">
        <v>5</v>
      </c>
      <c r="Y98" s="105">
        <v>4068</v>
      </c>
      <c r="Z98" s="105">
        <v>6</v>
      </c>
      <c r="AA98" s="105">
        <v>4881.6000000000004</v>
      </c>
      <c r="AB98" s="105">
        <v>7</v>
      </c>
      <c r="AC98" s="105">
        <v>5695.2</v>
      </c>
      <c r="AD98" s="105">
        <v>6</v>
      </c>
      <c r="AE98" s="105">
        <v>4881.6000000000004</v>
      </c>
      <c r="AF98" s="105">
        <v>7</v>
      </c>
      <c r="AG98" s="105">
        <v>5695.2</v>
      </c>
      <c r="AH98" s="105">
        <v>4</v>
      </c>
      <c r="AI98" s="105">
        <v>3254.4</v>
      </c>
      <c r="AJ98" s="105">
        <v>5</v>
      </c>
      <c r="AK98" s="105">
        <v>4068</v>
      </c>
      <c r="AL98" s="105">
        <v>5</v>
      </c>
      <c r="AM98" s="105">
        <v>4068</v>
      </c>
      <c r="AN98" s="105">
        <v>5</v>
      </c>
      <c r="AO98" s="105">
        <v>4068</v>
      </c>
      <c r="AP98" s="105">
        <v>8</v>
      </c>
      <c r="AQ98" s="105">
        <v>6508.8</v>
      </c>
      <c r="AR98" s="105">
        <v>5</v>
      </c>
      <c r="AS98" s="105">
        <v>4068</v>
      </c>
      <c r="AT98" s="105">
        <v>4</v>
      </c>
      <c r="AU98" s="105">
        <v>3254.4</v>
      </c>
      <c r="AV98" s="105">
        <v>4</v>
      </c>
      <c r="AW98" s="105">
        <v>3254.4</v>
      </c>
      <c r="AX98" s="105">
        <v>5</v>
      </c>
      <c r="AY98" s="105">
        <v>4068</v>
      </c>
      <c r="AZ98" s="105">
        <v>6</v>
      </c>
      <c r="BA98" s="105">
        <v>4881.6000000000004</v>
      </c>
      <c r="BB98" s="105">
        <v>7</v>
      </c>
      <c r="BC98" s="105">
        <v>5695.2</v>
      </c>
      <c r="BD98" s="105">
        <v>7</v>
      </c>
      <c r="BE98" s="105">
        <v>5695.2</v>
      </c>
      <c r="BF98" s="105">
        <v>6</v>
      </c>
      <c r="BG98" s="105">
        <v>4881.6000000000004</v>
      </c>
      <c r="BH98" s="105">
        <v>5</v>
      </c>
      <c r="BI98" s="105">
        <v>4068</v>
      </c>
      <c r="BJ98" s="105">
        <v>6</v>
      </c>
      <c r="BK98" s="105">
        <v>4881.6000000000004</v>
      </c>
      <c r="BL98" s="105">
        <v>6</v>
      </c>
      <c r="BM98" s="105">
        <v>4881.6000000000004</v>
      </c>
      <c r="BN98" s="105">
        <v>6</v>
      </c>
      <c r="BO98" s="105">
        <v>4881.6000000000004</v>
      </c>
      <c r="BP98" s="105">
        <v>5</v>
      </c>
      <c r="BQ98" s="105">
        <v>4068</v>
      </c>
      <c r="BR98" s="105">
        <v>6</v>
      </c>
      <c r="BS98" s="105">
        <v>4881.6000000000004</v>
      </c>
      <c r="BT98" s="105">
        <v>6</v>
      </c>
      <c r="BU98" s="105">
        <v>4881.6000000000004</v>
      </c>
      <c r="BV98" s="105">
        <v>5</v>
      </c>
      <c r="BW98" s="105">
        <v>4068</v>
      </c>
      <c r="BX98" s="105">
        <v>4</v>
      </c>
      <c r="BY98" s="105">
        <v>3254.4</v>
      </c>
      <c r="BZ98" s="105">
        <v>6</v>
      </c>
      <c r="CA98" s="105">
        <v>4881.6000000000004</v>
      </c>
      <c r="CB98" s="105">
        <v>5</v>
      </c>
      <c r="CC98" s="105">
        <v>4068</v>
      </c>
      <c r="CD98" s="105">
        <v>7</v>
      </c>
      <c r="CE98" s="105">
        <v>5695.2</v>
      </c>
      <c r="CF98" s="105">
        <v>5</v>
      </c>
      <c r="CG98" s="105">
        <v>4068</v>
      </c>
      <c r="CH98" s="105">
        <v>5</v>
      </c>
      <c r="CI98" s="105">
        <v>4068</v>
      </c>
      <c r="CJ98" s="105">
        <v>7</v>
      </c>
      <c r="CK98" s="105">
        <v>5695.2</v>
      </c>
      <c r="CL98" s="105">
        <v>4</v>
      </c>
      <c r="CM98" s="105">
        <v>3254.4</v>
      </c>
      <c r="CN98" s="105">
        <v>6</v>
      </c>
      <c r="CO98" s="105">
        <v>4881.6000000000004</v>
      </c>
      <c r="CP98" s="105">
        <v>5</v>
      </c>
      <c r="CQ98" s="105">
        <v>4068</v>
      </c>
      <c r="CR98" s="105">
        <v>7</v>
      </c>
      <c r="CS98" s="105">
        <v>5695.2</v>
      </c>
      <c r="CT98" s="105">
        <v>6</v>
      </c>
      <c r="CU98" s="105">
        <v>4881.6000000000004</v>
      </c>
    </row>
    <row r="99" spans="2:99" x14ac:dyDescent="0.2">
      <c r="C99" s="104" t="s">
        <v>267</v>
      </c>
      <c r="D99" s="105">
        <v>0</v>
      </c>
      <c r="E99" s="105">
        <v>0</v>
      </c>
      <c r="F99" s="105">
        <v>6</v>
      </c>
      <c r="G99" s="105">
        <v>23299.199999999997</v>
      </c>
      <c r="H99" s="105">
        <v>4</v>
      </c>
      <c r="I99" s="105">
        <v>15532.8</v>
      </c>
      <c r="J99" s="105">
        <v>3</v>
      </c>
      <c r="K99" s="105">
        <v>11649.599999999999</v>
      </c>
      <c r="L99" s="105">
        <v>5</v>
      </c>
      <c r="M99" s="105">
        <v>19416</v>
      </c>
      <c r="N99" s="105">
        <v>4</v>
      </c>
      <c r="O99" s="105">
        <v>15532.8</v>
      </c>
      <c r="P99" s="105">
        <v>6</v>
      </c>
      <c r="Q99" s="105">
        <v>23299.199999999997</v>
      </c>
      <c r="R99" s="105">
        <v>6</v>
      </c>
      <c r="S99" s="105">
        <v>23299.199999999997</v>
      </c>
      <c r="T99" s="105">
        <v>7</v>
      </c>
      <c r="U99" s="105">
        <v>27182.399999999998</v>
      </c>
      <c r="V99" s="105">
        <v>6</v>
      </c>
      <c r="W99" s="105">
        <v>23299.199999999997</v>
      </c>
      <c r="X99" s="105">
        <v>5</v>
      </c>
      <c r="Y99" s="105">
        <v>19416</v>
      </c>
      <c r="Z99" s="105">
        <v>5</v>
      </c>
      <c r="AA99" s="105">
        <v>19416</v>
      </c>
      <c r="AB99" s="105">
        <v>6</v>
      </c>
      <c r="AC99" s="105">
        <v>23299.199999999997</v>
      </c>
      <c r="AD99" s="105">
        <v>5</v>
      </c>
      <c r="AE99" s="105">
        <v>19416</v>
      </c>
      <c r="AF99" s="105">
        <v>6</v>
      </c>
      <c r="AG99" s="105">
        <v>23299.199999999997</v>
      </c>
      <c r="AH99" s="105">
        <v>4</v>
      </c>
      <c r="AI99" s="105">
        <v>15532.8</v>
      </c>
      <c r="AJ99" s="105">
        <v>4</v>
      </c>
      <c r="AK99" s="105">
        <v>15532.8</v>
      </c>
      <c r="AL99" s="105">
        <v>5</v>
      </c>
      <c r="AM99" s="105">
        <v>19416</v>
      </c>
      <c r="AN99" s="105">
        <v>4</v>
      </c>
      <c r="AO99" s="105">
        <v>15532.8</v>
      </c>
      <c r="AP99" s="105">
        <v>7</v>
      </c>
      <c r="AQ99" s="105">
        <v>27182.399999999998</v>
      </c>
      <c r="AR99" s="105">
        <v>4</v>
      </c>
      <c r="AS99" s="105">
        <v>15532.8</v>
      </c>
      <c r="AT99" s="105">
        <v>3</v>
      </c>
      <c r="AU99" s="105">
        <v>11649.599999999999</v>
      </c>
      <c r="AV99" s="105">
        <v>4</v>
      </c>
      <c r="AW99" s="105">
        <v>15532.8</v>
      </c>
      <c r="AX99" s="105">
        <v>4</v>
      </c>
      <c r="AY99" s="105">
        <v>15532.8</v>
      </c>
      <c r="AZ99" s="105">
        <v>4</v>
      </c>
      <c r="BA99" s="105">
        <v>15532.8</v>
      </c>
      <c r="BB99" s="105">
        <v>6</v>
      </c>
      <c r="BC99" s="105">
        <v>23299.199999999997</v>
      </c>
      <c r="BD99" s="105">
        <v>6</v>
      </c>
      <c r="BE99" s="105">
        <v>23299.199999999997</v>
      </c>
      <c r="BF99" s="105">
        <v>5</v>
      </c>
      <c r="BG99" s="105">
        <v>19416</v>
      </c>
      <c r="BH99" s="105">
        <v>4</v>
      </c>
      <c r="BI99" s="105">
        <v>15532.8</v>
      </c>
      <c r="BJ99" s="105">
        <v>5</v>
      </c>
      <c r="BK99" s="105">
        <v>19416</v>
      </c>
      <c r="BL99" s="105">
        <v>5</v>
      </c>
      <c r="BM99" s="105">
        <v>19416</v>
      </c>
      <c r="BN99" s="105">
        <v>5</v>
      </c>
      <c r="BO99" s="105">
        <v>19416</v>
      </c>
      <c r="BP99" s="105">
        <v>5</v>
      </c>
      <c r="BQ99" s="105">
        <v>19416</v>
      </c>
      <c r="BR99" s="105">
        <v>5</v>
      </c>
      <c r="BS99" s="105">
        <v>19416</v>
      </c>
      <c r="BT99" s="105">
        <v>5</v>
      </c>
      <c r="BU99" s="105">
        <v>19416</v>
      </c>
      <c r="BV99" s="105">
        <v>4</v>
      </c>
      <c r="BW99" s="105">
        <v>15532.8</v>
      </c>
      <c r="BX99" s="105">
        <v>4</v>
      </c>
      <c r="BY99" s="105">
        <v>15532.8</v>
      </c>
      <c r="BZ99" s="105">
        <v>6</v>
      </c>
      <c r="CA99" s="105">
        <v>23299.199999999997</v>
      </c>
      <c r="CB99" s="105">
        <v>4</v>
      </c>
      <c r="CC99" s="105">
        <v>15532.8</v>
      </c>
      <c r="CD99" s="105">
        <v>6</v>
      </c>
      <c r="CE99" s="105">
        <v>23299.199999999997</v>
      </c>
      <c r="CF99" s="105">
        <v>4</v>
      </c>
      <c r="CG99" s="105">
        <v>15532.8</v>
      </c>
      <c r="CH99" s="105">
        <v>4</v>
      </c>
      <c r="CI99" s="105">
        <v>15532.8</v>
      </c>
      <c r="CJ99" s="105">
        <v>6</v>
      </c>
      <c r="CK99" s="105">
        <v>23299.199999999997</v>
      </c>
      <c r="CL99" s="105">
        <v>3</v>
      </c>
      <c r="CM99" s="105">
        <v>11649.599999999999</v>
      </c>
      <c r="CN99" s="105">
        <v>5</v>
      </c>
      <c r="CO99" s="105">
        <v>19416</v>
      </c>
      <c r="CP99" s="105">
        <v>5</v>
      </c>
      <c r="CQ99" s="105">
        <v>19416</v>
      </c>
      <c r="CR99" s="105">
        <v>5</v>
      </c>
      <c r="CS99" s="105">
        <v>19416</v>
      </c>
      <c r="CT99" s="105">
        <v>5</v>
      </c>
      <c r="CU99" s="105">
        <v>19416</v>
      </c>
    </row>
    <row r="100" spans="2:99" x14ac:dyDescent="0.2">
      <c r="C100" s="104" t="s">
        <v>268</v>
      </c>
      <c r="D100" s="105">
        <v>0</v>
      </c>
      <c r="E100" s="105">
        <v>0</v>
      </c>
      <c r="F100" s="105">
        <v>7</v>
      </c>
      <c r="G100" s="105">
        <v>3872.3999999999996</v>
      </c>
      <c r="H100" s="105">
        <v>5</v>
      </c>
      <c r="I100" s="105">
        <v>2765.9999999999995</v>
      </c>
      <c r="J100" s="105">
        <v>4</v>
      </c>
      <c r="K100" s="105">
        <v>2212.7999999999997</v>
      </c>
      <c r="L100" s="105">
        <v>5</v>
      </c>
      <c r="M100" s="105">
        <v>2765.9999999999995</v>
      </c>
      <c r="N100" s="105">
        <v>5</v>
      </c>
      <c r="O100" s="105">
        <v>2765.9999999999995</v>
      </c>
      <c r="P100" s="105">
        <v>7</v>
      </c>
      <c r="Q100" s="105">
        <v>3872.3999999999996</v>
      </c>
      <c r="R100" s="105">
        <v>7</v>
      </c>
      <c r="S100" s="105">
        <v>3872.3999999999996</v>
      </c>
      <c r="T100" s="105">
        <v>7</v>
      </c>
      <c r="U100" s="105">
        <v>3872.3999999999996</v>
      </c>
      <c r="V100" s="105">
        <v>7</v>
      </c>
      <c r="W100" s="105">
        <v>3872.3999999999996</v>
      </c>
      <c r="X100" s="105">
        <v>5</v>
      </c>
      <c r="Y100" s="105">
        <v>2765.9999999999995</v>
      </c>
      <c r="Z100" s="105">
        <v>6</v>
      </c>
      <c r="AA100" s="105">
        <v>3319.2</v>
      </c>
      <c r="AB100" s="105">
        <v>7</v>
      </c>
      <c r="AC100" s="105">
        <v>3872.3999999999996</v>
      </c>
      <c r="AD100" s="105">
        <v>6</v>
      </c>
      <c r="AE100" s="105">
        <v>3319.2</v>
      </c>
      <c r="AF100" s="105">
        <v>7</v>
      </c>
      <c r="AG100" s="105">
        <v>3872.3999999999996</v>
      </c>
      <c r="AH100" s="105">
        <v>4</v>
      </c>
      <c r="AI100" s="105">
        <v>2212.7999999999997</v>
      </c>
      <c r="AJ100" s="105">
        <v>4</v>
      </c>
      <c r="AK100" s="105">
        <v>2212.7999999999997</v>
      </c>
      <c r="AL100" s="105">
        <v>6</v>
      </c>
      <c r="AM100" s="105">
        <v>3319.2</v>
      </c>
      <c r="AN100" s="105">
        <v>5</v>
      </c>
      <c r="AO100" s="105">
        <v>2765.9999999999995</v>
      </c>
      <c r="AP100" s="105">
        <v>8</v>
      </c>
      <c r="AQ100" s="105">
        <v>4425.5999999999995</v>
      </c>
      <c r="AR100" s="105">
        <v>5</v>
      </c>
      <c r="AS100" s="105">
        <v>2765.9999999999995</v>
      </c>
      <c r="AT100" s="105">
        <v>4</v>
      </c>
      <c r="AU100" s="105">
        <v>2212.7999999999997</v>
      </c>
      <c r="AV100" s="105">
        <v>5</v>
      </c>
      <c r="AW100" s="105">
        <v>2765.9999999999995</v>
      </c>
      <c r="AX100" s="105">
        <v>5</v>
      </c>
      <c r="AY100" s="105">
        <v>2765.9999999999995</v>
      </c>
      <c r="AZ100" s="105">
        <v>6</v>
      </c>
      <c r="BA100" s="105">
        <v>3319.2</v>
      </c>
      <c r="BB100" s="105">
        <v>7</v>
      </c>
      <c r="BC100" s="105">
        <v>3872.3999999999996</v>
      </c>
      <c r="BD100" s="105">
        <v>7</v>
      </c>
      <c r="BE100" s="105">
        <v>3872.3999999999996</v>
      </c>
      <c r="BF100" s="105">
        <v>7</v>
      </c>
      <c r="BG100" s="105">
        <v>3872.3999999999996</v>
      </c>
      <c r="BH100" s="105">
        <v>5</v>
      </c>
      <c r="BI100" s="105">
        <v>2765.9999999999995</v>
      </c>
      <c r="BJ100" s="105">
        <v>7</v>
      </c>
      <c r="BK100" s="105">
        <v>3872.3999999999996</v>
      </c>
      <c r="BL100" s="105">
        <v>7</v>
      </c>
      <c r="BM100" s="105">
        <v>3872.3999999999996</v>
      </c>
      <c r="BN100" s="105">
        <v>5</v>
      </c>
      <c r="BO100" s="105">
        <v>2765.9999999999995</v>
      </c>
      <c r="BP100" s="105">
        <v>5</v>
      </c>
      <c r="BQ100" s="105">
        <v>2765.9999999999995</v>
      </c>
      <c r="BR100" s="105">
        <v>6</v>
      </c>
      <c r="BS100" s="105">
        <v>3319.2</v>
      </c>
      <c r="BT100" s="105">
        <v>6</v>
      </c>
      <c r="BU100" s="105">
        <v>3319.2</v>
      </c>
      <c r="BV100" s="105">
        <v>5</v>
      </c>
      <c r="BW100" s="105">
        <v>2765.9999999999995</v>
      </c>
      <c r="BX100" s="105">
        <v>5</v>
      </c>
      <c r="BY100" s="105">
        <v>2765.9999999999995</v>
      </c>
      <c r="BZ100" s="105">
        <v>6</v>
      </c>
      <c r="CA100" s="105">
        <v>3319.2</v>
      </c>
      <c r="CB100" s="105">
        <v>4</v>
      </c>
      <c r="CC100" s="105">
        <v>2212.7999999999997</v>
      </c>
      <c r="CD100" s="105">
        <v>7</v>
      </c>
      <c r="CE100" s="105">
        <v>3872.3999999999996</v>
      </c>
      <c r="CF100" s="105">
        <v>5</v>
      </c>
      <c r="CG100" s="105">
        <v>2765.9999999999995</v>
      </c>
      <c r="CH100" s="105">
        <v>5</v>
      </c>
      <c r="CI100" s="105">
        <v>2765.9999999999995</v>
      </c>
      <c r="CJ100" s="105">
        <v>7</v>
      </c>
      <c r="CK100" s="105">
        <v>3872.3999999999996</v>
      </c>
      <c r="CL100" s="105">
        <v>5</v>
      </c>
      <c r="CM100" s="105">
        <v>2765.9999999999995</v>
      </c>
      <c r="CN100" s="105">
        <v>6</v>
      </c>
      <c r="CO100" s="105">
        <v>3319.2</v>
      </c>
      <c r="CP100" s="105">
        <v>6</v>
      </c>
      <c r="CQ100" s="105">
        <v>3319.2</v>
      </c>
      <c r="CR100" s="105">
        <v>7</v>
      </c>
      <c r="CS100" s="105">
        <v>3872.3999999999996</v>
      </c>
      <c r="CT100" s="105">
        <v>6</v>
      </c>
      <c r="CU100" s="105">
        <v>3319.2</v>
      </c>
    </row>
    <row r="101" spans="2:99" x14ac:dyDescent="0.2">
      <c r="C101" s="104" t="s">
        <v>269</v>
      </c>
      <c r="D101" s="105">
        <v>0</v>
      </c>
      <c r="E101" s="105">
        <v>0</v>
      </c>
      <c r="F101" s="105">
        <v>0</v>
      </c>
      <c r="G101" s="105">
        <v>0</v>
      </c>
      <c r="H101" s="105">
        <v>4.8397790055248624</v>
      </c>
      <c r="I101" s="105">
        <v>4123.4917127071831</v>
      </c>
      <c r="J101" s="105">
        <v>4</v>
      </c>
      <c r="K101" s="105">
        <v>3408</v>
      </c>
      <c r="L101" s="105">
        <v>5</v>
      </c>
      <c r="M101" s="105">
        <v>4260</v>
      </c>
      <c r="N101" s="105">
        <v>3.5200000000000018</v>
      </c>
      <c r="O101" s="105">
        <v>2999.0400000000013</v>
      </c>
      <c r="P101" s="105">
        <v>5.4409937888198767</v>
      </c>
      <c r="Q101" s="105">
        <v>4635.7267080745351</v>
      </c>
      <c r="R101" s="105">
        <v>7</v>
      </c>
      <c r="S101" s="105">
        <v>5964</v>
      </c>
      <c r="T101" s="105">
        <v>7</v>
      </c>
      <c r="U101" s="105">
        <v>5964</v>
      </c>
      <c r="V101" s="105">
        <v>6</v>
      </c>
      <c r="W101" s="105">
        <v>5112</v>
      </c>
      <c r="X101" s="105">
        <v>3.9735849056603798</v>
      </c>
      <c r="Y101" s="105">
        <v>3385.4943396226436</v>
      </c>
      <c r="Z101" s="105">
        <v>6</v>
      </c>
      <c r="AA101" s="105">
        <v>5112</v>
      </c>
      <c r="AB101" s="105">
        <v>7</v>
      </c>
      <c r="AC101" s="105">
        <v>5964</v>
      </c>
      <c r="AD101" s="105">
        <v>5</v>
      </c>
      <c r="AE101" s="105">
        <v>4260</v>
      </c>
      <c r="AF101" s="105">
        <v>7</v>
      </c>
      <c r="AG101" s="105">
        <v>5964</v>
      </c>
      <c r="AH101" s="105">
        <v>4.7052631578947421</v>
      </c>
      <c r="AI101" s="105">
        <v>4008.8842105263202</v>
      </c>
      <c r="AJ101" s="105">
        <v>5</v>
      </c>
      <c r="AK101" s="105">
        <v>4260</v>
      </c>
      <c r="AL101" s="105">
        <v>5</v>
      </c>
      <c r="AM101" s="105">
        <v>4260</v>
      </c>
      <c r="AN101" s="105">
        <v>5</v>
      </c>
      <c r="AO101" s="105">
        <v>4260</v>
      </c>
      <c r="AP101" s="105">
        <v>8</v>
      </c>
      <c r="AQ101" s="105">
        <v>6816</v>
      </c>
      <c r="AR101" s="105">
        <v>4</v>
      </c>
      <c r="AS101" s="105">
        <v>3408</v>
      </c>
      <c r="AT101" s="105">
        <v>4</v>
      </c>
      <c r="AU101" s="105">
        <v>3408</v>
      </c>
      <c r="AV101" s="105">
        <v>4</v>
      </c>
      <c r="AW101" s="105">
        <v>3408</v>
      </c>
      <c r="AX101" s="105">
        <v>5</v>
      </c>
      <c r="AY101" s="105">
        <v>4260</v>
      </c>
      <c r="AZ101" s="105">
        <v>6</v>
      </c>
      <c r="BA101" s="105">
        <v>5112</v>
      </c>
      <c r="BB101" s="105">
        <v>7</v>
      </c>
      <c r="BC101" s="105">
        <v>5964</v>
      </c>
      <c r="BD101" s="105">
        <v>7</v>
      </c>
      <c r="BE101" s="105">
        <v>5964</v>
      </c>
      <c r="BF101" s="105">
        <v>6</v>
      </c>
      <c r="BG101" s="105">
        <v>5112</v>
      </c>
      <c r="BH101" s="105">
        <v>5</v>
      </c>
      <c r="BI101" s="105">
        <v>4260</v>
      </c>
      <c r="BJ101" s="105">
        <v>6.5668508287293035</v>
      </c>
      <c r="BK101" s="105">
        <v>5594.9569060773665</v>
      </c>
      <c r="BL101" s="105">
        <v>5.9591836734693882</v>
      </c>
      <c r="BM101" s="105">
        <v>5077.224489795919</v>
      </c>
      <c r="BN101" s="105">
        <v>3.9673913043478266</v>
      </c>
      <c r="BO101" s="105">
        <v>3380.2173913043484</v>
      </c>
      <c r="BP101" s="105">
        <v>3.4433962264150955</v>
      </c>
      <c r="BQ101" s="105">
        <v>2933.7735849056612</v>
      </c>
      <c r="BR101" s="105">
        <v>5.4750000000000005</v>
      </c>
      <c r="BS101" s="105">
        <v>4664.7000000000007</v>
      </c>
      <c r="BT101" s="105">
        <v>4.3452380952380958</v>
      </c>
      <c r="BU101" s="105">
        <v>3702.1428571428578</v>
      </c>
      <c r="BV101" s="105">
        <v>4</v>
      </c>
      <c r="BW101" s="105">
        <v>3408</v>
      </c>
      <c r="BX101" s="105">
        <v>4</v>
      </c>
      <c r="BY101" s="105">
        <v>3408</v>
      </c>
      <c r="BZ101" s="105">
        <v>5.0954773869346761</v>
      </c>
      <c r="CA101" s="105">
        <v>4341.3467336683443</v>
      </c>
      <c r="CB101" s="105">
        <v>2.9795918367346941</v>
      </c>
      <c r="CC101" s="105">
        <v>2538.6122448979595</v>
      </c>
      <c r="CD101" s="105">
        <v>4.7096774193548399</v>
      </c>
      <c r="CE101" s="105">
        <v>4012.6451612903234</v>
      </c>
      <c r="CF101" s="105">
        <v>4.2441860465116283</v>
      </c>
      <c r="CG101" s="105">
        <v>3616.0465116279074</v>
      </c>
      <c r="CH101" s="105">
        <v>3.7677419354838717</v>
      </c>
      <c r="CI101" s="105">
        <v>3210.1161290322589</v>
      </c>
      <c r="CJ101" s="105">
        <v>4.6221105527638189</v>
      </c>
      <c r="CK101" s="105">
        <v>3938.0381909547737</v>
      </c>
      <c r="CL101" s="105">
        <v>4.4693877551020416</v>
      </c>
      <c r="CM101" s="105">
        <v>3807.9183673469392</v>
      </c>
      <c r="CN101" s="105">
        <v>2.9728506787330318</v>
      </c>
      <c r="CO101" s="105">
        <v>2532.8687782805432</v>
      </c>
      <c r="CP101" s="105">
        <v>3.5901639344262297</v>
      </c>
      <c r="CQ101" s="105">
        <v>3058.8196721311479</v>
      </c>
      <c r="CR101" s="105">
        <v>5.8400000000000016</v>
      </c>
      <c r="CS101" s="105">
        <v>4975.6800000000012</v>
      </c>
      <c r="CT101" s="105">
        <v>4.8131868131868139</v>
      </c>
      <c r="CU101" s="105">
        <v>4100.8351648351654</v>
      </c>
    </row>
    <row r="102" spans="2:99" x14ac:dyDescent="0.2">
      <c r="C102" s="104" t="s">
        <v>270</v>
      </c>
      <c r="D102" s="105">
        <v>0</v>
      </c>
      <c r="E102" s="105">
        <v>0</v>
      </c>
      <c r="F102" s="105">
        <v>7</v>
      </c>
      <c r="G102" s="105">
        <v>428.4</v>
      </c>
      <c r="H102" s="105">
        <v>6</v>
      </c>
      <c r="I102" s="105">
        <v>367.2</v>
      </c>
      <c r="J102" s="105">
        <v>5</v>
      </c>
      <c r="K102" s="105">
        <v>306</v>
      </c>
      <c r="L102" s="105">
        <v>5</v>
      </c>
      <c r="M102" s="105">
        <v>306</v>
      </c>
      <c r="N102" s="105">
        <v>5</v>
      </c>
      <c r="O102" s="105">
        <v>306</v>
      </c>
      <c r="P102" s="105">
        <v>7</v>
      </c>
      <c r="Q102" s="105">
        <v>428.4</v>
      </c>
      <c r="R102" s="105">
        <v>7</v>
      </c>
      <c r="S102" s="105">
        <v>428.4</v>
      </c>
      <c r="T102" s="105">
        <v>7</v>
      </c>
      <c r="U102" s="105">
        <v>428.4</v>
      </c>
      <c r="V102" s="105">
        <v>7</v>
      </c>
      <c r="W102" s="105">
        <v>428.4</v>
      </c>
      <c r="X102" s="105">
        <v>5</v>
      </c>
      <c r="Y102" s="105">
        <v>306</v>
      </c>
      <c r="Z102" s="105">
        <v>7</v>
      </c>
      <c r="AA102" s="105">
        <v>428.4</v>
      </c>
      <c r="AB102" s="105">
        <v>7</v>
      </c>
      <c r="AC102" s="105">
        <v>428.4</v>
      </c>
      <c r="AD102" s="105">
        <v>6</v>
      </c>
      <c r="AE102" s="105">
        <v>367.2</v>
      </c>
      <c r="AF102" s="105">
        <v>8</v>
      </c>
      <c r="AG102" s="105">
        <v>489.59999999999997</v>
      </c>
      <c r="AH102" s="105">
        <v>5</v>
      </c>
      <c r="AI102" s="105">
        <v>306</v>
      </c>
      <c r="AJ102" s="105">
        <v>4</v>
      </c>
      <c r="AK102" s="105">
        <v>244.79999999999998</v>
      </c>
      <c r="AL102" s="105">
        <v>6</v>
      </c>
      <c r="AM102" s="105">
        <v>367.2</v>
      </c>
      <c r="AN102" s="105">
        <v>5</v>
      </c>
      <c r="AO102" s="105">
        <v>306</v>
      </c>
      <c r="AP102" s="105">
        <v>8</v>
      </c>
      <c r="AQ102" s="105">
        <v>489.59999999999997</v>
      </c>
      <c r="AR102" s="105">
        <v>4</v>
      </c>
      <c r="AS102" s="105">
        <v>244.79999999999998</v>
      </c>
      <c r="AT102" s="105">
        <v>4</v>
      </c>
      <c r="AU102" s="105">
        <v>244.79999999999998</v>
      </c>
      <c r="AV102" s="105">
        <v>4</v>
      </c>
      <c r="AW102" s="105">
        <v>244.79999999999998</v>
      </c>
      <c r="AX102" s="105">
        <v>5</v>
      </c>
      <c r="AY102" s="105">
        <v>306</v>
      </c>
      <c r="AZ102" s="105">
        <v>5</v>
      </c>
      <c r="BA102" s="105">
        <v>306</v>
      </c>
      <c r="BB102" s="105">
        <v>8</v>
      </c>
      <c r="BC102" s="105">
        <v>489.59999999999997</v>
      </c>
      <c r="BD102" s="105">
        <v>8</v>
      </c>
      <c r="BE102" s="105">
        <v>489.59999999999997</v>
      </c>
      <c r="BF102" s="105">
        <v>7</v>
      </c>
      <c r="BG102" s="105">
        <v>428.4</v>
      </c>
      <c r="BH102" s="105">
        <v>5</v>
      </c>
      <c r="BI102" s="105">
        <v>306</v>
      </c>
      <c r="BJ102" s="105">
        <v>7</v>
      </c>
      <c r="BK102" s="105">
        <v>428.4</v>
      </c>
      <c r="BL102" s="105">
        <v>6</v>
      </c>
      <c r="BM102" s="105">
        <v>367.2</v>
      </c>
      <c r="BN102" s="105">
        <v>6</v>
      </c>
      <c r="BO102" s="105">
        <v>367.2</v>
      </c>
      <c r="BP102" s="105">
        <v>5</v>
      </c>
      <c r="BQ102" s="105">
        <v>306</v>
      </c>
      <c r="BR102" s="105">
        <v>7</v>
      </c>
      <c r="BS102" s="105">
        <v>428.4</v>
      </c>
      <c r="BT102" s="105">
        <v>6</v>
      </c>
      <c r="BU102" s="105">
        <v>367.2</v>
      </c>
      <c r="BV102" s="105">
        <v>5</v>
      </c>
      <c r="BW102" s="105">
        <v>306</v>
      </c>
      <c r="BX102" s="105">
        <v>5</v>
      </c>
      <c r="BY102" s="105">
        <v>306</v>
      </c>
      <c r="BZ102" s="105">
        <v>6</v>
      </c>
      <c r="CA102" s="105">
        <v>367.2</v>
      </c>
      <c r="CB102" s="105">
        <v>5</v>
      </c>
      <c r="CC102" s="105">
        <v>306</v>
      </c>
      <c r="CD102" s="105">
        <v>7</v>
      </c>
      <c r="CE102" s="105">
        <v>428.4</v>
      </c>
      <c r="CF102" s="105">
        <v>5</v>
      </c>
      <c r="CG102" s="105">
        <v>306</v>
      </c>
      <c r="CH102" s="105">
        <v>5</v>
      </c>
      <c r="CI102" s="105">
        <v>306</v>
      </c>
      <c r="CJ102" s="105">
        <v>7</v>
      </c>
      <c r="CK102" s="105">
        <v>428.4</v>
      </c>
      <c r="CL102" s="105">
        <v>4</v>
      </c>
      <c r="CM102" s="105">
        <v>244.79999999999998</v>
      </c>
      <c r="CN102" s="105">
        <v>5</v>
      </c>
      <c r="CO102" s="105">
        <v>306</v>
      </c>
      <c r="CP102" s="105">
        <v>6</v>
      </c>
      <c r="CQ102" s="105">
        <v>367.2</v>
      </c>
      <c r="CR102" s="105">
        <v>6</v>
      </c>
      <c r="CS102" s="105">
        <v>367.2</v>
      </c>
      <c r="CT102" s="105">
        <v>6</v>
      </c>
      <c r="CU102" s="105">
        <v>367.2</v>
      </c>
    </row>
    <row r="103" spans="2:99" x14ac:dyDescent="0.2">
      <c r="C103" s="104" t="s">
        <v>271</v>
      </c>
      <c r="D103" s="105">
        <v>0</v>
      </c>
      <c r="E103" s="105">
        <v>0</v>
      </c>
      <c r="F103" s="105">
        <v>7</v>
      </c>
      <c r="G103" s="105">
        <v>873.6</v>
      </c>
      <c r="H103" s="105">
        <v>6</v>
      </c>
      <c r="I103" s="105">
        <v>748.8</v>
      </c>
      <c r="J103" s="105">
        <v>4</v>
      </c>
      <c r="K103" s="105">
        <v>499.2</v>
      </c>
      <c r="L103" s="105">
        <v>5</v>
      </c>
      <c r="M103" s="105">
        <v>624</v>
      </c>
      <c r="N103" s="105">
        <v>5</v>
      </c>
      <c r="O103" s="105">
        <v>624</v>
      </c>
      <c r="P103" s="105">
        <v>7</v>
      </c>
      <c r="Q103" s="105">
        <v>873.6</v>
      </c>
      <c r="R103" s="105">
        <v>7</v>
      </c>
      <c r="S103" s="105">
        <v>873.6</v>
      </c>
      <c r="T103" s="105">
        <v>8</v>
      </c>
      <c r="U103" s="105">
        <v>998.4</v>
      </c>
      <c r="V103" s="105">
        <v>7</v>
      </c>
      <c r="W103" s="105">
        <v>873.6</v>
      </c>
      <c r="X103" s="105">
        <v>5</v>
      </c>
      <c r="Y103" s="105">
        <v>624</v>
      </c>
      <c r="Z103" s="105">
        <v>6</v>
      </c>
      <c r="AA103" s="105">
        <v>748.8</v>
      </c>
      <c r="AB103" s="105">
        <v>7</v>
      </c>
      <c r="AC103" s="105">
        <v>873.6</v>
      </c>
      <c r="AD103" s="105">
        <v>6</v>
      </c>
      <c r="AE103" s="105">
        <v>748.8</v>
      </c>
      <c r="AF103" s="105">
        <v>8</v>
      </c>
      <c r="AG103" s="105">
        <v>998.4</v>
      </c>
      <c r="AH103" s="105">
        <v>5</v>
      </c>
      <c r="AI103" s="105">
        <v>624</v>
      </c>
      <c r="AJ103" s="105">
        <v>4</v>
      </c>
      <c r="AK103" s="105">
        <v>499.2</v>
      </c>
      <c r="AL103" s="105">
        <v>6</v>
      </c>
      <c r="AM103" s="105">
        <v>748.8</v>
      </c>
      <c r="AN103" s="105">
        <v>4</v>
      </c>
      <c r="AO103" s="105">
        <v>499.2</v>
      </c>
      <c r="AP103" s="105">
        <v>8</v>
      </c>
      <c r="AQ103" s="105">
        <v>998.4</v>
      </c>
      <c r="AR103" s="105">
        <v>5</v>
      </c>
      <c r="AS103" s="105">
        <v>624</v>
      </c>
      <c r="AT103" s="105">
        <v>4</v>
      </c>
      <c r="AU103" s="105">
        <v>499.2</v>
      </c>
      <c r="AV103" s="105">
        <v>4</v>
      </c>
      <c r="AW103" s="105">
        <v>499.2</v>
      </c>
      <c r="AX103" s="105">
        <v>5</v>
      </c>
      <c r="AY103" s="105">
        <v>624</v>
      </c>
      <c r="AZ103" s="105">
        <v>5</v>
      </c>
      <c r="BA103" s="105">
        <v>624</v>
      </c>
      <c r="BB103" s="105">
        <v>8</v>
      </c>
      <c r="BC103" s="105">
        <v>998.4</v>
      </c>
      <c r="BD103" s="105">
        <v>7</v>
      </c>
      <c r="BE103" s="105">
        <v>873.6</v>
      </c>
      <c r="BF103" s="105">
        <v>6</v>
      </c>
      <c r="BG103" s="105">
        <v>748.8</v>
      </c>
      <c r="BH103" s="105">
        <v>5</v>
      </c>
      <c r="BI103" s="105">
        <v>624</v>
      </c>
      <c r="BJ103" s="105">
        <v>6</v>
      </c>
      <c r="BK103" s="105">
        <v>748.8</v>
      </c>
      <c r="BL103" s="105">
        <v>6</v>
      </c>
      <c r="BM103" s="105">
        <v>748.8</v>
      </c>
      <c r="BN103" s="105">
        <v>5</v>
      </c>
      <c r="BO103" s="105">
        <v>624</v>
      </c>
      <c r="BP103" s="105">
        <v>5</v>
      </c>
      <c r="BQ103" s="105">
        <v>624</v>
      </c>
      <c r="BR103" s="105">
        <v>6</v>
      </c>
      <c r="BS103" s="105">
        <v>748.8</v>
      </c>
      <c r="BT103" s="105">
        <v>5</v>
      </c>
      <c r="BU103" s="105">
        <v>624</v>
      </c>
      <c r="BV103" s="105">
        <v>5</v>
      </c>
      <c r="BW103" s="105">
        <v>624</v>
      </c>
      <c r="BX103" s="105">
        <v>4</v>
      </c>
      <c r="BY103" s="105">
        <v>499.2</v>
      </c>
      <c r="BZ103" s="105">
        <v>6</v>
      </c>
      <c r="CA103" s="105">
        <v>748.8</v>
      </c>
      <c r="CB103" s="105">
        <v>4</v>
      </c>
      <c r="CC103" s="105">
        <v>499.2</v>
      </c>
      <c r="CD103" s="105">
        <v>7</v>
      </c>
      <c r="CE103" s="105">
        <v>873.6</v>
      </c>
      <c r="CF103" s="105">
        <v>5</v>
      </c>
      <c r="CG103" s="105">
        <v>624</v>
      </c>
      <c r="CH103" s="105">
        <v>4</v>
      </c>
      <c r="CI103" s="105">
        <v>499.2</v>
      </c>
      <c r="CJ103" s="105">
        <v>8</v>
      </c>
      <c r="CK103" s="105">
        <v>998.4</v>
      </c>
      <c r="CL103" s="105">
        <v>5</v>
      </c>
      <c r="CM103" s="105">
        <v>624</v>
      </c>
      <c r="CN103" s="105">
        <v>6</v>
      </c>
      <c r="CO103" s="105">
        <v>748.8</v>
      </c>
      <c r="CP103" s="105">
        <v>6</v>
      </c>
      <c r="CQ103" s="105">
        <v>748.8</v>
      </c>
      <c r="CR103" s="105">
        <v>7</v>
      </c>
      <c r="CS103" s="105">
        <v>873.6</v>
      </c>
      <c r="CT103" s="105">
        <v>7</v>
      </c>
      <c r="CU103" s="105">
        <v>873.6</v>
      </c>
    </row>
    <row r="104" spans="2:99" x14ac:dyDescent="0.2">
      <c r="C104" s="104" t="s">
        <v>272</v>
      </c>
      <c r="D104" s="105">
        <v>0</v>
      </c>
      <c r="E104" s="105">
        <v>0</v>
      </c>
      <c r="F104" s="105">
        <v>8</v>
      </c>
      <c r="G104" s="105">
        <v>1900.8</v>
      </c>
      <c r="H104" s="105">
        <v>6</v>
      </c>
      <c r="I104" s="105">
        <v>1425.6</v>
      </c>
      <c r="J104" s="105">
        <v>5</v>
      </c>
      <c r="K104" s="105">
        <v>1188</v>
      </c>
      <c r="L104" s="105">
        <v>6</v>
      </c>
      <c r="M104" s="105">
        <v>1425.6</v>
      </c>
      <c r="N104" s="105">
        <v>4</v>
      </c>
      <c r="O104" s="105">
        <v>950.4</v>
      </c>
      <c r="P104" s="105">
        <v>6</v>
      </c>
      <c r="Q104" s="105">
        <v>1425.6</v>
      </c>
      <c r="R104" s="105">
        <v>7</v>
      </c>
      <c r="S104" s="105">
        <v>1663.2</v>
      </c>
      <c r="T104" s="105">
        <v>7</v>
      </c>
      <c r="U104" s="105">
        <v>1663.2</v>
      </c>
      <c r="V104" s="105">
        <v>6</v>
      </c>
      <c r="W104" s="105">
        <v>1425.6</v>
      </c>
      <c r="X104" s="105">
        <v>5</v>
      </c>
      <c r="Y104" s="105">
        <v>1188</v>
      </c>
      <c r="Z104" s="105">
        <v>6</v>
      </c>
      <c r="AA104" s="105">
        <v>1425.6</v>
      </c>
      <c r="AB104" s="105">
        <v>7</v>
      </c>
      <c r="AC104" s="105">
        <v>1663.2</v>
      </c>
      <c r="AD104" s="105">
        <v>5</v>
      </c>
      <c r="AE104" s="105">
        <v>1188</v>
      </c>
      <c r="AF104" s="105">
        <v>8</v>
      </c>
      <c r="AG104" s="105">
        <v>1900.8</v>
      </c>
      <c r="AH104" s="105">
        <v>5</v>
      </c>
      <c r="AI104" s="105">
        <v>1188</v>
      </c>
      <c r="AJ104" s="105">
        <v>5</v>
      </c>
      <c r="AK104" s="105">
        <v>1188</v>
      </c>
      <c r="AL104" s="105">
        <v>6</v>
      </c>
      <c r="AM104" s="105">
        <v>1425.6</v>
      </c>
      <c r="AN104" s="105">
        <v>5</v>
      </c>
      <c r="AO104" s="105">
        <v>1188</v>
      </c>
      <c r="AP104" s="105">
        <v>8</v>
      </c>
      <c r="AQ104" s="105">
        <v>1900.8</v>
      </c>
      <c r="AR104" s="105">
        <v>4</v>
      </c>
      <c r="AS104" s="105">
        <v>950.4</v>
      </c>
      <c r="AT104" s="105">
        <v>4</v>
      </c>
      <c r="AU104" s="105">
        <v>950.4</v>
      </c>
      <c r="AV104" s="105">
        <v>5</v>
      </c>
      <c r="AW104" s="105">
        <v>1188</v>
      </c>
      <c r="AX104" s="105">
        <v>5</v>
      </c>
      <c r="AY104" s="105">
        <v>1188</v>
      </c>
      <c r="AZ104" s="105">
        <v>5</v>
      </c>
      <c r="BA104" s="105">
        <v>1188</v>
      </c>
      <c r="BB104" s="105">
        <v>7</v>
      </c>
      <c r="BC104" s="105">
        <v>1663.2</v>
      </c>
      <c r="BD104" s="105">
        <v>7</v>
      </c>
      <c r="BE104" s="105">
        <v>1663.2</v>
      </c>
      <c r="BF104" s="105">
        <v>6</v>
      </c>
      <c r="BG104" s="105">
        <v>1425.6</v>
      </c>
      <c r="BH104" s="105">
        <v>5</v>
      </c>
      <c r="BI104" s="105">
        <v>1188</v>
      </c>
      <c r="BJ104" s="105">
        <v>6</v>
      </c>
      <c r="BK104" s="105">
        <v>1425.6</v>
      </c>
      <c r="BL104" s="105">
        <v>6</v>
      </c>
      <c r="BM104" s="105">
        <v>1425.6</v>
      </c>
      <c r="BN104" s="105">
        <v>6</v>
      </c>
      <c r="BO104" s="105">
        <v>1425.6</v>
      </c>
      <c r="BP104" s="105">
        <v>6</v>
      </c>
      <c r="BQ104" s="105">
        <v>1425.6</v>
      </c>
      <c r="BR104" s="105">
        <v>7</v>
      </c>
      <c r="BS104" s="105">
        <v>1663.2</v>
      </c>
      <c r="BT104" s="105">
        <v>6</v>
      </c>
      <c r="BU104" s="105">
        <v>1425.6</v>
      </c>
      <c r="BV104" s="105">
        <v>5</v>
      </c>
      <c r="BW104" s="105">
        <v>1188</v>
      </c>
      <c r="BX104" s="105">
        <v>4</v>
      </c>
      <c r="BY104" s="105">
        <v>950.4</v>
      </c>
      <c r="BZ104" s="105">
        <v>6</v>
      </c>
      <c r="CA104" s="105">
        <v>1425.6</v>
      </c>
      <c r="CB104" s="105">
        <v>4</v>
      </c>
      <c r="CC104" s="105">
        <v>950.4</v>
      </c>
      <c r="CD104" s="105">
        <v>7</v>
      </c>
      <c r="CE104" s="105">
        <v>1663.2</v>
      </c>
      <c r="CF104" s="105">
        <v>5</v>
      </c>
      <c r="CG104" s="105">
        <v>1188</v>
      </c>
      <c r="CH104" s="105">
        <v>4</v>
      </c>
      <c r="CI104" s="105">
        <v>950.4</v>
      </c>
      <c r="CJ104" s="105">
        <v>8</v>
      </c>
      <c r="CK104" s="105">
        <v>1900.8</v>
      </c>
      <c r="CL104" s="105">
        <v>5</v>
      </c>
      <c r="CM104" s="105">
        <v>1188</v>
      </c>
      <c r="CN104" s="105">
        <v>6</v>
      </c>
      <c r="CO104" s="105">
        <v>1425.6</v>
      </c>
      <c r="CP104" s="105">
        <v>6</v>
      </c>
      <c r="CQ104" s="105">
        <v>1425.6</v>
      </c>
      <c r="CR104" s="105">
        <v>7</v>
      </c>
      <c r="CS104" s="105">
        <v>1663.2</v>
      </c>
      <c r="CT104" s="105">
        <v>7</v>
      </c>
      <c r="CU104" s="105">
        <v>1663.2</v>
      </c>
    </row>
    <row r="105" spans="2:99" x14ac:dyDescent="0.2">
      <c r="C105" s="104" t="s">
        <v>273</v>
      </c>
      <c r="D105" s="105">
        <v>0</v>
      </c>
      <c r="E105" s="105">
        <v>0</v>
      </c>
      <c r="F105" s="105">
        <v>7</v>
      </c>
      <c r="G105" s="105">
        <v>1209.5999999999999</v>
      </c>
      <c r="H105" s="105">
        <v>5</v>
      </c>
      <c r="I105" s="105">
        <v>863.99999999999989</v>
      </c>
      <c r="J105" s="105">
        <v>4</v>
      </c>
      <c r="K105" s="105">
        <v>691.19999999999993</v>
      </c>
      <c r="L105" s="105">
        <v>5</v>
      </c>
      <c r="M105" s="105">
        <v>863.99999999999989</v>
      </c>
      <c r="N105" s="105">
        <v>4</v>
      </c>
      <c r="O105" s="105">
        <v>691.19999999999993</v>
      </c>
      <c r="P105" s="105">
        <v>7</v>
      </c>
      <c r="Q105" s="105">
        <v>1209.5999999999999</v>
      </c>
      <c r="R105" s="105">
        <v>7</v>
      </c>
      <c r="S105" s="105">
        <v>1209.5999999999999</v>
      </c>
      <c r="T105" s="105">
        <v>8</v>
      </c>
      <c r="U105" s="105">
        <v>1382.3999999999999</v>
      </c>
      <c r="V105" s="105">
        <v>6</v>
      </c>
      <c r="W105" s="105">
        <v>1036.8</v>
      </c>
      <c r="X105" s="105">
        <v>5</v>
      </c>
      <c r="Y105" s="105">
        <v>863.99999999999989</v>
      </c>
      <c r="Z105" s="105">
        <v>7</v>
      </c>
      <c r="AA105" s="105">
        <v>1209.5999999999999</v>
      </c>
      <c r="AB105" s="105">
        <v>7</v>
      </c>
      <c r="AC105" s="105">
        <v>1209.5999999999999</v>
      </c>
      <c r="AD105" s="105">
        <v>6</v>
      </c>
      <c r="AE105" s="105">
        <v>1036.8</v>
      </c>
      <c r="AF105" s="105">
        <v>7</v>
      </c>
      <c r="AG105" s="105">
        <v>1209.5999999999999</v>
      </c>
      <c r="AH105" s="105">
        <v>5</v>
      </c>
      <c r="AI105" s="105">
        <v>863.99999999999989</v>
      </c>
      <c r="AJ105" s="105">
        <v>4</v>
      </c>
      <c r="AK105" s="105">
        <v>691.19999999999993</v>
      </c>
      <c r="AL105" s="105">
        <v>6</v>
      </c>
      <c r="AM105" s="105">
        <v>1036.8</v>
      </c>
      <c r="AN105" s="105">
        <v>5</v>
      </c>
      <c r="AO105" s="105">
        <v>863.99999999999989</v>
      </c>
      <c r="AP105" s="105">
        <v>8</v>
      </c>
      <c r="AQ105" s="105">
        <v>1382.3999999999999</v>
      </c>
      <c r="AR105" s="105">
        <v>5</v>
      </c>
      <c r="AS105" s="105">
        <v>863.99999999999989</v>
      </c>
      <c r="AT105" s="105">
        <v>4</v>
      </c>
      <c r="AU105" s="105">
        <v>691.19999999999993</v>
      </c>
      <c r="AV105" s="105">
        <v>4</v>
      </c>
      <c r="AW105" s="105">
        <v>691.19999999999993</v>
      </c>
      <c r="AX105" s="105">
        <v>5</v>
      </c>
      <c r="AY105" s="105">
        <v>863.99999999999989</v>
      </c>
      <c r="AZ105" s="105">
        <v>6</v>
      </c>
      <c r="BA105" s="105">
        <v>1036.8</v>
      </c>
      <c r="BB105" s="105">
        <v>7</v>
      </c>
      <c r="BC105" s="105">
        <v>1209.5999999999999</v>
      </c>
      <c r="BD105" s="105">
        <v>8</v>
      </c>
      <c r="BE105" s="105">
        <v>1382.3999999999999</v>
      </c>
      <c r="BF105" s="105">
        <v>6</v>
      </c>
      <c r="BG105" s="105">
        <v>1036.8</v>
      </c>
      <c r="BH105" s="105">
        <v>5</v>
      </c>
      <c r="BI105" s="105">
        <v>863.99999999999989</v>
      </c>
      <c r="BJ105" s="105">
        <v>6</v>
      </c>
      <c r="BK105" s="105">
        <v>1036.8</v>
      </c>
      <c r="BL105" s="105">
        <v>6</v>
      </c>
      <c r="BM105" s="105">
        <v>1036.8</v>
      </c>
      <c r="BN105" s="105">
        <v>6</v>
      </c>
      <c r="BO105" s="105">
        <v>1036.8</v>
      </c>
      <c r="BP105" s="105">
        <v>5</v>
      </c>
      <c r="BQ105" s="105">
        <v>863.99999999999989</v>
      </c>
      <c r="BR105" s="105">
        <v>6</v>
      </c>
      <c r="BS105" s="105">
        <v>1036.8</v>
      </c>
      <c r="BT105" s="105">
        <v>6</v>
      </c>
      <c r="BU105" s="105">
        <v>1036.8</v>
      </c>
      <c r="BV105" s="105">
        <v>5</v>
      </c>
      <c r="BW105" s="105">
        <v>863.99999999999989</v>
      </c>
      <c r="BX105" s="105">
        <v>5</v>
      </c>
      <c r="BY105" s="105">
        <v>863.99999999999989</v>
      </c>
      <c r="BZ105" s="105">
        <v>6</v>
      </c>
      <c r="CA105" s="105">
        <v>1036.8</v>
      </c>
      <c r="CB105" s="105">
        <v>4</v>
      </c>
      <c r="CC105" s="105">
        <v>691.19999999999993</v>
      </c>
      <c r="CD105" s="105">
        <v>8</v>
      </c>
      <c r="CE105" s="105">
        <v>1382.3999999999999</v>
      </c>
      <c r="CF105" s="105">
        <v>5</v>
      </c>
      <c r="CG105" s="105">
        <v>863.99999999999989</v>
      </c>
      <c r="CH105" s="105">
        <v>5</v>
      </c>
      <c r="CI105" s="105">
        <v>863.99999999999989</v>
      </c>
      <c r="CJ105" s="105">
        <v>8</v>
      </c>
      <c r="CK105" s="105">
        <v>1382.3999999999999</v>
      </c>
      <c r="CL105" s="105">
        <v>4</v>
      </c>
      <c r="CM105" s="105">
        <v>691.19999999999993</v>
      </c>
      <c r="CN105" s="105">
        <v>6</v>
      </c>
      <c r="CO105" s="105">
        <v>1036.8</v>
      </c>
      <c r="CP105" s="105">
        <v>6</v>
      </c>
      <c r="CQ105" s="105">
        <v>1036.8</v>
      </c>
      <c r="CR105" s="105">
        <v>7</v>
      </c>
      <c r="CS105" s="105">
        <v>1209.5999999999999</v>
      </c>
      <c r="CT105" s="105">
        <v>7</v>
      </c>
      <c r="CU105" s="105">
        <v>1209.5999999999999</v>
      </c>
    </row>
    <row r="107" spans="2:99" x14ac:dyDescent="0.2">
      <c r="B107" s="109" t="s">
        <v>278</v>
      </c>
    </row>
    <row r="108" spans="2:99" x14ac:dyDescent="0.2">
      <c r="C108" s="104" t="s">
        <v>279</v>
      </c>
      <c r="D108" s="104" t="s">
        <v>92</v>
      </c>
      <c r="E108" s="104" t="s">
        <v>93</v>
      </c>
      <c r="F108" s="104" t="s">
        <v>94</v>
      </c>
      <c r="G108" s="104" t="s">
        <v>95</v>
      </c>
      <c r="H108" s="104" t="s">
        <v>96</v>
      </c>
      <c r="I108" s="104" t="s">
        <v>97</v>
      </c>
      <c r="J108" s="104" t="s">
        <v>98</v>
      </c>
      <c r="K108" s="104" t="s">
        <v>99</v>
      </c>
      <c r="L108" s="104" t="s">
        <v>100</v>
      </c>
      <c r="M108" s="104" t="s">
        <v>101</v>
      </c>
      <c r="N108" s="104" t="s">
        <v>102</v>
      </c>
      <c r="O108" s="104" t="s">
        <v>103</v>
      </c>
    </row>
    <row r="109" spans="2:99" x14ac:dyDescent="0.2">
      <c r="C109" s="104" t="s">
        <v>126</v>
      </c>
      <c r="D109" s="105">
        <f>SUM(D$6:D$19)+SUM(F$6:F$19)+SUM(H$6:H$19)+SUM(J$6:J$19)</f>
        <v>212</v>
      </c>
      <c r="E109" s="105">
        <f>SUM(L$6:L$19)+SUM(N$6:N$19)+SUM(P$6:P$19)+SUM(R$6:R$19)</f>
        <v>404</v>
      </c>
      <c r="F109" s="105">
        <f>SUM(T$6:T$19)+SUM(V$6:V$19)+SUM(X$6:X$19)+SUM(Z$6:Z$19)</f>
        <v>378</v>
      </c>
      <c r="G109" s="105">
        <f>SUM(AB$6:AB$19)+SUM(AD$6:AD$19)+SUM(AF$6:AF$19)+SUM(AH$6:AH$19)</f>
        <v>324</v>
      </c>
      <c r="H109" s="105">
        <f>SUM(AJ$6:AJ$19)+SUM(AL$6:AL$19)+SUM(AN$6:AN$19)+SUM(AP$6:AP$19)</f>
        <v>374</v>
      </c>
      <c r="I109" s="105">
        <f>SUM(AR$6:AR$19)+SUM(AT$6:AT$19)+SUM(AV$6:AV$19)+SUM(AX$6:AX$19)</f>
        <v>385</v>
      </c>
      <c r="J109" s="105">
        <f>SUM(AZ$6:AZ$19)+SUM(BB$6:BB$19)+SUM(BD$6:BD$19)+SUM(BF$6:BF$19)</f>
        <v>374</v>
      </c>
      <c r="K109" s="105">
        <f>SUM(BH$6:BH$19)+SUM(BJ$6:BJ$19)+SUM(BL$6:BL$19)+SUM(BN$6:BN$19)</f>
        <v>387</v>
      </c>
      <c r="L109" s="105">
        <f>SUM(BP$6:BP$19)+SUM(BR$6:BR$19)+SUM(BT$6:BT$19)+SUM(BV$6:BV$19)</f>
        <v>460</v>
      </c>
      <c r="M109" s="105">
        <f>SUM(BX$6:BX$19)+SUM(BZ$6:BZ$19)+SUM(CB$6:CB$19)+SUM(CD$6:CD$19)</f>
        <v>422</v>
      </c>
      <c r="N109" s="105">
        <f>SUM(CF$6:CF$19)+SUM(CH$6:CH$19)+SUM(CJ$6:CJ$19)+SUM(CL$6:CL$19)</f>
        <v>464</v>
      </c>
      <c r="O109" s="105">
        <f>SUM(CN$6:CN$19)+SUM(CP$6:CP$19)+SUM(CR$6:CR$19)+SUM(CT$6:CT$19)</f>
        <v>490</v>
      </c>
    </row>
    <row r="110" spans="2:99" x14ac:dyDescent="0.2">
      <c r="C110" s="104" t="s">
        <v>127</v>
      </c>
      <c r="D110" s="105">
        <f>SUM(D$20:D$36)+SUM(F$20:F$36)+SUM(H$20:H$36)+SUM(J$20:J$36)</f>
        <v>358</v>
      </c>
      <c r="E110" s="105">
        <f>SUM(L$20:L$36)+SUM(N$20:N$36)+SUM(P$20:P$36)+SUM(R$20:R$36)</f>
        <v>936</v>
      </c>
      <c r="F110" s="105">
        <f>SUM(T$20:T$36)+SUM(V$20:V$36)+SUM(X$20:X$36)+SUM(Z$20:Z$36)</f>
        <v>732.04281142472155</v>
      </c>
      <c r="G110" s="105">
        <f>SUM(AB$20:AB$36)+SUM(AD$20:AD$36)+SUM(AF$20:AF$36)+SUM(AH$20:AH$36)</f>
        <v>855</v>
      </c>
      <c r="H110" s="105">
        <f>SUM(AJ$20:AJ$36)+SUM(AL$20:AL$36)+SUM(AN$20:AN$36)+SUM(AP$20:AP$36)</f>
        <v>840</v>
      </c>
      <c r="I110" s="105">
        <f>SUM(AR$20:AR$36)+SUM(AT$20:AT$36)+SUM(AV$20:AV$36)+SUM(AX$20:AX$36)</f>
        <v>896</v>
      </c>
      <c r="J110" s="105">
        <f>SUM(AZ$20:AZ$36)+SUM(BB$20:BB$36)+SUM(BD$20:BD$36)+SUM(BF$20:BF$36)</f>
        <v>920.99662340064492</v>
      </c>
      <c r="K110" s="105">
        <f>SUM(BH$20:BH$36)+SUM(BJ$20:BJ$36)+SUM(BL$20:BL$36)+SUM(BN$20:BN$36)</f>
        <v>961</v>
      </c>
      <c r="L110" s="105">
        <f>SUM(BP$20:BP$36)+SUM(BR$20:BR$36)+SUM(BT$20:BT$36)+SUM(BV$20:BV$36)</f>
        <v>923</v>
      </c>
      <c r="M110" s="105">
        <f>SUM(BX$20:BX$36)+SUM(BZ$20:BZ$36)+SUM(CB$20:CB$36)+SUM(CD$20:CD$36)</f>
        <v>1069</v>
      </c>
      <c r="N110" s="105">
        <f>SUM(CF$20:CF$36)+SUM(CH$20:CH$36)+SUM(CJ$20:CJ$36)+SUM(CL$20:CL$36)</f>
        <v>790.21042645895125</v>
      </c>
      <c r="O110" s="105">
        <f>SUM(CN$20:CN$36)+SUM(CP$20:CP$36)+SUM(CR$20:CR$36)+SUM(CT$20:CT$36)</f>
        <v>831</v>
      </c>
    </row>
    <row r="111" spans="2:99" x14ac:dyDescent="0.2">
      <c r="C111" s="104" t="s">
        <v>128</v>
      </c>
      <c r="D111" s="105">
        <f>SUM(D$37:D$48)+SUM(F$37:F$48)+SUM(H$37:H$48)+SUM(J$37:J$48)</f>
        <v>144</v>
      </c>
      <c r="E111" s="105">
        <f>SUM(L$37:L$48)+SUM(N$37:N$48)+SUM(P$37:P$48)+SUM(R$37:R$48)</f>
        <v>328</v>
      </c>
      <c r="F111" s="105">
        <f>SUM(T$37:T$48)+SUM(V$37:V$48)+SUM(X$37:X$48)+SUM(Z$37:Z$48)</f>
        <v>278</v>
      </c>
      <c r="G111" s="105">
        <f>SUM(AB$37:AB$48)+SUM(AD$37:AD$48)+SUM(AF$37:AF$48)+SUM(AH$37:AH$48)</f>
        <v>243</v>
      </c>
      <c r="H111" s="105">
        <f>SUM(AJ$37:AJ$48)+SUM(AL$37:AL$48)+SUM(AN$37:AN$48)+SUM(AP$37:AP$48)</f>
        <v>298</v>
      </c>
      <c r="I111" s="105">
        <f>SUM(AR$37:AR$48)+SUM(AT$37:AT$48)+SUM(AV$37:AV$48)+SUM(AX$37:AX$48)</f>
        <v>292</v>
      </c>
      <c r="J111" s="105">
        <f>SUM(AZ$37:AZ$48)+SUM(BB$37:BB$48)+SUM(BD$37:BD$48)+SUM(BF$37:BF$48)</f>
        <v>282</v>
      </c>
      <c r="K111" s="105">
        <f>SUM(BH$37:BH$48)+SUM(BJ$37:BJ$48)+SUM(BL$37:BL$48)+SUM(BN$37:BN$48)</f>
        <v>308</v>
      </c>
      <c r="L111" s="105">
        <f>SUM(BP$37:BP$48)+SUM(BR$37:BR$48)+SUM(BT$37:BT$48)+SUM(BV$37:BV$48)</f>
        <v>334</v>
      </c>
      <c r="M111" s="105">
        <f>SUM(BX$37:BX$48)+SUM(BZ$37:BZ$48)+SUM(CB$37:CB$48)+SUM(CD$37:CD$48)</f>
        <v>290</v>
      </c>
      <c r="N111" s="105">
        <f>SUM(CF$37:CF$48)+SUM(CH$37:CH$48)+SUM(CJ$37:CJ$48)+SUM(CL$37:CL$48)</f>
        <v>313</v>
      </c>
      <c r="O111" s="105">
        <f>SUM(CN$37:CN$48)+SUM(CP$37:CP$48)+SUM(CR$37:CR$48)+SUM(CT$37:CT$48)</f>
        <v>333</v>
      </c>
    </row>
    <row r="112" spans="2:99" x14ac:dyDescent="0.2">
      <c r="C112" s="104" t="s">
        <v>129</v>
      </c>
      <c r="D112" s="105">
        <f>SUM(D$49:D$70)+SUM(F$49:F$70)+SUM(H$49:H$70)+SUM(J$49:J$70)</f>
        <v>175.25966850828729</v>
      </c>
      <c r="E112" s="105">
        <f>SUM(L$49:L$70)+SUM(N$49:N$70)+SUM(P$49:P$70)+SUM(R$49:R$70)</f>
        <v>387.8829813664596</v>
      </c>
      <c r="F112" s="105">
        <f>SUM(T$49:T$70)+SUM(V$49:V$70)+SUM(X$49:X$70)+SUM(Z$49:Z$70)</f>
        <v>410.96675492491482</v>
      </c>
      <c r="G112" s="105">
        <f>SUM(AB$49:AB$70)+SUM(AD$49:AD$70)+SUM(AF$49:AF$70)+SUM(AH$49:AH$70)</f>
        <v>461.99789473684211</v>
      </c>
      <c r="H112" s="105">
        <f>SUM(AJ$49:AJ$70)+SUM(AL$49:AL$70)+SUM(AN$49:AN$70)+SUM(AP$49:AP$70)</f>
        <v>344</v>
      </c>
      <c r="I112" s="105">
        <f>SUM(AR$49:AR$70)+SUM(AT$49:AT$70)+SUM(AV$49:AV$70)+SUM(AX$49:AX$70)</f>
        <v>431</v>
      </c>
      <c r="J112" s="105">
        <f>SUM(AZ$49:AZ$70)+SUM(BB$49:BB$70)+SUM(BD$49:BD$70)+SUM(BF$49:BF$70)</f>
        <v>359.38365523936119</v>
      </c>
      <c r="K112" s="105">
        <f>SUM(BH$49:BH$70)+SUM(BJ$49:BJ$70)+SUM(BL$49:BL$70)+SUM(BN$49:BN$70)</f>
        <v>295.66987593980662</v>
      </c>
      <c r="L112" s="105">
        <f>SUM(BP$49:BP$70)+SUM(BR$49:BR$70)+SUM(BT$49:BT$70)+SUM(BV$49:BV$70)</f>
        <v>401.34810197663973</v>
      </c>
      <c r="M112" s="105">
        <f>SUM(BX$49:BX$70)+SUM(BZ$49:BZ$70)+SUM(CB$49:CB$70)+SUM(CD$49:CD$70)</f>
        <v>444.63829847062834</v>
      </c>
      <c r="N112" s="105">
        <f>SUM(CF$49:CF$70)+SUM(CH$49:CH$70)+SUM(CJ$49:CJ$70)+SUM(CL$49:CL$70)</f>
        <v>400.36901762601224</v>
      </c>
      <c r="O112" s="105">
        <f>SUM(CN$49:CN$70)+SUM(CP$49:CP$70)+SUM(CR$49:CR$70)+SUM(CT$49:CT$70)</f>
        <v>405.17618249317377</v>
      </c>
    </row>
    <row r="113" spans="2:15" x14ac:dyDescent="0.2">
      <c r="C113" s="104" t="s">
        <v>130</v>
      </c>
      <c r="D113" s="105">
        <f>SUM(D$71:D$86)+SUM(F$71:F$86)+SUM(H$71:H$86)+SUM(J$71:J$86)</f>
        <v>232.06077348066302</v>
      </c>
      <c r="E113" s="105">
        <f>SUM(L$71:L$86)+SUM(N$71:N$86)+SUM(P$71:P$86)+SUM(R$71:R$86)</f>
        <v>495.1950310559007</v>
      </c>
      <c r="F113" s="105">
        <f>SUM(T$71:T$86)+SUM(V$71:V$86)+SUM(X$71:X$86)+SUM(Z$71:Z$86)</f>
        <v>486.77830188679263</v>
      </c>
      <c r="G113" s="105">
        <f>SUM(AB$71:AB$86)+SUM(AD$71:AD$86)+SUM(AF$71:AF$86)+SUM(AH$71:AH$86)</f>
        <v>542.3326315789476</v>
      </c>
      <c r="H113" s="105">
        <f>SUM(AJ$71:AJ$86)+SUM(AL$71:AL$86)+SUM(AN$71:AN$86)+SUM(AP$71:AP$86)</f>
        <v>478</v>
      </c>
      <c r="I113" s="105">
        <f>SUM(AR$71:AR$86)+SUM(AT$71:AT$86)+SUM(AV$71:AV$86)+SUM(AX$71:AX$86)</f>
        <v>519</v>
      </c>
      <c r="J113" s="105">
        <f>SUM(AZ$71:AZ$86)+SUM(BB$71:BB$86)+SUM(BD$71:BD$86)+SUM(BF$71:BF$86)</f>
        <v>529</v>
      </c>
      <c r="K113" s="105">
        <f>SUM(BH$71:BH$86)+SUM(BJ$71:BJ$86)+SUM(BL$71:BL$86)+SUM(BN$71:BN$86)</f>
        <v>550.08139399406218</v>
      </c>
      <c r="L113" s="105">
        <f>SUM(BP$71:BP$86)+SUM(BR$71:BR$86)+SUM(BT$71:BT$86)+SUM(BV$71:BV$86)</f>
        <v>495.34308176100637</v>
      </c>
      <c r="M113" s="105">
        <f>SUM(BX$71:BX$86)+SUM(BZ$71:BZ$86)+SUM(CB$71:CB$86)+SUM(CD$71:CD$86)</f>
        <v>506.79220824332339</v>
      </c>
      <c r="N113" s="105">
        <f>SUM(CF$71:CF$86)+SUM(CH$71:CH$86)+SUM(CJ$71:CJ$86)+SUM(CL$71:CL$86)</f>
        <v>474.47218233642604</v>
      </c>
      <c r="O113" s="105">
        <f>SUM(CN$71:CN$86)+SUM(CP$71:CP$86)+SUM(CR$71:CR$86)+SUM(CT$71:CT$86)</f>
        <v>477.47338186724886</v>
      </c>
    </row>
    <row r="114" spans="2:15" x14ac:dyDescent="0.2">
      <c r="C114" s="104" t="s">
        <v>131</v>
      </c>
      <c r="D114" s="105">
        <f>SUM(D$87:D$94)+SUM(F$87:F$94)+SUM(H$87:H$94)+SUM(J$87:J$94)</f>
        <v>104</v>
      </c>
      <c r="E114" s="105">
        <f>SUM(L$87:L$94)+SUM(N$87:N$94)+SUM(P$87:P$94)+SUM(R$87:R$94)</f>
        <v>160</v>
      </c>
      <c r="F114" s="105">
        <f>SUM(T$87:T$94)+SUM(V$87:V$94)+SUM(X$87:X$94)+SUM(Z$87:Z$94)</f>
        <v>138</v>
      </c>
      <c r="G114" s="105">
        <f>SUM(AB$87:AB$94)+SUM(AD$87:AD$94)+SUM(AF$87:AF$94)+SUM(AH$87:AH$94)</f>
        <v>171</v>
      </c>
      <c r="H114" s="105">
        <f>SUM(AJ$87:AJ$94)+SUM(AL$87:AL$94)+SUM(AN$87:AN$94)+SUM(AP$87:AP$94)</f>
        <v>145</v>
      </c>
      <c r="I114" s="105">
        <f>SUM(AR$87:AR$94)+SUM(AT$87:AT$94)+SUM(AV$87:AV$94)+SUM(AX$87:AX$94)</f>
        <v>176</v>
      </c>
      <c r="J114" s="105">
        <f>SUM(AZ$87:AZ$94)+SUM(BB$87:BB$94)+SUM(BD$87:BD$94)+SUM(BF$87:BF$94)</f>
        <v>139</v>
      </c>
      <c r="K114" s="105">
        <f>SUM(BH$87:BH$94)+SUM(BJ$87:BJ$94)+SUM(BL$87:BL$94)+SUM(BN$87:BN$94)</f>
        <v>163</v>
      </c>
      <c r="L114" s="105">
        <f>SUM(BP$87:BP$94)+SUM(BR$87:BR$94)+SUM(BT$87:BT$94)+SUM(BV$87:BV$94)</f>
        <v>164</v>
      </c>
      <c r="M114" s="105">
        <f>SUM(BX$87:BX$94)+SUM(BZ$87:BZ$94)+SUM(CB$87:CB$94)+SUM(CD$87:CD$94)</f>
        <v>182</v>
      </c>
      <c r="N114" s="105">
        <f>SUM(CF$87:CF$94)+SUM(CH$87:CH$94)+SUM(CJ$87:CJ$94)+SUM(CL$87:CL$94)</f>
        <v>149</v>
      </c>
      <c r="O114" s="105">
        <f>SUM(CN$87:CN$94)+SUM(CP$87:CP$94)+SUM(CR$87:CR$94)+SUM(CT$87:CT$94)</f>
        <v>138</v>
      </c>
    </row>
    <row r="115" spans="2:15" x14ac:dyDescent="0.2">
      <c r="C115" s="104" t="s">
        <v>132</v>
      </c>
      <c r="D115" s="105">
        <f>SUM(D$95:D$105)+SUM(F$95:F$105)+SUM(H$95:H$105)+SUM(J$95:J$105)</f>
        <v>166.67955801104972</v>
      </c>
      <c r="E115" s="105">
        <f>SUM(L$95:L$105)+SUM(N$95:N$105)+SUM(P$95:P$105)+SUM(R$95:R$105)</f>
        <v>253.92198757763975</v>
      </c>
      <c r="F115" s="105">
        <f>SUM(T$95:T$105)+SUM(V$95:V$105)+SUM(X$95:X$105)+SUM(Z$95:Z$105)</f>
        <v>271.94056603773583</v>
      </c>
      <c r="G115" s="105">
        <f>SUM(AB$95:AB$105)+SUM(AD$95:AD$105)+SUM(AF$95:AF$105)+SUM(AH$95:AH$105)</f>
        <v>266.46947368421053</v>
      </c>
      <c r="H115" s="105">
        <f>SUM(AJ$95:AJ$105)+SUM(AL$95:AL$105)+SUM(AN$95:AN$105)+SUM(AP$95:AP$105)</f>
        <v>244</v>
      </c>
      <c r="I115" s="105">
        <f>SUM(AR$95:AR$105)+SUM(AT$95:AT$105)+SUM(AV$95:AV$105)+SUM(AX$95:AX$105)</f>
        <v>192</v>
      </c>
      <c r="J115" s="105">
        <f>SUM(AZ$95:AZ$105)+SUM(BB$95:BB$105)+SUM(BD$95:BD$105)+SUM(BF$95:BF$105)</f>
        <v>287</v>
      </c>
      <c r="K115" s="105">
        <f>SUM(BH$95:BH$105)+SUM(BJ$95:BJ$105)+SUM(BL$95:BL$105)+SUM(BN$95:BN$105)</f>
        <v>247.0487300661317</v>
      </c>
      <c r="L115" s="105">
        <f>SUM(BP$95:BP$105)+SUM(BR$95:BR$105)+SUM(BT$95:BT$105)+SUM(BV$95:BV$105)</f>
        <v>235.30881626235401</v>
      </c>
      <c r="M115" s="105">
        <f>SUM(BX$95:BX$105)+SUM(BZ$95:BZ$105)+SUM(CB$95:CB$105)+SUM(CD$95:CD$105)</f>
        <v>228.56949328604844</v>
      </c>
      <c r="N115" s="105">
        <f>SUM(CF$95:CF$105)+SUM(CH$95:CH$105)+SUM(CJ$95:CJ$105)+SUM(CL$95:CL$105)</f>
        <v>223.29995085429135</v>
      </c>
      <c r="O115" s="105">
        <f>SUM(CN$95:CN$105)+SUM(CP$95:CP$105)+SUM(CR$95:CR$105)+SUM(CT$95:CT$105)</f>
        <v>255.15043563957741</v>
      </c>
    </row>
    <row r="116" spans="2:15" x14ac:dyDescent="0.2">
      <c r="C116" s="104" t="s">
        <v>280</v>
      </c>
      <c r="D116" s="105">
        <f t="shared" ref="D116:O116" si="0">SUM(D$109:D$115)</f>
        <v>1392</v>
      </c>
      <c r="E116" s="105">
        <f t="shared" si="0"/>
        <v>2965</v>
      </c>
      <c r="F116" s="105">
        <f t="shared" si="0"/>
        <v>2695.728434274165</v>
      </c>
      <c r="G116" s="105">
        <f t="shared" si="0"/>
        <v>2863.8000000000006</v>
      </c>
      <c r="H116" s="105">
        <f t="shared" si="0"/>
        <v>2723</v>
      </c>
      <c r="I116" s="105">
        <f t="shared" si="0"/>
        <v>2891</v>
      </c>
      <c r="J116" s="105">
        <f t="shared" si="0"/>
        <v>2891.3802786400061</v>
      </c>
      <c r="K116" s="105">
        <f t="shared" si="0"/>
        <v>2911.8</v>
      </c>
      <c r="L116" s="105">
        <f t="shared" si="0"/>
        <v>3013</v>
      </c>
      <c r="M116" s="105">
        <f t="shared" si="0"/>
        <v>3143</v>
      </c>
      <c r="N116" s="105">
        <f t="shared" si="0"/>
        <v>2814.3515772756805</v>
      </c>
      <c r="O116" s="105">
        <f t="shared" si="0"/>
        <v>2929.8</v>
      </c>
    </row>
    <row r="118" spans="2:15" x14ac:dyDescent="0.2">
      <c r="B118" s="108" t="s">
        <v>281</v>
      </c>
    </row>
    <row r="119" spans="2:15" x14ac:dyDescent="0.2">
      <c r="C119" s="104" t="s">
        <v>279</v>
      </c>
      <c r="D119" s="104" t="s">
        <v>92</v>
      </c>
      <c r="E119" s="104" t="s">
        <v>93</v>
      </c>
      <c r="F119" s="104" t="s">
        <v>94</v>
      </c>
      <c r="G119" s="104" t="s">
        <v>95</v>
      </c>
      <c r="H119" s="104" t="s">
        <v>96</v>
      </c>
      <c r="I119" s="104" t="s">
        <v>97</v>
      </c>
      <c r="J119" s="104" t="s">
        <v>98</v>
      </c>
      <c r="K119" s="104" t="s">
        <v>99</v>
      </c>
      <c r="L119" s="104" t="s">
        <v>100</v>
      </c>
      <c r="M119" s="104" t="s">
        <v>101</v>
      </c>
      <c r="N119" s="104" t="s">
        <v>102</v>
      </c>
      <c r="O119" s="104" t="s">
        <v>103</v>
      </c>
    </row>
    <row r="120" spans="2:15" x14ac:dyDescent="0.2">
      <c r="C120" s="104" t="s">
        <v>126</v>
      </c>
      <c r="D120" s="105">
        <f>D109*pricing!D15*2000</f>
        <v>1454320.0000000002</v>
      </c>
      <c r="E120" s="105">
        <f>E109*pricing!E15*2000</f>
        <v>2771440</v>
      </c>
      <c r="F120" s="105">
        <f>F109*pricing!F15*2000</f>
        <v>2593080</v>
      </c>
      <c r="G120" s="105">
        <f>G109*pricing!G15*2000</f>
        <v>2222640.0000000005</v>
      </c>
      <c r="H120" s="105">
        <f>H109*pricing!H15*2000</f>
        <v>2565640.0000000005</v>
      </c>
      <c r="I120" s="105">
        <f>I109*pricing!I15*2000</f>
        <v>2641100</v>
      </c>
      <c r="J120" s="105">
        <f>J109*pricing!J15*2000</f>
        <v>2565640.0000000005</v>
      </c>
      <c r="K120" s="105">
        <f>K109*pricing!K15*2000</f>
        <v>2654820</v>
      </c>
      <c r="L120" s="105">
        <f>L109*pricing!L15*2000</f>
        <v>3155600.0000000005</v>
      </c>
      <c r="M120" s="105">
        <f>M109*pricing!M15*2000</f>
        <v>2894920</v>
      </c>
      <c r="N120" s="105">
        <f>N109*pricing!N15*2000</f>
        <v>3183040</v>
      </c>
      <c r="O120" s="105">
        <f>O109*pricing!O15*2000</f>
        <v>3361400</v>
      </c>
    </row>
    <row r="121" spans="2:15" x14ac:dyDescent="0.2">
      <c r="C121" s="104" t="s">
        <v>127</v>
      </c>
      <c r="D121" s="105">
        <f>D110*pricing!D16*2000</f>
        <v>2420080</v>
      </c>
      <c r="E121" s="105">
        <f>E110*pricing!E16*2000</f>
        <v>6327360</v>
      </c>
      <c r="F121" s="105">
        <f>F110*pricing!F16*2000</f>
        <v>4948609.4052311173</v>
      </c>
      <c r="G121" s="105">
        <f>G110*pricing!G16*2000</f>
        <v>5779800</v>
      </c>
      <c r="H121" s="105">
        <f>H110*pricing!H16*2000</f>
        <v>5678400</v>
      </c>
      <c r="I121" s="105">
        <f>I110*pricing!I16*2000</f>
        <v>6056960</v>
      </c>
      <c r="J121" s="105">
        <f>J110*pricing!J16*2000</f>
        <v>6225937.1741883596</v>
      </c>
      <c r="K121" s="105">
        <f>K110*pricing!K16*2000</f>
        <v>6496360</v>
      </c>
      <c r="L121" s="105">
        <f>L110*pricing!L16*2000</f>
        <v>6239480</v>
      </c>
      <c r="M121" s="105">
        <f>M110*pricing!M16*2000</f>
        <v>7226440</v>
      </c>
      <c r="N121" s="105">
        <f>N110*pricing!N16*2000</f>
        <v>5341822.4828625107</v>
      </c>
      <c r="O121" s="105">
        <f>O110*pricing!O16*2000</f>
        <v>5617559.9999999991</v>
      </c>
    </row>
    <row r="122" spans="2:15" x14ac:dyDescent="0.2">
      <c r="C122" s="104" t="s">
        <v>128</v>
      </c>
      <c r="D122" s="105">
        <f>D111*pricing!D17*2000</f>
        <v>1152000</v>
      </c>
      <c r="E122" s="105">
        <f>E111*pricing!E17*2000</f>
        <v>2624000</v>
      </c>
      <c r="F122" s="105">
        <f>F111*pricing!F17*2000</f>
        <v>2224000</v>
      </c>
      <c r="G122" s="105">
        <f>G111*pricing!G17*2000</f>
        <v>1944000</v>
      </c>
      <c r="H122" s="105">
        <f>H111*pricing!H17*2000</f>
        <v>2384000</v>
      </c>
      <c r="I122" s="105">
        <f>I111*pricing!I17*2000</f>
        <v>2336000</v>
      </c>
      <c r="J122" s="105">
        <f>J111*pricing!J17*2000</f>
        <v>2256000</v>
      </c>
      <c r="K122" s="105">
        <f>K111*pricing!K17*2000</f>
        <v>2464000</v>
      </c>
      <c r="L122" s="105">
        <f>L111*pricing!L17*2000</f>
        <v>2672000</v>
      </c>
      <c r="M122" s="105">
        <f>M111*pricing!M17*2000</f>
        <v>2320000</v>
      </c>
      <c r="N122" s="105">
        <f>N111*pricing!N17*2000</f>
        <v>2504000</v>
      </c>
      <c r="O122" s="105">
        <f>O111*pricing!O17*2000</f>
        <v>2664000</v>
      </c>
    </row>
    <row r="123" spans="2:15" x14ac:dyDescent="0.2">
      <c r="C123" s="104" t="s">
        <v>129</v>
      </c>
      <c r="D123" s="105">
        <f>D112*pricing!D18*2000</f>
        <v>1402077.3480662983</v>
      </c>
      <c r="E123" s="105">
        <f>E112*pricing!E18*2000</f>
        <v>3103063.850931677</v>
      </c>
      <c r="F123" s="105">
        <f>F112*pricing!F18*2000</f>
        <v>3287734.0393993184</v>
      </c>
      <c r="G123" s="105">
        <f>G112*pricing!G18*2000</f>
        <v>3695983.1578947371</v>
      </c>
      <c r="H123" s="105">
        <f>H112*pricing!H18*2000</f>
        <v>2752000</v>
      </c>
      <c r="I123" s="105">
        <f>I112*pricing!I18*2000</f>
        <v>3448000</v>
      </c>
      <c r="J123" s="105">
        <f>J112*pricing!J18*2000</f>
        <v>2875069.2419148893</v>
      </c>
      <c r="K123" s="105">
        <f>K112*pricing!K18*2000</f>
        <v>2365359.0075184531</v>
      </c>
      <c r="L123" s="105">
        <f>L112*pricing!L18*2000</f>
        <v>3210784.8158131177</v>
      </c>
      <c r="M123" s="105">
        <f>M112*pricing!M18*2000</f>
        <v>3557106.3877650267</v>
      </c>
      <c r="N123" s="105">
        <f>N112*pricing!N18*2000</f>
        <v>3202952.1410080977</v>
      </c>
      <c r="O123" s="105">
        <f>O112*pricing!O18*2000</f>
        <v>3241409.45994539</v>
      </c>
    </row>
    <row r="124" spans="2:15" x14ac:dyDescent="0.2">
      <c r="C124" s="104" t="s">
        <v>130</v>
      </c>
      <c r="D124" s="105">
        <f>D113*pricing!D19*2000</f>
        <v>1554807.1823204423</v>
      </c>
      <c r="E124" s="105">
        <f>E113*pricing!E19*2000</f>
        <v>3317806.7080745348</v>
      </c>
      <c r="F124" s="105">
        <f>F113*pricing!F19*2000</f>
        <v>3261414.6226415103</v>
      </c>
      <c r="G124" s="105">
        <f>G113*pricing!G19*2000</f>
        <v>3633628.6315789488</v>
      </c>
      <c r="H124" s="105">
        <f>H113*pricing!H19*2000</f>
        <v>3202600</v>
      </c>
      <c r="I124" s="105">
        <f>I113*pricing!I19*2000</f>
        <v>3477300</v>
      </c>
      <c r="J124" s="105">
        <f>J113*pricing!J19*2000</f>
        <v>3544300</v>
      </c>
      <c r="K124" s="105">
        <f>K113*pricing!K19*2000</f>
        <v>3685545.3397602169</v>
      </c>
      <c r="L124" s="105">
        <f>L113*pricing!L19*2000</f>
        <v>3318798.6477987431</v>
      </c>
      <c r="M124" s="105">
        <f>M113*pricing!M19*2000</f>
        <v>3395507.7952302666</v>
      </c>
      <c r="N124" s="105">
        <f>N113*pricing!N19*2000</f>
        <v>3178963.6216540546</v>
      </c>
      <c r="O124" s="105">
        <f>O113*pricing!O19*2000</f>
        <v>3199071.6585105676</v>
      </c>
    </row>
    <row r="125" spans="2:15" x14ac:dyDescent="0.2">
      <c r="C125" s="104" t="s">
        <v>131</v>
      </c>
      <c r="D125" s="105">
        <f>D114*pricing!D20*2000</f>
        <v>832000</v>
      </c>
      <c r="E125" s="105">
        <f>E114*pricing!E20*2000</f>
        <v>1280000</v>
      </c>
      <c r="F125" s="105">
        <f>F114*pricing!F20*2000</f>
        <v>1104000</v>
      </c>
      <c r="G125" s="105">
        <f>G114*pricing!G20*2000</f>
        <v>1368000</v>
      </c>
      <c r="H125" s="105">
        <f>H114*pricing!H20*2000</f>
        <v>1160000</v>
      </c>
      <c r="I125" s="105">
        <f>I114*pricing!I20*2000</f>
        <v>1408000</v>
      </c>
      <c r="J125" s="105">
        <f>J114*pricing!J20*2000</f>
        <v>1112000</v>
      </c>
      <c r="K125" s="105">
        <f>K114*pricing!K20*2000</f>
        <v>1304000</v>
      </c>
      <c r="L125" s="105">
        <f>L114*pricing!L20*2000</f>
        <v>1312000</v>
      </c>
      <c r="M125" s="105">
        <f>M114*pricing!M20*2000</f>
        <v>1456000</v>
      </c>
      <c r="N125" s="105">
        <f>N114*pricing!N20*2000</f>
        <v>1192000</v>
      </c>
      <c r="O125" s="105">
        <f>O114*pricing!O20*2000</f>
        <v>1104000</v>
      </c>
    </row>
    <row r="126" spans="2:15" x14ac:dyDescent="0.2">
      <c r="C126" s="104" t="s">
        <v>132</v>
      </c>
      <c r="D126" s="105">
        <f>D115*pricing!D21*2000</f>
        <v>1333436.4640883978</v>
      </c>
      <c r="E126" s="105">
        <f>E115*pricing!E21*2000</f>
        <v>2031375.900621118</v>
      </c>
      <c r="F126" s="105">
        <f>F115*pricing!F21*2000</f>
        <v>2175524.5283018867</v>
      </c>
      <c r="G126" s="105">
        <f>G115*pricing!G21*2000</f>
        <v>2131755.789473684</v>
      </c>
      <c r="H126" s="105">
        <f>H115*pricing!H21*2000</f>
        <v>1952000</v>
      </c>
      <c r="I126" s="105">
        <f>I115*pricing!I21*2000</f>
        <v>1536000</v>
      </c>
      <c r="J126" s="105">
        <f>J115*pricing!J21*2000</f>
        <v>2296000</v>
      </c>
      <c r="K126" s="105">
        <f>K115*pricing!K21*2000</f>
        <v>1976389.8405290535</v>
      </c>
      <c r="L126" s="105">
        <f>L115*pricing!L21*2000</f>
        <v>1882470.5300988322</v>
      </c>
      <c r="M126" s="105">
        <f>M115*pricing!M21*2000</f>
        <v>1828555.9462883875</v>
      </c>
      <c r="N126" s="105">
        <f>N115*pricing!N21*2000</f>
        <v>1786399.6068343308</v>
      </c>
      <c r="O126" s="105">
        <f>O115*pricing!O21*2000</f>
        <v>2041203.4851166194</v>
      </c>
    </row>
    <row r="127" spans="2:15" x14ac:dyDescent="0.2">
      <c r="C127" s="104" t="s">
        <v>280</v>
      </c>
      <c r="D127" s="105">
        <f t="shared" ref="D127:O127" si="1">SUM(D$120:D$126)</f>
        <v>10148720.994475137</v>
      </c>
      <c r="E127" s="105">
        <f t="shared" si="1"/>
        <v>21455046.45962733</v>
      </c>
      <c r="F127" s="105">
        <f t="shared" si="1"/>
        <v>19594362.595573835</v>
      </c>
      <c r="G127" s="105">
        <f t="shared" si="1"/>
        <v>20775807.578947369</v>
      </c>
      <c r="H127" s="105">
        <f t="shared" si="1"/>
        <v>19694640</v>
      </c>
      <c r="I127" s="105">
        <f t="shared" si="1"/>
        <v>20903360</v>
      </c>
      <c r="J127" s="105">
        <f t="shared" si="1"/>
        <v>20874946.416103251</v>
      </c>
      <c r="K127" s="105">
        <f t="shared" si="1"/>
        <v>20946474.187807724</v>
      </c>
      <c r="L127" s="105">
        <f t="shared" si="1"/>
        <v>21791133.993710693</v>
      </c>
      <c r="M127" s="105">
        <f t="shared" si="1"/>
        <v>22678530.129283682</v>
      </c>
      <c r="N127" s="105">
        <f t="shared" si="1"/>
        <v>20389177.852358993</v>
      </c>
      <c r="O127" s="105">
        <f t="shared" si="1"/>
        <v>21228644.603572577</v>
      </c>
    </row>
    <row r="129" spans="2:15" x14ac:dyDescent="0.2">
      <c r="B129" s="108" t="s">
        <v>282</v>
      </c>
    </row>
    <row r="130" spans="2:15" x14ac:dyDescent="0.2">
      <c r="C130" s="110" t="s">
        <v>279</v>
      </c>
      <c r="D130" s="110" t="s">
        <v>92</v>
      </c>
      <c r="E130" s="110" t="s">
        <v>93</v>
      </c>
      <c r="F130" s="110" t="s">
        <v>94</v>
      </c>
      <c r="G130" s="110" t="s">
        <v>95</v>
      </c>
      <c r="H130" s="110" t="s">
        <v>96</v>
      </c>
      <c r="I130" s="110" t="s">
        <v>97</v>
      </c>
      <c r="J130" s="110" t="s">
        <v>98</v>
      </c>
      <c r="K130" s="110" t="s">
        <v>99</v>
      </c>
      <c r="L130" s="110" t="s">
        <v>100</v>
      </c>
      <c r="M130" s="110" t="s">
        <v>101</v>
      </c>
      <c r="N130" s="110" t="s">
        <v>102</v>
      </c>
      <c r="O130" s="110" t="s">
        <v>103</v>
      </c>
    </row>
    <row r="131" spans="2:15" x14ac:dyDescent="0.2">
      <c r="C131" s="110" t="s">
        <v>126</v>
      </c>
      <c r="D131" s="111">
        <f>SUM(E$6:E$19)+SUM(G$6:G$19)+SUM(I$6:I$19)+SUM(K$6:K$19)</f>
        <v>121374</v>
      </c>
      <c r="E131" s="111">
        <f>SUM(M$6:M$19)+SUM(O$6:O$19)+SUM(Q$6:Q$19)+SUM(S$6:S$19)</f>
        <v>232677.6</v>
      </c>
      <c r="F131" s="111">
        <f>SUM(U$6:U$19)+SUM(W$6:W$19)+SUM(Y$6:Y$19)+SUM(AA$6:AA$19)</f>
        <v>214539.59999999998</v>
      </c>
      <c r="G131" s="111">
        <f>SUM(AC$6:AC$19)+SUM(AE$6:AE$19)+SUM(AG$6:AG$19)+SUM(AI$6:AI$19)</f>
        <v>186093.6</v>
      </c>
      <c r="H131" s="111">
        <f>SUM(AK$6:AK$19)+SUM(AM$6:AM$19)+SUM(AO$6:AO$19)+SUM(AQ$6:AQ$19)</f>
        <v>214437.6</v>
      </c>
      <c r="I131" s="111">
        <f>SUM(AS$6:AS$19)+SUM(AU$6:AU$19)+SUM(AW$6:AW$19)+SUM(AY$6:AY$19)</f>
        <v>220822.8</v>
      </c>
      <c r="J131" s="111">
        <f>SUM(BA$6:BA$19)+SUM(BC$6:BC$19)+SUM(BE$6:BE$19)+SUM(BG$6:BG$19)</f>
        <v>214880.40000000002</v>
      </c>
      <c r="K131" s="111">
        <f>SUM(BI$6:BI$19)+SUM(BK$6:BK$19)+SUM(BM$6:BM$19)+SUM(BO$6:BO$19)</f>
        <v>220446</v>
      </c>
      <c r="L131" s="111">
        <f>SUM(BQ$6:BQ$19)+SUM(BS$6:BS$19)+SUM(BU$6:BU$19)+SUM(BW$6:BW$19)</f>
        <v>263713.2</v>
      </c>
      <c r="M131" s="111">
        <f>SUM(BY$6:BY$19)+SUM(CA$6:CA$19)+SUM(CC$6:CC$19)+SUM(CE$6:CE$19)</f>
        <v>240819.59999999998</v>
      </c>
      <c r="N131" s="111">
        <f>SUM(CG$6:CG$19)+SUM(CI$6:CI$19)+SUM(CK$6:CK$19)+SUM(CM$6:CM$19)</f>
        <v>266293.2</v>
      </c>
      <c r="O131" s="111">
        <f>SUM(CO$6:CO$19)+SUM(CQ$6:CQ$19)+SUM(CS$6:CS$19)+SUM(CU$6:CU$19)</f>
        <v>281120.39999999997</v>
      </c>
    </row>
    <row r="132" spans="2:15" x14ac:dyDescent="0.2">
      <c r="C132" s="110" t="s">
        <v>127</v>
      </c>
      <c r="D132" s="111">
        <f>SUM(E$20:E$36)+SUM(G$20:G$36)+SUM(I$20:I$36)+SUM(K$20:K$36)</f>
        <v>113332.79999999999</v>
      </c>
      <c r="E132" s="111">
        <f>SUM(M$20:M$36)+SUM(O$20:O$36)+SUM(Q$20:Q$36)+SUM(S$20:S$36)</f>
        <v>295336.8</v>
      </c>
      <c r="F132" s="111">
        <f>SUM(U$20:U$36)+SUM(W$20:W$36)+SUM(Y$20:Y$36)+SUM(AA$20:AA$36)</f>
        <v>224755.22965893766</v>
      </c>
      <c r="G132" s="111">
        <f>SUM(AC$20:AC$36)+SUM(AE$20:AE$36)+SUM(AG$20:AG$36)+SUM(AI$20:AI$36)</f>
        <v>268216.80000000005</v>
      </c>
      <c r="H132" s="111">
        <f>SUM(AK$20:AK$36)+SUM(AM$20:AM$36)+SUM(AO$20:AO$36)+SUM(AQ$20:AQ$36)</f>
        <v>264602.39999999997</v>
      </c>
      <c r="I132" s="111">
        <f>SUM(AS$20:AS$36)+SUM(AU$20:AU$36)+SUM(AW$20:AW$36)+SUM(AY$20:AY$36)</f>
        <v>282380.40000000002</v>
      </c>
      <c r="J132" s="111">
        <f>SUM(BA$20:BA$36)+SUM(BC$20:BC$36)+SUM(BE$20:BE$36)+SUM(BG$20:BG$36)</f>
        <v>288966.52906954981</v>
      </c>
      <c r="K132" s="111">
        <f>SUM(BI$20:BI$36)+SUM(BK$20:BK$36)+SUM(BM$20:BM$36)+SUM(BO$20:BO$36)</f>
        <v>291752.39999999997</v>
      </c>
      <c r="L132" s="111">
        <f>SUM(BQ$20:BQ$36)+SUM(BS$20:BS$36)+SUM(BU$20:BU$36)+SUM(BW$20:BW$36)</f>
        <v>291376.8</v>
      </c>
      <c r="M132" s="111">
        <f>SUM(BY$20:BY$36)+SUM(CA$20:CA$36)+SUM(CC$20:CC$36)+SUM(CE$20:CE$36)</f>
        <v>338748</v>
      </c>
      <c r="N132" s="111">
        <f>SUM(CG$20:CG$36)+SUM(CI$20:CI$36)+SUM(CK$20:CK$36)+SUM(CM$20:CM$36)</f>
        <v>248054.00253224908</v>
      </c>
      <c r="O132" s="111">
        <f>SUM(CO$20:CO$36)+SUM(CQ$20:CQ$36)+SUM(CS$20:CS$36)+SUM(CU$20:CU$36)</f>
        <v>260887.2</v>
      </c>
    </row>
    <row r="133" spans="2:15" x14ac:dyDescent="0.2">
      <c r="C133" s="110" t="s">
        <v>128</v>
      </c>
      <c r="D133" s="111">
        <f>SUM(E$37:E$48)+SUM(G$37:G$48)+SUM(I$37:I$48)+SUM(K$37:K$48)</f>
        <v>123331.2</v>
      </c>
      <c r="E133" s="111">
        <f>SUM(M$37:M$48)+SUM(O$37:O$48)+SUM(Q$37:Q$48)+SUM(S$37:S$48)</f>
        <v>278268</v>
      </c>
      <c r="F133" s="111">
        <f>SUM(U$37:U$48)+SUM(W$37:W$48)+SUM(Y$37:Y$48)+SUM(AA$37:AA$48)</f>
        <v>237043.20000000001</v>
      </c>
      <c r="G133" s="111">
        <f>SUM(AC$37:AC$48)+SUM(AE$37:AE$48)+SUM(AG$37:AG$48)+SUM(AI$37:AI$48)</f>
        <v>207145.2</v>
      </c>
      <c r="H133" s="111">
        <f>SUM(AK$37:AK$48)+SUM(AM$37:AM$48)+SUM(AO$37:AO$48)+SUM(AQ$37:AQ$48)</f>
        <v>254027.99999999994</v>
      </c>
      <c r="I133" s="111">
        <f>SUM(AS$37:AS$48)+SUM(AU$37:AU$48)+SUM(AW$37:AW$48)+SUM(AY$37:AY$48)</f>
        <v>248859.59999999998</v>
      </c>
      <c r="J133" s="111">
        <f>SUM(BA$37:BA$48)+SUM(BC$37:BC$48)+SUM(BE$37:BE$48)+SUM(BG$37:BG$48)</f>
        <v>239206.80000000002</v>
      </c>
      <c r="K133" s="111">
        <f>SUM(BI$37:BI$48)+SUM(BK$37:BK$48)+SUM(BM$37:BM$48)+SUM(BO$37:BO$48)</f>
        <v>263356.79999999999</v>
      </c>
      <c r="L133" s="111">
        <f>SUM(BQ$37:BQ$48)+SUM(BS$37:BS$48)+SUM(BU$37:BU$48)+SUM(BW$37:BW$48)</f>
        <v>285482.40000000002</v>
      </c>
      <c r="M133" s="111">
        <f>SUM(BY$37:BY$48)+SUM(CA$37:CA$48)+SUM(CC$37:CC$48)+SUM(CE$37:CE$48)</f>
        <v>246658.79999999996</v>
      </c>
      <c r="N133" s="111">
        <f>SUM(CG$37:CG$48)+SUM(CI$37:CI$48)+SUM(CK$37:CK$48)+SUM(CM$37:CM$48)</f>
        <v>266640</v>
      </c>
      <c r="O133" s="111">
        <f>SUM(CO$37:CO$48)+SUM(CQ$37:CQ$48)+SUM(CS$37:CS$48)+SUM(CU$37:CU$48)</f>
        <v>283886.39999999997</v>
      </c>
    </row>
    <row r="134" spans="2:15" x14ac:dyDescent="0.2">
      <c r="C134" s="110" t="s">
        <v>129</v>
      </c>
      <c r="D134" s="111">
        <f>SUM(E$49:E$70)+SUM(G$49:G$70)+SUM(I$49:I$70)+SUM(K$49:K$70)</f>
        <v>69935.887292817672</v>
      </c>
      <c r="E134" s="111">
        <f>SUM(M$49:M$70)+SUM(O$49:O$70)+SUM(Q$49:Q$70)+SUM(S$49:S$70)</f>
        <v>156359.45291925466</v>
      </c>
      <c r="F134" s="111">
        <f>SUM(U$49:U$70)+SUM(W$49:W$70)+SUM(Y$49:Y$70)+SUM(AA$49:AA$70)</f>
        <v>168806.881132768</v>
      </c>
      <c r="G134" s="111">
        <f>SUM(AC$49:AC$70)+SUM(AE$49:AE$70)+SUM(AG$49:AG$70)+SUM(AI$49:AI$70)</f>
        <v>186034.10526315792</v>
      </c>
      <c r="H134" s="111">
        <f>SUM(AK$49:AK$70)+SUM(AM$49:AM$70)+SUM(AO$49:AO$70)+SUM(AQ$49:AQ$70)</f>
        <v>139098</v>
      </c>
      <c r="I134" s="111">
        <f>SUM(AS$49:AS$70)+SUM(AU$49:AU$70)+SUM(AW$49:AW$70)+SUM(AY$49:AY$70)</f>
        <v>174972</v>
      </c>
      <c r="J134" s="111">
        <f>SUM(BA$49:BA$70)+SUM(BC$49:BC$70)+SUM(BE$49:BE$70)+SUM(BG$49:BG$70)</f>
        <v>145448.26651046929</v>
      </c>
      <c r="K134" s="111">
        <f>SUM(BI$49:BI$70)+SUM(BK$49:BK$70)+SUM(BM$49:BM$70)+SUM(BO$49:BO$70)</f>
        <v>124382.23773671854</v>
      </c>
      <c r="L134" s="111">
        <f>SUM(BQ$49:BQ$70)+SUM(BS$49:BS$70)+SUM(BU$49:BU$70)+SUM(BW$49:BW$70)</f>
        <v>158559.34198113208</v>
      </c>
      <c r="M134" s="111">
        <f>SUM(BY$49:BY$70)+SUM(CA$49:CA$70)+SUM(CC$49:CC$70)+SUM(CE$49:CE$70)</f>
        <v>174525.57045067337</v>
      </c>
      <c r="N134" s="111">
        <f>SUM(CG$49:CG$70)+SUM(CI$49:CI$70)+SUM(CK$49:CK$70)+SUM(CM$49:CM$70)</f>
        <v>158892.36360583152</v>
      </c>
      <c r="O134" s="111">
        <f>SUM(CO$49:CO$70)+SUM(CQ$49:CQ$70)+SUM(CS$49:CS$70)+SUM(CU$49:CU$70)</f>
        <v>158467.52011020802</v>
      </c>
    </row>
    <row r="135" spans="2:15" x14ac:dyDescent="0.2">
      <c r="C135" s="110" t="s">
        <v>130</v>
      </c>
      <c r="D135" s="111">
        <f>SUM(E$71:E$86)+SUM(G$71:G$86)+SUM(I$71:I$86)+SUM(K$71:K$86)</f>
        <v>113984.75801104971</v>
      </c>
      <c r="E135" s="111">
        <f>SUM(M$71:M$86)+SUM(O$71:O$86)+SUM(Q$71:Q$86)+SUM(S$71:S$86)</f>
        <v>244308.36223602487</v>
      </c>
      <c r="F135" s="111">
        <f>SUM(U$71:U$86)+SUM(W$71:W$86)+SUM(Y$71:Y$86)+SUM(AA$71:AA$86)</f>
        <v>239519.20075471699</v>
      </c>
      <c r="G135" s="111">
        <f>SUM(AC$71:AC$86)+SUM(AE$71:AE$86)+SUM(AG$71:AG$86)+SUM(AI$71:AI$86)</f>
        <v>267138.61642105266</v>
      </c>
      <c r="H135" s="111">
        <f>SUM(AK$71:AK$86)+SUM(AM$71:AM$86)+SUM(AO$71:AO$86)+SUM(AQ$71:AQ$86)</f>
        <v>235560</v>
      </c>
      <c r="I135" s="111">
        <f>SUM(AS$71:AS$86)+SUM(AU$71:AU$86)+SUM(AW$71:AW$86)+SUM(AY$71:AY$86)</f>
        <v>256743.6</v>
      </c>
      <c r="J135" s="111">
        <f>SUM(BA$71:BA$86)+SUM(BC$71:BC$86)+SUM(BE$71:BE$86)+SUM(BG$71:BG$86)</f>
        <v>260220</v>
      </c>
      <c r="K135" s="111">
        <f>SUM(BI$71:BI$86)+SUM(BK$71:BK$86)+SUM(BM$71:BM$86)+SUM(BO$71:BO$86)</f>
        <v>271679.57726080617</v>
      </c>
      <c r="L135" s="111">
        <f>SUM(BQ$71:BQ$86)+SUM(BS$71:BS$86)+SUM(BU$71:BU$86)+SUM(BW$71:BW$86)</f>
        <v>243485.55975741244</v>
      </c>
      <c r="M135" s="111">
        <f>SUM(BY$71:BY$86)+SUM(CA$71:CA$86)+SUM(CC$71:CC$86)+SUM(CE$71:CE$86)</f>
        <v>250540.11136789946</v>
      </c>
      <c r="N135" s="111">
        <f>SUM(CG$71:CG$86)+SUM(CI$71:CI$86)+SUM(CK$71:CK$86)+SUM(CM$71:CM$86)</f>
        <v>234394.27134296036</v>
      </c>
      <c r="O135" s="111">
        <f>SUM(CO$71:CO$86)+SUM(CQ$71:CQ$86)+SUM(CS$71:CS$86)+SUM(CU$71:CU$86)</f>
        <v>235976.99291726985</v>
      </c>
    </row>
    <row r="136" spans="2:15" x14ac:dyDescent="0.2">
      <c r="C136" s="110" t="s">
        <v>131</v>
      </c>
      <c r="D136" s="111">
        <f>SUM(E$87:E$94)+SUM(G$87:G$94)+SUM(I$87:I$94)+SUM(K$87:K$94)</f>
        <v>82140</v>
      </c>
      <c r="E136" s="111">
        <f>SUM(M$87:M$94)+SUM(O$87:O$94)+SUM(Q$87:Q$94)+SUM(S$87:S$94)</f>
        <v>126474</v>
      </c>
      <c r="F136" s="111">
        <f>SUM(U$87:U$94)+SUM(W$87:W$94)+SUM(Y$87:Y$94)+SUM(AA$87:AA$94)</f>
        <v>108918</v>
      </c>
      <c r="G136" s="111">
        <f>SUM(AC$87:AC$94)+SUM(AE$87:AE$94)+SUM(AG$87:AG$94)+SUM(AI$87:AI$94)</f>
        <v>135063.6</v>
      </c>
      <c r="H136" s="111">
        <f>SUM(AK$87:AK$94)+SUM(AM$87:AM$94)+SUM(AO$87:AO$94)+SUM(AQ$87:AQ$94)</f>
        <v>114932.4</v>
      </c>
      <c r="I136" s="111">
        <f>SUM(AS$87:AS$94)+SUM(AU$87:AU$94)+SUM(AW$87:AW$94)+SUM(AY$87:AY$94)</f>
        <v>138849.60000000001</v>
      </c>
      <c r="J136" s="111">
        <f>SUM(BA$87:BA$94)+SUM(BC$87:BC$94)+SUM(BE$87:BE$94)+SUM(BG$87:BG$94)</f>
        <v>109754.4</v>
      </c>
      <c r="K136" s="111">
        <f>SUM(BI$87:BI$94)+SUM(BK$87:BK$94)+SUM(BM$87:BM$94)+SUM(BO$87:BO$94)</f>
        <v>129417.60000000001</v>
      </c>
      <c r="L136" s="111">
        <f>SUM(BQ$87:BQ$94)+SUM(BS$87:BS$94)+SUM(BU$87:BU$94)+SUM(BW$87:BW$94)</f>
        <v>129480</v>
      </c>
      <c r="M136" s="111">
        <f>SUM(BY$87:BY$94)+SUM(CA$87:CA$94)+SUM(CC$87:CC$94)+SUM(CE$87:CE$94)</f>
        <v>143840.39999999997</v>
      </c>
      <c r="N136" s="111">
        <f>SUM(CG$87:CG$94)+SUM(CI$87:CI$94)+SUM(CK$87:CK$94)+SUM(CM$87:CM$94)</f>
        <v>117979.2</v>
      </c>
      <c r="O136" s="111">
        <f>SUM(CO$87:CO$94)+SUM(CQ$87:CQ$94)+SUM(CS$87:CS$94)+SUM(CU$87:CU$94)</f>
        <v>109089.60000000001</v>
      </c>
    </row>
    <row r="137" spans="2:15" x14ac:dyDescent="0.2">
      <c r="C137" s="110" t="s">
        <v>132</v>
      </c>
      <c r="D137" s="111">
        <f>SUM(E$95:E$105)+SUM(G$95:G$105)+SUM(I$95:I$105)+SUM(K$95:K$105)</f>
        <v>108589.88287292818</v>
      </c>
      <c r="E137" s="111">
        <f>SUM(M$95:M$105)+SUM(O$95:O$105)+SUM(Q$95:Q$105)+SUM(S$95:S$105)</f>
        <v>179314.94191304347</v>
      </c>
      <c r="F137" s="111">
        <f>SUM(U$95:U$105)+SUM(W$95:W$105)+SUM(Y$95:Y$105)+SUM(AA$95:AA$105)</f>
        <v>194166.2773584906</v>
      </c>
      <c r="G137" s="111">
        <f>SUM(AC$95:AC$105)+SUM(AE$95:AE$105)+SUM(AG$95:AG$105)+SUM(AI$95:AI$105)</f>
        <v>184199.26989473685</v>
      </c>
      <c r="H137" s="111">
        <f>SUM(AK$95:AK$105)+SUM(AM$95:AM$105)+SUM(AO$95:AO$105)+SUM(AQ$95:AQ$105)</f>
        <v>173578.8</v>
      </c>
      <c r="I137" s="111">
        <f>SUM(AS$95:AS$105)+SUM(AU$95:AU$105)+SUM(AW$95:AW$105)+SUM(AY$95:AY$105)</f>
        <v>133844.4</v>
      </c>
      <c r="J137" s="111">
        <f>SUM(BA$95:BA$105)+SUM(BC$95:BC$105)+SUM(BE$95:BE$105)+SUM(BG$95:BG$105)</f>
        <v>194655.6</v>
      </c>
      <c r="K137" s="111">
        <f>SUM(BI$95:BI$105)+SUM(BK$95:BK$105)+SUM(BM$95:BM$105)+SUM(BO$95:BO$105)</f>
        <v>169940.8552698947</v>
      </c>
      <c r="L137" s="111">
        <f>SUM(BQ$95:BQ$105)+SUM(BS$95:BS$105)+SUM(BU$95:BU$105)+SUM(BW$95:BW$105)</f>
        <v>162780.80661725067</v>
      </c>
      <c r="M137" s="111">
        <f>SUM(BY$95:BY$105)+SUM(CA$95:CA$105)+SUM(CC$95:CC$105)+SUM(CE$95:CE$105)</f>
        <v>162673.36623208207</v>
      </c>
      <c r="N137" s="111">
        <f>SUM(CG$95:CG$105)+SUM(CI$95:CI$105)+SUM(CK$95:CK$105)+SUM(CM$95:CM$105)</f>
        <v>150641.29234465113</v>
      </c>
      <c r="O137" s="111">
        <f>SUM(CO$95:CO$105)+SUM(CQ$95:CQ$105)+SUM(CS$95:CS$105)+SUM(CU$95:CU$105)</f>
        <v>171779.59711119352</v>
      </c>
    </row>
    <row r="138" spans="2:15" x14ac:dyDescent="0.2">
      <c r="C138" s="110" t="s">
        <v>280</v>
      </c>
      <c r="D138" s="105">
        <f t="shared" ref="D138:O138" si="2">SUM(D$131:D$137)</f>
        <v>732688.52817679557</v>
      </c>
      <c r="E138" s="105">
        <f t="shared" si="2"/>
        <v>1512739.1570683229</v>
      </c>
      <c r="F138" s="105">
        <f t="shared" si="2"/>
        <v>1387748.3889049131</v>
      </c>
      <c r="G138" s="105">
        <f t="shared" si="2"/>
        <v>1433891.1915789477</v>
      </c>
      <c r="H138" s="105">
        <f t="shared" si="2"/>
        <v>1396237.2</v>
      </c>
      <c r="I138" s="105">
        <f t="shared" si="2"/>
        <v>1456472.4000000001</v>
      </c>
      <c r="J138" s="105">
        <f t="shared" si="2"/>
        <v>1453131.995580019</v>
      </c>
      <c r="K138" s="105">
        <f t="shared" si="2"/>
        <v>1470975.4702674195</v>
      </c>
      <c r="L138" s="105">
        <f t="shared" si="2"/>
        <v>1534878.1083557953</v>
      </c>
      <c r="M138" s="105">
        <f t="shared" si="2"/>
        <v>1557805.8480506546</v>
      </c>
      <c r="N138" s="105">
        <f t="shared" si="2"/>
        <v>1442894.3298256921</v>
      </c>
      <c r="O138" s="105">
        <f t="shared" si="2"/>
        <v>1501207.7101386716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5"/>
  </cols>
  <sheetData>
    <row r="2" spans="1:99" x14ac:dyDescent="0.2">
      <c r="B2" s="107" t="s">
        <v>274</v>
      </c>
    </row>
    <row r="3" spans="1:99" x14ac:dyDescent="0.2">
      <c r="B3" s="108" t="s">
        <v>283</v>
      </c>
    </row>
    <row r="4" spans="1:99" x14ac:dyDescent="0.2">
      <c r="A4" s="106"/>
      <c r="B4" s="106"/>
      <c r="C4" s="104" t="s">
        <v>276</v>
      </c>
      <c r="D4" s="104" t="s">
        <v>92</v>
      </c>
      <c r="E4" s="106"/>
      <c r="F4" s="106"/>
      <c r="G4" s="106"/>
      <c r="H4" s="106"/>
      <c r="I4" s="106"/>
      <c r="J4" s="106"/>
      <c r="K4" s="106"/>
      <c r="L4" s="104" t="s">
        <v>93</v>
      </c>
      <c r="M4" s="106"/>
      <c r="N4" s="106"/>
      <c r="O4" s="106"/>
      <c r="P4" s="106"/>
      <c r="Q4" s="106"/>
      <c r="R4" s="106"/>
      <c r="S4" s="106"/>
      <c r="T4" s="104" t="s">
        <v>94</v>
      </c>
      <c r="U4" s="106"/>
      <c r="V4" s="106"/>
      <c r="W4" s="106"/>
      <c r="X4" s="106"/>
      <c r="Y4" s="106"/>
      <c r="Z4" s="106"/>
      <c r="AA4" s="106"/>
      <c r="AB4" s="104" t="s">
        <v>95</v>
      </c>
      <c r="AC4" s="106"/>
      <c r="AD4" s="106"/>
      <c r="AE4" s="106"/>
      <c r="AF4" s="106"/>
      <c r="AG4" s="106"/>
      <c r="AH4" s="106"/>
      <c r="AI4" s="106"/>
      <c r="AJ4" s="104" t="s">
        <v>96</v>
      </c>
      <c r="AK4" s="106"/>
      <c r="AL4" s="106"/>
      <c r="AM4" s="106"/>
      <c r="AN4" s="106"/>
      <c r="AO4" s="106"/>
      <c r="AP4" s="106"/>
      <c r="AQ4" s="106"/>
      <c r="AR4" s="104" t="s">
        <v>97</v>
      </c>
      <c r="AS4" s="106"/>
      <c r="AT4" s="106"/>
      <c r="AU4" s="106"/>
      <c r="AV4" s="106"/>
      <c r="AW4" s="106"/>
      <c r="AX4" s="106"/>
      <c r="AY4" s="106"/>
      <c r="AZ4" s="104" t="s">
        <v>98</v>
      </c>
      <c r="BA4" s="106"/>
      <c r="BB4" s="106"/>
      <c r="BC4" s="106"/>
      <c r="BD4" s="106"/>
      <c r="BE4" s="106"/>
      <c r="BF4" s="106"/>
      <c r="BG4" s="106"/>
      <c r="BH4" s="104" t="s">
        <v>99</v>
      </c>
      <c r="BI4" s="106"/>
      <c r="BJ4" s="106"/>
      <c r="BK4" s="106"/>
      <c r="BL4" s="106"/>
      <c r="BM4" s="106"/>
      <c r="BN4" s="106"/>
      <c r="BO4" s="106"/>
      <c r="BP4" s="104" t="s">
        <v>100</v>
      </c>
      <c r="BQ4" s="106"/>
      <c r="BR4" s="106"/>
      <c r="BS4" s="106"/>
      <c r="BT4" s="106"/>
      <c r="BU4" s="106"/>
      <c r="BV4" s="106"/>
      <c r="BW4" s="106"/>
      <c r="BX4" s="104" t="s">
        <v>101</v>
      </c>
      <c r="BY4" s="106"/>
      <c r="BZ4" s="106"/>
      <c r="CA4" s="106"/>
      <c r="CB4" s="106"/>
      <c r="CC4" s="106"/>
      <c r="CD4" s="106"/>
      <c r="CE4" s="106"/>
      <c r="CF4" s="104" t="s">
        <v>102</v>
      </c>
      <c r="CG4" s="106"/>
      <c r="CH4" s="106"/>
      <c r="CI4" s="106"/>
      <c r="CJ4" s="106"/>
      <c r="CK4" s="106"/>
      <c r="CL4" s="106"/>
      <c r="CM4" s="106"/>
      <c r="CN4" s="104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">
      <c r="B5" s="104" t="s">
        <v>169</v>
      </c>
      <c r="C5" s="104" t="s">
        <v>277</v>
      </c>
      <c r="D5" s="104">
        <v>1</v>
      </c>
      <c r="E5" s="104"/>
      <c r="F5" s="104">
        <v>2</v>
      </c>
      <c r="G5" s="104"/>
      <c r="H5" s="104">
        <v>3</v>
      </c>
      <c r="I5" s="104"/>
      <c r="J5" s="104">
        <v>4</v>
      </c>
      <c r="K5" s="104"/>
      <c r="L5" s="104">
        <v>1</v>
      </c>
      <c r="M5" s="104"/>
      <c r="N5" s="104">
        <v>2</v>
      </c>
      <c r="O5" s="104"/>
      <c r="P5" s="104">
        <v>3</v>
      </c>
      <c r="Q5" s="104"/>
      <c r="R5" s="104">
        <v>4</v>
      </c>
      <c r="S5" s="104"/>
      <c r="T5" s="104">
        <v>1</v>
      </c>
      <c r="U5" s="104"/>
      <c r="V5" s="104">
        <v>2</v>
      </c>
      <c r="W5" s="104"/>
      <c r="X5" s="104">
        <v>3</v>
      </c>
      <c r="Y5" s="104"/>
      <c r="Z5" s="104">
        <v>4</v>
      </c>
      <c r="AA5" s="104"/>
      <c r="AB5" s="104">
        <v>1</v>
      </c>
      <c r="AC5" s="104"/>
      <c r="AD5" s="104">
        <v>2</v>
      </c>
      <c r="AE5" s="104"/>
      <c r="AF5" s="104">
        <v>3</v>
      </c>
      <c r="AG5" s="104"/>
      <c r="AH5" s="104">
        <v>4</v>
      </c>
      <c r="AI5" s="104"/>
      <c r="AJ5" s="104">
        <v>1</v>
      </c>
      <c r="AK5" s="104"/>
      <c r="AL5" s="104">
        <v>2</v>
      </c>
      <c r="AM5" s="104"/>
      <c r="AN5" s="104">
        <v>3</v>
      </c>
      <c r="AO5" s="104"/>
      <c r="AP5" s="104">
        <v>4</v>
      </c>
      <c r="AQ5" s="104"/>
      <c r="AR5" s="104">
        <v>1</v>
      </c>
      <c r="AS5" s="104"/>
      <c r="AT5" s="104">
        <v>2</v>
      </c>
      <c r="AU5" s="104"/>
      <c r="AV5" s="104">
        <v>3</v>
      </c>
      <c r="AW5" s="104"/>
      <c r="AX5" s="104">
        <v>4</v>
      </c>
      <c r="AY5" s="104"/>
      <c r="AZ5" s="104">
        <v>1</v>
      </c>
      <c r="BA5" s="104"/>
      <c r="BB5" s="104">
        <v>2</v>
      </c>
      <c r="BC5" s="104"/>
      <c r="BD5" s="104">
        <v>3</v>
      </c>
      <c r="BE5" s="104"/>
      <c r="BF5" s="104">
        <v>4</v>
      </c>
      <c r="BG5" s="104"/>
      <c r="BH5" s="104">
        <v>1</v>
      </c>
      <c r="BI5" s="104"/>
      <c r="BJ5" s="104">
        <v>2</v>
      </c>
      <c r="BK5" s="104"/>
      <c r="BL5" s="104">
        <v>3</v>
      </c>
      <c r="BM5" s="104"/>
      <c r="BN5" s="104">
        <v>4</v>
      </c>
      <c r="BO5" s="104"/>
      <c r="BP5" s="104">
        <v>1</v>
      </c>
      <c r="BQ5" s="104"/>
      <c r="BR5" s="104">
        <v>2</v>
      </c>
      <c r="BS5" s="104"/>
      <c r="BT5" s="104">
        <v>3</v>
      </c>
      <c r="BU5" s="104"/>
      <c r="BV5" s="104">
        <v>4</v>
      </c>
      <c r="BW5" s="104"/>
      <c r="BX5" s="104">
        <v>1</v>
      </c>
      <c r="BY5" s="104"/>
      <c r="BZ5" s="104">
        <v>2</v>
      </c>
      <c r="CA5" s="104"/>
      <c r="CB5" s="104">
        <v>3</v>
      </c>
      <c r="CC5" s="104"/>
      <c r="CD5" s="104">
        <v>4</v>
      </c>
      <c r="CE5" s="104"/>
      <c r="CF5" s="104">
        <v>1</v>
      </c>
      <c r="CG5" s="104"/>
      <c r="CH5" s="104">
        <v>2</v>
      </c>
      <c r="CI5" s="104"/>
      <c r="CJ5" s="104">
        <v>3</v>
      </c>
      <c r="CK5" s="104"/>
      <c r="CL5" s="104">
        <v>4</v>
      </c>
      <c r="CM5" s="104"/>
      <c r="CN5" s="104">
        <v>1</v>
      </c>
      <c r="CO5" s="104"/>
      <c r="CP5" s="104">
        <v>2</v>
      </c>
      <c r="CQ5" s="104"/>
      <c r="CR5" s="104">
        <v>3</v>
      </c>
      <c r="CS5" s="104"/>
      <c r="CT5" s="104">
        <v>4</v>
      </c>
      <c r="CU5" s="104"/>
    </row>
    <row r="6" spans="1:99" x14ac:dyDescent="0.2">
      <c r="B6" s="104" t="s">
        <v>126</v>
      </c>
      <c r="C6" s="104" t="s">
        <v>174</v>
      </c>
      <c r="D6" s="105">
        <v>0</v>
      </c>
      <c r="E6" s="105">
        <v>0</v>
      </c>
      <c r="F6" s="105">
        <v>4.9042385681632874</v>
      </c>
      <c r="G6" s="105">
        <v>3348.6140943418923</v>
      </c>
      <c r="H6" s="105">
        <v>3.6464456177402327</v>
      </c>
      <c r="I6" s="105">
        <v>2489.7930677930308</v>
      </c>
      <c r="J6" s="105">
        <v>4.9662785785671861</v>
      </c>
      <c r="K6" s="105">
        <v>3390.9750134456744</v>
      </c>
      <c r="L6" s="105">
        <v>6.2799393638656031</v>
      </c>
      <c r="M6" s="105">
        <v>4287.9425976474331</v>
      </c>
      <c r="N6" s="105">
        <v>5</v>
      </c>
      <c r="O6" s="105">
        <v>3414</v>
      </c>
      <c r="P6" s="105">
        <v>5</v>
      </c>
      <c r="Q6" s="105">
        <v>3414</v>
      </c>
      <c r="R6" s="105">
        <v>5</v>
      </c>
      <c r="S6" s="105">
        <v>3414</v>
      </c>
      <c r="T6" s="105">
        <v>5</v>
      </c>
      <c r="U6" s="105">
        <v>3414</v>
      </c>
      <c r="V6" s="105">
        <v>6</v>
      </c>
      <c r="W6" s="105">
        <v>4096.7999999999993</v>
      </c>
      <c r="X6" s="105">
        <v>7</v>
      </c>
      <c r="Y6" s="105">
        <v>4779.5999999999995</v>
      </c>
      <c r="Z6" s="105">
        <v>6</v>
      </c>
      <c r="AA6" s="105">
        <v>4096.7999999999993</v>
      </c>
      <c r="AB6" s="105">
        <v>6</v>
      </c>
      <c r="AC6" s="105">
        <v>4096.7999999999993</v>
      </c>
      <c r="AD6" s="105">
        <v>5</v>
      </c>
      <c r="AE6" s="105">
        <v>3414</v>
      </c>
      <c r="AF6" s="105">
        <v>5</v>
      </c>
      <c r="AG6" s="105">
        <v>3414</v>
      </c>
      <c r="AH6" s="105">
        <v>5</v>
      </c>
      <c r="AI6" s="105">
        <v>3414</v>
      </c>
      <c r="AJ6" s="105">
        <v>6</v>
      </c>
      <c r="AK6" s="105">
        <v>4096.7999999999993</v>
      </c>
      <c r="AL6" s="105">
        <v>6</v>
      </c>
      <c r="AM6" s="105">
        <v>4096.7999999999993</v>
      </c>
      <c r="AN6" s="105">
        <v>5</v>
      </c>
      <c r="AO6" s="105">
        <v>3414</v>
      </c>
      <c r="AP6" s="105">
        <v>4</v>
      </c>
      <c r="AQ6" s="105">
        <v>2731.2</v>
      </c>
      <c r="AR6" s="105">
        <v>7</v>
      </c>
      <c r="AS6" s="105">
        <v>4779.5999999999995</v>
      </c>
      <c r="AT6" s="105">
        <v>8</v>
      </c>
      <c r="AU6" s="105">
        <v>5462.4</v>
      </c>
      <c r="AV6" s="105">
        <v>7</v>
      </c>
      <c r="AW6" s="105">
        <v>4779.5999999999995</v>
      </c>
      <c r="AX6" s="105">
        <v>5</v>
      </c>
      <c r="AY6" s="105">
        <v>3414</v>
      </c>
      <c r="AZ6" s="105">
        <v>4</v>
      </c>
      <c r="BA6" s="105">
        <v>2731.2</v>
      </c>
      <c r="BB6" s="105">
        <v>5</v>
      </c>
      <c r="BC6" s="105">
        <v>3414</v>
      </c>
      <c r="BD6" s="105">
        <v>7</v>
      </c>
      <c r="BE6" s="105">
        <v>4779.5999999999995</v>
      </c>
      <c r="BF6" s="105">
        <v>5</v>
      </c>
      <c r="BG6" s="105">
        <v>3414</v>
      </c>
      <c r="BH6" s="105">
        <v>6</v>
      </c>
      <c r="BI6" s="105">
        <v>4096.7999999999993</v>
      </c>
      <c r="BJ6" s="105">
        <v>4</v>
      </c>
      <c r="BK6" s="105">
        <v>2731.2</v>
      </c>
      <c r="BL6" s="105">
        <v>6</v>
      </c>
      <c r="BM6" s="105">
        <v>4096.7999999999993</v>
      </c>
      <c r="BN6" s="105">
        <v>8</v>
      </c>
      <c r="BO6" s="105">
        <v>5462.4</v>
      </c>
      <c r="BP6" s="105">
        <v>5</v>
      </c>
      <c r="BQ6" s="105">
        <v>3414</v>
      </c>
      <c r="BR6" s="105">
        <v>9</v>
      </c>
      <c r="BS6" s="105">
        <v>6145.2</v>
      </c>
      <c r="BT6" s="105">
        <v>7</v>
      </c>
      <c r="BU6" s="105">
        <v>4779.5999999999995</v>
      </c>
      <c r="BV6" s="105">
        <v>8</v>
      </c>
      <c r="BW6" s="105">
        <v>5462.4</v>
      </c>
      <c r="BX6" s="105">
        <v>6</v>
      </c>
      <c r="BY6" s="105">
        <v>4096.7999999999993</v>
      </c>
      <c r="BZ6" s="105">
        <v>7</v>
      </c>
      <c r="CA6" s="105">
        <v>4779.5999999999995</v>
      </c>
      <c r="CB6" s="105">
        <v>6</v>
      </c>
      <c r="CC6" s="105">
        <v>4096.7999999999993</v>
      </c>
      <c r="CD6" s="105">
        <v>9</v>
      </c>
      <c r="CE6" s="105">
        <v>6145.2</v>
      </c>
      <c r="CF6" s="105">
        <v>7</v>
      </c>
      <c r="CG6" s="105">
        <v>4779.5999999999995</v>
      </c>
      <c r="CH6" s="105">
        <v>7</v>
      </c>
      <c r="CI6" s="105">
        <v>4779.5999999999995</v>
      </c>
      <c r="CJ6" s="105">
        <v>7</v>
      </c>
      <c r="CK6" s="105">
        <v>4779.5999999999995</v>
      </c>
      <c r="CL6" s="105">
        <v>6</v>
      </c>
      <c r="CM6" s="105">
        <v>4096.7999999999993</v>
      </c>
      <c r="CN6" s="105">
        <v>5</v>
      </c>
      <c r="CO6" s="105">
        <v>3414</v>
      </c>
      <c r="CP6" s="105">
        <v>7</v>
      </c>
      <c r="CQ6" s="105">
        <v>4779.5999999999995</v>
      </c>
      <c r="CR6" s="105">
        <v>9</v>
      </c>
      <c r="CS6" s="105">
        <v>6145.2</v>
      </c>
      <c r="CT6" s="105">
        <v>6</v>
      </c>
      <c r="CU6" s="105">
        <v>4096.7999999999993</v>
      </c>
    </row>
    <row r="7" spans="1:99" x14ac:dyDescent="0.2">
      <c r="C7" s="104" t="s">
        <v>175</v>
      </c>
      <c r="D7" s="105">
        <v>0</v>
      </c>
      <c r="E7" s="105">
        <v>0</v>
      </c>
      <c r="F7" s="105">
        <v>4.9042385681632874</v>
      </c>
      <c r="G7" s="105">
        <v>4231.377036611284</v>
      </c>
      <c r="H7" s="105">
        <v>3.6464456177402327</v>
      </c>
      <c r="I7" s="105">
        <v>3146.1532789862727</v>
      </c>
      <c r="J7" s="105">
        <v>3.9730228628537492</v>
      </c>
      <c r="K7" s="105">
        <v>3427.9241260702147</v>
      </c>
      <c r="L7" s="105">
        <v>6.2799393638656031</v>
      </c>
      <c r="M7" s="105">
        <v>5418.3316831432421</v>
      </c>
      <c r="N7" s="105">
        <v>5</v>
      </c>
      <c r="O7" s="105">
        <v>4314</v>
      </c>
      <c r="P7" s="105">
        <v>5</v>
      </c>
      <c r="Q7" s="105">
        <v>4314</v>
      </c>
      <c r="R7" s="105">
        <v>5</v>
      </c>
      <c r="S7" s="105">
        <v>4314</v>
      </c>
      <c r="T7" s="105">
        <v>4</v>
      </c>
      <c r="U7" s="105">
        <v>3451.2</v>
      </c>
      <c r="V7" s="105">
        <v>5</v>
      </c>
      <c r="W7" s="105">
        <v>4314</v>
      </c>
      <c r="X7" s="105">
        <v>7</v>
      </c>
      <c r="Y7" s="105">
        <v>6039.5999999999995</v>
      </c>
      <c r="Z7" s="105">
        <v>7</v>
      </c>
      <c r="AA7" s="105">
        <v>6039.5999999999995</v>
      </c>
      <c r="AB7" s="105">
        <v>7</v>
      </c>
      <c r="AC7" s="105">
        <v>6039.5999999999995</v>
      </c>
      <c r="AD7" s="105">
        <v>5</v>
      </c>
      <c r="AE7" s="105">
        <v>4314</v>
      </c>
      <c r="AF7" s="105">
        <v>5</v>
      </c>
      <c r="AG7" s="105">
        <v>4314</v>
      </c>
      <c r="AH7" s="105">
        <v>5</v>
      </c>
      <c r="AI7" s="105">
        <v>4314</v>
      </c>
      <c r="AJ7" s="105">
        <v>6</v>
      </c>
      <c r="AK7" s="105">
        <v>5176.7999999999993</v>
      </c>
      <c r="AL7" s="105">
        <v>6</v>
      </c>
      <c r="AM7" s="105">
        <v>5176.7999999999993</v>
      </c>
      <c r="AN7" s="105">
        <v>5</v>
      </c>
      <c r="AO7" s="105">
        <v>4314</v>
      </c>
      <c r="AP7" s="105">
        <v>4</v>
      </c>
      <c r="AQ7" s="105">
        <v>3451.2</v>
      </c>
      <c r="AR7" s="105">
        <v>8</v>
      </c>
      <c r="AS7" s="105">
        <v>6902.4</v>
      </c>
      <c r="AT7" s="105">
        <v>8</v>
      </c>
      <c r="AU7" s="105">
        <v>6902.4</v>
      </c>
      <c r="AV7" s="105">
        <v>6</v>
      </c>
      <c r="AW7" s="105">
        <v>5176.7999999999993</v>
      </c>
      <c r="AX7" s="105">
        <v>5</v>
      </c>
      <c r="AY7" s="105">
        <v>4314</v>
      </c>
      <c r="AZ7" s="105">
        <v>5</v>
      </c>
      <c r="BA7" s="105">
        <v>4314</v>
      </c>
      <c r="BB7" s="105">
        <v>5</v>
      </c>
      <c r="BC7" s="105">
        <v>4314</v>
      </c>
      <c r="BD7" s="105">
        <v>7</v>
      </c>
      <c r="BE7" s="105">
        <v>6039.5999999999995</v>
      </c>
      <c r="BF7" s="105">
        <v>5</v>
      </c>
      <c r="BG7" s="105">
        <v>4314</v>
      </c>
      <c r="BH7" s="105">
        <v>6</v>
      </c>
      <c r="BI7" s="105">
        <v>5176.7999999999993</v>
      </c>
      <c r="BJ7" s="105">
        <v>4</v>
      </c>
      <c r="BK7" s="105">
        <v>3451.2</v>
      </c>
      <c r="BL7" s="105">
        <v>6</v>
      </c>
      <c r="BM7" s="105">
        <v>5176.7999999999993</v>
      </c>
      <c r="BN7" s="105">
        <v>7</v>
      </c>
      <c r="BO7" s="105">
        <v>6039.5999999999995</v>
      </c>
      <c r="BP7" s="105">
        <v>5</v>
      </c>
      <c r="BQ7" s="105">
        <v>4314</v>
      </c>
      <c r="BR7" s="105">
        <v>7</v>
      </c>
      <c r="BS7" s="105">
        <v>6039.5999999999995</v>
      </c>
      <c r="BT7" s="105">
        <v>8</v>
      </c>
      <c r="BU7" s="105">
        <v>6902.4</v>
      </c>
      <c r="BV7" s="105">
        <v>8</v>
      </c>
      <c r="BW7" s="105">
        <v>6902.4</v>
      </c>
      <c r="BX7" s="105">
        <v>6</v>
      </c>
      <c r="BY7" s="105">
        <v>5176.7999999999993</v>
      </c>
      <c r="BZ7" s="105">
        <v>9</v>
      </c>
      <c r="CA7" s="105">
        <v>7765.2</v>
      </c>
      <c r="CB7" s="105">
        <v>6</v>
      </c>
      <c r="CC7" s="105">
        <v>5176.7999999999993</v>
      </c>
      <c r="CD7" s="105">
        <v>8</v>
      </c>
      <c r="CE7" s="105">
        <v>6902.4</v>
      </c>
      <c r="CF7" s="105">
        <v>7</v>
      </c>
      <c r="CG7" s="105">
        <v>6039.5999999999995</v>
      </c>
      <c r="CH7" s="105">
        <v>8</v>
      </c>
      <c r="CI7" s="105">
        <v>6902.4</v>
      </c>
      <c r="CJ7" s="105">
        <v>8</v>
      </c>
      <c r="CK7" s="105">
        <v>6902.4</v>
      </c>
      <c r="CL7" s="105">
        <v>6</v>
      </c>
      <c r="CM7" s="105">
        <v>5176.7999999999993</v>
      </c>
      <c r="CN7" s="105">
        <v>6</v>
      </c>
      <c r="CO7" s="105">
        <v>5176.7999999999993</v>
      </c>
      <c r="CP7" s="105">
        <v>8</v>
      </c>
      <c r="CQ7" s="105">
        <v>6902.4</v>
      </c>
      <c r="CR7" s="105">
        <v>8</v>
      </c>
      <c r="CS7" s="105">
        <v>6902.4</v>
      </c>
      <c r="CT7" s="105">
        <v>6</v>
      </c>
      <c r="CU7" s="105">
        <v>5176.7999999999993</v>
      </c>
    </row>
    <row r="8" spans="1:99" x14ac:dyDescent="0.2">
      <c r="C8" s="104" t="s">
        <v>176</v>
      </c>
      <c r="D8" s="105">
        <v>0</v>
      </c>
      <c r="E8" s="105">
        <v>0</v>
      </c>
      <c r="F8" s="105">
        <v>4.9042385681632874</v>
      </c>
      <c r="G8" s="105">
        <v>1606.6285549302927</v>
      </c>
      <c r="H8" s="105">
        <v>3.6464456177402327</v>
      </c>
      <c r="I8" s="105">
        <v>1194.5755843717002</v>
      </c>
      <c r="J8" s="105">
        <v>4.9662785785671861</v>
      </c>
      <c r="K8" s="105">
        <v>1626.95286233861</v>
      </c>
      <c r="L8" s="105">
        <v>6.2799393638656031</v>
      </c>
      <c r="M8" s="105">
        <v>2057.3081356023713</v>
      </c>
      <c r="N8" s="105">
        <v>5</v>
      </c>
      <c r="O8" s="105">
        <v>1637.9999999999998</v>
      </c>
      <c r="P8" s="105">
        <v>5</v>
      </c>
      <c r="Q8" s="105">
        <v>1637.9999999999998</v>
      </c>
      <c r="R8" s="105">
        <v>5</v>
      </c>
      <c r="S8" s="105">
        <v>1637.9999999999998</v>
      </c>
      <c r="T8" s="105">
        <v>5</v>
      </c>
      <c r="U8" s="105">
        <v>1637.9999999999998</v>
      </c>
      <c r="V8" s="105">
        <v>5</v>
      </c>
      <c r="W8" s="105">
        <v>1637.9999999999998</v>
      </c>
      <c r="X8" s="105">
        <v>7</v>
      </c>
      <c r="Y8" s="105">
        <v>2293.1999999999998</v>
      </c>
      <c r="Z8" s="105">
        <v>7</v>
      </c>
      <c r="AA8" s="105">
        <v>2293.1999999999998</v>
      </c>
      <c r="AB8" s="105">
        <v>6</v>
      </c>
      <c r="AC8" s="105">
        <v>1965.6</v>
      </c>
      <c r="AD8" s="105">
        <v>5</v>
      </c>
      <c r="AE8" s="105">
        <v>1637.9999999999998</v>
      </c>
      <c r="AF8" s="105">
        <v>5</v>
      </c>
      <c r="AG8" s="105">
        <v>1637.9999999999998</v>
      </c>
      <c r="AH8" s="105">
        <v>5</v>
      </c>
      <c r="AI8" s="105">
        <v>1637.9999999999998</v>
      </c>
      <c r="AJ8" s="105">
        <v>6</v>
      </c>
      <c r="AK8" s="105">
        <v>1965.6</v>
      </c>
      <c r="AL8" s="105">
        <v>7</v>
      </c>
      <c r="AM8" s="105">
        <v>2293.1999999999998</v>
      </c>
      <c r="AN8" s="105">
        <v>5</v>
      </c>
      <c r="AO8" s="105">
        <v>1637.9999999999998</v>
      </c>
      <c r="AP8" s="105">
        <v>5</v>
      </c>
      <c r="AQ8" s="105">
        <v>1637.9999999999998</v>
      </c>
      <c r="AR8" s="105">
        <v>8</v>
      </c>
      <c r="AS8" s="105">
        <v>2620.7999999999997</v>
      </c>
      <c r="AT8" s="105">
        <v>8</v>
      </c>
      <c r="AU8" s="105">
        <v>2620.7999999999997</v>
      </c>
      <c r="AV8" s="105">
        <v>7</v>
      </c>
      <c r="AW8" s="105">
        <v>2293.1999999999998</v>
      </c>
      <c r="AX8" s="105">
        <v>6</v>
      </c>
      <c r="AY8" s="105">
        <v>1965.6</v>
      </c>
      <c r="AZ8" s="105">
        <v>4</v>
      </c>
      <c r="BA8" s="105">
        <v>1310.3999999999999</v>
      </c>
      <c r="BB8" s="105">
        <v>5</v>
      </c>
      <c r="BC8" s="105">
        <v>1637.9999999999998</v>
      </c>
      <c r="BD8" s="105">
        <v>7</v>
      </c>
      <c r="BE8" s="105">
        <v>2293.1999999999998</v>
      </c>
      <c r="BF8" s="105">
        <v>5</v>
      </c>
      <c r="BG8" s="105">
        <v>1637.9999999999998</v>
      </c>
      <c r="BH8" s="105">
        <v>7</v>
      </c>
      <c r="BI8" s="105">
        <v>2293.1999999999998</v>
      </c>
      <c r="BJ8" s="105">
        <v>5</v>
      </c>
      <c r="BK8" s="105">
        <v>1637.9999999999998</v>
      </c>
      <c r="BL8" s="105">
        <v>6</v>
      </c>
      <c r="BM8" s="105">
        <v>1965.6</v>
      </c>
      <c r="BN8" s="105">
        <v>7</v>
      </c>
      <c r="BO8" s="105">
        <v>2293.1999999999998</v>
      </c>
      <c r="BP8" s="105">
        <v>5</v>
      </c>
      <c r="BQ8" s="105">
        <v>1637.9999999999998</v>
      </c>
      <c r="BR8" s="105">
        <v>8</v>
      </c>
      <c r="BS8" s="105">
        <v>2620.7999999999997</v>
      </c>
      <c r="BT8" s="105">
        <v>7</v>
      </c>
      <c r="BU8" s="105">
        <v>2293.1999999999998</v>
      </c>
      <c r="BV8" s="105">
        <v>8</v>
      </c>
      <c r="BW8" s="105">
        <v>2620.7999999999997</v>
      </c>
      <c r="BX8" s="105">
        <v>6</v>
      </c>
      <c r="BY8" s="105">
        <v>1965.6</v>
      </c>
      <c r="BZ8" s="105">
        <v>8</v>
      </c>
      <c r="CA8" s="105">
        <v>2620.7999999999997</v>
      </c>
      <c r="CB8" s="105">
        <v>6</v>
      </c>
      <c r="CC8" s="105">
        <v>1965.6</v>
      </c>
      <c r="CD8" s="105">
        <v>8</v>
      </c>
      <c r="CE8" s="105">
        <v>2620.7999999999997</v>
      </c>
      <c r="CF8" s="105">
        <v>6</v>
      </c>
      <c r="CG8" s="105">
        <v>1965.6</v>
      </c>
      <c r="CH8" s="105">
        <v>7</v>
      </c>
      <c r="CI8" s="105">
        <v>2293.1999999999998</v>
      </c>
      <c r="CJ8" s="105">
        <v>7</v>
      </c>
      <c r="CK8" s="105">
        <v>2293.1999999999998</v>
      </c>
      <c r="CL8" s="105">
        <v>6</v>
      </c>
      <c r="CM8" s="105">
        <v>1965.6</v>
      </c>
      <c r="CN8" s="105">
        <v>6</v>
      </c>
      <c r="CO8" s="105">
        <v>1965.6</v>
      </c>
      <c r="CP8" s="105">
        <v>8</v>
      </c>
      <c r="CQ8" s="105">
        <v>2620.7999999999997</v>
      </c>
      <c r="CR8" s="105">
        <v>9</v>
      </c>
      <c r="CS8" s="105">
        <v>2948.3999999999996</v>
      </c>
      <c r="CT8" s="105">
        <v>6</v>
      </c>
      <c r="CU8" s="105">
        <v>1965.6</v>
      </c>
    </row>
    <row r="9" spans="1:99" x14ac:dyDescent="0.2">
      <c r="C9" s="104" t="s">
        <v>177</v>
      </c>
      <c r="D9" s="105">
        <v>0</v>
      </c>
      <c r="E9" s="105">
        <v>0</v>
      </c>
      <c r="F9" s="105">
        <v>4.9042385681632874</v>
      </c>
      <c r="G9" s="105">
        <v>3937.122722521487</v>
      </c>
      <c r="H9" s="105">
        <v>3.6464456177402327</v>
      </c>
      <c r="I9" s="105">
        <v>2927.3665419218587</v>
      </c>
      <c r="J9" s="105">
        <v>3.9730228628537492</v>
      </c>
      <c r="K9" s="105">
        <v>3189.5427542989896</v>
      </c>
      <c r="L9" s="105">
        <v>6.2799393638656031</v>
      </c>
      <c r="M9" s="105">
        <v>5041.5353213113058</v>
      </c>
      <c r="N9" s="105">
        <v>5</v>
      </c>
      <c r="O9" s="105">
        <v>4014</v>
      </c>
      <c r="P9" s="105">
        <v>5</v>
      </c>
      <c r="Q9" s="105">
        <v>4014</v>
      </c>
      <c r="R9" s="105">
        <v>5</v>
      </c>
      <c r="S9" s="105">
        <v>4014</v>
      </c>
      <c r="T9" s="105">
        <v>5</v>
      </c>
      <c r="U9" s="105">
        <v>4014</v>
      </c>
      <c r="V9" s="105">
        <v>5</v>
      </c>
      <c r="W9" s="105">
        <v>4014</v>
      </c>
      <c r="X9" s="105">
        <v>6</v>
      </c>
      <c r="Y9" s="105">
        <v>4816.7999999999993</v>
      </c>
      <c r="Z9" s="105">
        <v>7</v>
      </c>
      <c r="AA9" s="105">
        <v>5619.5999999999995</v>
      </c>
      <c r="AB9" s="105">
        <v>6</v>
      </c>
      <c r="AC9" s="105">
        <v>4816.7999999999993</v>
      </c>
      <c r="AD9" s="105">
        <v>4</v>
      </c>
      <c r="AE9" s="105">
        <v>3211.2</v>
      </c>
      <c r="AF9" s="105">
        <v>5</v>
      </c>
      <c r="AG9" s="105">
        <v>4014</v>
      </c>
      <c r="AH9" s="105">
        <v>5</v>
      </c>
      <c r="AI9" s="105">
        <v>4014</v>
      </c>
      <c r="AJ9" s="105">
        <v>6</v>
      </c>
      <c r="AK9" s="105">
        <v>4816.7999999999993</v>
      </c>
      <c r="AL9" s="105">
        <v>7</v>
      </c>
      <c r="AM9" s="105">
        <v>5619.5999999999995</v>
      </c>
      <c r="AN9" s="105">
        <v>5</v>
      </c>
      <c r="AO9" s="105">
        <v>4014</v>
      </c>
      <c r="AP9" s="105">
        <v>4</v>
      </c>
      <c r="AQ9" s="105">
        <v>3211.2</v>
      </c>
      <c r="AR9" s="105">
        <v>7</v>
      </c>
      <c r="AS9" s="105">
        <v>5619.5999999999995</v>
      </c>
      <c r="AT9" s="105">
        <v>7</v>
      </c>
      <c r="AU9" s="105">
        <v>5619.5999999999995</v>
      </c>
      <c r="AV9" s="105">
        <v>7</v>
      </c>
      <c r="AW9" s="105">
        <v>5619.5999999999995</v>
      </c>
      <c r="AX9" s="105">
        <v>5</v>
      </c>
      <c r="AY9" s="105">
        <v>4014</v>
      </c>
      <c r="AZ9" s="105">
        <v>4</v>
      </c>
      <c r="BA9" s="105">
        <v>3211.2</v>
      </c>
      <c r="BB9" s="105">
        <v>5</v>
      </c>
      <c r="BC9" s="105">
        <v>4014</v>
      </c>
      <c r="BD9" s="105">
        <v>6</v>
      </c>
      <c r="BE9" s="105">
        <v>4816.7999999999993</v>
      </c>
      <c r="BF9" s="105">
        <v>4</v>
      </c>
      <c r="BG9" s="105">
        <v>3211.2</v>
      </c>
      <c r="BH9" s="105">
        <v>6</v>
      </c>
      <c r="BI9" s="105">
        <v>4816.7999999999993</v>
      </c>
      <c r="BJ9" s="105">
        <v>5</v>
      </c>
      <c r="BK9" s="105">
        <v>4014</v>
      </c>
      <c r="BL9" s="105">
        <v>5</v>
      </c>
      <c r="BM9" s="105">
        <v>4014</v>
      </c>
      <c r="BN9" s="105">
        <v>8</v>
      </c>
      <c r="BO9" s="105">
        <v>6422.4</v>
      </c>
      <c r="BP9" s="105">
        <v>5</v>
      </c>
      <c r="BQ9" s="105">
        <v>4014</v>
      </c>
      <c r="BR9" s="105">
        <v>9</v>
      </c>
      <c r="BS9" s="105">
        <v>7225.2</v>
      </c>
      <c r="BT9" s="105">
        <v>6</v>
      </c>
      <c r="BU9" s="105">
        <v>4816.7999999999993</v>
      </c>
      <c r="BV9" s="105">
        <v>7</v>
      </c>
      <c r="BW9" s="105">
        <v>5619.5999999999995</v>
      </c>
      <c r="BX9" s="105">
        <v>7</v>
      </c>
      <c r="BY9" s="105">
        <v>5619.5999999999995</v>
      </c>
      <c r="BZ9" s="105">
        <v>8</v>
      </c>
      <c r="CA9" s="105">
        <v>6422.4</v>
      </c>
      <c r="CB9" s="105">
        <v>6</v>
      </c>
      <c r="CC9" s="105">
        <v>4816.7999999999993</v>
      </c>
      <c r="CD9" s="105">
        <v>8</v>
      </c>
      <c r="CE9" s="105">
        <v>6422.4</v>
      </c>
      <c r="CF9" s="105">
        <v>6</v>
      </c>
      <c r="CG9" s="105">
        <v>4816.7999999999993</v>
      </c>
      <c r="CH9" s="105">
        <v>8</v>
      </c>
      <c r="CI9" s="105">
        <v>6422.4</v>
      </c>
      <c r="CJ9" s="105">
        <v>8</v>
      </c>
      <c r="CK9" s="105">
        <v>6422.4</v>
      </c>
      <c r="CL9" s="105">
        <v>6</v>
      </c>
      <c r="CM9" s="105">
        <v>4816.7999999999993</v>
      </c>
      <c r="CN9" s="105">
        <v>5</v>
      </c>
      <c r="CO9" s="105">
        <v>4014</v>
      </c>
      <c r="CP9" s="105">
        <v>7</v>
      </c>
      <c r="CQ9" s="105">
        <v>5619.5999999999995</v>
      </c>
      <c r="CR9" s="105">
        <v>8</v>
      </c>
      <c r="CS9" s="105">
        <v>6422.4</v>
      </c>
      <c r="CT9" s="105">
        <v>6</v>
      </c>
      <c r="CU9" s="105">
        <v>4816.7999999999993</v>
      </c>
    </row>
    <row r="10" spans="1:99" x14ac:dyDescent="0.2">
      <c r="C10" s="104" t="s">
        <v>178</v>
      </c>
      <c r="D10" s="105">
        <v>0</v>
      </c>
      <c r="E10" s="105">
        <v>0</v>
      </c>
      <c r="F10" s="105">
        <v>4.9042385681632874</v>
      </c>
      <c r="G10" s="105">
        <v>2730.6800347533181</v>
      </c>
      <c r="H10" s="105">
        <v>2.7348342133051746</v>
      </c>
      <c r="I10" s="105">
        <v>1522.7556899683211</v>
      </c>
      <c r="J10" s="105">
        <v>4.9662785785671861</v>
      </c>
      <c r="K10" s="105">
        <v>2765.2239125462088</v>
      </c>
      <c r="L10" s="105">
        <v>6.2799393638656031</v>
      </c>
      <c r="M10" s="105">
        <v>3496.6702378003674</v>
      </c>
      <c r="N10" s="105">
        <v>5</v>
      </c>
      <c r="O10" s="105">
        <v>2784</v>
      </c>
      <c r="P10" s="105">
        <v>5</v>
      </c>
      <c r="Q10" s="105">
        <v>2784</v>
      </c>
      <c r="R10" s="105">
        <v>4</v>
      </c>
      <c r="S10" s="105">
        <v>2227.1999999999998</v>
      </c>
      <c r="T10" s="105">
        <v>4</v>
      </c>
      <c r="U10" s="105">
        <v>2227.1999999999998</v>
      </c>
      <c r="V10" s="105">
        <v>6</v>
      </c>
      <c r="W10" s="105">
        <v>3340.7999999999997</v>
      </c>
      <c r="X10" s="105">
        <v>6</v>
      </c>
      <c r="Y10" s="105">
        <v>3340.7999999999997</v>
      </c>
      <c r="Z10" s="105">
        <v>7</v>
      </c>
      <c r="AA10" s="105">
        <v>3897.5999999999995</v>
      </c>
      <c r="AB10" s="105">
        <v>7</v>
      </c>
      <c r="AC10" s="105">
        <v>3897.5999999999995</v>
      </c>
      <c r="AD10" s="105">
        <v>5</v>
      </c>
      <c r="AE10" s="105">
        <v>2784</v>
      </c>
      <c r="AF10" s="105">
        <v>5</v>
      </c>
      <c r="AG10" s="105">
        <v>2784</v>
      </c>
      <c r="AH10" s="105">
        <v>5</v>
      </c>
      <c r="AI10" s="105">
        <v>2784</v>
      </c>
      <c r="AJ10" s="105">
        <v>6</v>
      </c>
      <c r="AK10" s="105">
        <v>3340.7999999999997</v>
      </c>
      <c r="AL10" s="105">
        <v>6</v>
      </c>
      <c r="AM10" s="105">
        <v>3340.7999999999997</v>
      </c>
      <c r="AN10" s="105">
        <v>5</v>
      </c>
      <c r="AO10" s="105">
        <v>2784</v>
      </c>
      <c r="AP10" s="105">
        <v>4</v>
      </c>
      <c r="AQ10" s="105">
        <v>2227.1999999999998</v>
      </c>
      <c r="AR10" s="105">
        <v>7</v>
      </c>
      <c r="AS10" s="105">
        <v>3897.5999999999995</v>
      </c>
      <c r="AT10" s="105">
        <v>8</v>
      </c>
      <c r="AU10" s="105">
        <v>4454.3999999999996</v>
      </c>
      <c r="AV10" s="105">
        <v>6</v>
      </c>
      <c r="AW10" s="105">
        <v>3340.7999999999997</v>
      </c>
      <c r="AX10" s="105">
        <v>5</v>
      </c>
      <c r="AY10" s="105">
        <v>2784</v>
      </c>
      <c r="AZ10" s="105">
        <v>4</v>
      </c>
      <c r="BA10" s="105">
        <v>2227.1999999999998</v>
      </c>
      <c r="BB10" s="105">
        <v>5</v>
      </c>
      <c r="BC10" s="105">
        <v>2784</v>
      </c>
      <c r="BD10" s="105">
        <v>6</v>
      </c>
      <c r="BE10" s="105">
        <v>3340.7999999999997</v>
      </c>
      <c r="BF10" s="105">
        <v>5</v>
      </c>
      <c r="BG10" s="105">
        <v>2784</v>
      </c>
      <c r="BH10" s="105">
        <v>6</v>
      </c>
      <c r="BI10" s="105">
        <v>3340.7999999999997</v>
      </c>
      <c r="BJ10" s="105">
        <v>4</v>
      </c>
      <c r="BK10" s="105">
        <v>2227.1999999999998</v>
      </c>
      <c r="BL10" s="105">
        <v>6</v>
      </c>
      <c r="BM10" s="105">
        <v>3340.7999999999997</v>
      </c>
      <c r="BN10" s="105">
        <v>8</v>
      </c>
      <c r="BO10" s="105">
        <v>4454.3999999999996</v>
      </c>
      <c r="BP10" s="105">
        <v>5</v>
      </c>
      <c r="BQ10" s="105">
        <v>2784</v>
      </c>
      <c r="BR10" s="105">
        <v>9</v>
      </c>
      <c r="BS10" s="105">
        <v>5011.2</v>
      </c>
      <c r="BT10" s="105">
        <v>8</v>
      </c>
      <c r="BU10" s="105">
        <v>4454.3999999999996</v>
      </c>
      <c r="BV10" s="105">
        <v>8</v>
      </c>
      <c r="BW10" s="105">
        <v>4454.3999999999996</v>
      </c>
      <c r="BX10" s="105">
        <v>6</v>
      </c>
      <c r="BY10" s="105">
        <v>3340.7999999999997</v>
      </c>
      <c r="BZ10" s="105">
        <v>9</v>
      </c>
      <c r="CA10" s="105">
        <v>5011.2</v>
      </c>
      <c r="CB10" s="105">
        <v>6</v>
      </c>
      <c r="CC10" s="105">
        <v>3340.7999999999997</v>
      </c>
      <c r="CD10" s="105">
        <v>9</v>
      </c>
      <c r="CE10" s="105">
        <v>5011.2</v>
      </c>
      <c r="CF10" s="105">
        <v>6</v>
      </c>
      <c r="CG10" s="105">
        <v>3340.7999999999997</v>
      </c>
      <c r="CH10" s="105">
        <v>7</v>
      </c>
      <c r="CI10" s="105">
        <v>3897.5999999999995</v>
      </c>
      <c r="CJ10" s="105">
        <v>8</v>
      </c>
      <c r="CK10" s="105">
        <v>4454.3999999999996</v>
      </c>
      <c r="CL10" s="105">
        <v>6</v>
      </c>
      <c r="CM10" s="105">
        <v>3340.7999999999997</v>
      </c>
      <c r="CN10" s="105">
        <v>6</v>
      </c>
      <c r="CO10" s="105">
        <v>3340.7999999999997</v>
      </c>
      <c r="CP10" s="105">
        <v>8</v>
      </c>
      <c r="CQ10" s="105">
        <v>4454.3999999999996</v>
      </c>
      <c r="CR10" s="105">
        <v>8</v>
      </c>
      <c r="CS10" s="105">
        <v>4454.3999999999996</v>
      </c>
      <c r="CT10" s="105">
        <v>6</v>
      </c>
      <c r="CU10" s="105">
        <v>3340.7999999999997</v>
      </c>
    </row>
    <row r="11" spans="1:99" x14ac:dyDescent="0.2">
      <c r="C11" s="104" t="s">
        <v>179</v>
      </c>
      <c r="D11" s="105">
        <v>0</v>
      </c>
      <c r="E11" s="105">
        <v>0</v>
      </c>
      <c r="F11" s="105">
        <v>4.9042385681632874</v>
      </c>
      <c r="G11" s="105">
        <v>2936.6580546161763</v>
      </c>
      <c r="H11" s="105">
        <v>3.6464456177402327</v>
      </c>
      <c r="I11" s="105">
        <v>2183.4916359028512</v>
      </c>
      <c r="J11" s="105">
        <v>4.9662785785671861</v>
      </c>
      <c r="K11" s="105">
        <v>2973.8076128460307</v>
      </c>
      <c r="L11" s="105">
        <v>6.2799393638656031</v>
      </c>
      <c r="M11" s="105">
        <v>3760.427691082723</v>
      </c>
      <c r="N11" s="105">
        <v>5</v>
      </c>
      <c r="O11" s="105">
        <v>2994</v>
      </c>
      <c r="P11" s="105">
        <v>5</v>
      </c>
      <c r="Q11" s="105">
        <v>2994</v>
      </c>
      <c r="R11" s="105">
        <v>5</v>
      </c>
      <c r="S11" s="105">
        <v>2994</v>
      </c>
      <c r="T11" s="105">
        <v>5</v>
      </c>
      <c r="U11" s="105">
        <v>2994</v>
      </c>
      <c r="V11" s="105">
        <v>6</v>
      </c>
      <c r="W11" s="105">
        <v>3592.7999999999997</v>
      </c>
      <c r="X11" s="105">
        <v>6</v>
      </c>
      <c r="Y11" s="105">
        <v>3592.7999999999997</v>
      </c>
      <c r="Z11" s="105">
        <v>7</v>
      </c>
      <c r="AA11" s="105">
        <v>4191.5999999999995</v>
      </c>
      <c r="AB11" s="105">
        <v>7</v>
      </c>
      <c r="AC11" s="105">
        <v>4191.5999999999995</v>
      </c>
      <c r="AD11" s="105">
        <v>4</v>
      </c>
      <c r="AE11" s="105">
        <v>2395.1999999999998</v>
      </c>
      <c r="AF11" s="105">
        <v>6</v>
      </c>
      <c r="AG11" s="105">
        <v>3592.7999999999997</v>
      </c>
      <c r="AH11" s="105">
        <v>5</v>
      </c>
      <c r="AI11" s="105">
        <v>2994</v>
      </c>
      <c r="AJ11" s="105">
        <v>6</v>
      </c>
      <c r="AK11" s="105">
        <v>3592.7999999999997</v>
      </c>
      <c r="AL11" s="105">
        <v>6</v>
      </c>
      <c r="AM11" s="105">
        <v>3592.7999999999997</v>
      </c>
      <c r="AN11" s="105">
        <v>5</v>
      </c>
      <c r="AO11" s="105">
        <v>2994</v>
      </c>
      <c r="AP11" s="105">
        <v>4</v>
      </c>
      <c r="AQ11" s="105">
        <v>2395.1999999999998</v>
      </c>
      <c r="AR11" s="105">
        <v>7</v>
      </c>
      <c r="AS11" s="105">
        <v>4191.5999999999995</v>
      </c>
      <c r="AT11" s="105">
        <v>7</v>
      </c>
      <c r="AU11" s="105">
        <v>4191.5999999999995</v>
      </c>
      <c r="AV11" s="105">
        <v>6</v>
      </c>
      <c r="AW11" s="105">
        <v>3592.7999999999997</v>
      </c>
      <c r="AX11" s="105">
        <v>6</v>
      </c>
      <c r="AY11" s="105">
        <v>3592.7999999999997</v>
      </c>
      <c r="AZ11" s="105">
        <v>5</v>
      </c>
      <c r="BA11" s="105">
        <v>2994</v>
      </c>
      <c r="BB11" s="105">
        <v>5</v>
      </c>
      <c r="BC11" s="105">
        <v>2994</v>
      </c>
      <c r="BD11" s="105">
        <v>8</v>
      </c>
      <c r="BE11" s="105">
        <v>4790.3999999999996</v>
      </c>
      <c r="BF11" s="105">
        <v>5</v>
      </c>
      <c r="BG11" s="105">
        <v>2994</v>
      </c>
      <c r="BH11" s="105">
        <v>7</v>
      </c>
      <c r="BI11" s="105">
        <v>4191.5999999999995</v>
      </c>
      <c r="BJ11" s="105">
        <v>4</v>
      </c>
      <c r="BK11" s="105">
        <v>2395.1999999999998</v>
      </c>
      <c r="BL11" s="105">
        <v>5</v>
      </c>
      <c r="BM11" s="105">
        <v>2994</v>
      </c>
      <c r="BN11" s="105">
        <v>7</v>
      </c>
      <c r="BO11" s="105">
        <v>4191.5999999999995</v>
      </c>
      <c r="BP11" s="105">
        <v>5</v>
      </c>
      <c r="BQ11" s="105">
        <v>2994</v>
      </c>
      <c r="BR11" s="105">
        <v>9</v>
      </c>
      <c r="BS11" s="105">
        <v>5389.2</v>
      </c>
      <c r="BT11" s="105">
        <v>7</v>
      </c>
      <c r="BU11" s="105">
        <v>4191.5999999999995</v>
      </c>
      <c r="BV11" s="105">
        <v>7</v>
      </c>
      <c r="BW11" s="105">
        <v>4191.5999999999995</v>
      </c>
      <c r="BX11" s="105">
        <v>6</v>
      </c>
      <c r="BY11" s="105">
        <v>3592.7999999999997</v>
      </c>
      <c r="BZ11" s="105">
        <v>8</v>
      </c>
      <c r="CA11" s="105">
        <v>4790.3999999999996</v>
      </c>
      <c r="CB11" s="105">
        <v>6</v>
      </c>
      <c r="CC11" s="105">
        <v>3592.7999999999997</v>
      </c>
      <c r="CD11" s="105">
        <v>9</v>
      </c>
      <c r="CE11" s="105">
        <v>5389.2</v>
      </c>
      <c r="CF11" s="105">
        <v>7</v>
      </c>
      <c r="CG11" s="105">
        <v>4191.5999999999995</v>
      </c>
      <c r="CH11" s="105">
        <v>7</v>
      </c>
      <c r="CI11" s="105">
        <v>4191.5999999999995</v>
      </c>
      <c r="CJ11" s="105">
        <v>7</v>
      </c>
      <c r="CK11" s="105">
        <v>4191.5999999999995</v>
      </c>
      <c r="CL11" s="105">
        <v>6</v>
      </c>
      <c r="CM11" s="105">
        <v>3592.7999999999997</v>
      </c>
      <c r="CN11" s="105">
        <v>6</v>
      </c>
      <c r="CO11" s="105">
        <v>3592.7999999999997</v>
      </c>
      <c r="CP11" s="105">
        <v>7</v>
      </c>
      <c r="CQ11" s="105">
        <v>4191.5999999999995</v>
      </c>
      <c r="CR11" s="105">
        <v>8</v>
      </c>
      <c r="CS11" s="105">
        <v>4790.3999999999996</v>
      </c>
      <c r="CT11" s="105">
        <v>6</v>
      </c>
      <c r="CU11" s="105">
        <v>3592.7999999999997</v>
      </c>
    </row>
    <row r="12" spans="1:99" x14ac:dyDescent="0.2">
      <c r="C12" s="104" t="s">
        <v>180</v>
      </c>
      <c r="D12" s="105">
        <v>0</v>
      </c>
      <c r="E12" s="105">
        <v>0</v>
      </c>
      <c r="F12" s="105">
        <v>4.9042385681632874</v>
      </c>
      <c r="G12" s="105">
        <v>2966.0834860251562</v>
      </c>
      <c r="H12" s="105">
        <v>3.6464456177402327</v>
      </c>
      <c r="I12" s="105">
        <v>2205.3703096092927</v>
      </c>
      <c r="J12" s="105">
        <v>4.9662785785671861</v>
      </c>
      <c r="K12" s="105">
        <v>3003.6052843174339</v>
      </c>
      <c r="L12" s="105">
        <v>6.2799393638656031</v>
      </c>
      <c r="M12" s="105">
        <v>3798.1073272659164</v>
      </c>
      <c r="N12" s="105">
        <v>5</v>
      </c>
      <c r="O12" s="105">
        <v>3024</v>
      </c>
      <c r="P12" s="105">
        <v>5</v>
      </c>
      <c r="Q12" s="105">
        <v>3024</v>
      </c>
      <c r="R12" s="105">
        <v>5</v>
      </c>
      <c r="S12" s="105">
        <v>3024</v>
      </c>
      <c r="T12" s="105">
        <v>4</v>
      </c>
      <c r="U12" s="105">
        <v>2419.1999999999998</v>
      </c>
      <c r="V12" s="105">
        <v>5</v>
      </c>
      <c r="W12" s="105">
        <v>3024</v>
      </c>
      <c r="X12" s="105">
        <v>6</v>
      </c>
      <c r="Y12" s="105">
        <v>3628.7999999999997</v>
      </c>
      <c r="Z12" s="105">
        <v>6</v>
      </c>
      <c r="AA12" s="105">
        <v>3628.7999999999997</v>
      </c>
      <c r="AB12" s="105">
        <v>7</v>
      </c>
      <c r="AC12" s="105">
        <v>4233.5999999999995</v>
      </c>
      <c r="AD12" s="105">
        <v>5</v>
      </c>
      <c r="AE12" s="105">
        <v>3024</v>
      </c>
      <c r="AF12" s="105">
        <v>5</v>
      </c>
      <c r="AG12" s="105">
        <v>3024</v>
      </c>
      <c r="AH12" s="105">
        <v>6</v>
      </c>
      <c r="AI12" s="105">
        <v>3628.7999999999997</v>
      </c>
      <c r="AJ12" s="105">
        <v>5</v>
      </c>
      <c r="AK12" s="105">
        <v>3024</v>
      </c>
      <c r="AL12" s="105">
        <v>6</v>
      </c>
      <c r="AM12" s="105">
        <v>3628.7999999999997</v>
      </c>
      <c r="AN12" s="105">
        <v>5</v>
      </c>
      <c r="AO12" s="105">
        <v>3024</v>
      </c>
      <c r="AP12" s="105">
        <v>4</v>
      </c>
      <c r="AQ12" s="105">
        <v>2419.1999999999998</v>
      </c>
      <c r="AR12" s="105">
        <v>7</v>
      </c>
      <c r="AS12" s="105">
        <v>4233.5999999999995</v>
      </c>
      <c r="AT12" s="105">
        <v>7</v>
      </c>
      <c r="AU12" s="105">
        <v>4233.5999999999995</v>
      </c>
      <c r="AV12" s="105">
        <v>6</v>
      </c>
      <c r="AW12" s="105">
        <v>3628.7999999999997</v>
      </c>
      <c r="AX12" s="105">
        <v>5</v>
      </c>
      <c r="AY12" s="105">
        <v>3024</v>
      </c>
      <c r="AZ12" s="105">
        <v>5</v>
      </c>
      <c r="BA12" s="105">
        <v>3024</v>
      </c>
      <c r="BB12" s="105">
        <v>5</v>
      </c>
      <c r="BC12" s="105">
        <v>3024</v>
      </c>
      <c r="BD12" s="105">
        <v>7</v>
      </c>
      <c r="BE12" s="105">
        <v>4233.5999999999995</v>
      </c>
      <c r="BF12" s="105">
        <v>5</v>
      </c>
      <c r="BG12" s="105">
        <v>3024</v>
      </c>
      <c r="BH12" s="105">
        <v>7</v>
      </c>
      <c r="BI12" s="105">
        <v>4233.5999999999995</v>
      </c>
      <c r="BJ12" s="105">
        <v>4</v>
      </c>
      <c r="BK12" s="105">
        <v>2419.1999999999998</v>
      </c>
      <c r="BL12" s="105">
        <v>6</v>
      </c>
      <c r="BM12" s="105">
        <v>3628.7999999999997</v>
      </c>
      <c r="BN12" s="105">
        <v>7</v>
      </c>
      <c r="BO12" s="105">
        <v>4233.5999999999995</v>
      </c>
      <c r="BP12" s="105">
        <v>5</v>
      </c>
      <c r="BQ12" s="105">
        <v>3024</v>
      </c>
      <c r="BR12" s="105">
        <v>8</v>
      </c>
      <c r="BS12" s="105">
        <v>4838.3999999999996</v>
      </c>
      <c r="BT12" s="105">
        <v>7</v>
      </c>
      <c r="BU12" s="105">
        <v>4233.5999999999995</v>
      </c>
      <c r="BV12" s="105">
        <v>8</v>
      </c>
      <c r="BW12" s="105">
        <v>4838.3999999999996</v>
      </c>
      <c r="BX12" s="105">
        <v>7</v>
      </c>
      <c r="BY12" s="105">
        <v>4233.5999999999995</v>
      </c>
      <c r="BZ12" s="105">
        <v>8</v>
      </c>
      <c r="CA12" s="105">
        <v>4838.3999999999996</v>
      </c>
      <c r="CB12" s="105">
        <v>6</v>
      </c>
      <c r="CC12" s="105">
        <v>3628.7999999999997</v>
      </c>
      <c r="CD12" s="105">
        <v>9</v>
      </c>
      <c r="CE12" s="105">
        <v>5443.2</v>
      </c>
      <c r="CF12" s="105">
        <v>6</v>
      </c>
      <c r="CG12" s="105">
        <v>3628.7999999999997</v>
      </c>
      <c r="CH12" s="105">
        <v>7</v>
      </c>
      <c r="CI12" s="105">
        <v>4233.5999999999995</v>
      </c>
      <c r="CJ12" s="105">
        <v>8</v>
      </c>
      <c r="CK12" s="105">
        <v>4838.3999999999996</v>
      </c>
      <c r="CL12" s="105">
        <v>6</v>
      </c>
      <c r="CM12" s="105">
        <v>3628.7999999999997</v>
      </c>
      <c r="CN12" s="105">
        <v>6</v>
      </c>
      <c r="CO12" s="105">
        <v>3628.7999999999997</v>
      </c>
      <c r="CP12" s="105">
        <v>7</v>
      </c>
      <c r="CQ12" s="105">
        <v>4233.5999999999995</v>
      </c>
      <c r="CR12" s="105">
        <v>8</v>
      </c>
      <c r="CS12" s="105">
        <v>4838.3999999999996</v>
      </c>
      <c r="CT12" s="105">
        <v>5</v>
      </c>
      <c r="CU12" s="105">
        <v>3024</v>
      </c>
    </row>
    <row r="13" spans="1:99" x14ac:dyDescent="0.2">
      <c r="C13" s="104" t="s">
        <v>181</v>
      </c>
      <c r="D13" s="105">
        <v>0</v>
      </c>
      <c r="E13" s="105">
        <v>0</v>
      </c>
      <c r="F13" s="105">
        <v>4.9042385681632874</v>
      </c>
      <c r="G13" s="105">
        <v>818.02699316963628</v>
      </c>
      <c r="H13" s="105">
        <v>2.7348342133051746</v>
      </c>
      <c r="I13" s="105">
        <v>456.17034677930309</v>
      </c>
      <c r="J13" s="105">
        <v>4.9662785785671861</v>
      </c>
      <c r="K13" s="105">
        <v>828.37526690500658</v>
      </c>
      <c r="L13" s="105">
        <v>6.2799393638656031</v>
      </c>
      <c r="M13" s="105">
        <v>1047.4938858927826</v>
      </c>
      <c r="N13" s="105">
        <v>5</v>
      </c>
      <c r="O13" s="105">
        <v>833.99999999999989</v>
      </c>
      <c r="P13" s="105">
        <v>5</v>
      </c>
      <c r="Q13" s="105">
        <v>833.99999999999989</v>
      </c>
      <c r="R13" s="105">
        <v>5</v>
      </c>
      <c r="S13" s="105">
        <v>833.99999999999989</v>
      </c>
      <c r="T13" s="105">
        <v>5</v>
      </c>
      <c r="U13" s="105">
        <v>833.99999999999989</v>
      </c>
      <c r="V13" s="105">
        <v>6</v>
      </c>
      <c r="W13" s="105">
        <v>1000.8</v>
      </c>
      <c r="X13" s="105">
        <v>7</v>
      </c>
      <c r="Y13" s="105">
        <v>1167.5999999999999</v>
      </c>
      <c r="Z13" s="105">
        <v>7</v>
      </c>
      <c r="AA13" s="105">
        <v>1167.5999999999999</v>
      </c>
      <c r="AB13" s="105">
        <v>7</v>
      </c>
      <c r="AC13" s="105">
        <v>1167.5999999999999</v>
      </c>
      <c r="AD13" s="105">
        <v>5</v>
      </c>
      <c r="AE13" s="105">
        <v>833.99999999999989</v>
      </c>
      <c r="AF13" s="105">
        <v>6</v>
      </c>
      <c r="AG13" s="105">
        <v>1000.8</v>
      </c>
      <c r="AH13" s="105">
        <v>5</v>
      </c>
      <c r="AI13" s="105">
        <v>833.99999999999989</v>
      </c>
      <c r="AJ13" s="105">
        <v>6</v>
      </c>
      <c r="AK13" s="105">
        <v>1000.8</v>
      </c>
      <c r="AL13" s="105">
        <v>7</v>
      </c>
      <c r="AM13" s="105">
        <v>1167.5999999999999</v>
      </c>
      <c r="AN13" s="105">
        <v>5</v>
      </c>
      <c r="AO13" s="105">
        <v>833.99999999999989</v>
      </c>
      <c r="AP13" s="105">
        <v>4</v>
      </c>
      <c r="AQ13" s="105">
        <v>667.19999999999993</v>
      </c>
      <c r="AR13" s="105">
        <v>7</v>
      </c>
      <c r="AS13" s="105">
        <v>1167.5999999999999</v>
      </c>
      <c r="AT13" s="105">
        <v>8</v>
      </c>
      <c r="AU13" s="105">
        <v>1334.3999999999999</v>
      </c>
      <c r="AV13" s="105">
        <v>6</v>
      </c>
      <c r="AW13" s="105">
        <v>1000.8</v>
      </c>
      <c r="AX13" s="105">
        <v>5</v>
      </c>
      <c r="AY13" s="105">
        <v>833.99999999999989</v>
      </c>
      <c r="AZ13" s="105">
        <v>4</v>
      </c>
      <c r="BA13" s="105">
        <v>667.19999999999993</v>
      </c>
      <c r="BB13" s="105">
        <v>6</v>
      </c>
      <c r="BC13" s="105">
        <v>1000.8</v>
      </c>
      <c r="BD13" s="105">
        <v>7</v>
      </c>
      <c r="BE13" s="105">
        <v>1167.5999999999999</v>
      </c>
      <c r="BF13" s="105">
        <v>5</v>
      </c>
      <c r="BG13" s="105">
        <v>833.99999999999989</v>
      </c>
      <c r="BH13" s="105">
        <v>6</v>
      </c>
      <c r="BI13" s="105">
        <v>1000.8</v>
      </c>
      <c r="BJ13" s="105">
        <v>4</v>
      </c>
      <c r="BK13" s="105">
        <v>667.19999999999993</v>
      </c>
      <c r="BL13" s="105">
        <v>6</v>
      </c>
      <c r="BM13" s="105">
        <v>1000.8</v>
      </c>
      <c r="BN13" s="105">
        <v>8</v>
      </c>
      <c r="BO13" s="105">
        <v>1334.3999999999999</v>
      </c>
      <c r="BP13" s="105">
        <v>5</v>
      </c>
      <c r="BQ13" s="105">
        <v>833.99999999999989</v>
      </c>
      <c r="BR13" s="105">
        <v>9</v>
      </c>
      <c r="BS13" s="105">
        <v>1501.1999999999998</v>
      </c>
      <c r="BT13" s="105">
        <v>7</v>
      </c>
      <c r="BU13" s="105">
        <v>1167.5999999999999</v>
      </c>
      <c r="BV13" s="105">
        <v>7</v>
      </c>
      <c r="BW13" s="105">
        <v>1167.5999999999999</v>
      </c>
      <c r="BX13" s="105">
        <v>7</v>
      </c>
      <c r="BY13" s="105">
        <v>1167.5999999999999</v>
      </c>
      <c r="BZ13" s="105">
        <v>9</v>
      </c>
      <c r="CA13" s="105">
        <v>1501.1999999999998</v>
      </c>
      <c r="CB13" s="105">
        <v>6</v>
      </c>
      <c r="CC13" s="105">
        <v>1000.8</v>
      </c>
      <c r="CD13" s="105">
        <v>9</v>
      </c>
      <c r="CE13" s="105">
        <v>1501.1999999999998</v>
      </c>
      <c r="CF13" s="105">
        <v>7</v>
      </c>
      <c r="CG13" s="105">
        <v>1167.5999999999999</v>
      </c>
      <c r="CH13" s="105">
        <v>7</v>
      </c>
      <c r="CI13" s="105">
        <v>1167.5999999999999</v>
      </c>
      <c r="CJ13" s="105">
        <v>8</v>
      </c>
      <c r="CK13" s="105">
        <v>1334.3999999999999</v>
      </c>
      <c r="CL13" s="105">
        <v>6</v>
      </c>
      <c r="CM13" s="105">
        <v>1000.8</v>
      </c>
      <c r="CN13" s="105">
        <v>6</v>
      </c>
      <c r="CO13" s="105">
        <v>1000.8</v>
      </c>
      <c r="CP13" s="105">
        <v>8</v>
      </c>
      <c r="CQ13" s="105">
        <v>1334.3999999999999</v>
      </c>
      <c r="CR13" s="105">
        <v>9</v>
      </c>
      <c r="CS13" s="105">
        <v>1501.1999999999998</v>
      </c>
      <c r="CT13" s="105">
        <v>6</v>
      </c>
      <c r="CU13" s="105">
        <v>1000.8</v>
      </c>
    </row>
    <row r="14" spans="1:99" x14ac:dyDescent="0.2">
      <c r="C14" s="104" t="s">
        <v>182</v>
      </c>
      <c r="D14" s="105">
        <v>0</v>
      </c>
      <c r="E14" s="105">
        <v>0</v>
      </c>
      <c r="F14" s="105">
        <v>4.9042385681632874</v>
      </c>
      <c r="G14" s="105">
        <v>2448.1958932271132</v>
      </c>
      <c r="H14" s="105">
        <v>3.6464456177402327</v>
      </c>
      <c r="I14" s="105">
        <v>1820.3056523759242</v>
      </c>
      <c r="J14" s="105">
        <v>3.9730228628537492</v>
      </c>
      <c r="K14" s="105">
        <v>1983.3330131365915</v>
      </c>
      <c r="L14" s="105">
        <v>6.2799393638656031</v>
      </c>
      <c r="M14" s="105">
        <v>3134.9457304417092</v>
      </c>
      <c r="N14" s="105">
        <v>5</v>
      </c>
      <c r="O14" s="105">
        <v>2496</v>
      </c>
      <c r="P14" s="105">
        <v>5</v>
      </c>
      <c r="Q14" s="105">
        <v>2496</v>
      </c>
      <c r="R14" s="105">
        <v>5</v>
      </c>
      <c r="S14" s="105">
        <v>2496</v>
      </c>
      <c r="T14" s="105">
        <v>4</v>
      </c>
      <c r="U14" s="105">
        <v>1996.8</v>
      </c>
      <c r="V14" s="105">
        <v>6</v>
      </c>
      <c r="W14" s="105">
        <v>2995.2</v>
      </c>
      <c r="X14" s="105">
        <v>7</v>
      </c>
      <c r="Y14" s="105">
        <v>3494.4</v>
      </c>
      <c r="Z14" s="105">
        <v>7</v>
      </c>
      <c r="AA14" s="105">
        <v>3494.4</v>
      </c>
      <c r="AB14" s="105">
        <v>7</v>
      </c>
      <c r="AC14" s="105">
        <v>3494.4</v>
      </c>
      <c r="AD14" s="105">
        <v>5</v>
      </c>
      <c r="AE14" s="105">
        <v>2496</v>
      </c>
      <c r="AF14" s="105">
        <v>5</v>
      </c>
      <c r="AG14" s="105">
        <v>2496</v>
      </c>
      <c r="AH14" s="105">
        <v>5</v>
      </c>
      <c r="AI14" s="105">
        <v>2496</v>
      </c>
      <c r="AJ14" s="105">
        <v>5</v>
      </c>
      <c r="AK14" s="105">
        <v>2496</v>
      </c>
      <c r="AL14" s="105">
        <v>7</v>
      </c>
      <c r="AM14" s="105">
        <v>3494.4</v>
      </c>
      <c r="AN14" s="105">
        <v>5</v>
      </c>
      <c r="AO14" s="105">
        <v>2496</v>
      </c>
      <c r="AP14" s="105">
        <v>4</v>
      </c>
      <c r="AQ14" s="105">
        <v>1996.8</v>
      </c>
      <c r="AR14" s="105">
        <v>8</v>
      </c>
      <c r="AS14" s="105">
        <v>3993.6</v>
      </c>
      <c r="AT14" s="105">
        <v>8</v>
      </c>
      <c r="AU14" s="105">
        <v>3993.6</v>
      </c>
      <c r="AV14" s="105">
        <v>6</v>
      </c>
      <c r="AW14" s="105">
        <v>2995.2</v>
      </c>
      <c r="AX14" s="105">
        <v>5</v>
      </c>
      <c r="AY14" s="105">
        <v>2496</v>
      </c>
      <c r="AZ14" s="105">
        <v>5</v>
      </c>
      <c r="BA14" s="105">
        <v>2496</v>
      </c>
      <c r="BB14" s="105">
        <v>6</v>
      </c>
      <c r="BC14" s="105">
        <v>2995.2</v>
      </c>
      <c r="BD14" s="105">
        <v>7</v>
      </c>
      <c r="BE14" s="105">
        <v>3494.4</v>
      </c>
      <c r="BF14" s="105">
        <v>5</v>
      </c>
      <c r="BG14" s="105">
        <v>2496</v>
      </c>
      <c r="BH14" s="105">
        <v>7</v>
      </c>
      <c r="BI14" s="105">
        <v>3494.4</v>
      </c>
      <c r="BJ14" s="105">
        <v>4</v>
      </c>
      <c r="BK14" s="105">
        <v>1996.8</v>
      </c>
      <c r="BL14" s="105">
        <v>6</v>
      </c>
      <c r="BM14" s="105">
        <v>2995.2</v>
      </c>
      <c r="BN14" s="105">
        <v>7</v>
      </c>
      <c r="BO14" s="105">
        <v>3494.4</v>
      </c>
      <c r="BP14" s="105">
        <v>5</v>
      </c>
      <c r="BQ14" s="105">
        <v>2496</v>
      </c>
      <c r="BR14" s="105">
        <v>7</v>
      </c>
      <c r="BS14" s="105">
        <v>3494.4</v>
      </c>
      <c r="BT14" s="105">
        <v>7</v>
      </c>
      <c r="BU14" s="105">
        <v>3494.4</v>
      </c>
      <c r="BV14" s="105">
        <v>7</v>
      </c>
      <c r="BW14" s="105">
        <v>3494.4</v>
      </c>
      <c r="BX14" s="105">
        <v>6</v>
      </c>
      <c r="BY14" s="105">
        <v>2995.2</v>
      </c>
      <c r="BZ14" s="105">
        <v>8</v>
      </c>
      <c r="CA14" s="105">
        <v>3993.6</v>
      </c>
      <c r="CB14" s="105">
        <v>6</v>
      </c>
      <c r="CC14" s="105">
        <v>2995.2</v>
      </c>
      <c r="CD14" s="105">
        <v>9</v>
      </c>
      <c r="CE14" s="105">
        <v>4492.8</v>
      </c>
      <c r="CF14" s="105">
        <v>7</v>
      </c>
      <c r="CG14" s="105">
        <v>3494.4</v>
      </c>
      <c r="CH14" s="105">
        <v>7</v>
      </c>
      <c r="CI14" s="105">
        <v>3494.4</v>
      </c>
      <c r="CJ14" s="105">
        <v>7</v>
      </c>
      <c r="CK14" s="105">
        <v>3494.4</v>
      </c>
      <c r="CL14" s="105">
        <v>6</v>
      </c>
      <c r="CM14" s="105">
        <v>2995.2</v>
      </c>
      <c r="CN14" s="105">
        <v>6</v>
      </c>
      <c r="CO14" s="105">
        <v>2995.2</v>
      </c>
      <c r="CP14" s="105">
        <v>7</v>
      </c>
      <c r="CQ14" s="105">
        <v>3494.4</v>
      </c>
      <c r="CR14" s="105">
        <v>8</v>
      </c>
      <c r="CS14" s="105">
        <v>3993.6</v>
      </c>
      <c r="CT14" s="105">
        <v>6</v>
      </c>
      <c r="CU14" s="105">
        <v>2995.2</v>
      </c>
    </row>
    <row r="15" spans="1:99" x14ac:dyDescent="0.2">
      <c r="C15" s="104" t="s">
        <v>183</v>
      </c>
      <c r="D15" s="105">
        <v>0</v>
      </c>
      <c r="E15" s="105">
        <v>0</v>
      </c>
      <c r="F15" s="105">
        <v>4.9042385681632874</v>
      </c>
      <c r="G15" s="105">
        <v>4043.0542755938141</v>
      </c>
      <c r="H15" s="105">
        <v>3.6464456177402327</v>
      </c>
      <c r="I15" s="105">
        <v>3006.1297672650476</v>
      </c>
      <c r="J15" s="105">
        <v>3.9730228628537492</v>
      </c>
      <c r="K15" s="105">
        <v>3275.3600481366307</v>
      </c>
      <c r="L15" s="105">
        <v>7.1770735587035466</v>
      </c>
      <c r="M15" s="105">
        <v>5916.7794417952036</v>
      </c>
      <c r="N15" s="105">
        <v>5</v>
      </c>
      <c r="O15" s="105">
        <v>4122</v>
      </c>
      <c r="P15" s="105">
        <v>5</v>
      </c>
      <c r="Q15" s="105">
        <v>4122</v>
      </c>
      <c r="R15" s="105">
        <v>5</v>
      </c>
      <c r="S15" s="105">
        <v>4122</v>
      </c>
      <c r="T15" s="105">
        <v>4</v>
      </c>
      <c r="U15" s="105">
        <v>3297.6</v>
      </c>
      <c r="V15" s="105">
        <v>5</v>
      </c>
      <c r="W15" s="105">
        <v>4122</v>
      </c>
      <c r="X15" s="105">
        <v>7</v>
      </c>
      <c r="Y15" s="105">
        <v>5770.8</v>
      </c>
      <c r="Z15" s="105">
        <v>7</v>
      </c>
      <c r="AA15" s="105">
        <v>5770.8</v>
      </c>
      <c r="AB15" s="105">
        <v>7</v>
      </c>
      <c r="AC15" s="105">
        <v>5770.8</v>
      </c>
      <c r="AD15" s="105">
        <v>5</v>
      </c>
      <c r="AE15" s="105">
        <v>4122</v>
      </c>
      <c r="AF15" s="105">
        <v>6</v>
      </c>
      <c r="AG15" s="105">
        <v>4946.3999999999996</v>
      </c>
      <c r="AH15" s="105">
        <v>5</v>
      </c>
      <c r="AI15" s="105">
        <v>4122</v>
      </c>
      <c r="AJ15" s="105">
        <v>5</v>
      </c>
      <c r="AK15" s="105">
        <v>4122</v>
      </c>
      <c r="AL15" s="105">
        <v>6</v>
      </c>
      <c r="AM15" s="105">
        <v>4946.3999999999996</v>
      </c>
      <c r="AN15" s="105">
        <v>5</v>
      </c>
      <c r="AO15" s="105">
        <v>4122</v>
      </c>
      <c r="AP15" s="105">
        <v>4</v>
      </c>
      <c r="AQ15" s="105">
        <v>3297.6</v>
      </c>
      <c r="AR15" s="105">
        <v>7</v>
      </c>
      <c r="AS15" s="105">
        <v>5770.8</v>
      </c>
      <c r="AT15" s="105">
        <v>7</v>
      </c>
      <c r="AU15" s="105">
        <v>5770.8</v>
      </c>
      <c r="AV15" s="105">
        <v>6</v>
      </c>
      <c r="AW15" s="105">
        <v>4946.3999999999996</v>
      </c>
      <c r="AX15" s="105">
        <v>5</v>
      </c>
      <c r="AY15" s="105">
        <v>4122</v>
      </c>
      <c r="AZ15" s="105">
        <v>5</v>
      </c>
      <c r="BA15" s="105">
        <v>4122</v>
      </c>
      <c r="BB15" s="105">
        <v>5</v>
      </c>
      <c r="BC15" s="105">
        <v>4122</v>
      </c>
      <c r="BD15" s="105">
        <v>8</v>
      </c>
      <c r="BE15" s="105">
        <v>6595.2</v>
      </c>
      <c r="BF15" s="105">
        <v>5</v>
      </c>
      <c r="BG15" s="105">
        <v>4122</v>
      </c>
      <c r="BH15" s="105">
        <v>6</v>
      </c>
      <c r="BI15" s="105">
        <v>4946.3999999999996</v>
      </c>
      <c r="BJ15" s="105">
        <v>4</v>
      </c>
      <c r="BK15" s="105">
        <v>3297.6</v>
      </c>
      <c r="BL15" s="105">
        <v>6</v>
      </c>
      <c r="BM15" s="105">
        <v>4946.3999999999996</v>
      </c>
      <c r="BN15" s="105">
        <v>7</v>
      </c>
      <c r="BO15" s="105">
        <v>5770.8</v>
      </c>
      <c r="BP15" s="105">
        <v>5</v>
      </c>
      <c r="BQ15" s="105">
        <v>4122</v>
      </c>
      <c r="BR15" s="105">
        <v>7</v>
      </c>
      <c r="BS15" s="105">
        <v>5770.8</v>
      </c>
      <c r="BT15" s="105">
        <v>8</v>
      </c>
      <c r="BU15" s="105">
        <v>6595.2</v>
      </c>
      <c r="BV15" s="105">
        <v>7</v>
      </c>
      <c r="BW15" s="105">
        <v>5770.8</v>
      </c>
      <c r="BX15" s="105">
        <v>7</v>
      </c>
      <c r="BY15" s="105">
        <v>5770.8</v>
      </c>
      <c r="BZ15" s="105">
        <v>9</v>
      </c>
      <c r="CA15" s="105">
        <v>7419.5999999999995</v>
      </c>
      <c r="CB15" s="105">
        <v>6</v>
      </c>
      <c r="CC15" s="105">
        <v>4946.3999999999996</v>
      </c>
      <c r="CD15" s="105">
        <v>9</v>
      </c>
      <c r="CE15" s="105">
        <v>7419.5999999999995</v>
      </c>
      <c r="CF15" s="105">
        <v>7</v>
      </c>
      <c r="CG15" s="105">
        <v>5770.8</v>
      </c>
      <c r="CH15" s="105">
        <v>7</v>
      </c>
      <c r="CI15" s="105">
        <v>5770.8</v>
      </c>
      <c r="CJ15" s="105">
        <v>8</v>
      </c>
      <c r="CK15" s="105">
        <v>6595.2</v>
      </c>
      <c r="CL15" s="105">
        <v>6</v>
      </c>
      <c r="CM15" s="105">
        <v>4946.3999999999996</v>
      </c>
      <c r="CN15" s="105">
        <v>5</v>
      </c>
      <c r="CO15" s="105">
        <v>4122</v>
      </c>
      <c r="CP15" s="105">
        <v>7</v>
      </c>
      <c r="CQ15" s="105">
        <v>5770.8</v>
      </c>
      <c r="CR15" s="105">
        <v>8</v>
      </c>
      <c r="CS15" s="105">
        <v>6595.2</v>
      </c>
      <c r="CT15" s="105">
        <v>6</v>
      </c>
      <c r="CU15" s="105">
        <v>4946.3999999999996</v>
      </c>
    </row>
    <row r="16" spans="1:99" x14ac:dyDescent="0.2">
      <c r="C16" s="104" t="s">
        <v>184</v>
      </c>
      <c r="D16" s="105">
        <v>0</v>
      </c>
      <c r="E16" s="105">
        <v>0</v>
      </c>
      <c r="F16" s="105">
        <v>4.9042385681632874</v>
      </c>
      <c r="G16" s="105">
        <v>2495.27658348148</v>
      </c>
      <c r="H16" s="105">
        <v>3.6464456177402327</v>
      </c>
      <c r="I16" s="105">
        <v>1855.31153030623</v>
      </c>
      <c r="J16" s="105">
        <v>4.9662785785671861</v>
      </c>
      <c r="K16" s="105">
        <v>2526.8425407749837</v>
      </c>
      <c r="L16" s="105">
        <v>6.2799393638656031</v>
      </c>
      <c r="M16" s="105">
        <v>3195.2331483348185</v>
      </c>
      <c r="N16" s="105">
        <v>5</v>
      </c>
      <c r="O16" s="105">
        <v>2543.9999999999995</v>
      </c>
      <c r="P16" s="105">
        <v>5</v>
      </c>
      <c r="Q16" s="105">
        <v>2543.9999999999995</v>
      </c>
      <c r="R16" s="105">
        <v>5</v>
      </c>
      <c r="S16" s="105">
        <v>2543.9999999999995</v>
      </c>
      <c r="T16" s="105">
        <v>4</v>
      </c>
      <c r="U16" s="105">
        <v>2035.1999999999996</v>
      </c>
      <c r="V16" s="105">
        <v>6</v>
      </c>
      <c r="W16" s="105">
        <v>3052.7999999999993</v>
      </c>
      <c r="X16" s="105">
        <v>7</v>
      </c>
      <c r="Y16" s="105">
        <v>3561.5999999999995</v>
      </c>
      <c r="Z16" s="105">
        <v>7</v>
      </c>
      <c r="AA16" s="105">
        <v>3561.5999999999995</v>
      </c>
      <c r="AB16" s="105">
        <v>7</v>
      </c>
      <c r="AC16" s="105">
        <v>3561.5999999999995</v>
      </c>
      <c r="AD16" s="105">
        <v>5</v>
      </c>
      <c r="AE16" s="105">
        <v>2543.9999999999995</v>
      </c>
      <c r="AF16" s="105">
        <v>5</v>
      </c>
      <c r="AG16" s="105">
        <v>2543.9999999999995</v>
      </c>
      <c r="AH16" s="105">
        <v>5</v>
      </c>
      <c r="AI16" s="105">
        <v>2543.9999999999995</v>
      </c>
      <c r="AJ16" s="105">
        <v>6</v>
      </c>
      <c r="AK16" s="105">
        <v>3052.7999999999993</v>
      </c>
      <c r="AL16" s="105">
        <v>7</v>
      </c>
      <c r="AM16" s="105">
        <v>3561.5999999999995</v>
      </c>
      <c r="AN16" s="105">
        <v>5</v>
      </c>
      <c r="AO16" s="105">
        <v>2543.9999999999995</v>
      </c>
      <c r="AP16" s="105">
        <v>4</v>
      </c>
      <c r="AQ16" s="105">
        <v>2035.1999999999996</v>
      </c>
      <c r="AR16" s="105">
        <v>7</v>
      </c>
      <c r="AS16" s="105">
        <v>3561.5999999999995</v>
      </c>
      <c r="AT16" s="105">
        <v>8</v>
      </c>
      <c r="AU16" s="105">
        <v>4070.3999999999992</v>
      </c>
      <c r="AV16" s="105">
        <v>6</v>
      </c>
      <c r="AW16" s="105">
        <v>3052.7999999999993</v>
      </c>
      <c r="AX16" s="105">
        <v>5</v>
      </c>
      <c r="AY16" s="105">
        <v>2543.9999999999995</v>
      </c>
      <c r="AZ16" s="105">
        <v>5</v>
      </c>
      <c r="BA16" s="105">
        <v>2543.9999999999995</v>
      </c>
      <c r="BB16" s="105">
        <v>5</v>
      </c>
      <c r="BC16" s="105">
        <v>2543.9999999999995</v>
      </c>
      <c r="BD16" s="105">
        <v>7</v>
      </c>
      <c r="BE16" s="105">
        <v>3561.5999999999995</v>
      </c>
      <c r="BF16" s="105">
        <v>4</v>
      </c>
      <c r="BG16" s="105">
        <v>2035.1999999999996</v>
      </c>
      <c r="BH16" s="105">
        <v>6</v>
      </c>
      <c r="BI16" s="105">
        <v>3052.7999999999993</v>
      </c>
      <c r="BJ16" s="105">
        <v>5</v>
      </c>
      <c r="BK16" s="105">
        <v>2543.9999999999995</v>
      </c>
      <c r="BL16" s="105">
        <v>6</v>
      </c>
      <c r="BM16" s="105">
        <v>3052.7999999999993</v>
      </c>
      <c r="BN16" s="105">
        <v>8</v>
      </c>
      <c r="BO16" s="105">
        <v>4070.3999999999992</v>
      </c>
      <c r="BP16" s="105">
        <v>5</v>
      </c>
      <c r="BQ16" s="105">
        <v>2543.9999999999995</v>
      </c>
      <c r="BR16" s="105">
        <v>8</v>
      </c>
      <c r="BS16" s="105">
        <v>4070.3999999999992</v>
      </c>
      <c r="BT16" s="105">
        <v>7</v>
      </c>
      <c r="BU16" s="105">
        <v>3561.5999999999995</v>
      </c>
      <c r="BV16" s="105">
        <v>7</v>
      </c>
      <c r="BW16" s="105">
        <v>3561.5999999999995</v>
      </c>
      <c r="BX16" s="105">
        <v>7</v>
      </c>
      <c r="BY16" s="105">
        <v>3561.5999999999995</v>
      </c>
      <c r="BZ16" s="105">
        <v>8</v>
      </c>
      <c r="CA16" s="105">
        <v>4070.3999999999992</v>
      </c>
      <c r="CB16" s="105">
        <v>6</v>
      </c>
      <c r="CC16" s="105">
        <v>3052.7999999999993</v>
      </c>
      <c r="CD16" s="105">
        <v>8</v>
      </c>
      <c r="CE16" s="105">
        <v>4070.3999999999992</v>
      </c>
      <c r="CF16" s="105">
        <v>7</v>
      </c>
      <c r="CG16" s="105">
        <v>3561.5999999999995</v>
      </c>
      <c r="CH16" s="105">
        <v>7</v>
      </c>
      <c r="CI16" s="105">
        <v>3561.5999999999995</v>
      </c>
      <c r="CJ16" s="105">
        <v>8</v>
      </c>
      <c r="CK16" s="105">
        <v>4070.3999999999992</v>
      </c>
      <c r="CL16" s="105">
        <v>6</v>
      </c>
      <c r="CM16" s="105">
        <v>3052.7999999999993</v>
      </c>
      <c r="CN16" s="105">
        <v>6</v>
      </c>
      <c r="CO16" s="105">
        <v>3052.7999999999993</v>
      </c>
      <c r="CP16" s="105">
        <v>8</v>
      </c>
      <c r="CQ16" s="105">
        <v>4070.3999999999992</v>
      </c>
      <c r="CR16" s="105">
        <v>9</v>
      </c>
      <c r="CS16" s="105">
        <v>4579.1999999999989</v>
      </c>
      <c r="CT16" s="105">
        <v>5</v>
      </c>
      <c r="CU16" s="105">
        <v>2543.9999999999995</v>
      </c>
    </row>
    <row r="17" spans="2:99" x14ac:dyDescent="0.2">
      <c r="C17" s="104" t="s">
        <v>185</v>
      </c>
      <c r="D17" s="105">
        <v>0</v>
      </c>
      <c r="E17" s="105">
        <v>0</v>
      </c>
      <c r="F17" s="105">
        <v>4.9042385681632874</v>
      </c>
      <c r="G17" s="105">
        <v>2436.4257206635211</v>
      </c>
      <c r="H17" s="105">
        <v>3.6464456177402327</v>
      </c>
      <c r="I17" s="105">
        <v>1811.5541828933474</v>
      </c>
      <c r="J17" s="105">
        <v>4.9662785785671861</v>
      </c>
      <c r="K17" s="105">
        <v>2467.2471978321778</v>
      </c>
      <c r="L17" s="105">
        <v>6.2799393638656031</v>
      </c>
      <c r="M17" s="105">
        <v>3119.8738759684315</v>
      </c>
      <c r="N17" s="105">
        <v>5</v>
      </c>
      <c r="O17" s="105">
        <v>2484</v>
      </c>
      <c r="P17" s="105">
        <v>5</v>
      </c>
      <c r="Q17" s="105">
        <v>2484</v>
      </c>
      <c r="R17" s="105">
        <v>5</v>
      </c>
      <c r="S17" s="105">
        <v>2484</v>
      </c>
      <c r="T17" s="105">
        <v>4</v>
      </c>
      <c r="U17" s="105">
        <v>1987.1999999999998</v>
      </c>
      <c r="V17" s="105">
        <v>6</v>
      </c>
      <c r="W17" s="105">
        <v>2980.7999999999997</v>
      </c>
      <c r="X17" s="105">
        <v>7</v>
      </c>
      <c r="Y17" s="105">
        <v>3477.5999999999995</v>
      </c>
      <c r="Z17" s="105">
        <v>6</v>
      </c>
      <c r="AA17" s="105">
        <v>2980.7999999999997</v>
      </c>
      <c r="AB17" s="105">
        <v>7</v>
      </c>
      <c r="AC17" s="105">
        <v>3477.5999999999995</v>
      </c>
      <c r="AD17" s="105">
        <v>5</v>
      </c>
      <c r="AE17" s="105">
        <v>2484</v>
      </c>
      <c r="AF17" s="105">
        <v>5</v>
      </c>
      <c r="AG17" s="105">
        <v>2484</v>
      </c>
      <c r="AH17" s="105">
        <v>5</v>
      </c>
      <c r="AI17" s="105">
        <v>2484</v>
      </c>
      <c r="AJ17" s="105">
        <v>6</v>
      </c>
      <c r="AK17" s="105">
        <v>2980.7999999999997</v>
      </c>
      <c r="AL17" s="105">
        <v>7</v>
      </c>
      <c r="AM17" s="105">
        <v>3477.5999999999995</v>
      </c>
      <c r="AN17" s="105">
        <v>5</v>
      </c>
      <c r="AO17" s="105">
        <v>2484</v>
      </c>
      <c r="AP17" s="105">
        <v>4</v>
      </c>
      <c r="AQ17" s="105">
        <v>1987.1999999999998</v>
      </c>
      <c r="AR17" s="105">
        <v>8</v>
      </c>
      <c r="AS17" s="105">
        <v>3974.3999999999996</v>
      </c>
      <c r="AT17" s="105">
        <v>7</v>
      </c>
      <c r="AU17" s="105">
        <v>3477.5999999999995</v>
      </c>
      <c r="AV17" s="105">
        <v>6</v>
      </c>
      <c r="AW17" s="105">
        <v>2980.7999999999997</v>
      </c>
      <c r="AX17" s="105">
        <v>5</v>
      </c>
      <c r="AY17" s="105">
        <v>2484</v>
      </c>
      <c r="AZ17" s="105">
        <v>4</v>
      </c>
      <c r="BA17" s="105">
        <v>1987.1999999999998</v>
      </c>
      <c r="BB17" s="105">
        <v>5</v>
      </c>
      <c r="BC17" s="105">
        <v>2484</v>
      </c>
      <c r="BD17" s="105">
        <v>7</v>
      </c>
      <c r="BE17" s="105">
        <v>3477.5999999999995</v>
      </c>
      <c r="BF17" s="105">
        <v>5</v>
      </c>
      <c r="BG17" s="105">
        <v>2484</v>
      </c>
      <c r="BH17" s="105">
        <v>6</v>
      </c>
      <c r="BI17" s="105">
        <v>2980.7999999999997</v>
      </c>
      <c r="BJ17" s="105">
        <v>4</v>
      </c>
      <c r="BK17" s="105">
        <v>1987.1999999999998</v>
      </c>
      <c r="BL17" s="105">
        <v>6</v>
      </c>
      <c r="BM17" s="105">
        <v>2980.7999999999997</v>
      </c>
      <c r="BN17" s="105">
        <v>8</v>
      </c>
      <c r="BO17" s="105">
        <v>3974.3999999999996</v>
      </c>
      <c r="BP17" s="105">
        <v>6</v>
      </c>
      <c r="BQ17" s="105">
        <v>2980.7999999999997</v>
      </c>
      <c r="BR17" s="105">
        <v>8</v>
      </c>
      <c r="BS17" s="105">
        <v>3974.3999999999996</v>
      </c>
      <c r="BT17" s="105">
        <v>7</v>
      </c>
      <c r="BU17" s="105">
        <v>3477.5999999999995</v>
      </c>
      <c r="BV17" s="105">
        <v>7</v>
      </c>
      <c r="BW17" s="105">
        <v>3477.5999999999995</v>
      </c>
      <c r="BX17" s="105">
        <v>7</v>
      </c>
      <c r="BY17" s="105">
        <v>3477.5999999999995</v>
      </c>
      <c r="BZ17" s="105">
        <v>9</v>
      </c>
      <c r="CA17" s="105">
        <v>4471.2</v>
      </c>
      <c r="CB17" s="105">
        <v>6</v>
      </c>
      <c r="CC17" s="105">
        <v>2980.7999999999997</v>
      </c>
      <c r="CD17" s="105">
        <v>8</v>
      </c>
      <c r="CE17" s="105">
        <v>3974.3999999999996</v>
      </c>
      <c r="CF17" s="105">
        <v>7</v>
      </c>
      <c r="CG17" s="105">
        <v>3477.5999999999995</v>
      </c>
      <c r="CH17" s="105">
        <v>8</v>
      </c>
      <c r="CI17" s="105">
        <v>3974.3999999999996</v>
      </c>
      <c r="CJ17" s="105">
        <v>7</v>
      </c>
      <c r="CK17" s="105">
        <v>3477.5999999999995</v>
      </c>
      <c r="CL17" s="105">
        <v>6</v>
      </c>
      <c r="CM17" s="105">
        <v>2980.7999999999997</v>
      </c>
      <c r="CN17" s="105">
        <v>6</v>
      </c>
      <c r="CO17" s="105">
        <v>2980.7999999999997</v>
      </c>
      <c r="CP17" s="105">
        <v>7</v>
      </c>
      <c r="CQ17" s="105">
        <v>3477.5999999999995</v>
      </c>
      <c r="CR17" s="105">
        <v>9</v>
      </c>
      <c r="CS17" s="105">
        <v>4471.2</v>
      </c>
      <c r="CT17" s="105">
        <v>6</v>
      </c>
      <c r="CU17" s="105">
        <v>2980.7999999999997</v>
      </c>
    </row>
    <row r="18" spans="2:99" x14ac:dyDescent="0.2">
      <c r="C18" s="104" t="s">
        <v>186</v>
      </c>
      <c r="D18" s="105">
        <v>0</v>
      </c>
      <c r="E18" s="105">
        <v>0</v>
      </c>
      <c r="F18" s="105">
        <v>4.9042385681632874</v>
      </c>
      <c r="G18" s="105">
        <v>3584.0175456137304</v>
      </c>
      <c r="H18" s="105">
        <v>3.6464456177402327</v>
      </c>
      <c r="I18" s="105">
        <v>2664.8224574445617</v>
      </c>
      <c r="J18" s="105">
        <v>4.9662785785671861</v>
      </c>
      <c r="K18" s="105">
        <v>3629.3563852168995</v>
      </c>
      <c r="L18" s="105">
        <v>5.3828051690276606</v>
      </c>
      <c r="M18" s="105">
        <v>3933.7540175254139</v>
      </c>
      <c r="N18" s="105">
        <v>5</v>
      </c>
      <c r="O18" s="105">
        <v>3654</v>
      </c>
      <c r="P18" s="105">
        <v>5</v>
      </c>
      <c r="Q18" s="105">
        <v>3654</v>
      </c>
      <c r="R18" s="105">
        <v>5</v>
      </c>
      <c r="S18" s="105">
        <v>3654</v>
      </c>
      <c r="T18" s="105">
        <v>4</v>
      </c>
      <c r="U18" s="105">
        <v>2923.2</v>
      </c>
      <c r="V18" s="105">
        <v>6</v>
      </c>
      <c r="W18" s="105">
        <v>4384.7999999999993</v>
      </c>
      <c r="X18" s="105">
        <v>6</v>
      </c>
      <c r="Y18" s="105">
        <v>4384.7999999999993</v>
      </c>
      <c r="Z18" s="105">
        <v>6</v>
      </c>
      <c r="AA18" s="105">
        <v>4384.7999999999993</v>
      </c>
      <c r="AB18" s="105">
        <v>6</v>
      </c>
      <c r="AC18" s="105">
        <v>4384.7999999999993</v>
      </c>
      <c r="AD18" s="105">
        <v>5</v>
      </c>
      <c r="AE18" s="105">
        <v>3654</v>
      </c>
      <c r="AF18" s="105">
        <v>5</v>
      </c>
      <c r="AG18" s="105">
        <v>3654</v>
      </c>
      <c r="AH18" s="105">
        <v>5</v>
      </c>
      <c r="AI18" s="105">
        <v>3654</v>
      </c>
      <c r="AJ18" s="105">
        <v>6</v>
      </c>
      <c r="AK18" s="105">
        <v>4384.7999999999993</v>
      </c>
      <c r="AL18" s="105">
        <v>6</v>
      </c>
      <c r="AM18" s="105">
        <v>4384.7999999999993</v>
      </c>
      <c r="AN18" s="105">
        <v>5</v>
      </c>
      <c r="AO18" s="105">
        <v>3654</v>
      </c>
      <c r="AP18" s="105">
        <v>4</v>
      </c>
      <c r="AQ18" s="105">
        <v>2923.2</v>
      </c>
      <c r="AR18" s="105">
        <v>8</v>
      </c>
      <c r="AS18" s="105">
        <v>5846.4</v>
      </c>
      <c r="AT18" s="105">
        <v>7</v>
      </c>
      <c r="AU18" s="105">
        <v>5115.5999999999995</v>
      </c>
      <c r="AV18" s="105">
        <v>6</v>
      </c>
      <c r="AW18" s="105">
        <v>4384.7999999999993</v>
      </c>
      <c r="AX18" s="105">
        <v>5</v>
      </c>
      <c r="AY18" s="105">
        <v>3654</v>
      </c>
      <c r="AZ18" s="105">
        <v>4</v>
      </c>
      <c r="BA18" s="105">
        <v>2923.2</v>
      </c>
      <c r="BB18" s="105">
        <v>5</v>
      </c>
      <c r="BC18" s="105">
        <v>3654</v>
      </c>
      <c r="BD18" s="105">
        <v>7</v>
      </c>
      <c r="BE18" s="105">
        <v>5115.5999999999995</v>
      </c>
      <c r="BF18" s="105">
        <v>5</v>
      </c>
      <c r="BG18" s="105">
        <v>3654</v>
      </c>
      <c r="BH18" s="105">
        <v>6</v>
      </c>
      <c r="BI18" s="105">
        <v>4384.7999999999993</v>
      </c>
      <c r="BJ18" s="105">
        <v>4</v>
      </c>
      <c r="BK18" s="105">
        <v>2923.2</v>
      </c>
      <c r="BL18" s="105">
        <v>6</v>
      </c>
      <c r="BM18" s="105">
        <v>4384.7999999999993</v>
      </c>
      <c r="BN18" s="105">
        <v>8</v>
      </c>
      <c r="BO18" s="105">
        <v>5846.4</v>
      </c>
      <c r="BP18" s="105">
        <v>5</v>
      </c>
      <c r="BQ18" s="105">
        <v>3654</v>
      </c>
      <c r="BR18" s="105">
        <v>8</v>
      </c>
      <c r="BS18" s="105">
        <v>5846.4</v>
      </c>
      <c r="BT18" s="105">
        <v>7</v>
      </c>
      <c r="BU18" s="105">
        <v>5115.5999999999995</v>
      </c>
      <c r="BV18" s="105">
        <v>7</v>
      </c>
      <c r="BW18" s="105">
        <v>5115.5999999999995</v>
      </c>
      <c r="BX18" s="105">
        <v>6</v>
      </c>
      <c r="BY18" s="105">
        <v>4384.7999999999993</v>
      </c>
      <c r="BZ18" s="105">
        <v>8</v>
      </c>
      <c r="CA18" s="105">
        <v>5846.4</v>
      </c>
      <c r="CB18" s="105">
        <v>5</v>
      </c>
      <c r="CC18" s="105">
        <v>3654</v>
      </c>
      <c r="CD18" s="105">
        <v>9</v>
      </c>
      <c r="CE18" s="105">
        <v>6577.2</v>
      </c>
      <c r="CF18" s="105">
        <v>7</v>
      </c>
      <c r="CG18" s="105">
        <v>5115.5999999999995</v>
      </c>
      <c r="CH18" s="105">
        <v>8</v>
      </c>
      <c r="CI18" s="105">
        <v>5846.4</v>
      </c>
      <c r="CJ18" s="105">
        <v>8</v>
      </c>
      <c r="CK18" s="105">
        <v>5846.4</v>
      </c>
      <c r="CL18" s="105">
        <v>5</v>
      </c>
      <c r="CM18" s="105">
        <v>3654</v>
      </c>
      <c r="CN18" s="105">
        <v>6</v>
      </c>
      <c r="CO18" s="105">
        <v>4384.7999999999993</v>
      </c>
      <c r="CP18" s="105">
        <v>7</v>
      </c>
      <c r="CQ18" s="105">
        <v>5115.5999999999995</v>
      </c>
      <c r="CR18" s="105">
        <v>9</v>
      </c>
      <c r="CS18" s="105">
        <v>6577.2</v>
      </c>
      <c r="CT18" s="105">
        <v>6</v>
      </c>
      <c r="CU18" s="105">
        <v>4384.7999999999993</v>
      </c>
    </row>
    <row r="19" spans="2:99" x14ac:dyDescent="0.2">
      <c r="C19" s="104" t="s">
        <v>187</v>
      </c>
      <c r="D19" s="105">
        <v>0</v>
      </c>
      <c r="E19" s="105">
        <v>0</v>
      </c>
      <c r="F19" s="105">
        <v>4.9042385681632874</v>
      </c>
      <c r="G19" s="105">
        <v>1894.9977827382941</v>
      </c>
      <c r="H19" s="105">
        <v>3.6464456177402327</v>
      </c>
      <c r="I19" s="105">
        <v>1408.9865866948257</v>
      </c>
      <c r="J19" s="105">
        <v>4.9662785785671861</v>
      </c>
      <c r="K19" s="105">
        <v>1918.9700427583607</v>
      </c>
      <c r="L19" s="105">
        <v>5.3828051690276606</v>
      </c>
      <c r="M19" s="105">
        <v>2079.915917312288</v>
      </c>
      <c r="N19" s="105">
        <v>5</v>
      </c>
      <c r="O19" s="105">
        <v>1932</v>
      </c>
      <c r="P19" s="105">
        <v>5</v>
      </c>
      <c r="Q19" s="105">
        <v>1932</v>
      </c>
      <c r="R19" s="105">
        <v>5</v>
      </c>
      <c r="S19" s="105">
        <v>1932</v>
      </c>
      <c r="T19" s="105">
        <v>4</v>
      </c>
      <c r="U19" s="105">
        <v>1545.6</v>
      </c>
      <c r="V19" s="105">
        <v>6</v>
      </c>
      <c r="W19" s="105">
        <v>2318.3999999999996</v>
      </c>
      <c r="X19" s="105">
        <v>6</v>
      </c>
      <c r="Y19" s="105">
        <v>2318.3999999999996</v>
      </c>
      <c r="Z19" s="105">
        <v>7</v>
      </c>
      <c r="AA19" s="105">
        <v>2704.7999999999997</v>
      </c>
      <c r="AB19" s="105">
        <v>6</v>
      </c>
      <c r="AC19" s="105">
        <v>2318.3999999999996</v>
      </c>
      <c r="AD19" s="105">
        <v>4</v>
      </c>
      <c r="AE19" s="105">
        <v>1545.6</v>
      </c>
      <c r="AF19" s="105">
        <v>5</v>
      </c>
      <c r="AG19" s="105">
        <v>1932</v>
      </c>
      <c r="AH19" s="105">
        <v>5</v>
      </c>
      <c r="AI19" s="105">
        <v>1932</v>
      </c>
      <c r="AJ19" s="105">
        <v>5</v>
      </c>
      <c r="AK19" s="105">
        <v>1932</v>
      </c>
      <c r="AL19" s="105">
        <v>6</v>
      </c>
      <c r="AM19" s="105">
        <v>2318.3999999999996</v>
      </c>
      <c r="AN19" s="105">
        <v>5</v>
      </c>
      <c r="AO19" s="105">
        <v>1932</v>
      </c>
      <c r="AP19" s="105">
        <v>4</v>
      </c>
      <c r="AQ19" s="105">
        <v>1545.6</v>
      </c>
      <c r="AR19" s="105">
        <v>7</v>
      </c>
      <c r="AS19" s="105">
        <v>2704.7999999999997</v>
      </c>
      <c r="AT19" s="105">
        <v>7</v>
      </c>
      <c r="AU19" s="105">
        <v>2704.7999999999997</v>
      </c>
      <c r="AV19" s="105">
        <v>7</v>
      </c>
      <c r="AW19" s="105">
        <v>2704.7999999999997</v>
      </c>
      <c r="AX19" s="105">
        <v>5</v>
      </c>
      <c r="AY19" s="105">
        <v>1932</v>
      </c>
      <c r="AZ19" s="105">
        <v>5</v>
      </c>
      <c r="BA19" s="105">
        <v>1932</v>
      </c>
      <c r="BB19" s="105">
        <v>5</v>
      </c>
      <c r="BC19" s="105">
        <v>1932</v>
      </c>
      <c r="BD19" s="105">
        <v>7</v>
      </c>
      <c r="BE19" s="105">
        <v>2704.7999999999997</v>
      </c>
      <c r="BF19" s="105">
        <v>5</v>
      </c>
      <c r="BG19" s="105">
        <v>1932</v>
      </c>
      <c r="BH19" s="105">
        <v>7</v>
      </c>
      <c r="BI19" s="105">
        <v>2704.7999999999997</v>
      </c>
      <c r="BJ19" s="105">
        <v>4</v>
      </c>
      <c r="BK19" s="105">
        <v>1545.6</v>
      </c>
      <c r="BL19" s="105">
        <v>6</v>
      </c>
      <c r="BM19" s="105">
        <v>2318.3999999999996</v>
      </c>
      <c r="BN19" s="105">
        <v>8</v>
      </c>
      <c r="BO19" s="105">
        <v>3091.2</v>
      </c>
      <c r="BP19" s="105">
        <v>5</v>
      </c>
      <c r="BQ19" s="105">
        <v>1932</v>
      </c>
      <c r="BR19" s="105">
        <v>7</v>
      </c>
      <c r="BS19" s="105">
        <v>2704.7999999999997</v>
      </c>
      <c r="BT19" s="105">
        <v>7</v>
      </c>
      <c r="BU19" s="105">
        <v>2704.7999999999997</v>
      </c>
      <c r="BV19" s="105">
        <v>8</v>
      </c>
      <c r="BW19" s="105">
        <v>3091.2</v>
      </c>
      <c r="BX19" s="105">
        <v>6</v>
      </c>
      <c r="BY19" s="105">
        <v>2318.3999999999996</v>
      </c>
      <c r="BZ19" s="105">
        <v>8</v>
      </c>
      <c r="CA19" s="105">
        <v>3091.2</v>
      </c>
      <c r="CB19" s="105">
        <v>6</v>
      </c>
      <c r="CC19" s="105">
        <v>2318.3999999999996</v>
      </c>
      <c r="CD19" s="105">
        <v>9</v>
      </c>
      <c r="CE19" s="105">
        <v>3477.6</v>
      </c>
      <c r="CF19" s="105">
        <v>6</v>
      </c>
      <c r="CG19" s="105">
        <v>2318.3999999999996</v>
      </c>
      <c r="CH19" s="105">
        <v>8</v>
      </c>
      <c r="CI19" s="105">
        <v>3091.2</v>
      </c>
      <c r="CJ19" s="105">
        <v>8</v>
      </c>
      <c r="CK19" s="105">
        <v>3091.2</v>
      </c>
      <c r="CL19" s="105">
        <v>6</v>
      </c>
      <c r="CM19" s="105">
        <v>2318.3999999999996</v>
      </c>
      <c r="CN19" s="105">
        <v>6</v>
      </c>
      <c r="CO19" s="105">
        <v>2318.3999999999996</v>
      </c>
      <c r="CP19" s="105">
        <v>8</v>
      </c>
      <c r="CQ19" s="105">
        <v>3091.2</v>
      </c>
      <c r="CR19" s="105">
        <v>9</v>
      </c>
      <c r="CS19" s="105">
        <v>3477.6</v>
      </c>
      <c r="CT19" s="105">
        <v>6</v>
      </c>
      <c r="CU19" s="105">
        <v>2318.3999999999996</v>
      </c>
    </row>
    <row r="20" spans="2:99" x14ac:dyDescent="0.2">
      <c r="B20" s="104" t="s">
        <v>127</v>
      </c>
      <c r="C20" s="104" t="s">
        <v>188</v>
      </c>
      <c r="D20" s="105">
        <v>0</v>
      </c>
      <c r="E20" s="105">
        <v>0</v>
      </c>
      <c r="F20" s="105">
        <v>5.8850862817959451</v>
      </c>
      <c r="G20" s="105">
        <v>564.9682830524107</v>
      </c>
      <c r="H20" s="105">
        <v>9.1161140443505815</v>
      </c>
      <c r="I20" s="105">
        <v>875.14694825765582</v>
      </c>
      <c r="J20" s="105">
        <v>11.919068588561247</v>
      </c>
      <c r="K20" s="105">
        <v>1144.2305845018798</v>
      </c>
      <c r="L20" s="105">
        <v>8.9713419483794326</v>
      </c>
      <c r="M20" s="105">
        <v>861.24882704442552</v>
      </c>
      <c r="N20" s="105">
        <v>6</v>
      </c>
      <c r="O20" s="105">
        <v>576</v>
      </c>
      <c r="P20" s="105">
        <v>7</v>
      </c>
      <c r="Q20" s="105">
        <v>672</v>
      </c>
      <c r="R20" s="105">
        <v>7</v>
      </c>
      <c r="S20" s="105">
        <v>672</v>
      </c>
      <c r="T20" s="105">
        <v>6</v>
      </c>
      <c r="U20" s="105">
        <v>576</v>
      </c>
      <c r="V20" s="105">
        <v>8</v>
      </c>
      <c r="W20" s="105">
        <v>768</v>
      </c>
      <c r="X20" s="105">
        <v>9</v>
      </c>
      <c r="Y20" s="105">
        <v>864</v>
      </c>
      <c r="Z20" s="105">
        <v>10</v>
      </c>
      <c r="AA20" s="105">
        <v>960</v>
      </c>
      <c r="AB20" s="105">
        <v>9</v>
      </c>
      <c r="AC20" s="105">
        <v>864</v>
      </c>
      <c r="AD20" s="105">
        <v>9</v>
      </c>
      <c r="AE20" s="105">
        <v>864</v>
      </c>
      <c r="AF20" s="105">
        <v>8</v>
      </c>
      <c r="AG20" s="105">
        <v>768</v>
      </c>
      <c r="AH20" s="105">
        <v>8</v>
      </c>
      <c r="AI20" s="105">
        <v>768</v>
      </c>
      <c r="AJ20" s="105">
        <v>10</v>
      </c>
      <c r="AK20" s="105">
        <v>960</v>
      </c>
      <c r="AL20" s="105">
        <v>9</v>
      </c>
      <c r="AM20" s="105">
        <v>864</v>
      </c>
      <c r="AN20" s="105">
        <v>7</v>
      </c>
      <c r="AO20" s="105">
        <v>672</v>
      </c>
      <c r="AP20" s="105">
        <v>13</v>
      </c>
      <c r="AQ20" s="105">
        <v>1248</v>
      </c>
      <c r="AR20" s="105">
        <v>8</v>
      </c>
      <c r="AS20" s="105">
        <v>768</v>
      </c>
      <c r="AT20" s="105">
        <v>11</v>
      </c>
      <c r="AU20" s="105">
        <v>1056</v>
      </c>
      <c r="AV20" s="105">
        <v>8</v>
      </c>
      <c r="AW20" s="105">
        <v>768</v>
      </c>
      <c r="AX20" s="105">
        <v>11</v>
      </c>
      <c r="AY20" s="105">
        <v>1056</v>
      </c>
      <c r="AZ20" s="105">
        <v>12</v>
      </c>
      <c r="BA20" s="105">
        <v>1152</v>
      </c>
      <c r="BB20" s="105">
        <v>12</v>
      </c>
      <c r="BC20" s="105">
        <v>1152</v>
      </c>
      <c r="BD20" s="105">
        <v>13</v>
      </c>
      <c r="BE20" s="105">
        <v>1248</v>
      </c>
      <c r="BF20" s="105">
        <v>6</v>
      </c>
      <c r="BG20" s="105">
        <v>576</v>
      </c>
      <c r="BH20" s="105">
        <v>10</v>
      </c>
      <c r="BI20" s="105">
        <v>960</v>
      </c>
      <c r="BJ20" s="105">
        <v>11</v>
      </c>
      <c r="BK20" s="105">
        <v>1056</v>
      </c>
      <c r="BL20" s="105">
        <v>7</v>
      </c>
      <c r="BM20" s="105">
        <v>672</v>
      </c>
      <c r="BN20" s="105">
        <v>10</v>
      </c>
      <c r="BO20" s="105">
        <v>960</v>
      </c>
      <c r="BP20" s="105">
        <v>7</v>
      </c>
      <c r="BQ20" s="105">
        <v>672</v>
      </c>
      <c r="BR20" s="105">
        <v>10</v>
      </c>
      <c r="BS20" s="105">
        <v>960</v>
      </c>
      <c r="BT20" s="105">
        <v>12</v>
      </c>
      <c r="BU20" s="105">
        <v>1152</v>
      </c>
      <c r="BV20" s="105">
        <v>7</v>
      </c>
      <c r="BW20" s="105">
        <v>672</v>
      </c>
      <c r="BX20" s="105">
        <v>9</v>
      </c>
      <c r="BY20" s="105">
        <v>864</v>
      </c>
      <c r="BZ20" s="105">
        <v>7</v>
      </c>
      <c r="CA20" s="105">
        <v>672</v>
      </c>
      <c r="CB20" s="105">
        <v>7</v>
      </c>
      <c r="CC20" s="105">
        <v>672</v>
      </c>
      <c r="CD20" s="105">
        <v>9</v>
      </c>
      <c r="CE20" s="105">
        <v>864</v>
      </c>
      <c r="CF20" s="105">
        <v>7</v>
      </c>
      <c r="CG20" s="105">
        <v>672</v>
      </c>
      <c r="CH20" s="105">
        <v>13</v>
      </c>
      <c r="CI20" s="105">
        <v>1248</v>
      </c>
      <c r="CJ20" s="105">
        <v>7</v>
      </c>
      <c r="CK20" s="105">
        <v>672</v>
      </c>
      <c r="CL20" s="105">
        <v>8</v>
      </c>
      <c r="CM20" s="105">
        <v>768</v>
      </c>
      <c r="CN20" s="105">
        <v>11</v>
      </c>
      <c r="CO20" s="105">
        <v>1056</v>
      </c>
      <c r="CP20" s="105">
        <v>13</v>
      </c>
      <c r="CQ20" s="105">
        <v>1248</v>
      </c>
      <c r="CR20" s="105">
        <v>13</v>
      </c>
      <c r="CS20" s="105">
        <v>1248</v>
      </c>
      <c r="CT20" s="105">
        <v>7</v>
      </c>
      <c r="CU20" s="105">
        <v>672</v>
      </c>
    </row>
    <row r="21" spans="2:99" x14ac:dyDescent="0.2">
      <c r="C21" s="104" t="s">
        <v>189</v>
      </c>
      <c r="D21" s="105">
        <v>0</v>
      </c>
      <c r="E21" s="105">
        <v>0</v>
      </c>
      <c r="F21" s="105">
        <v>5.8850862817959451</v>
      </c>
      <c r="G21" s="105">
        <v>1426.5449147073371</v>
      </c>
      <c r="H21" s="105">
        <v>9.1161140443505815</v>
      </c>
      <c r="I21" s="105">
        <v>2209.7460443505806</v>
      </c>
      <c r="J21" s="105">
        <v>9.9325571571343723</v>
      </c>
      <c r="K21" s="105">
        <v>2407.6518548893714</v>
      </c>
      <c r="L21" s="105">
        <v>9.8684761432173769</v>
      </c>
      <c r="M21" s="105">
        <v>2392.118617115892</v>
      </c>
      <c r="N21" s="105">
        <v>5</v>
      </c>
      <c r="O21" s="105">
        <v>1212</v>
      </c>
      <c r="P21" s="105">
        <v>7</v>
      </c>
      <c r="Q21" s="105">
        <v>1696.7999999999997</v>
      </c>
      <c r="R21" s="105">
        <v>8</v>
      </c>
      <c r="S21" s="105">
        <v>1939.1999999999998</v>
      </c>
      <c r="T21" s="105">
        <v>7</v>
      </c>
      <c r="U21" s="105">
        <v>1696.7999999999997</v>
      </c>
      <c r="V21" s="105">
        <v>7</v>
      </c>
      <c r="W21" s="105">
        <v>1696.7999999999997</v>
      </c>
      <c r="X21" s="105">
        <v>8</v>
      </c>
      <c r="Y21" s="105">
        <v>1939.1999999999998</v>
      </c>
      <c r="Z21" s="105">
        <v>9</v>
      </c>
      <c r="AA21" s="105">
        <v>2181.6</v>
      </c>
      <c r="AB21" s="105">
        <v>7</v>
      </c>
      <c r="AC21" s="105">
        <v>1696.7999999999997</v>
      </c>
      <c r="AD21" s="105">
        <v>7</v>
      </c>
      <c r="AE21" s="105">
        <v>1696.7999999999997</v>
      </c>
      <c r="AF21" s="105">
        <v>7</v>
      </c>
      <c r="AG21" s="105">
        <v>1696.7999999999997</v>
      </c>
      <c r="AH21" s="105">
        <v>8</v>
      </c>
      <c r="AI21" s="105">
        <v>1939.1999999999998</v>
      </c>
      <c r="AJ21" s="105">
        <v>10</v>
      </c>
      <c r="AK21" s="105">
        <v>2424</v>
      </c>
      <c r="AL21" s="105">
        <v>10</v>
      </c>
      <c r="AM21" s="105">
        <v>2424</v>
      </c>
      <c r="AN21" s="105">
        <v>7</v>
      </c>
      <c r="AO21" s="105">
        <v>1696.7999999999997</v>
      </c>
      <c r="AP21" s="105">
        <v>12</v>
      </c>
      <c r="AQ21" s="105">
        <v>2908.7999999999997</v>
      </c>
      <c r="AR21" s="105">
        <v>8</v>
      </c>
      <c r="AS21" s="105">
        <v>1939.1999999999998</v>
      </c>
      <c r="AT21" s="105">
        <v>10</v>
      </c>
      <c r="AU21" s="105">
        <v>2424</v>
      </c>
      <c r="AV21" s="105">
        <v>8</v>
      </c>
      <c r="AW21" s="105">
        <v>1939.1999999999998</v>
      </c>
      <c r="AX21" s="105">
        <v>12</v>
      </c>
      <c r="AY21" s="105">
        <v>2908.7999999999997</v>
      </c>
      <c r="AZ21" s="105">
        <v>12</v>
      </c>
      <c r="BA21" s="105">
        <v>2908.7999999999997</v>
      </c>
      <c r="BB21" s="105">
        <v>12</v>
      </c>
      <c r="BC21" s="105">
        <v>2908.7999999999997</v>
      </c>
      <c r="BD21" s="105">
        <v>13</v>
      </c>
      <c r="BE21" s="105">
        <v>3151.2</v>
      </c>
      <c r="BF21" s="105">
        <v>6</v>
      </c>
      <c r="BG21" s="105">
        <v>1454.3999999999999</v>
      </c>
      <c r="BH21" s="105">
        <v>11</v>
      </c>
      <c r="BI21" s="105">
        <v>2666.3999999999996</v>
      </c>
      <c r="BJ21" s="105">
        <v>9</v>
      </c>
      <c r="BK21" s="105">
        <v>2181.6</v>
      </c>
      <c r="BL21" s="105">
        <v>7</v>
      </c>
      <c r="BM21" s="105">
        <v>1696.7999999999997</v>
      </c>
      <c r="BN21" s="105">
        <v>10</v>
      </c>
      <c r="BO21" s="105">
        <v>2424</v>
      </c>
      <c r="BP21" s="105">
        <v>7</v>
      </c>
      <c r="BQ21" s="105">
        <v>1696.7999999999997</v>
      </c>
      <c r="BR21" s="105">
        <v>9</v>
      </c>
      <c r="BS21" s="105">
        <v>2181.6</v>
      </c>
      <c r="BT21" s="105">
        <v>11</v>
      </c>
      <c r="BU21" s="105">
        <v>2666.3999999999996</v>
      </c>
      <c r="BV21" s="105">
        <v>7</v>
      </c>
      <c r="BW21" s="105">
        <v>1696.7999999999997</v>
      </c>
      <c r="BX21" s="105">
        <v>8</v>
      </c>
      <c r="BY21" s="105">
        <v>1939.1999999999998</v>
      </c>
      <c r="BZ21" s="105">
        <v>6</v>
      </c>
      <c r="CA21" s="105">
        <v>1454.3999999999999</v>
      </c>
      <c r="CB21" s="105">
        <v>6</v>
      </c>
      <c r="CC21" s="105">
        <v>1454.3999999999999</v>
      </c>
      <c r="CD21" s="105">
        <v>8</v>
      </c>
      <c r="CE21" s="105">
        <v>1939.1999999999998</v>
      </c>
      <c r="CF21" s="105">
        <v>7</v>
      </c>
      <c r="CG21" s="105">
        <v>1696.7999999999997</v>
      </c>
      <c r="CH21" s="105">
        <v>12</v>
      </c>
      <c r="CI21" s="105">
        <v>2908.7999999999997</v>
      </c>
      <c r="CJ21" s="105">
        <v>8</v>
      </c>
      <c r="CK21" s="105">
        <v>1939.1999999999998</v>
      </c>
      <c r="CL21" s="105">
        <v>8</v>
      </c>
      <c r="CM21" s="105">
        <v>1939.1999999999998</v>
      </c>
      <c r="CN21" s="105">
        <v>10</v>
      </c>
      <c r="CO21" s="105">
        <v>2424</v>
      </c>
      <c r="CP21" s="105">
        <v>13</v>
      </c>
      <c r="CQ21" s="105">
        <v>3151.2</v>
      </c>
      <c r="CR21" s="105">
        <v>13</v>
      </c>
      <c r="CS21" s="105">
        <v>3151.2</v>
      </c>
      <c r="CT21" s="105">
        <v>8</v>
      </c>
      <c r="CU21" s="105">
        <v>1939.1999999999998</v>
      </c>
    </row>
    <row r="22" spans="2:99" x14ac:dyDescent="0.2">
      <c r="C22" s="104" t="s">
        <v>190</v>
      </c>
      <c r="D22" s="105">
        <v>0</v>
      </c>
      <c r="E22" s="105">
        <v>0</v>
      </c>
      <c r="F22" s="105">
        <v>6.8659339954286027</v>
      </c>
      <c r="G22" s="105">
        <v>428.43428131474479</v>
      </c>
      <c r="H22" s="105">
        <v>10.02772544878564</v>
      </c>
      <c r="I22" s="105">
        <v>625.73006800422388</v>
      </c>
      <c r="J22" s="105">
        <v>10.925812872847811</v>
      </c>
      <c r="K22" s="105">
        <v>681.7707232657034</v>
      </c>
      <c r="L22" s="105">
        <v>8.9713419483794326</v>
      </c>
      <c r="M22" s="105">
        <v>559.81173757887655</v>
      </c>
      <c r="N22" s="105">
        <v>6</v>
      </c>
      <c r="O22" s="105">
        <v>374.4</v>
      </c>
      <c r="P22" s="105">
        <v>6</v>
      </c>
      <c r="Q22" s="105">
        <v>374.4</v>
      </c>
      <c r="R22" s="105">
        <v>8</v>
      </c>
      <c r="S22" s="105">
        <v>499.2</v>
      </c>
      <c r="T22" s="105">
        <v>7</v>
      </c>
      <c r="U22" s="105">
        <v>436.8</v>
      </c>
      <c r="V22" s="105">
        <v>7</v>
      </c>
      <c r="W22" s="105">
        <v>436.8</v>
      </c>
      <c r="X22" s="105">
        <v>8</v>
      </c>
      <c r="Y22" s="105">
        <v>499.2</v>
      </c>
      <c r="Z22" s="105">
        <v>9</v>
      </c>
      <c r="AA22" s="105">
        <v>561.6</v>
      </c>
      <c r="AB22" s="105">
        <v>7</v>
      </c>
      <c r="AC22" s="105">
        <v>436.8</v>
      </c>
      <c r="AD22" s="105">
        <v>8</v>
      </c>
      <c r="AE22" s="105">
        <v>499.2</v>
      </c>
      <c r="AF22" s="105">
        <v>7</v>
      </c>
      <c r="AG22" s="105">
        <v>436.8</v>
      </c>
      <c r="AH22" s="105">
        <v>8</v>
      </c>
      <c r="AI22" s="105">
        <v>499.2</v>
      </c>
      <c r="AJ22" s="105">
        <v>10</v>
      </c>
      <c r="AK22" s="105">
        <v>624</v>
      </c>
      <c r="AL22" s="105">
        <v>11</v>
      </c>
      <c r="AM22" s="105">
        <v>686.4</v>
      </c>
      <c r="AN22" s="105">
        <v>7</v>
      </c>
      <c r="AO22" s="105">
        <v>436.8</v>
      </c>
      <c r="AP22" s="105">
        <v>13</v>
      </c>
      <c r="AQ22" s="105">
        <v>811.19999999999993</v>
      </c>
      <c r="AR22" s="105">
        <v>9</v>
      </c>
      <c r="AS22" s="105">
        <v>561.6</v>
      </c>
      <c r="AT22" s="105">
        <v>10</v>
      </c>
      <c r="AU22" s="105">
        <v>624</v>
      </c>
      <c r="AV22" s="105">
        <v>7</v>
      </c>
      <c r="AW22" s="105">
        <v>436.8</v>
      </c>
      <c r="AX22" s="105">
        <v>11</v>
      </c>
      <c r="AY22" s="105">
        <v>686.4</v>
      </c>
      <c r="AZ22" s="105">
        <v>11</v>
      </c>
      <c r="BA22" s="105">
        <v>686.4</v>
      </c>
      <c r="BB22" s="105">
        <v>13</v>
      </c>
      <c r="BC22" s="105">
        <v>811.19999999999993</v>
      </c>
      <c r="BD22" s="105">
        <v>12</v>
      </c>
      <c r="BE22" s="105">
        <v>748.8</v>
      </c>
      <c r="BF22" s="105">
        <v>6</v>
      </c>
      <c r="BG22" s="105">
        <v>374.4</v>
      </c>
      <c r="BH22" s="105">
        <v>11</v>
      </c>
      <c r="BI22" s="105">
        <v>686.4</v>
      </c>
      <c r="BJ22" s="105">
        <v>11</v>
      </c>
      <c r="BK22" s="105">
        <v>686.4</v>
      </c>
      <c r="BL22" s="105">
        <v>8</v>
      </c>
      <c r="BM22" s="105">
        <v>499.2</v>
      </c>
      <c r="BN22" s="105">
        <v>10</v>
      </c>
      <c r="BO22" s="105">
        <v>624</v>
      </c>
      <c r="BP22" s="105">
        <v>6</v>
      </c>
      <c r="BQ22" s="105">
        <v>374.4</v>
      </c>
      <c r="BR22" s="105">
        <v>9</v>
      </c>
      <c r="BS22" s="105">
        <v>561.6</v>
      </c>
      <c r="BT22" s="105">
        <v>12</v>
      </c>
      <c r="BU22" s="105">
        <v>748.8</v>
      </c>
      <c r="BV22" s="105">
        <v>6</v>
      </c>
      <c r="BW22" s="105">
        <v>374.4</v>
      </c>
      <c r="BX22" s="105">
        <v>9</v>
      </c>
      <c r="BY22" s="105">
        <v>561.6</v>
      </c>
      <c r="BZ22" s="105">
        <v>7</v>
      </c>
      <c r="CA22" s="105">
        <v>436.8</v>
      </c>
      <c r="CB22" s="105">
        <v>6</v>
      </c>
      <c r="CC22" s="105">
        <v>374.4</v>
      </c>
      <c r="CD22" s="105">
        <v>8</v>
      </c>
      <c r="CE22" s="105">
        <v>499.2</v>
      </c>
      <c r="CF22" s="105">
        <v>7</v>
      </c>
      <c r="CG22" s="105">
        <v>436.8</v>
      </c>
      <c r="CH22" s="105">
        <v>12</v>
      </c>
      <c r="CI22" s="105">
        <v>748.8</v>
      </c>
      <c r="CJ22" s="105">
        <v>7</v>
      </c>
      <c r="CK22" s="105">
        <v>436.8</v>
      </c>
      <c r="CL22" s="105">
        <v>7</v>
      </c>
      <c r="CM22" s="105">
        <v>436.8</v>
      </c>
      <c r="CN22" s="105">
        <v>9</v>
      </c>
      <c r="CO22" s="105">
        <v>561.6</v>
      </c>
      <c r="CP22" s="105">
        <v>13</v>
      </c>
      <c r="CQ22" s="105">
        <v>811.19999999999993</v>
      </c>
      <c r="CR22" s="105">
        <v>13</v>
      </c>
      <c r="CS22" s="105">
        <v>811.19999999999993</v>
      </c>
      <c r="CT22" s="105">
        <v>8</v>
      </c>
      <c r="CU22" s="105">
        <v>499.2</v>
      </c>
    </row>
    <row r="23" spans="2:99" x14ac:dyDescent="0.2">
      <c r="C23" s="104" t="s">
        <v>191</v>
      </c>
      <c r="D23" s="105">
        <v>0</v>
      </c>
      <c r="E23" s="105">
        <v>0</v>
      </c>
      <c r="F23" s="105">
        <v>5.8850862817959451</v>
      </c>
      <c r="G23" s="105">
        <v>1645.4701243901461</v>
      </c>
      <c r="H23" s="105">
        <v>8.204502639915523</v>
      </c>
      <c r="I23" s="105">
        <v>2293.97893812038</v>
      </c>
      <c r="J23" s="105">
        <v>10.925812872847811</v>
      </c>
      <c r="K23" s="105">
        <v>3054.8572792482473</v>
      </c>
      <c r="L23" s="105">
        <v>8.9713419483794326</v>
      </c>
      <c r="M23" s="105">
        <v>2508.3872087668892</v>
      </c>
      <c r="N23" s="105">
        <v>6</v>
      </c>
      <c r="O23" s="105">
        <v>1677.6</v>
      </c>
      <c r="P23" s="105">
        <v>6</v>
      </c>
      <c r="Q23" s="105">
        <v>1677.6</v>
      </c>
      <c r="R23" s="105">
        <v>8</v>
      </c>
      <c r="S23" s="105">
        <v>2236.7999999999997</v>
      </c>
      <c r="T23" s="105">
        <v>7</v>
      </c>
      <c r="U23" s="105">
        <v>1957.1999999999998</v>
      </c>
      <c r="V23" s="105">
        <v>7</v>
      </c>
      <c r="W23" s="105">
        <v>1957.1999999999998</v>
      </c>
      <c r="X23" s="105">
        <v>8</v>
      </c>
      <c r="Y23" s="105">
        <v>2236.7999999999997</v>
      </c>
      <c r="Z23" s="105">
        <v>11</v>
      </c>
      <c r="AA23" s="105">
        <v>3075.5999999999995</v>
      </c>
      <c r="AB23" s="105">
        <v>9</v>
      </c>
      <c r="AC23" s="105">
        <v>2516.3999999999996</v>
      </c>
      <c r="AD23" s="105">
        <v>8</v>
      </c>
      <c r="AE23" s="105">
        <v>2236.7999999999997</v>
      </c>
      <c r="AF23" s="105">
        <v>7</v>
      </c>
      <c r="AG23" s="105">
        <v>1957.1999999999998</v>
      </c>
      <c r="AH23" s="105">
        <v>7</v>
      </c>
      <c r="AI23" s="105">
        <v>1957.1999999999998</v>
      </c>
      <c r="AJ23" s="105">
        <v>9</v>
      </c>
      <c r="AK23" s="105">
        <v>2516.3999999999996</v>
      </c>
      <c r="AL23" s="105">
        <v>10</v>
      </c>
      <c r="AM23" s="105">
        <v>2795.9999999999995</v>
      </c>
      <c r="AN23" s="105">
        <v>7</v>
      </c>
      <c r="AO23" s="105">
        <v>1957.1999999999998</v>
      </c>
      <c r="AP23" s="105">
        <v>13</v>
      </c>
      <c r="AQ23" s="105">
        <v>3634.7999999999997</v>
      </c>
      <c r="AR23" s="105">
        <v>7</v>
      </c>
      <c r="AS23" s="105">
        <v>1957.1999999999998</v>
      </c>
      <c r="AT23" s="105">
        <v>11</v>
      </c>
      <c r="AU23" s="105">
        <v>3075.5999999999995</v>
      </c>
      <c r="AV23" s="105">
        <v>7</v>
      </c>
      <c r="AW23" s="105">
        <v>1957.1999999999998</v>
      </c>
      <c r="AX23" s="105">
        <v>12</v>
      </c>
      <c r="AY23" s="105">
        <v>3355.2</v>
      </c>
      <c r="AZ23" s="105">
        <v>11</v>
      </c>
      <c r="BA23" s="105">
        <v>3075.5999999999995</v>
      </c>
      <c r="BB23" s="105">
        <v>12</v>
      </c>
      <c r="BC23" s="105">
        <v>3355.2</v>
      </c>
      <c r="BD23" s="105">
        <v>12</v>
      </c>
      <c r="BE23" s="105">
        <v>3355.2</v>
      </c>
      <c r="BF23" s="105">
        <v>7</v>
      </c>
      <c r="BG23" s="105">
        <v>1957.1999999999998</v>
      </c>
      <c r="BH23" s="105">
        <v>10</v>
      </c>
      <c r="BI23" s="105">
        <v>2795.9999999999995</v>
      </c>
      <c r="BJ23" s="105">
        <v>11</v>
      </c>
      <c r="BK23" s="105">
        <v>3075.5999999999995</v>
      </c>
      <c r="BL23" s="105">
        <v>7</v>
      </c>
      <c r="BM23" s="105">
        <v>1957.1999999999998</v>
      </c>
      <c r="BN23" s="105">
        <v>10</v>
      </c>
      <c r="BO23" s="105">
        <v>2795.9999999999995</v>
      </c>
      <c r="BP23" s="105">
        <v>6</v>
      </c>
      <c r="BQ23" s="105">
        <v>1677.6</v>
      </c>
      <c r="BR23" s="105">
        <v>10</v>
      </c>
      <c r="BS23" s="105">
        <v>2795.9999999999995</v>
      </c>
      <c r="BT23" s="105">
        <v>12</v>
      </c>
      <c r="BU23" s="105">
        <v>3355.2</v>
      </c>
      <c r="BV23" s="105">
        <v>6</v>
      </c>
      <c r="BW23" s="105">
        <v>1677.6</v>
      </c>
      <c r="BX23" s="105">
        <v>9</v>
      </c>
      <c r="BY23" s="105">
        <v>2516.3999999999996</v>
      </c>
      <c r="BZ23" s="105">
        <v>6</v>
      </c>
      <c r="CA23" s="105">
        <v>1677.6</v>
      </c>
      <c r="CB23" s="105">
        <v>6</v>
      </c>
      <c r="CC23" s="105">
        <v>1677.6</v>
      </c>
      <c r="CD23" s="105">
        <v>8</v>
      </c>
      <c r="CE23" s="105">
        <v>2236.7999999999997</v>
      </c>
      <c r="CF23" s="105">
        <v>8</v>
      </c>
      <c r="CG23" s="105">
        <v>2236.7999999999997</v>
      </c>
      <c r="CH23" s="105">
        <v>12</v>
      </c>
      <c r="CI23" s="105">
        <v>3355.2</v>
      </c>
      <c r="CJ23" s="105">
        <v>7</v>
      </c>
      <c r="CK23" s="105">
        <v>1957.1999999999998</v>
      </c>
      <c r="CL23" s="105">
        <v>7</v>
      </c>
      <c r="CM23" s="105">
        <v>1957.1999999999998</v>
      </c>
      <c r="CN23" s="105">
        <v>10</v>
      </c>
      <c r="CO23" s="105">
        <v>2795.9999999999995</v>
      </c>
      <c r="CP23" s="105">
        <v>14</v>
      </c>
      <c r="CQ23" s="105">
        <v>3914.3999999999996</v>
      </c>
      <c r="CR23" s="105">
        <v>13</v>
      </c>
      <c r="CS23" s="105">
        <v>3634.7999999999997</v>
      </c>
      <c r="CT23" s="105">
        <v>8</v>
      </c>
      <c r="CU23" s="105">
        <v>2236.7999999999997</v>
      </c>
    </row>
    <row r="24" spans="2:99" x14ac:dyDescent="0.2">
      <c r="C24" s="104" t="s">
        <v>192</v>
      </c>
      <c r="D24" s="105">
        <v>0</v>
      </c>
      <c r="E24" s="105">
        <v>0</v>
      </c>
      <c r="F24" s="105">
        <v>6.8659339954286027</v>
      </c>
      <c r="G24" s="105">
        <v>2092.736681806638</v>
      </c>
      <c r="H24" s="105">
        <v>9.1161140443505815</v>
      </c>
      <c r="I24" s="105">
        <v>2778.5915607180573</v>
      </c>
      <c r="J24" s="105">
        <v>9.9325571571343723</v>
      </c>
      <c r="K24" s="105">
        <v>3027.4434214945568</v>
      </c>
      <c r="L24" s="105">
        <v>9.8684761432173769</v>
      </c>
      <c r="M24" s="105">
        <v>3007.9115284526565</v>
      </c>
      <c r="N24" s="105">
        <v>5</v>
      </c>
      <c r="O24" s="105">
        <v>1524</v>
      </c>
      <c r="P24" s="105">
        <v>7</v>
      </c>
      <c r="Q24" s="105">
        <v>2133.6</v>
      </c>
      <c r="R24" s="105">
        <v>8</v>
      </c>
      <c r="S24" s="105">
        <v>2438.4</v>
      </c>
      <c r="T24" s="105">
        <v>6</v>
      </c>
      <c r="U24" s="105">
        <v>1828.8000000000002</v>
      </c>
      <c r="V24" s="105">
        <v>7</v>
      </c>
      <c r="W24" s="105">
        <v>2133.6</v>
      </c>
      <c r="X24" s="105">
        <v>9</v>
      </c>
      <c r="Y24" s="105">
        <v>2743.2000000000003</v>
      </c>
      <c r="Z24" s="105">
        <v>10</v>
      </c>
      <c r="AA24" s="105">
        <v>3048</v>
      </c>
      <c r="AB24" s="105">
        <v>8</v>
      </c>
      <c r="AC24" s="105">
        <v>2438.4</v>
      </c>
      <c r="AD24" s="105">
        <v>9</v>
      </c>
      <c r="AE24" s="105">
        <v>2743.2000000000003</v>
      </c>
      <c r="AF24" s="105">
        <v>8</v>
      </c>
      <c r="AG24" s="105">
        <v>2438.4</v>
      </c>
      <c r="AH24" s="105">
        <v>8</v>
      </c>
      <c r="AI24" s="105">
        <v>2438.4</v>
      </c>
      <c r="AJ24" s="105">
        <v>10</v>
      </c>
      <c r="AK24" s="105">
        <v>3048</v>
      </c>
      <c r="AL24" s="105">
        <v>10</v>
      </c>
      <c r="AM24" s="105">
        <v>3048</v>
      </c>
      <c r="AN24" s="105">
        <v>8</v>
      </c>
      <c r="AO24" s="105">
        <v>2438.4</v>
      </c>
      <c r="AP24" s="105">
        <v>12</v>
      </c>
      <c r="AQ24" s="105">
        <v>3657.6000000000004</v>
      </c>
      <c r="AR24" s="105">
        <v>8</v>
      </c>
      <c r="AS24" s="105">
        <v>2438.4</v>
      </c>
      <c r="AT24" s="105">
        <v>10</v>
      </c>
      <c r="AU24" s="105">
        <v>3048</v>
      </c>
      <c r="AV24" s="105">
        <v>7</v>
      </c>
      <c r="AW24" s="105">
        <v>2133.6</v>
      </c>
      <c r="AX24" s="105">
        <v>11</v>
      </c>
      <c r="AY24" s="105">
        <v>3352.8</v>
      </c>
      <c r="AZ24" s="105">
        <v>11</v>
      </c>
      <c r="BA24" s="105">
        <v>3352.8</v>
      </c>
      <c r="BB24" s="105">
        <v>11</v>
      </c>
      <c r="BC24" s="105">
        <v>3352.8</v>
      </c>
      <c r="BD24" s="105">
        <v>12</v>
      </c>
      <c r="BE24" s="105">
        <v>3657.6000000000004</v>
      </c>
      <c r="BF24" s="105">
        <v>6</v>
      </c>
      <c r="BG24" s="105">
        <v>1828.8000000000002</v>
      </c>
      <c r="BH24" s="105">
        <v>11</v>
      </c>
      <c r="BI24" s="105">
        <v>3352.8</v>
      </c>
      <c r="BJ24" s="105">
        <v>11</v>
      </c>
      <c r="BK24" s="105">
        <v>3352.8</v>
      </c>
      <c r="BL24" s="105">
        <v>8</v>
      </c>
      <c r="BM24" s="105">
        <v>2438.4</v>
      </c>
      <c r="BN24" s="105">
        <v>9</v>
      </c>
      <c r="BO24" s="105">
        <v>2743.2000000000003</v>
      </c>
      <c r="BP24" s="105">
        <v>7</v>
      </c>
      <c r="BQ24" s="105">
        <v>2133.6</v>
      </c>
      <c r="BR24" s="105">
        <v>10</v>
      </c>
      <c r="BS24" s="105">
        <v>3048</v>
      </c>
      <c r="BT24" s="105">
        <v>13</v>
      </c>
      <c r="BU24" s="105">
        <v>3962.4</v>
      </c>
      <c r="BV24" s="105">
        <v>6</v>
      </c>
      <c r="BW24" s="105">
        <v>1828.8000000000002</v>
      </c>
      <c r="BX24" s="105">
        <v>8</v>
      </c>
      <c r="BY24" s="105">
        <v>2438.4</v>
      </c>
      <c r="BZ24" s="105">
        <v>7</v>
      </c>
      <c r="CA24" s="105">
        <v>2133.6</v>
      </c>
      <c r="CB24" s="105">
        <v>7</v>
      </c>
      <c r="CC24" s="105">
        <v>2133.6</v>
      </c>
      <c r="CD24" s="105">
        <v>9</v>
      </c>
      <c r="CE24" s="105">
        <v>2743.2000000000003</v>
      </c>
      <c r="CF24" s="105">
        <v>7</v>
      </c>
      <c r="CG24" s="105">
        <v>2133.6</v>
      </c>
      <c r="CH24" s="105">
        <v>11</v>
      </c>
      <c r="CI24" s="105">
        <v>3352.8</v>
      </c>
      <c r="CJ24" s="105">
        <v>7</v>
      </c>
      <c r="CK24" s="105">
        <v>2133.6</v>
      </c>
      <c r="CL24" s="105">
        <v>7</v>
      </c>
      <c r="CM24" s="105">
        <v>2133.6</v>
      </c>
      <c r="CN24" s="105">
        <v>9</v>
      </c>
      <c r="CO24" s="105">
        <v>2743.2000000000003</v>
      </c>
      <c r="CP24" s="105">
        <v>13</v>
      </c>
      <c r="CQ24" s="105">
        <v>3962.4</v>
      </c>
      <c r="CR24" s="105">
        <v>13</v>
      </c>
      <c r="CS24" s="105">
        <v>3962.4</v>
      </c>
      <c r="CT24" s="105">
        <v>9</v>
      </c>
      <c r="CU24" s="105">
        <v>2743.2000000000003</v>
      </c>
    </row>
    <row r="25" spans="2:99" x14ac:dyDescent="0.2">
      <c r="C25" s="104" t="s">
        <v>193</v>
      </c>
      <c r="D25" s="105">
        <v>0</v>
      </c>
      <c r="E25" s="105">
        <v>0</v>
      </c>
      <c r="F25" s="105">
        <v>6.8659339954286027</v>
      </c>
      <c r="G25" s="105">
        <v>2232.8017353133814</v>
      </c>
      <c r="H25" s="105">
        <v>10.02772544878564</v>
      </c>
      <c r="I25" s="105">
        <v>3261.0163159450899</v>
      </c>
      <c r="J25" s="105">
        <v>10.925812872847811</v>
      </c>
      <c r="K25" s="105">
        <v>3553.0743462501077</v>
      </c>
      <c r="L25" s="105">
        <v>8.07420775354149</v>
      </c>
      <c r="M25" s="105">
        <v>2625.7323614516927</v>
      </c>
      <c r="N25" s="105">
        <v>5</v>
      </c>
      <c r="O25" s="105">
        <v>1626</v>
      </c>
      <c r="P25" s="105">
        <v>7</v>
      </c>
      <c r="Q25" s="105">
        <v>2276.4</v>
      </c>
      <c r="R25" s="105">
        <v>7</v>
      </c>
      <c r="S25" s="105">
        <v>2276.4</v>
      </c>
      <c r="T25" s="105">
        <v>7</v>
      </c>
      <c r="U25" s="105">
        <v>2276.4</v>
      </c>
      <c r="V25" s="105">
        <v>7</v>
      </c>
      <c r="W25" s="105">
        <v>2276.4</v>
      </c>
      <c r="X25" s="105">
        <v>9</v>
      </c>
      <c r="Y25" s="105">
        <v>2926.7999999999997</v>
      </c>
      <c r="Z25" s="105">
        <v>10</v>
      </c>
      <c r="AA25" s="105">
        <v>3252</v>
      </c>
      <c r="AB25" s="105">
        <v>8</v>
      </c>
      <c r="AC25" s="105">
        <v>2601.6</v>
      </c>
      <c r="AD25" s="105">
        <v>7</v>
      </c>
      <c r="AE25" s="105">
        <v>2276.4</v>
      </c>
      <c r="AF25" s="105">
        <v>8</v>
      </c>
      <c r="AG25" s="105">
        <v>2601.6</v>
      </c>
      <c r="AH25" s="105">
        <v>8</v>
      </c>
      <c r="AI25" s="105">
        <v>2601.6</v>
      </c>
      <c r="AJ25" s="105">
        <v>9</v>
      </c>
      <c r="AK25" s="105">
        <v>2926.7999999999997</v>
      </c>
      <c r="AL25" s="105">
        <v>9</v>
      </c>
      <c r="AM25" s="105">
        <v>2926.7999999999997</v>
      </c>
      <c r="AN25" s="105">
        <v>7</v>
      </c>
      <c r="AO25" s="105">
        <v>2276.4</v>
      </c>
      <c r="AP25" s="105">
        <v>13</v>
      </c>
      <c r="AQ25" s="105">
        <v>4227.5999999999995</v>
      </c>
      <c r="AR25" s="105">
        <v>7</v>
      </c>
      <c r="AS25" s="105">
        <v>2276.4</v>
      </c>
      <c r="AT25" s="105">
        <v>11</v>
      </c>
      <c r="AU25" s="105">
        <v>3577.2</v>
      </c>
      <c r="AV25" s="105">
        <v>7</v>
      </c>
      <c r="AW25" s="105">
        <v>2276.4</v>
      </c>
      <c r="AX25" s="105">
        <v>10</v>
      </c>
      <c r="AY25" s="105">
        <v>3252</v>
      </c>
      <c r="AZ25" s="105">
        <v>12</v>
      </c>
      <c r="BA25" s="105">
        <v>3902.3999999999996</v>
      </c>
      <c r="BB25" s="105">
        <v>12</v>
      </c>
      <c r="BC25" s="105">
        <v>3902.3999999999996</v>
      </c>
      <c r="BD25" s="105">
        <v>11</v>
      </c>
      <c r="BE25" s="105">
        <v>3577.2</v>
      </c>
      <c r="BF25" s="105">
        <v>6</v>
      </c>
      <c r="BG25" s="105">
        <v>1951.1999999999998</v>
      </c>
      <c r="BH25" s="105">
        <v>10</v>
      </c>
      <c r="BI25" s="105">
        <v>3252</v>
      </c>
      <c r="BJ25" s="105">
        <v>9</v>
      </c>
      <c r="BK25" s="105">
        <v>2926.7999999999997</v>
      </c>
      <c r="BL25" s="105">
        <v>8</v>
      </c>
      <c r="BM25" s="105">
        <v>2601.6</v>
      </c>
      <c r="BN25" s="105">
        <v>10</v>
      </c>
      <c r="BO25" s="105">
        <v>3252</v>
      </c>
      <c r="BP25" s="105">
        <v>7</v>
      </c>
      <c r="BQ25" s="105">
        <v>2276.4</v>
      </c>
      <c r="BR25" s="105">
        <v>11</v>
      </c>
      <c r="BS25" s="105">
        <v>3577.2</v>
      </c>
      <c r="BT25" s="105">
        <v>13</v>
      </c>
      <c r="BU25" s="105">
        <v>4227.5999999999995</v>
      </c>
      <c r="BV25" s="105">
        <v>7</v>
      </c>
      <c r="BW25" s="105">
        <v>2276.4</v>
      </c>
      <c r="BX25" s="105">
        <v>9</v>
      </c>
      <c r="BY25" s="105">
        <v>2926.7999999999997</v>
      </c>
      <c r="BZ25" s="105">
        <v>7</v>
      </c>
      <c r="CA25" s="105">
        <v>2276.4</v>
      </c>
      <c r="CB25" s="105">
        <v>7</v>
      </c>
      <c r="CC25" s="105">
        <v>2276.4</v>
      </c>
      <c r="CD25" s="105">
        <v>9</v>
      </c>
      <c r="CE25" s="105">
        <v>2926.7999999999997</v>
      </c>
      <c r="CF25" s="105">
        <v>8</v>
      </c>
      <c r="CG25" s="105">
        <v>2601.6</v>
      </c>
      <c r="CH25" s="105">
        <v>14</v>
      </c>
      <c r="CI25" s="105">
        <v>4552.8</v>
      </c>
      <c r="CJ25" s="105">
        <v>8</v>
      </c>
      <c r="CK25" s="105">
        <v>2601.6</v>
      </c>
      <c r="CL25" s="105">
        <v>7</v>
      </c>
      <c r="CM25" s="105">
        <v>2276.4</v>
      </c>
      <c r="CN25" s="105">
        <v>10</v>
      </c>
      <c r="CO25" s="105">
        <v>3252</v>
      </c>
      <c r="CP25" s="105">
        <v>12</v>
      </c>
      <c r="CQ25" s="105">
        <v>3902.3999999999996</v>
      </c>
      <c r="CR25" s="105">
        <v>13</v>
      </c>
      <c r="CS25" s="105">
        <v>4227.5999999999995</v>
      </c>
      <c r="CT25" s="105">
        <v>8</v>
      </c>
      <c r="CU25" s="105">
        <v>2601.6</v>
      </c>
    </row>
    <row r="26" spans="2:99" x14ac:dyDescent="0.2">
      <c r="C26" s="104" t="s">
        <v>194</v>
      </c>
      <c r="D26" s="105">
        <v>0</v>
      </c>
      <c r="E26" s="105">
        <v>0</v>
      </c>
      <c r="F26" s="105">
        <v>6.8659339954286027</v>
      </c>
      <c r="G26" s="105">
        <v>1969.1498698889234</v>
      </c>
      <c r="H26" s="105">
        <v>9.1161140443505815</v>
      </c>
      <c r="I26" s="105">
        <v>2614.5015079197469</v>
      </c>
      <c r="J26" s="105">
        <v>10.925812872847811</v>
      </c>
      <c r="K26" s="105">
        <v>3133.5231319327522</v>
      </c>
      <c r="L26" s="105">
        <v>8.07420775354149</v>
      </c>
      <c r="M26" s="105">
        <v>2315.6827837156993</v>
      </c>
      <c r="N26" s="105">
        <v>6</v>
      </c>
      <c r="O26" s="105">
        <v>1720.8000000000002</v>
      </c>
      <c r="P26" s="105">
        <v>6</v>
      </c>
      <c r="Q26" s="105">
        <v>1720.8000000000002</v>
      </c>
      <c r="R26" s="105">
        <v>7</v>
      </c>
      <c r="S26" s="105">
        <v>2007.6000000000001</v>
      </c>
      <c r="T26" s="105">
        <v>6</v>
      </c>
      <c r="U26" s="105">
        <v>1720.8000000000002</v>
      </c>
      <c r="V26" s="105">
        <v>7</v>
      </c>
      <c r="W26" s="105">
        <v>2007.6000000000001</v>
      </c>
      <c r="X26" s="105">
        <v>8</v>
      </c>
      <c r="Y26" s="105">
        <v>2294.4</v>
      </c>
      <c r="Z26" s="105">
        <v>9</v>
      </c>
      <c r="AA26" s="105">
        <v>2581.2000000000003</v>
      </c>
      <c r="AB26" s="105">
        <v>7</v>
      </c>
      <c r="AC26" s="105">
        <v>2007.6000000000001</v>
      </c>
      <c r="AD26" s="105">
        <v>8</v>
      </c>
      <c r="AE26" s="105">
        <v>2294.4</v>
      </c>
      <c r="AF26" s="105">
        <v>8</v>
      </c>
      <c r="AG26" s="105">
        <v>2294.4</v>
      </c>
      <c r="AH26" s="105">
        <v>8</v>
      </c>
      <c r="AI26" s="105">
        <v>2294.4</v>
      </c>
      <c r="AJ26" s="105">
        <v>8</v>
      </c>
      <c r="AK26" s="105">
        <v>2294.4</v>
      </c>
      <c r="AL26" s="105">
        <v>11</v>
      </c>
      <c r="AM26" s="105">
        <v>3154.8</v>
      </c>
      <c r="AN26" s="105">
        <v>7</v>
      </c>
      <c r="AO26" s="105">
        <v>2007.6000000000001</v>
      </c>
      <c r="AP26" s="105">
        <v>12</v>
      </c>
      <c r="AQ26" s="105">
        <v>3441.6000000000004</v>
      </c>
      <c r="AR26" s="105">
        <v>7</v>
      </c>
      <c r="AS26" s="105">
        <v>2007.6000000000001</v>
      </c>
      <c r="AT26" s="105">
        <v>11</v>
      </c>
      <c r="AU26" s="105">
        <v>3154.8</v>
      </c>
      <c r="AV26" s="105">
        <v>8</v>
      </c>
      <c r="AW26" s="105">
        <v>2294.4</v>
      </c>
      <c r="AX26" s="105">
        <v>12</v>
      </c>
      <c r="AY26" s="105">
        <v>3441.6000000000004</v>
      </c>
      <c r="AZ26" s="105">
        <v>11</v>
      </c>
      <c r="BA26" s="105">
        <v>3154.8</v>
      </c>
      <c r="BB26" s="105">
        <v>13</v>
      </c>
      <c r="BC26" s="105">
        <v>3728.4</v>
      </c>
      <c r="BD26" s="105">
        <v>13</v>
      </c>
      <c r="BE26" s="105">
        <v>3728.4</v>
      </c>
      <c r="BF26" s="105">
        <v>6</v>
      </c>
      <c r="BG26" s="105">
        <v>1720.8000000000002</v>
      </c>
      <c r="BH26" s="105">
        <v>11</v>
      </c>
      <c r="BI26" s="105">
        <v>3154.8</v>
      </c>
      <c r="BJ26" s="105">
        <v>11</v>
      </c>
      <c r="BK26" s="105">
        <v>3154.8</v>
      </c>
      <c r="BL26" s="105">
        <v>7</v>
      </c>
      <c r="BM26" s="105">
        <v>2007.6000000000001</v>
      </c>
      <c r="BN26" s="105">
        <v>10</v>
      </c>
      <c r="BO26" s="105">
        <v>2868</v>
      </c>
      <c r="BP26" s="105">
        <v>7</v>
      </c>
      <c r="BQ26" s="105">
        <v>2007.6000000000001</v>
      </c>
      <c r="BR26" s="105">
        <v>10</v>
      </c>
      <c r="BS26" s="105">
        <v>2868</v>
      </c>
      <c r="BT26" s="105">
        <v>12</v>
      </c>
      <c r="BU26" s="105">
        <v>3441.6000000000004</v>
      </c>
      <c r="BV26" s="105">
        <v>6</v>
      </c>
      <c r="BW26" s="105">
        <v>1720.8000000000002</v>
      </c>
      <c r="BX26" s="105">
        <v>8</v>
      </c>
      <c r="BY26" s="105">
        <v>2294.4</v>
      </c>
      <c r="BZ26" s="105">
        <v>6</v>
      </c>
      <c r="CA26" s="105">
        <v>1720.8000000000002</v>
      </c>
      <c r="CB26" s="105">
        <v>7</v>
      </c>
      <c r="CC26" s="105">
        <v>2007.6000000000001</v>
      </c>
      <c r="CD26" s="105">
        <v>8</v>
      </c>
      <c r="CE26" s="105">
        <v>2294.4</v>
      </c>
      <c r="CF26" s="105">
        <v>7</v>
      </c>
      <c r="CG26" s="105">
        <v>2007.6000000000001</v>
      </c>
      <c r="CH26" s="105">
        <v>12</v>
      </c>
      <c r="CI26" s="105">
        <v>3441.6000000000004</v>
      </c>
      <c r="CJ26" s="105">
        <v>7</v>
      </c>
      <c r="CK26" s="105">
        <v>2007.6000000000001</v>
      </c>
      <c r="CL26" s="105">
        <v>8</v>
      </c>
      <c r="CM26" s="105">
        <v>2294.4</v>
      </c>
      <c r="CN26" s="105">
        <v>10</v>
      </c>
      <c r="CO26" s="105">
        <v>2868</v>
      </c>
      <c r="CP26" s="105">
        <v>13</v>
      </c>
      <c r="CQ26" s="105">
        <v>3728.4</v>
      </c>
      <c r="CR26" s="105">
        <v>13</v>
      </c>
      <c r="CS26" s="105">
        <v>3728.4</v>
      </c>
      <c r="CT26" s="105">
        <v>8</v>
      </c>
      <c r="CU26" s="105">
        <v>2294.4</v>
      </c>
    </row>
    <row r="27" spans="2:99" x14ac:dyDescent="0.2">
      <c r="C27" s="104" t="s">
        <v>195</v>
      </c>
      <c r="D27" s="105">
        <v>0</v>
      </c>
      <c r="E27" s="105">
        <v>0</v>
      </c>
      <c r="F27" s="105">
        <v>6.8659339954286027</v>
      </c>
      <c r="G27" s="105">
        <v>2166.8887689572666</v>
      </c>
      <c r="H27" s="105">
        <v>9.1161140443505815</v>
      </c>
      <c r="I27" s="105">
        <v>2877.045592397043</v>
      </c>
      <c r="J27" s="105">
        <v>10.925812872847811</v>
      </c>
      <c r="K27" s="105">
        <v>3448.1865426707686</v>
      </c>
      <c r="L27" s="105">
        <v>8.07420775354149</v>
      </c>
      <c r="M27" s="105">
        <v>2548.2199670176938</v>
      </c>
      <c r="N27" s="105">
        <v>6</v>
      </c>
      <c r="O27" s="105">
        <v>1893.6</v>
      </c>
      <c r="P27" s="105">
        <v>6</v>
      </c>
      <c r="Q27" s="105">
        <v>1893.6</v>
      </c>
      <c r="R27" s="105">
        <v>8</v>
      </c>
      <c r="S27" s="105">
        <v>2524.7999999999997</v>
      </c>
      <c r="T27" s="105">
        <v>7</v>
      </c>
      <c r="U27" s="105">
        <v>2209.1999999999998</v>
      </c>
      <c r="V27" s="105">
        <v>7</v>
      </c>
      <c r="W27" s="105">
        <v>2209.1999999999998</v>
      </c>
      <c r="X27" s="105">
        <v>8</v>
      </c>
      <c r="Y27" s="105">
        <v>2524.7999999999997</v>
      </c>
      <c r="Z27" s="105">
        <v>9</v>
      </c>
      <c r="AA27" s="105">
        <v>2840.3999999999996</v>
      </c>
      <c r="AB27" s="105">
        <v>7</v>
      </c>
      <c r="AC27" s="105">
        <v>2209.1999999999998</v>
      </c>
      <c r="AD27" s="105">
        <v>9</v>
      </c>
      <c r="AE27" s="105">
        <v>2840.3999999999996</v>
      </c>
      <c r="AF27" s="105">
        <v>8</v>
      </c>
      <c r="AG27" s="105">
        <v>2524.7999999999997</v>
      </c>
      <c r="AH27" s="105">
        <v>8</v>
      </c>
      <c r="AI27" s="105">
        <v>2524.7999999999997</v>
      </c>
      <c r="AJ27" s="105">
        <v>10</v>
      </c>
      <c r="AK27" s="105">
        <v>3155.9999999999995</v>
      </c>
      <c r="AL27" s="105">
        <v>10</v>
      </c>
      <c r="AM27" s="105">
        <v>3155.9999999999995</v>
      </c>
      <c r="AN27" s="105">
        <v>7</v>
      </c>
      <c r="AO27" s="105">
        <v>2209.1999999999998</v>
      </c>
      <c r="AP27" s="105">
        <v>11</v>
      </c>
      <c r="AQ27" s="105">
        <v>3471.5999999999995</v>
      </c>
      <c r="AR27" s="105">
        <v>8</v>
      </c>
      <c r="AS27" s="105">
        <v>2524.7999999999997</v>
      </c>
      <c r="AT27" s="105">
        <v>12</v>
      </c>
      <c r="AU27" s="105">
        <v>3787.2</v>
      </c>
      <c r="AV27" s="105">
        <v>7</v>
      </c>
      <c r="AW27" s="105">
        <v>2209.1999999999998</v>
      </c>
      <c r="AX27" s="105">
        <v>12</v>
      </c>
      <c r="AY27" s="105">
        <v>3787.2</v>
      </c>
      <c r="AZ27" s="105">
        <v>10</v>
      </c>
      <c r="BA27" s="105">
        <v>3155.9999999999995</v>
      </c>
      <c r="BB27" s="105">
        <v>11</v>
      </c>
      <c r="BC27" s="105">
        <v>3471.5999999999995</v>
      </c>
      <c r="BD27" s="105">
        <v>12</v>
      </c>
      <c r="BE27" s="105">
        <v>3787.2</v>
      </c>
      <c r="BF27" s="105">
        <v>6</v>
      </c>
      <c r="BG27" s="105">
        <v>1893.6</v>
      </c>
      <c r="BH27" s="105">
        <v>10</v>
      </c>
      <c r="BI27" s="105">
        <v>3155.9999999999995</v>
      </c>
      <c r="BJ27" s="105">
        <v>10</v>
      </c>
      <c r="BK27" s="105">
        <v>3155.9999999999995</v>
      </c>
      <c r="BL27" s="105">
        <v>7</v>
      </c>
      <c r="BM27" s="105">
        <v>2209.1999999999998</v>
      </c>
      <c r="BN27" s="105">
        <v>11</v>
      </c>
      <c r="BO27" s="105">
        <v>3471.5999999999995</v>
      </c>
      <c r="BP27" s="105">
        <v>6</v>
      </c>
      <c r="BQ27" s="105">
        <v>1893.6</v>
      </c>
      <c r="BR27" s="105">
        <v>10</v>
      </c>
      <c r="BS27" s="105">
        <v>3155.9999999999995</v>
      </c>
      <c r="BT27" s="105">
        <v>13</v>
      </c>
      <c r="BU27" s="105">
        <v>4102.7999999999993</v>
      </c>
      <c r="BV27" s="105">
        <v>7</v>
      </c>
      <c r="BW27" s="105">
        <v>2209.1999999999998</v>
      </c>
      <c r="BX27" s="105">
        <v>8</v>
      </c>
      <c r="BY27" s="105">
        <v>2524.7999999999997</v>
      </c>
      <c r="BZ27" s="105">
        <v>7</v>
      </c>
      <c r="CA27" s="105">
        <v>2209.1999999999998</v>
      </c>
      <c r="CB27" s="105">
        <v>7</v>
      </c>
      <c r="CC27" s="105">
        <v>2209.1999999999998</v>
      </c>
      <c r="CD27" s="105">
        <v>10</v>
      </c>
      <c r="CE27" s="105">
        <v>3155.9999999999995</v>
      </c>
      <c r="CF27" s="105">
        <v>8</v>
      </c>
      <c r="CG27" s="105">
        <v>2524.7999999999997</v>
      </c>
      <c r="CH27" s="105">
        <v>12</v>
      </c>
      <c r="CI27" s="105">
        <v>3787.2</v>
      </c>
      <c r="CJ27" s="105">
        <v>7</v>
      </c>
      <c r="CK27" s="105">
        <v>2209.1999999999998</v>
      </c>
      <c r="CL27" s="105">
        <v>7</v>
      </c>
      <c r="CM27" s="105">
        <v>2209.1999999999998</v>
      </c>
      <c r="CN27" s="105">
        <v>10</v>
      </c>
      <c r="CO27" s="105">
        <v>3155.9999999999995</v>
      </c>
      <c r="CP27" s="105">
        <v>13</v>
      </c>
      <c r="CQ27" s="105">
        <v>4102.7999999999993</v>
      </c>
      <c r="CR27" s="105">
        <v>12</v>
      </c>
      <c r="CS27" s="105">
        <v>3787.2</v>
      </c>
      <c r="CT27" s="105">
        <v>8</v>
      </c>
      <c r="CU27" s="105">
        <v>2524.7999999999997</v>
      </c>
    </row>
    <row r="28" spans="2:99" x14ac:dyDescent="0.2">
      <c r="C28" s="104" t="s">
        <v>196</v>
      </c>
      <c r="D28" s="105">
        <v>0</v>
      </c>
      <c r="E28" s="105">
        <v>0</v>
      </c>
      <c r="F28" s="105">
        <v>7</v>
      </c>
      <c r="G28" s="105">
        <v>4015.2000000000003</v>
      </c>
      <c r="H28" s="105">
        <v>9</v>
      </c>
      <c r="I28" s="105">
        <v>5162.4000000000005</v>
      </c>
      <c r="J28" s="105">
        <v>11</v>
      </c>
      <c r="K28" s="105">
        <v>6309.6</v>
      </c>
      <c r="L28" s="105">
        <v>9</v>
      </c>
      <c r="M28" s="105">
        <v>5162.4000000000005</v>
      </c>
      <c r="N28" s="105">
        <v>6</v>
      </c>
      <c r="O28" s="105">
        <v>3441.6000000000004</v>
      </c>
      <c r="P28" s="105">
        <v>6</v>
      </c>
      <c r="Q28" s="105">
        <v>3441.6000000000004</v>
      </c>
      <c r="R28" s="105">
        <v>8</v>
      </c>
      <c r="S28" s="105">
        <v>4588.8</v>
      </c>
      <c r="T28" s="105">
        <v>6</v>
      </c>
      <c r="U28" s="105">
        <v>3441.6000000000004</v>
      </c>
      <c r="V28" s="105">
        <v>7.5936333732090855</v>
      </c>
      <c r="W28" s="105">
        <v>4355.7081028727316</v>
      </c>
      <c r="X28" s="105">
        <v>9</v>
      </c>
      <c r="Y28" s="105">
        <v>5162.4000000000005</v>
      </c>
      <c r="Z28" s="105">
        <v>9</v>
      </c>
      <c r="AA28" s="105">
        <v>5162.4000000000005</v>
      </c>
      <c r="AB28" s="105">
        <v>8</v>
      </c>
      <c r="AC28" s="105">
        <v>4588.8</v>
      </c>
      <c r="AD28" s="105">
        <v>8</v>
      </c>
      <c r="AE28" s="105">
        <v>4588.8</v>
      </c>
      <c r="AF28" s="105">
        <v>8</v>
      </c>
      <c r="AG28" s="105">
        <v>4588.8</v>
      </c>
      <c r="AH28" s="105">
        <v>7</v>
      </c>
      <c r="AI28" s="105">
        <v>4015.2000000000003</v>
      </c>
      <c r="AJ28" s="105">
        <v>9</v>
      </c>
      <c r="AK28" s="105">
        <v>5162.4000000000005</v>
      </c>
      <c r="AL28" s="105">
        <v>11</v>
      </c>
      <c r="AM28" s="105">
        <v>6309.6</v>
      </c>
      <c r="AN28" s="105">
        <v>8</v>
      </c>
      <c r="AO28" s="105">
        <v>4588.8</v>
      </c>
      <c r="AP28" s="105">
        <v>13</v>
      </c>
      <c r="AQ28" s="105">
        <v>7456.8</v>
      </c>
      <c r="AR28" s="105">
        <v>8</v>
      </c>
      <c r="AS28" s="105">
        <v>4588.8</v>
      </c>
      <c r="AT28" s="105">
        <v>11</v>
      </c>
      <c r="AU28" s="105">
        <v>6309.6</v>
      </c>
      <c r="AV28" s="105">
        <v>8</v>
      </c>
      <c r="AW28" s="105">
        <v>4588.8</v>
      </c>
      <c r="AX28" s="105">
        <v>12</v>
      </c>
      <c r="AY28" s="105">
        <v>6883.2000000000007</v>
      </c>
      <c r="AZ28" s="105">
        <v>10</v>
      </c>
      <c r="BA28" s="105">
        <v>5736</v>
      </c>
      <c r="BB28" s="105">
        <v>13</v>
      </c>
      <c r="BC28" s="105">
        <v>7456.8</v>
      </c>
      <c r="BD28" s="105">
        <v>12.35125812257465</v>
      </c>
      <c r="BE28" s="105">
        <v>7084.68165910882</v>
      </c>
      <c r="BF28" s="105">
        <v>6.4844076022752581</v>
      </c>
      <c r="BG28" s="105">
        <v>3719.4562006650881</v>
      </c>
      <c r="BH28" s="105">
        <v>11</v>
      </c>
      <c r="BI28" s="105">
        <v>6309.6</v>
      </c>
      <c r="BJ28" s="105">
        <v>10</v>
      </c>
      <c r="BK28" s="105">
        <v>5736</v>
      </c>
      <c r="BL28" s="105">
        <v>7</v>
      </c>
      <c r="BM28" s="105">
        <v>4015.2000000000003</v>
      </c>
      <c r="BN28" s="105">
        <v>10</v>
      </c>
      <c r="BO28" s="105">
        <v>5736</v>
      </c>
      <c r="BP28" s="105">
        <v>6</v>
      </c>
      <c r="BQ28" s="105">
        <v>3441.6000000000004</v>
      </c>
      <c r="BR28" s="105">
        <v>10</v>
      </c>
      <c r="BS28" s="105">
        <v>5736</v>
      </c>
      <c r="BT28" s="105">
        <v>12</v>
      </c>
      <c r="BU28" s="105">
        <v>6883.2000000000007</v>
      </c>
      <c r="BV28" s="105">
        <v>6</v>
      </c>
      <c r="BW28" s="105">
        <v>3441.6000000000004</v>
      </c>
      <c r="BX28" s="105">
        <v>8</v>
      </c>
      <c r="BY28" s="105">
        <v>4588.8</v>
      </c>
      <c r="BZ28" s="105">
        <v>7</v>
      </c>
      <c r="CA28" s="105">
        <v>4015.2000000000003</v>
      </c>
      <c r="CB28" s="105">
        <v>6</v>
      </c>
      <c r="CC28" s="105">
        <v>3441.6000000000004</v>
      </c>
      <c r="CD28" s="105">
        <v>10</v>
      </c>
      <c r="CE28" s="105">
        <v>5736</v>
      </c>
      <c r="CF28" s="105">
        <v>7</v>
      </c>
      <c r="CG28" s="105">
        <v>4015.2000000000003</v>
      </c>
      <c r="CH28" s="105">
        <v>12</v>
      </c>
      <c r="CI28" s="105">
        <v>6883.2000000000007</v>
      </c>
      <c r="CJ28" s="105">
        <v>7.1613692877312092</v>
      </c>
      <c r="CK28" s="105">
        <v>4107.7614234426219</v>
      </c>
      <c r="CL28" s="105">
        <v>7</v>
      </c>
      <c r="CM28" s="105">
        <v>4015.2000000000003</v>
      </c>
      <c r="CN28" s="105">
        <v>10</v>
      </c>
      <c r="CO28" s="105">
        <v>5736</v>
      </c>
      <c r="CP28" s="105">
        <v>13</v>
      </c>
      <c r="CQ28" s="105">
        <v>7456.8</v>
      </c>
      <c r="CR28" s="105">
        <v>12</v>
      </c>
      <c r="CS28" s="105">
        <v>6883.2000000000007</v>
      </c>
      <c r="CT28" s="105">
        <v>8</v>
      </c>
      <c r="CU28" s="105">
        <v>4588.8</v>
      </c>
    </row>
    <row r="29" spans="2:99" x14ac:dyDescent="0.2">
      <c r="C29" s="104" t="s">
        <v>197</v>
      </c>
      <c r="D29" s="105">
        <v>0</v>
      </c>
      <c r="E29" s="105">
        <v>0</v>
      </c>
      <c r="F29" s="105">
        <v>6.8659339954286027</v>
      </c>
      <c r="G29" s="105">
        <v>1614.8676757248072</v>
      </c>
      <c r="H29" s="105">
        <v>9.1161140443505815</v>
      </c>
      <c r="I29" s="105">
        <v>2144.1100232312565</v>
      </c>
      <c r="J29" s="105">
        <v>11.919068588561247</v>
      </c>
      <c r="K29" s="105">
        <v>2803.3649320296054</v>
      </c>
      <c r="L29" s="105">
        <v>8.9713419483794326</v>
      </c>
      <c r="M29" s="105">
        <v>2110.0596262588424</v>
      </c>
      <c r="N29" s="105">
        <v>6</v>
      </c>
      <c r="O29" s="105">
        <v>1411.1999999999998</v>
      </c>
      <c r="P29" s="105">
        <v>7</v>
      </c>
      <c r="Q29" s="105">
        <v>1646.3999999999999</v>
      </c>
      <c r="R29" s="105">
        <v>7</v>
      </c>
      <c r="S29" s="105">
        <v>1646.3999999999999</v>
      </c>
      <c r="T29" s="105">
        <v>7</v>
      </c>
      <c r="U29" s="105">
        <v>1646.3999999999999</v>
      </c>
      <c r="V29" s="105">
        <v>8</v>
      </c>
      <c r="W29" s="105">
        <v>1881.6</v>
      </c>
      <c r="X29" s="105">
        <v>9</v>
      </c>
      <c r="Y29" s="105">
        <v>2116.7999999999997</v>
      </c>
      <c r="Z29" s="105">
        <v>10</v>
      </c>
      <c r="AA29" s="105">
        <v>2352</v>
      </c>
      <c r="AB29" s="105">
        <v>8</v>
      </c>
      <c r="AC29" s="105">
        <v>1881.6</v>
      </c>
      <c r="AD29" s="105">
        <v>8</v>
      </c>
      <c r="AE29" s="105">
        <v>1881.6</v>
      </c>
      <c r="AF29" s="105">
        <v>9</v>
      </c>
      <c r="AG29" s="105">
        <v>2116.7999999999997</v>
      </c>
      <c r="AH29" s="105">
        <v>8</v>
      </c>
      <c r="AI29" s="105">
        <v>1881.6</v>
      </c>
      <c r="AJ29" s="105">
        <v>9</v>
      </c>
      <c r="AK29" s="105">
        <v>2116.7999999999997</v>
      </c>
      <c r="AL29" s="105">
        <v>11</v>
      </c>
      <c r="AM29" s="105">
        <v>2587.1999999999998</v>
      </c>
      <c r="AN29" s="105">
        <v>7</v>
      </c>
      <c r="AO29" s="105">
        <v>1646.3999999999999</v>
      </c>
      <c r="AP29" s="105">
        <v>13</v>
      </c>
      <c r="AQ29" s="105">
        <v>3057.6</v>
      </c>
      <c r="AR29" s="105">
        <v>8</v>
      </c>
      <c r="AS29" s="105">
        <v>1881.6</v>
      </c>
      <c r="AT29" s="105">
        <v>10</v>
      </c>
      <c r="AU29" s="105">
        <v>2352</v>
      </c>
      <c r="AV29" s="105">
        <v>7</v>
      </c>
      <c r="AW29" s="105">
        <v>1646.3999999999999</v>
      </c>
      <c r="AX29" s="105">
        <v>11</v>
      </c>
      <c r="AY29" s="105">
        <v>2587.1999999999998</v>
      </c>
      <c r="AZ29" s="105">
        <v>11</v>
      </c>
      <c r="BA29" s="105">
        <v>2587.1999999999998</v>
      </c>
      <c r="BB29" s="105">
        <v>11</v>
      </c>
      <c r="BC29" s="105">
        <v>2587.1999999999998</v>
      </c>
      <c r="BD29" s="105">
        <v>11</v>
      </c>
      <c r="BE29" s="105">
        <v>2587.1999999999998</v>
      </c>
      <c r="BF29" s="105">
        <v>6</v>
      </c>
      <c r="BG29" s="105">
        <v>1411.1999999999998</v>
      </c>
      <c r="BH29" s="105">
        <v>10</v>
      </c>
      <c r="BI29" s="105">
        <v>2352</v>
      </c>
      <c r="BJ29" s="105">
        <v>11</v>
      </c>
      <c r="BK29" s="105">
        <v>2587.1999999999998</v>
      </c>
      <c r="BL29" s="105">
        <v>7</v>
      </c>
      <c r="BM29" s="105">
        <v>1646.3999999999999</v>
      </c>
      <c r="BN29" s="105">
        <v>11</v>
      </c>
      <c r="BO29" s="105">
        <v>2587.1999999999998</v>
      </c>
      <c r="BP29" s="105">
        <v>7</v>
      </c>
      <c r="BQ29" s="105">
        <v>1646.3999999999999</v>
      </c>
      <c r="BR29" s="105">
        <v>9</v>
      </c>
      <c r="BS29" s="105">
        <v>2116.7999999999997</v>
      </c>
      <c r="BT29" s="105">
        <v>12</v>
      </c>
      <c r="BU29" s="105">
        <v>2822.3999999999996</v>
      </c>
      <c r="BV29" s="105">
        <v>7</v>
      </c>
      <c r="BW29" s="105">
        <v>1646.3999999999999</v>
      </c>
      <c r="BX29" s="105">
        <v>9</v>
      </c>
      <c r="BY29" s="105">
        <v>2116.7999999999997</v>
      </c>
      <c r="BZ29" s="105">
        <v>6</v>
      </c>
      <c r="CA29" s="105">
        <v>1411.1999999999998</v>
      </c>
      <c r="CB29" s="105">
        <v>6</v>
      </c>
      <c r="CC29" s="105">
        <v>1411.1999999999998</v>
      </c>
      <c r="CD29" s="105">
        <v>9</v>
      </c>
      <c r="CE29" s="105">
        <v>2116.7999999999997</v>
      </c>
      <c r="CF29" s="105">
        <v>8</v>
      </c>
      <c r="CG29" s="105">
        <v>1881.6</v>
      </c>
      <c r="CH29" s="105">
        <v>13</v>
      </c>
      <c r="CI29" s="105">
        <v>3057.6</v>
      </c>
      <c r="CJ29" s="105">
        <v>8</v>
      </c>
      <c r="CK29" s="105">
        <v>1881.6</v>
      </c>
      <c r="CL29" s="105">
        <v>8</v>
      </c>
      <c r="CM29" s="105">
        <v>1881.6</v>
      </c>
      <c r="CN29" s="105">
        <v>10</v>
      </c>
      <c r="CO29" s="105">
        <v>2352</v>
      </c>
      <c r="CP29" s="105">
        <v>12</v>
      </c>
      <c r="CQ29" s="105">
        <v>2822.3999999999996</v>
      </c>
      <c r="CR29" s="105">
        <v>13</v>
      </c>
      <c r="CS29" s="105">
        <v>3057.6</v>
      </c>
      <c r="CT29" s="105">
        <v>8</v>
      </c>
      <c r="CU29" s="105">
        <v>1881.6</v>
      </c>
    </row>
    <row r="30" spans="2:99" x14ac:dyDescent="0.2">
      <c r="C30" s="104" t="s">
        <v>198</v>
      </c>
      <c r="D30" s="105">
        <v>0</v>
      </c>
      <c r="E30" s="105">
        <v>0</v>
      </c>
      <c r="F30" s="105">
        <v>5.8850862817959451</v>
      </c>
      <c r="G30" s="105">
        <v>1362.9859828639408</v>
      </c>
      <c r="H30" s="105">
        <v>9.1161140443505815</v>
      </c>
      <c r="I30" s="105">
        <v>2111.2920126715944</v>
      </c>
      <c r="J30" s="105">
        <v>10.925812872847811</v>
      </c>
      <c r="K30" s="105">
        <v>2530.4182613515527</v>
      </c>
      <c r="L30" s="105">
        <v>8.9713419483794326</v>
      </c>
      <c r="M30" s="105">
        <v>2077.7627952446765</v>
      </c>
      <c r="N30" s="105">
        <v>6</v>
      </c>
      <c r="O30" s="105">
        <v>1389.6</v>
      </c>
      <c r="P30" s="105">
        <v>6</v>
      </c>
      <c r="Q30" s="105">
        <v>1389.6</v>
      </c>
      <c r="R30" s="105">
        <v>8</v>
      </c>
      <c r="S30" s="105">
        <v>1852.8</v>
      </c>
      <c r="T30" s="105">
        <v>6</v>
      </c>
      <c r="U30" s="105">
        <v>1389.6</v>
      </c>
      <c r="V30" s="105">
        <v>7</v>
      </c>
      <c r="W30" s="105">
        <v>1621.2</v>
      </c>
      <c r="X30" s="105">
        <v>8</v>
      </c>
      <c r="Y30" s="105">
        <v>1852.8</v>
      </c>
      <c r="Z30" s="105">
        <v>10</v>
      </c>
      <c r="AA30" s="105">
        <v>2316</v>
      </c>
      <c r="AB30" s="105">
        <v>8</v>
      </c>
      <c r="AC30" s="105">
        <v>1852.8</v>
      </c>
      <c r="AD30" s="105">
        <v>8</v>
      </c>
      <c r="AE30" s="105">
        <v>1852.8</v>
      </c>
      <c r="AF30" s="105">
        <v>8</v>
      </c>
      <c r="AG30" s="105">
        <v>1852.8</v>
      </c>
      <c r="AH30" s="105">
        <v>8</v>
      </c>
      <c r="AI30" s="105">
        <v>1852.8</v>
      </c>
      <c r="AJ30" s="105">
        <v>10</v>
      </c>
      <c r="AK30" s="105">
        <v>2316</v>
      </c>
      <c r="AL30" s="105">
        <v>10</v>
      </c>
      <c r="AM30" s="105">
        <v>2316</v>
      </c>
      <c r="AN30" s="105">
        <v>7</v>
      </c>
      <c r="AO30" s="105">
        <v>1621.2</v>
      </c>
      <c r="AP30" s="105">
        <v>13</v>
      </c>
      <c r="AQ30" s="105">
        <v>3010.7999999999997</v>
      </c>
      <c r="AR30" s="105">
        <v>7</v>
      </c>
      <c r="AS30" s="105">
        <v>1621.2</v>
      </c>
      <c r="AT30" s="105">
        <v>10</v>
      </c>
      <c r="AU30" s="105">
        <v>2316</v>
      </c>
      <c r="AV30" s="105">
        <v>7</v>
      </c>
      <c r="AW30" s="105">
        <v>1621.2</v>
      </c>
      <c r="AX30" s="105">
        <v>11</v>
      </c>
      <c r="AY30" s="105">
        <v>2547.6</v>
      </c>
      <c r="AZ30" s="105">
        <v>11</v>
      </c>
      <c r="BA30" s="105">
        <v>2547.6</v>
      </c>
      <c r="BB30" s="105">
        <v>13</v>
      </c>
      <c r="BC30" s="105">
        <v>3010.7999999999997</v>
      </c>
      <c r="BD30" s="105">
        <v>11</v>
      </c>
      <c r="BE30" s="105">
        <v>2547.6</v>
      </c>
      <c r="BF30" s="105">
        <v>6</v>
      </c>
      <c r="BG30" s="105">
        <v>1389.6</v>
      </c>
      <c r="BH30" s="105">
        <v>10</v>
      </c>
      <c r="BI30" s="105">
        <v>2316</v>
      </c>
      <c r="BJ30" s="105">
        <v>10</v>
      </c>
      <c r="BK30" s="105">
        <v>2316</v>
      </c>
      <c r="BL30" s="105">
        <v>7</v>
      </c>
      <c r="BM30" s="105">
        <v>1621.2</v>
      </c>
      <c r="BN30" s="105">
        <v>10</v>
      </c>
      <c r="BO30" s="105">
        <v>2316</v>
      </c>
      <c r="BP30" s="105">
        <v>7</v>
      </c>
      <c r="BQ30" s="105">
        <v>1621.2</v>
      </c>
      <c r="BR30" s="105">
        <v>10</v>
      </c>
      <c r="BS30" s="105">
        <v>2316</v>
      </c>
      <c r="BT30" s="105">
        <v>13</v>
      </c>
      <c r="BU30" s="105">
        <v>3010.7999999999997</v>
      </c>
      <c r="BV30" s="105">
        <v>6</v>
      </c>
      <c r="BW30" s="105">
        <v>1389.6</v>
      </c>
      <c r="BX30" s="105">
        <v>9</v>
      </c>
      <c r="BY30" s="105">
        <v>2084.4</v>
      </c>
      <c r="BZ30" s="105">
        <v>6</v>
      </c>
      <c r="CA30" s="105">
        <v>1389.6</v>
      </c>
      <c r="CB30" s="105">
        <v>6</v>
      </c>
      <c r="CC30" s="105">
        <v>1389.6</v>
      </c>
      <c r="CD30" s="105">
        <v>8</v>
      </c>
      <c r="CE30" s="105">
        <v>1852.8</v>
      </c>
      <c r="CF30" s="105">
        <v>7</v>
      </c>
      <c r="CG30" s="105">
        <v>1621.2</v>
      </c>
      <c r="CH30" s="105">
        <v>12</v>
      </c>
      <c r="CI30" s="105">
        <v>2779.2</v>
      </c>
      <c r="CJ30" s="105">
        <v>7</v>
      </c>
      <c r="CK30" s="105">
        <v>1621.2</v>
      </c>
      <c r="CL30" s="105">
        <v>7</v>
      </c>
      <c r="CM30" s="105">
        <v>1621.2</v>
      </c>
      <c r="CN30" s="105">
        <v>11</v>
      </c>
      <c r="CO30" s="105">
        <v>2547.6</v>
      </c>
      <c r="CP30" s="105">
        <v>14</v>
      </c>
      <c r="CQ30" s="105">
        <v>3242.4</v>
      </c>
      <c r="CR30" s="105">
        <v>12</v>
      </c>
      <c r="CS30" s="105">
        <v>2779.2</v>
      </c>
      <c r="CT30" s="105">
        <v>8</v>
      </c>
      <c r="CU30" s="105">
        <v>1852.8</v>
      </c>
    </row>
    <row r="31" spans="2:99" x14ac:dyDescent="0.2">
      <c r="C31" s="104" t="s">
        <v>199</v>
      </c>
      <c r="D31" s="105">
        <v>0</v>
      </c>
      <c r="E31" s="105">
        <v>0</v>
      </c>
      <c r="F31" s="105">
        <v>5.8850862817959451</v>
      </c>
      <c r="G31" s="105">
        <v>1045.1913236469597</v>
      </c>
      <c r="H31" s="105">
        <v>9.1161140443505815</v>
      </c>
      <c r="I31" s="105">
        <v>1619.0218542766631</v>
      </c>
      <c r="J31" s="105">
        <v>11.919068588561247</v>
      </c>
      <c r="K31" s="105">
        <v>2116.8265813284775</v>
      </c>
      <c r="L31" s="105">
        <v>8.07420775354149</v>
      </c>
      <c r="M31" s="105">
        <v>1433.9792970289686</v>
      </c>
      <c r="N31" s="105">
        <v>6</v>
      </c>
      <c r="O31" s="105">
        <v>1065.5999999999999</v>
      </c>
      <c r="P31" s="105">
        <v>7</v>
      </c>
      <c r="Q31" s="105">
        <v>1243.2</v>
      </c>
      <c r="R31" s="105">
        <v>8</v>
      </c>
      <c r="S31" s="105">
        <v>1420.8</v>
      </c>
      <c r="T31" s="105">
        <v>7</v>
      </c>
      <c r="U31" s="105">
        <v>1243.2</v>
      </c>
      <c r="V31" s="105">
        <v>7</v>
      </c>
      <c r="W31" s="105">
        <v>1243.2</v>
      </c>
      <c r="X31" s="105">
        <v>8</v>
      </c>
      <c r="Y31" s="105">
        <v>1420.8</v>
      </c>
      <c r="Z31" s="105">
        <v>10</v>
      </c>
      <c r="AA31" s="105">
        <v>1776</v>
      </c>
      <c r="AB31" s="105">
        <v>8</v>
      </c>
      <c r="AC31" s="105">
        <v>1420.8</v>
      </c>
      <c r="AD31" s="105">
        <v>8</v>
      </c>
      <c r="AE31" s="105">
        <v>1420.8</v>
      </c>
      <c r="AF31" s="105">
        <v>7</v>
      </c>
      <c r="AG31" s="105">
        <v>1243.2</v>
      </c>
      <c r="AH31" s="105">
        <v>8</v>
      </c>
      <c r="AI31" s="105">
        <v>1420.8</v>
      </c>
      <c r="AJ31" s="105">
        <v>10</v>
      </c>
      <c r="AK31" s="105">
        <v>1776</v>
      </c>
      <c r="AL31" s="105">
        <v>11</v>
      </c>
      <c r="AM31" s="105">
        <v>1953.6</v>
      </c>
      <c r="AN31" s="105">
        <v>8</v>
      </c>
      <c r="AO31" s="105">
        <v>1420.8</v>
      </c>
      <c r="AP31" s="105">
        <v>13</v>
      </c>
      <c r="AQ31" s="105">
        <v>2308.7999999999997</v>
      </c>
      <c r="AR31" s="105">
        <v>7</v>
      </c>
      <c r="AS31" s="105">
        <v>1243.2</v>
      </c>
      <c r="AT31" s="105">
        <v>10</v>
      </c>
      <c r="AU31" s="105">
        <v>1776</v>
      </c>
      <c r="AV31" s="105">
        <v>7</v>
      </c>
      <c r="AW31" s="105">
        <v>1243.2</v>
      </c>
      <c r="AX31" s="105">
        <v>11</v>
      </c>
      <c r="AY31" s="105">
        <v>1953.6</v>
      </c>
      <c r="AZ31" s="105">
        <v>11</v>
      </c>
      <c r="BA31" s="105">
        <v>1953.6</v>
      </c>
      <c r="BB31" s="105">
        <v>11</v>
      </c>
      <c r="BC31" s="105">
        <v>1953.6</v>
      </c>
      <c r="BD31" s="105">
        <v>11</v>
      </c>
      <c r="BE31" s="105">
        <v>1953.6</v>
      </c>
      <c r="BF31" s="105">
        <v>6</v>
      </c>
      <c r="BG31" s="105">
        <v>1065.5999999999999</v>
      </c>
      <c r="BH31" s="105">
        <v>11</v>
      </c>
      <c r="BI31" s="105">
        <v>1953.6</v>
      </c>
      <c r="BJ31" s="105">
        <v>10</v>
      </c>
      <c r="BK31" s="105">
        <v>1776</v>
      </c>
      <c r="BL31" s="105">
        <v>8</v>
      </c>
      <c r="BM31" s="105">
        <v>1420.8</v>
      </c>
      <c r="BN31" s="105">
        <v>11</v>
      </c>
      <c r="BO31" s="105">
        <v>1953.6</v>
      </c>
      <c r="BP31" s="105">
        <v>7</v>
      </c>
      <c r="BQ31" s="105">
        <v>1243.2</v>
      </c>
      <c r="BR31" s="105">
        <v>10</v>
      </c>
      <c r="BS31" s="105">
        <v>1776</v>
      </c>
      <c r="BT31" s="105">
        <v>12</v>
      </c>
      <c r="BU31" s="105">
        <v>2131.1999999999998</v>
      </c>
      <c r="BV31" s="105">
        <v>7</v>
      </c>
      <c r="BW31" s="105">
        <v>1243.2</v>
      </c>
      <c r="BX31" s="105">
        <v>8</v>
      </c>
      <c r="BY31" s="105">
        <v>1420.8</v>
      </c>
      <c r="BZ31" s="105">
        <v>7</v>
      </c>
      <c r="CA31" s="105">
        <v>1243.2</v>
      </c>
      <c r="CB31" s="105">
        <v>6</v>
      </c>
      <c r="CC31" s="105">
        <v>1065.5999999999999</v>
      </c>
      <c r="CD31" s="105">
        <v>9</v>
      </c>
      <c r="CE31" s="105">
        <v>1598.3999999999999</v>
      </c>
      <c r="CF31" s="105">
        <v>8</v>
      </c>
      <c r="CG31" s="105">
        <v>1420.8</v>
      </c>
      <c r="CH31" s="105">
        <v>12</v>
      </c>
      <c r="CI31" s="105">
        <v>2131.1999999999998</v>
      </c>
      <c r="CJ31" s="105">
        <v>7</v>
      </c>
      <c r="CK31" s="105">
        <v>1243.2</v>
      </c>
      <c r="CL31" s="105">
        <v>7</v>
      </c>
      <c r="CM31" s="105">
        <v>1243.2</v>
      </c>
      <c r="CN31" s="105">
        <v>9</v>
      </c>
      <c r="CO31" s="105">
        <v>1598.3999999999999</v>
      </c>
      <c r="CP31" s="105">
        <v>13</v>
      </c>
      <c r="CQ31" s="105">
        <v>2308.7999999999997</v>
      </c>
      <c r="CR31" s="105">
        <v>13</v>
      </c>
      <c r="CS31" s="105">
        <v>2308.7999999999997</v>
      </c>
      <c r="CT31" s="105">
        <v>8</v>
      </c>
      <c r="CU31" s="105">
        <v>1420.8</v>
      </c>
    </row>
    <row r="32" spans="2:99" x14ac:dyDescent="0.2">
      <c r="C32" s="104" t="s">
        <v>200</v>
      </c>
      <c r="D32" s="105">
        <v>0</v>
      </c>
      <c r="E32" s="105">
        <v>0</v>
      </c>
      <c r="F32" s="105">
        <v>6</v>
      </c>
      <c r="G32" s="105">
        <v>3981.6000000000004</v>
      </c>
      <c r="H32" s="105">
        <v>10</v>
      </c>
      <c r="I32" s="105">
        <v>6636</v>
      </c>
      <c r="J32" s="105">
        <v>10</v>
      </c>
      <c r="K32" s="105">
        <v>6636</v>
      </c>
      <c r="L32" s="105">
        <v>10</v>
      </c>
      <c r="M32" s="105">
        <v>6636</v>
      </c>
      <c r="N32" s="105">
        <v>6</v>
      </c>
      <c r="O32" s="105">
        <v>3981.6000000000004</v>
      </c>
      <c r="P32" s="105">
        <v>6</v>
      </c>
      <c r="Q32" s="105">
        <v>3981.6000000000004</v>
      </c>
      <c r="R32" s="105">
        <v>7</v>
      </c>
      <c r="S32" s="105">
        <v>4645.2</v>
      </c>
      <c r="T32" s="105">
        <v>6</v>
      </c>
      <c r="U32" s="105">
        <v>3981.6000000000004</v>
      </c>
      <c r="V32" s="105">
        <v>7.6431028209765088</v>
      </c>
      <c r="W32" s="105">
        <v>5071.9630320000115</v>
      </c>
      <c r="X32" s="105">
        <v>8</v>
      </c>
      <c r="Y32" s="105">
        <v>5308.8</v>
      </c>
      <c r="Z32" s="105">
        <v>10</v>
      </c>
      <c r="AA32" s="105">
        <v>6636</v>
      </c>
      <c r="AB32" s="105">
        <v>7</v>
      </c>
      <c r="AC32" s="105">
        <v>4645.2</v>
      </c>
      <c r="AD32" s="105">
        <v>8</v>
      </c>
      <c r="AE32" s="105">
        <v>5308.8</v>
      </c>
      <c r="AF32" s="105">
        <v>8</v>
      </c>
      <c r="AG32" s="105">
        <v>5308.8</v>
      </c>
      <c r="AH32" s="105">
        <v>7</v>
      </c>
      <c r="AI32" s="105">
        <v>4645.2</v>
      </c>
      <c r="AJ32" s="105">
        <v>9</v>
      </c>
      <c r="AK32" s="105">
        <v>5972.4000000000005</v>
      </c>
      <c r="AL32" s="105">
        <v>9</v>
      </c>
      <c r="AM32" s="105">
        <v>5972.4000000000005</v>
      </c>
      <c r="AN32" s="105">
        <v>7</v>
      </c>
      <c r="AO32" s="105">
        <v>4645.2</v>
      </c>
      <c r="AP32" s="105">
        <v>12</v>
      </c>
      <c r="AQ32" s="105">
        <v>7963.2000000000007</v>
      </c>
      <c r="AR32" s="105">
        <v>8</v>
      </c>
      <c r="AS32" s="105">
        <v>5308.8</v>
      </c>
      <c r="AT32" s="105">
        <v>10</v>
      </c>
      <c r="AU32" s="105">
        <v>6636</v>
      </c>
      <c r="AV32" s="105">
        <v>7</v>
      </c>
      <c r="AW32" s="105">
        <v>4645.2</v>
      </c>
      <c r="AX32" s="105">
        <v>10</v>
      </c>
      <c r="AY32" s="105">
        <v>6636</v>
      </c>
      <c r="AZ32" s="105">
        <v>10</v>
      </c>
      <c r="BA32" s="105">
        <v>6636</v>
      </c>
      <c r="BB32" s="105">
        <v>13</v>
      </c>
      <c r="BC32" s="105">
        <v>8626.8000000000011</v>
      </c>
      <c r="BD32" s="105">
        <v>12.35125812257465</v>
      </c>
      <c r="BE32" s="105">
        <v>8196.294890140538</v>
      </c>
      <c r="BF32" s="105">
        <v>6.5113191357349951</v>
      </c>
      <c r="BG32" s="105">
        <v>4320.9113784737428</v>
      </c>
      <c r="BH32" s="105">
        <v>10</v>
      </c>
      <c r="BI32" s="105">
        <v>6636</v>
      </c>
      <c r="BJ32" s="105">
        <v>10</v>
      </c>
      <c r="BK32" s="105">
        <v>6636</v>
      </c>
      <c r="BL32" s="105">
        <v>7</v>
      </c>
      <c r="BM32" s="105">
        <v>4645.2</v>
      </c>
      <c r="BN32" s="105">
        <v>10</v>
      </c>
      <c r="BO32" s="105">
        <v>6636</v>
      </c>
      <c r="BP32" s="105">
        <v>6</v>
      </c>
      <c r="BQ32" s="105">
        <v>3981.6000000000004</v>
      </c>
      <c r="BR32" s="105">
        <v>10</v>
      </c>
      <c r="BS32" s="105">
        <v>6636</v>
      </c>
      <c r="BT32" s="105">
        <v>11</v>
      </c>
      <c r="BU32" s="105">
        <v>7299.6</v>
      </c>
      <c r="BV32" s="105">
        <v>6</v>
      </c>
      <c r="BW32" s="105">
        <v>3981.6000000000004</v>
      </c>
      <c r="BX32" s="105">
        <v>9</v>
      </c>
      <c r="BY32" s="105">
        <v>5972.4000000000005</v>
      </c>
      <c r="BZ32" s="105">
        <v>7</v>
      </c>
      <c r="CA32" s="105">
        <v>4645.2</v>
      </c>
      <c r="CB32" s="105">
        <v>7</v>
      </c>
      <c r="CC32" s="105">
        <v>4645.2</v>
      </c>
      <c r="CD32" s="105">
        <v>8</v>
      </c>
      <c r="CE32" s="105">
        <v>5308.8</v>
      </c>
      <c r="CF32" s="105">
        <v>7</v>
      </c>
      <c r="CG32" s="105">
        <v>4645.2</v>
      </c>
      <c r="CH32" s="105">
        <v>13</v>
      </c>
      <c r="CI32" s="105">
        <v>8626.8000000000011</v>
      </c>
      <c r="CJ32" s="105">
        <v>7.1760392229795009</v>
      </c>
      <c r="CK32" s="105">
        <v>4762.0196283691967</v>
      </c>
      <c r="CL32" s="105">
        <v>7</v>
      </c>
      <c r="CM32" s="105">
        <v>4645.2</v>
      </c>
      <c r="CN32" s="105">
        <v>10</v>
      </c>
      <c r="CO32" s="105">
        <v>6636</v>
      </c>
      <c r="CP32" s="105">
        <v>14</v>
      </c>
      <c r="CQ32" s="105">
        <v>9290.4</v>
      </c>
      <c r="CR32" s="105">
        <v>11</v>
      </c>
      <c r="CS32" s="105">
        <v>7299.6</v>
      </c>
      <c r="CT32" s="105">
        <v>8</v>
      </c>
      <c r="CU32" s="105">
        <v>5308.8</v>
      </c>
    </row>
    <row r="33" spans="2:99" x14ac:dyDescent="0.2">
      <c r="C33" s="104" t="s">
        <v>201</v>
      </c>
      <c r="D33" s="105">
        <v>0</v>
      </c>
      <c r="E33" s="105">
        <v>0</v>
      </c>
      <c r="F33" s="105">
        <v>6.8659339954286027</v>
      </c>
      <c r="G33" s="105">
        <v>2298.7147016694962</v>
      </c>
      <c r="H33" s="105">
        <v>9.1161140443505815</v>
      </c>
      <c r="I33" s="105">
        <v>3052.0749820485748</v>
      </c>
      <c r="J33" s="105">
        <v>9.9325571571343723</v>
      </c>
      <c r="K33" s="105">
        <v>3325.4201362085878</v>
      </c>
      <c r="L33" s="105">
        <v>8.07420775354149</v>
      </c>
      <c r="M33" s="105">
        <v>2703.2447558856911</v>
      </c>
      <c r="N33" s="105">
        <v>6</v>
      </c>
      <c r="O33" s="105">
        <v>2008.8000000000002</v>
      </c>
      <c r="P33" s="105">
        <v>7</v>
      </c>
      <c r="Q33" s="105">
        <v>2343.6</v>
      </c>
      <c r="R33" s="105">
        <v>8</v>
      </c>
      <c r="S33" s="105">
        <v>2678.4</v>
      </c>
      <c r="T33" s="105">
        <v>6</v>
      </c>
      <c r="U33" s="105">
        <v>2008.8000000000002</v>
      </c>
      <c r="V33" s="105">
        <v>6</v>
      </c>
      <c r="W33" s="105">
        <v>2008.8000000000002</v>
      </c>
      <c r="X33" s="105">
        <v>9</v>
      </c>
      <c r="Y33" s="105">
        <v>3013.2000000000003</v>
      </c>
      <c r="Z33" s="105">
        <v>9</v>
      </c>
      <c r="AA33" s="105">
        <v>3013.2000000000003</v>
      </c>
      <c r="AB33" s="105">
        <v>8</v>
      </c>
      <c r="AC33" s="105">
        <v>2678.4</v>
      </c>
      <c r="AD33" s="105">
        <v>9</v>
      </c>
      <c r="AE33" s="105">
        <v>3013.2000000000003</v>
      </c>
      <c r="AF33" s="105">
        <v>8</v>
      </c>
      <c r="AG33" s="105">
        <v>2678.4</v>
      </c>
      <c r="AH33" s="105">
        <v>8</v>
      </c>
      <c r="AI33" s="105">
        <v>2678.4</v>
      </c>
      <c r="AJ33" s="105">
        <v>9</v>
      </c>
      <c r="AK33" s="105">
        <v>3013.2000000000003</v>
      </c>
      <c r="AL33" s="105">
        <v>11</v>
      </c>
      <c r="AM33" s="105">
        <v>3682.8</v>
      </c>
      <c r="AN33" s="105">
        <v>8</v>
      </c>
      <c r="AO33" s="105">
        <v>2678.4</v>
      </c>
      <c r="AP33" s="105">
        <v>12</v>
      </c>
      <c r="AQ33" s="105">
        <v>4017.6000000000004</v>
      </c>
      <c r="AR33" s="105">
        <v>8</v>
      </c>
      <c r="AS33" s="105">
        <v>2678.4</v>
      </c>
      <c r="AT33" s="105">
        <v>10</v>
      </c>
      <c r="AU33" s="105">
        <v>3348</v>
      </c>
      <c r="AV33" s="105">
        <v>8</v>
      </c>
      <c r="AW33" s="105">
        <v>2678.4</v>
      </c>
      <c r="AX33" s="105">
        <v>12</v>
      </c>
      <c r="AY33" s="105">
        <v>4017.6000000000004</v>
      </c>
      <c r="AZ33" s="105">
        <v>10</v>
      </c>
      <c r="BA33" s="105">
        <v>3348</v>
      </c>
      <c r="BB33" s="105">
        <v>11</v>
      </c>
      <c r="BC33" s="105">
        <v>3682.8</v>
      </c>
      <c r="BD33" s="105">
        <v>11</v>
      </c>
      <c r="BE33" s="105">
        <v>3682.8</v>
      </c>
      <c r="BF33" s="105">
        <v>7</v>
      </c>
      <c r="BG33" s="105">
        <v>2343.6</v>
      </c>
      <c r="BH33" s="105">
        <v>11</v>
      </c>
      <c r="BI33" s="105">
        <v>3682.8</v>
      </c>
      <c r="BJ33" s="105">
        <v>9</v>
      </c>
      <c r="BK33" s="105">
        <v>3013.2000000000003</v>
      </c>
      <c r="BL33" s="105">
        <v>7</v>
      </c>
      <c r="BM33" s="105">
        <v>2343.6</v>
      </c>
      <c r="BN33" s="105">
        <v>10</v>
      </c>
      <c r="BO33" s="105">
        <v>3348</v>
      </c>
      <c r="BP33" s="105">
        <v>6</v>
      </c>
      <c r="BQ33" s="105">
        <v>2008.8000000000002</v>
      </c>
      <c r="BR33" s="105">
        <v>9</v>
      </c>
      <c r="BS33" s="105">
        <v>3013.2000000000003</v>
      </c>
      <c r="BT33" s="105">
        <v>11</v>
      </c>
      <c r="BU33" s="105">
        <v>3682.8</v>
      </c>
      <c r="BV33" s="105">
        <v>7</v>
      </c>
      <c r="BW33" s="105">
        <v>2343.6</v>
      </c>
      <c r="BX33" s="105">
        <v>9</v>
      </c>
      <c r="BY33" s="105">
        <v>3013.2000000000003</v>
      </c>
      <c r="BZ33" s="105">
        <v>6</v>
      </c>
      <c r="CA33" s="105">
        <v>2008.8000000000002</v>
      </c>
      <c r="CB33" s="105">
        <v>6</v>
      </c>
      <c r="CC33" s="105">
        <v>2008.8000000000002</v>
      </c>
      <c r="CD33" s="105">
        <v>9</v>
      </c>
      <c r="CE33" s="105">
        <v>3013.2000000000003</v>
      </c>
      <c r="CF33" s="105">
        <v>7</v>
      </c>
      <c r="CG33" s="105">
        <v>2343.6</v>
      </c>
      <c r="CH33" s="105">
        <v>13</v>
      </c>
      <c r="CI33" s="105">
        <v>4352.4000000000005</v>
      </c>
      <c r="CJ33" s="105">
        <v>7</v>
      </c>
      <c r="CK33" s="105">
        <v>2343.6</v>
      </c>
      <c r="CL33" s="105">
        <v>8</v>
      </c>
      <c r="CM33" s="105">
        <v>2678.4</v>
      </c>
      <c r="CN33" s="105">
        <v>9</v>
      </c>
      <c r="CO33" s="105">
        <v>3013.2000000000003</v>
      </c>
      <c r="CP33" s="105">
        <v>13</v>
      </c>
      <c r="CQ33" s="105">
        <v>4352.4000000000005</v>
      </c>
      <c r="CR33" s="105">
        <v>13</v>
      </c>
      <c r="CS33" s="105">
        <v>4352.4000000000005</v>
      </c>
      <c r="CT33" s="105">
        <v>8</v>
      </c>
      <c r="CU33" s="105">
        <v>2678.4</v>
      </c>
    </row>
    <row r="34" spans="2:99" x14ac:dyDescent="0.2">
      <c r="C34" s="104" t="s">
        <v>202</v>
      </c>
      <c r="D34" s="105">
        <v>0</v>
      </c>
      <c r="E34" s="105">
        <v>0</v>
      </c>
      <c r="F34" s="105">
        <v>5.8850862817959451</v>
      </c>
      <c r="G34" s="105">
        <v>2238.6868215951772</v>
      </c>
      <c r="H34" s="105">
        <v>8.204502639915523</v>
      </c>
      <c r="I34" s="105">
        <v>3120.9928042238648</v>
      </c>
      <c r="J34" s="105">
        <v>9.9325571571343723</v>
      </c>
      <c r="K34" s="105">
        <v>3778.344742573915</v>
      </c>
      <c r="L34" s="105">
        <v>8.9713419483794326</v>
      </c>
      <c r="M34" s="105">
        <v>3412.6984771635362</v>
      </c>
      <c r="N34" s="105">
        <v>5</v>
      </c>
      <c r="O34" s="105">
        <v>1902</v>
      </c>
      <c r="P34" s="105">
        <v>6</v>
      </c>
      <c r="Q34" s="105">
        <v>2282.3999999999996</v>
      </c>
      <c r="R34" s="105">
        <v>8</v>
      </c>
      <c r="S34" s="105">
        <v>3043.2</v>
      </c>
      <c r="T34" s="105">
        <v>7</v>
      </c>
      <c r="U34" s="105">
        <v>2662.7999999999997</v>
      </c>
      <c r="V34" s="105">
        <v>7</v>
      </c>
      <c r="W34" s="105">
        <v>2662.7999999999997</v>
      </c>
      <c r="X34" s="105">
        <v>7</v>
      </c>
      <c r="Y34" s="105">
        <v>2662.7999999999997</v>
      </c>
      <c r="Z34" s="105">
        <v>9</v>
      </c>
      <c r="AA34" s="105">
        <v>3423.6</v>
      </c>
      <c r="AB34" s="105">
        <v>9</v>
      </c>
      <c r="AC34" s="105">
        <v>3423.6</v>
      </c>
      <c r="AD34" s="105">
        <v>9</v>
      </c>
      <c r="AE34" s="105">
        <v>3423.6</v>
      </c>
      <c r="AF34" s="105">
        <v>7</v>
      </c>
      <c r="AG34" s="105">
        <v>2662.7999999999997</v>
      </c>
      <c r="AH34" s="105">
        <v>8</v>
      </c>
      <c r="AI34" s="105">
        <v>3043.2</v>
      </c>
      <c r="AJ34" s="105">
        <v>10</v>
      </c>
      <c r="AK34" s="105">
        <v>3804</v>
      </c>
      <c r="AL34" s="105">
        <v>10</v>
      </c>
      <c r="AM34" s="105">
        <v>3804</v>
      </c>
      <c r="AN34" s="105">
        <v>8</v>
      </c>
      <c r="AO34" s="105">
        <v>3043.2</v>
      </c>
      <c r="AP34" s="105">
        <v>13</v>
      </c>
      <c r="AQ34" s="105">
        <v>4945.2</v>
      </c>
      <c r="AR34" s="105">
        <v>8</v>
      </c>
      <c r="AS34" s="105">
        <v>3043.2</v>
      </c>
      <c r="AT34" s="105">
        <v>12</v>
      </c>
      <c r="AU34" s="105">
        <v>4564.7999999999993</v>
      </c>
      <c r="AV34" s="105">
        <v>7</v>
      </c>
      <c r="AW34" s="105">
        <v>2662.7999999999997</v>
      </c>
      <c r="AX34" s="105">
        <v>10</v>
      </c>
      <c r="AY34" s="105">
        <v>3804</v>
      </c>
      <c r="AZ34" s="105">
        <v>10</v>
      </c>
      <c r="BA34" s="105">
        <v>3804</v>
      </c>
      <c r="BB34" s="105">
        <v>12</v>
      </c>
      <c r="BC34" s="105">
        <v>4564.7999999999993</v>
      </c>
      <c r="BD34" s="105">
        <v>11</v>
      </c>
      <c r="BE34" s="105">
        <v>4184.3999999999996</v>
      </c>
      <c r="BF34" s="105">
        <v>6</v>
      </c>
      <c r="BG34" s="105">
        <v>2282.3999999999996</v>
      </c>
      <c r="BH34" s="105">
        <v>11</v>
      </c>
      <c r="BI34" s="105">
        <v>4184.3999999999996</v>
      </c>
      <c r="BJ34" s="105">
        <v>10</v>
      </c>
      <c r="BK34" s="105">
        <v>3804</v>
      </c>
      <c r="BL34" s="105">
        <v>7</v>
      </c>
      <c r="BM34" s="105">
        <v>2662.7999999999997</v>
      </c>
      <c r="BN34" s="105">
        <v>11</v>
      </c>
      <c r="BO34" s="105">
        <v>4184.3999999999996</v>
      </c>
      <c r="BP34" s="105">
        <v>6</v>
      </c>
      <c r="BQ34" s="105">
        <v>2282.3999999999996</v>
      </c>
      <c r="BR34" s="105">
        <v>10</v>
      </c>
      <c r="BS34" s="105">
        <v>3804</v>
      </c>
      <c r="BT34" s="105">
        <v>13</v>
      </c>
      <c r="BU34" s="105">
        <v>4945.2</v>
      </c>
      <c r="BV34" s="105">
        <v>7</v>
      </c>
      <c r="BW34" s="105">
        <v>2662.7999999999997</v>
      </c>
      <c r="BX34" s="105">
        <v>8</v>
      </c>
      <c r="BY34" s="105">
        <v>3043.2</v>
      </c>
      <c r="BZ34" s="105">
        <v>7</v>
      </c>
      <c r="CA34" s="105">
        <v>2662.7999999999997</v>
      </c>
      <c r="CB34" s="105">
        <v>7</v>
      </c>
      <c r="CC34" s="105">
        <v>2662.7999999999997</v>
      </c>
      <c r="CD34" s="105">
        <v>8</v>
      </c>
      <c r="CE34" s="105">
        <v>3043.2</v>
      </c>
      <c r="CF34" s="105">
        <v>7</v>
      </c>
      <c r="CG34" s="105">
        <v>2662.7999999999997</v>
      </c>
      <c r="CH34" s="105">
        <v>11</v>
      </c>
      <c r="CI34" s="105">
        <v>4184.3999999999996</v>
      </c>
      <c r="CJ34" s="105">
        <v>7</v>
      </c>
      <c r="CK34" s="105">
        <v>2662.7999999999997</v>
      </c>
      <c r="CL34" s="105">
        <v>7</v>
      </c>
      <c r="CM34" s="105">
        <v>2662.7999999999997</v>
      </c>
      <c r="CN34" s="105">
        <v>10</v>
      </c>
      <c r="CO34" s="105">
        <v>3804</v>
      </c>
      <c r="CP34" s="105">
        <v>13</v>
      </c>
      <c r="CQ34" s="105">
        <v>4945.2</v>
      </c>
      <c r="CR34" s="105">
        <v>13</v>
      </c>
      <c r="CS34" s="105">
        <v>4945.2</v>
      </c>
      <c r="CT34" s="105">
        <v>8</v>
      </c>
      <c r="CU34" s="105">
        <v>3043.2</v>
      </c>
    </row>
    <row r="35" spans="2:99" x14ac:dyDescent="0.2">
      <c r="C35" s="104" t="s">
        <v>203</v>
      </c>
      <c r="D35" s="105">
        <v>0</v>
      </c>
      <c r="E35" s="105">
        <v>0</v>
      </c>
      <c r="F35" s="105">
        <v>6.8659339954286027</v>
      </c>
      <c r="G35" s="105">
        <v>2817.7793117238984</v>
      </c>
      <c r="H35" s="105">
        <v>9.1161140443505815</v>
      </c>
      <c r="I35" s="105">
        <v>3741.2532038014783</v>
      </c>
      <c r="J35" s="105">
        <v>9.9325571571343723</v>
      </c>
      <c r="K35" s="105">
        <v>4076.321457287946</v>
      </c>
      <c r="L35" s="105">
        <v>8.9713419483794326</v>
      </c>
      <c r="M35" s="105">
        <v>3681.8387356149187</v>
      </c>
      <c r="N35" s="105">
        <v>5</v>
      </c>
      <c r="O35" s="105">
        <v>2052</v>
      </c>
      <c r="P35" s="105">
        <v>6</v>
      </c>
      <c r="Q35" s="105">
        <v>2462.3999999999996</v>
      </c>
      <c r="R35" s="105">
        <v>7</v>
      </c>
      <c r="S35" s="105">
        <v>2872.7999999999997</v>
      </c>
      <c r="T35" s="105">
        <v>7</v>
      </c>
      <c r="U35" s="105">
        <v>2872.7999999999997</v>
      </c>
      <c r="V35" s="105">
        <v>7</v>
      </c>
      <c r="W35" s="105">
        <v>2872.7999999999997</v>
      </c>
      <c r="X35" s="105">
        <v>7</v>
      </c>
      <c r="Y35" s="105">
        <v>2872.7999999999997</v>
      </c>
      <c r="Z35" s="105">
        <v>11</v>
      </c>
      <c r="AA35" s="105">
        <v>4514.3999999999996</v>
      </c>
      <c r="AB35" s="105">
        <v>9</v>
      </c>
      <c r="AC35" s="105">
        <v>3693.6</v>
      </c>
      <c r="AD35" s="105">
        <v>8</v>
      </c>
      <c r="AE35" s="105">
        <v>3283.2</v>
      </c>
      <c r="AF35" s="105">
        <v>8</v>
      </c>
      <c r="AG35" s="105">
        <v>3283.2</v>
      </c>
      <c r="AH35" s="105">
        <v>7</v>
      </c>
      <c r="AI35" s="105">
        <v>2872.7999999999997</v>
      </c>
      <c r="AJ35" s="105">
        <v>9</v>
      </c>
      <c r="AK35" s="105">
        <v>3693.6</v>
      </c>
      <c r="AL35" s="105">
        <v>10</v>
      </c>
      <c r="AM35" s="105">
        <v>4104</v>
      </c>
      <c r="AN35" s="105">
        <v>7</v>
      </c>
      <c r="AO35" s="105">
        <v>2872.7999999999997</v>
      </c>
      <c r="AP35" s="105">
        <v>13</v>
      </c>
      <c r="AQ35" s="105">
        <v>5335.2</v>
      </c>
      <c r="AR35" s="105">
        <v>8</v>
      </c>
      <c r="AS35" s="105">
        <v>3283.2</v>
      </c>
      <c r="AT35" s="105">
        <v>12</v>
      </c>
      <c r="AU35" s="105">
        <v>4924.7999999999993</v>
      </c>
      <c r="AV35" s="105">
        <v>8</v>
      </c>
      <c r="AW35" s="105">
        <v>3283.2</v>
      </c>
      <c r="AX35" s="105">
        <v>11</v>
      </c>
      <c r="AY35" s="105">
        <v>4514.3999999999996</v>
      </c>
      <c r="AZ35" s="105">
        <v>11</v>
      </c>
      <c r="BA35" s="105">
        <v>4514.3999999999996</v>
      </c>
      <c r="BB35" s="105">
        <v>12</v>
      </c>
      <c r="BC35" s="105">
        <v>4924.7999999999993</v>
      </c>
      <c r="BD35" s="105">
        <v>11</v>
      </c>
      <c r="BE35" s="105">
        <v>4514.3999999999996</v>
      </c>
      <c r="BF35" s="105">
        <v>6</v>
      </c>
      <c r="BG35" s="105">
        <v>2462.3999999999996</v>
      </c>
      <c r="BH35" s="105">
        <v>10</v>
      </c>
      <c r="BI35" s="105">
        <v>4104</v>
      </c>
      <c r="BJ35" s="105">
        <v>10</v>
      </c>
      <c r="BK35" s="105">
        <v>4104</v>
      </c>
      <c r="BL35" s="105">
        <v>8</v>
      </c>
      <c r="BM35" s="105">
        <v>3283.2</v>
      </c>
      <c r="BN35" s="105">
        <v>10</v>
      </c>
      <c r="BO35" s="105">
        <v>4104</v>
      </c>
      <c r="BP35" s="105">
        <v>6</v>
      </c>
      <c r="BQ35" s="105">
        <v>2462.3999999999996</v>
      </c>
      <c r="BR35" s="105">
        <v>10</v>
      </c>
      <c r="BS35" s="105">
        <v>4104</v>
      </c>
      <c r="BT35" s="105">
        <v>13</v>
      </c>
      <c r="BU35" s="105">
        <v>5335.2</v>
      </c>
      <c r="BV35" s="105">
        <v>7</v>
      </c>
      <c r="BW35" s="105">
        <v>2872.7999999999997</v>
      </c>
      <c r="BX35" s="105">
        <v>9</v>
      </c>
      <c r="BY35" s="105">
        <v>3693.6</v>
      </c>
      <c r="BZ35" s="105">
        <v>6</v>
      </c>
      <c r="CA35" s="105">
        <v>2462.3999999999996</v>
      </c>
      <c r="CB35" s="105">
        <v>7</v>
      </c>
      <c r="CC35" s="105">
        <v>2872.7999999999997</v>
      </c>
      <c r="CD35" s="105">
        <v>9</v>
      </c>
      <c r="CE35" s="105">
        <v>3693.6</v>
      </c>
      <c r="CF35" s="105">
        <v>7</v>
      </c>
      <c r="CG35" s="105">
        <v>2872.7999999999997</v>
      </c>
      <c r="CH35" s="105">
        <v>12</v>
      </c>
      <c r="CI35" s="105">
        <v>4924.7999999999993</v>
      </c>
      <c r="CJ35" s="105">
        <v>7</v>
      </c>
      <c r="CK35" s="105">
        <v>2872.7999999999997</v>
      </c>
      <c r="CL35" s="105">
        <v>7</v>
      </c>
      <c r="CM35" s="105">
        <v>2872.7999999999997</v>
      </c>
      <c r="CN35" s="105">
        <v>9</v>
      </c>
      <c r="CO35" s="105">
        <v>3693.6</v>
      </c>
      <c r="CP35" s="105">
        <v>12</v>
      </c>
      <c r="CQ35" s="105">
        <v>4924.7999999999993</v>
      </c>
      <c r="CR35" s="105">
        <v>12</v>
      </c>
      <c r="CS35" s="105">
        <v>4924.7999999999993</v>
      </c>
      <c r="CT35" s="105">
        <v>7</v>
      </c>
      <c r="CU35" s="105">
        <v>2872.7999999999997</v>
      </c>
    </row>
    <row r="36" spans="2:99" x14ac:dyDescent="0.2">
      <c r="C36" s="104" t="s">
        <v>204</v>
      </c>
      <c r="D36" s="105">
        <v>0</v>
      </c>
      <c r="E36" s="105">
        <v>0</v>
      </c>
      <c r="F36" s="105">
        <v>6</v>
      </c>
      <c r="G36" s="105">
        <v>2750.3999999999996</v>
      </c>
      <c r="H36" s="105">
        <v>9</v>
      </c>
      <c r="I36" s="105">
        <v>4125.5999999999995</v>
      </c>
      <c r="J36" s="105">
        <v>10</v>
      </c>
      <c r="K36" s="105">
        <v>4584</v>
      </c>
      <c r="L36" s="105">
        <v>10</v>
      </c>
      <c r="M36" s="105">
        <v>4584</v>
      </c>
      <c r="N36" s="105">
        <v>6</v>
      </c>
      <c r="O36" s="105">
        <v>2750.3999999999996</v>
      </c>
      <c r="P36" s="105">
        <v>7</v>
      </c>
      <c r="Q36" s="105">
        <v>3208.7999999999997</v>
      </c>
      <c r="R36" s="105">
        <v>8</v>
      </c>
      <c r="S36" s="105">
        <v>3667.2</v>
      </c>
      <c r="T36" s="105">
        <v>7</v>
      </c>
      <c r="U36" s="105">
        <v>3208.7999999999997</v>
      </c>
      <c r="V36" s="105">
        <v>7.6431028209765088</v>
      </c>
      <c r="W36" s="105">
        <v>3503.5983331356315</v>
      </c>
      <c r="X36" s="105">
        <v>8</v>
      </c>
      <c r="Y36" s="105">
        <v>3667.2</v>
      </c>
      <c r="Z36" s="105">
        <v>10</v>
      </c>
      <c r="AA36" s="105">
        <v>4584</v>
      </c>
      <c r="AB36" s="105">
        <v>8</v>
      </c>
      <c r="AC36" s="105">
        <v>3667.2</v>
      </c>
      <c r="AD36" s="105">
        <v>8</v>
      </c>
      <c r="AE36" s="105">
        <v>3667.2</v>
      </c>
      <c r="AF36" s="105">
        <v>8</v>
      </c>
      <c r="AG36" s="105">
        <v>3667.2</v>
      </c>
      <c r="AH36" s="105">
        <v>8</v>
      </c>
      <c r="AI36" s="105">
        <v>3667.2</v>
      </c>
      <c r="AJ36" s="105">
        <v>9</v>
      </c>
      <c r="AK36" s="105">
        <v>4125.5999999999995</v>
      </c>
      <c r="AL36" s="105">
        <v>9</v>
      </c>
      <c r="AM36" s="105">
        <v>4125.5999999999995</v>
      </c>
      <c r="AN36" s="105">
        <v>7</v>
      </c>
      <c r="AO36" s="105">
        <v>3208.7999999999997</v>
      </c>
      <c r="AP36" s="105">
        <v>12</v>
      </c>
      <c r="AQ36" s="105">
        <v>5500.7999999999993</v>
      </c>
      <c r="AR36" s="105">
        <v>8</v>
      </c>
      <c r="AS36" s="105">
        <v>3667.2</v>
      </c>
      <c r="AT36" s="105">
        <v>11</v>
      </c>
      <c r="AU36" s="105">
        <v>5042.3999999999996</v>
      </c>
      <c r="AV36" s="105">
        <v>8</v>
      </c>
      <c r="AW36" s="105">
        <v>3667.2</v>
      </c>
      <c r="AX36" s="105">
        <v>12</v>
      </c>
      <c r="AY36" s="105">
        <v>5500.7999999999993</v>
      </c>
      <c r="AZ36" s="105">
        <v>12</v>
      </c>
      <c r="BA36" s="105">
        <v>5500.7999999999993</v>
      </c>
      <c r="BB36" s="105">
        <v>13</v>
      </c>
      <c r="BC36" s="105">
        <v>5959.2</v>
      </c>
      <c r="BD36" s="105">
        <v>11.326168256676462</v>
      </c>
      <c r="BE36" s="105">
        <v>5191.9155288604898</v>
      </c>
      <c r="BF36" s="105">
        <v>6.5113191357349951</v>
      </c>
      <c r="BG36" s="105">
        <v>2984.7886918209215</v>
      </c>
      <c r="BH36" s="105">
        <v>10</v>
      </c>
      <c r="BI36" s="105">
        <v>4584</v>
      </c>
      <c r="BJ36" s="105">
        <v>11</v>
      </c>
      <c r="BK36" s="105">
        <v>5042.3999999999996</v>
      </c>
      <c r="BL36" s="105">
        <v>8</v>
      </c>
      <c r="BM36" s="105">
        <v>3667.2</v>
      </c>
      <c r="BN36" s="105">
        <v>10</v>
      </c>
      <c r="BO36" s="105">
        <v>4584</v>
      </c>
      <c r="BP36" s="105">
        <v>6</v>
      </c>
      <c r="BQ36" s="105">
        <v>2750.3999999999996</v>
      </c>
      <c r="BR36" s="105">
        <v>9</v>
      </c>
      <c r="BS36" s="105">
        <v>4125.5999999999995</v>
      </c>
      <c r="BT36" s="105">
        <v>12</v>
      </c>
      <c r="BU36" s="105">
        <v>5500.7999999999993</v>
      </c>
      <c r="BV36" s="105">
        <v>6</v>
      </c>
      <c r="BW36" s="105">
        <v>2750.3999999999996</v>
      </c>
      <c r="BX36" s="105">
        <v>9</v>
      </c>
      <c r="BY36" s="105">
        <v>4125.5999999999995</v>
      </c>
      <c r="BZ36" s="105">
        <v>6</v>
      </c>
      <c r="CA36" s="105">
        <v>2750.3999999999996</v>
      </c>
      <c r="CB36" s="105">
        <v>6</v>
      </c>
      <c r="CC36" s="105">
        <v>2750.3999999999996</v>
      </c>
      <c r="CD36" s="105">
        <v>8</v>
      </c>
      <c r="CE36" s="105">
        <v>3667.2</v>
      </c>
      <c r="CF36" s="105">
        <v>8</v>
      </c>
      <c r="CG36" s="105">
        <v>3667.2</v>
      </c>
      <c r="CH36" s="105">
        <v>12</v>
      </c>
      <c r="CI36" s="105">
        <v>5500.7999999999993</v>
      </c>
      <c r="CJ36" s="105">
        <v>7.1760392229795009</v>
      </c>
      <c r="CK36" s="105">
        <v>3289.4963798138028</v>
      </c>
      <c r="CL36" s="105">
        <v>7</v>
      </c>
      <c r="CM36" s="105">
        <v>3208.7999999999997</v>
      </c>
      <c r="CN36" s="105">
        <v>10</v>
      </c>
      <c r="CO36" s="105">
        <v>4584</v>
      </c>
      <c r="CP36" s="105">
        <v>12</v>
      </c>
      <c r="CQ36" s="105">
        <v>5500.7999999999993</v>
      </c>
      <c r="CR36" s="105">
        <v>13</v>
      </c>
      <c r="CS36" s="105">
        <v>5959.2</v>
      </c>
      <c r="CT36" s="105">
        <v>8</v>
      </c>
      <c r="CU36" s="105">
        <v>3667.2</v>
      </c>
    </row>
    <row r="37" spans="2:99" x14ac:dyDescent="0.2">
      <c r="B37" s="104" t="s">
        <v>128</v>
      </c>
      <c r="C37" s="104" t="s">
        <v>205</v>
      </c>
      <c r="D37" s="105">
        <v>0</v>
      </c>
      <c r="E37" s="105">
        <v>0</v>
      </c>
      <c r="F37" s="105">
        <v>5.8850862817959451</v>
      </c>
      <c r="G37" s="105">
        <v>3834.7222212182378</v>
      </c>
      <c r="H37" s="105">
        <v>3.6464456177402327</v>
      </c>
      <c r="I37" s="105">
        <v>2376.0239645195356</v>
      </c>
      <c r="J37" s="105">
        <v>3.9730228628537492</v>
      </c>
      <c r="K37" s="105">
        <v>2588.8216974355032</v>
      </c>
      <c r="L37" s="105">
        <v>5.3828051690276606</v>
      </c>
      <c r="M37" s="105">
        <v>3507.4358481384238</v>
      </c>
      <c r="N37" s="105">
        <v>3</v>
      </c>
      <c r="O37" s="105">
        <v>1954.8000000000002</v>
      </c>
      <c r="P37" s="105">
        <v>6</v>
      </c>
      <c r="Q37" s="105">
        <v>3909.6000000000004</v>
      </c>
      <c r="R37" s="105">
        <v>3</v>
      </c>
      <c r="S37" s="105">
        <v>1954.8000000000002</v>
      </c>
      <c r="T37" s="105">
        <v>5</v>
      </c>
      <c r="U37" s="105">
        <v>3258</v>
      </c>
      <c r="V37" s="105">
        <v>4</v>
      </c>
      <c r="W37" s="105">
        <v>2606.4</v>
      </c>
      <c r="X37" s="105">
        <v>4</v>
      </c>
      <c r="Y37" s="105">
        <v>2606.4</v>
      </c>
      <c r="Z37" s="105">
        <v>3</v>
      </c>
      <c r="AA37" s="105">
        <v>1954.8000000000002</v>
      </c>
      <c r="AB37" s="105">
        <v>4</v>
      </c>
      <c r="AC37" s="105">
        <v>2606.4</v>
      </c>
      <c r="AD37" s="105">
        <v>5</v>
      </c>
      <c r="AE37" s="105">
        <v>3258</v>
      </c>
      <c r="AF37" s="105">
        <v>4</v>
      </c>
      <c r="AG37" s="105">
        <v>2606.4</v>
      </c>
      <c r="AH37" s="105">
        <v>4</v>
      </c>
      <c r="AI37" s="105">
        <v>2606.4</v>
      </c>
      <c r="AJ37" s="105">
        <v>3</v>
      </c>
      <c r="AK37" s="105">
        <v>1954.8000000000002</v>
      </c>
      <c r="AL37" s="105">
        <v>6</v>
      </c>
      <c r="AM37" s="105">
        <v>3909.6000000000004</v>
      </c>
      <c r="AN37" s="105">
        <v>5</v>
      </c>
      <c r="AO37" s="105">
        <v>3258</v>
      </c>
      <c r="AP37" s="105">
        <v>6</v>
      </c>
      <c r="AQ37" s="105">
        <v>3909.6000000000004</v>
      </c>
      <c r="AR37" s="105">
        <v>6</v>
      </c>
      <c r="AS37" s="105">
        <v>3909.6000000000004</v>
      </c>
      <c r="AT37" s="105">
        <v>6</v>
      </c>
      <c r="AU37" s="105">
        <v>3909.6000000000004</v>
      </c>
      <c r="AV37" s="105">
        <v>3</v>
      </c>
      <c r="AW37" s="105">
        <v>1954.8000000000002</v>
      </c>
      <c r="AX37" s="105">
        <v>4</v>
      </c>
      <c r="AY37" s="105">
        <v>2606.4</v>
      </c>
      <c r="AZ37" s="105">
        <v>6</v>
      </c>
      <c r="BA37" s="105">
        <v>3909.6000000000004</v>
      </c>
      <c r="BB37" s="105">
        <v>4</v>
      </c>
      <c r="BC37" s="105">
        <v>2606.4</v>
      </c>
      <c r="BD37" s="105">
        <v>4</v>
      </c>
      <c r="BE37" s="105">
        <v>2606.4</v>
      </c>
      <c r="BF37" s="105">
        <v>5</v>
      </c>
      <c r="BG37" s="105">
        <v>3258</v>
      </c>
      <c r="BH37" s="105">
        <v>4</v>
      </c>
      <c r="BI37" s="105">
        <v>2606.4</v>
      </c>
      <c r="BJ37" s="105">
        <v>7</v>
      </c>
      <c r="BK37" s="105">
        <v>4561.2</v>
      </c>
      <c r="BL37" s="105">
        <v>3</v>
      </c>
      <c r="BM37" s="105">
        <v>1954.8000000000002</v>
      </c>
      <c r="BN37" s="105">
        <v>4</v>
      </c>
      <c r="BO37" s="105">
        <v>2606.4</v>
      </c>
      <c r="BP37" s="105">
        <v>4</v>
      </c>
      <c r="BQ37" s="105">
        <v>2606.4</v>
      </c>
      <c r="BR37" s="105">
        <v>5</v>
      </c>
      <c r="BS37" s="105">
        <v>3258</v>
      </c>
      <c r="BT37" s="105">
        <v>4</v>
      </c>
      <c r="BU37" s="105">
        <v>2606.4</v>
      </c>
      <c r="BV37" s="105">
        <v>4</v>
      </c>
      <c r="BW37" s="105">
        <v>2606.4</v>
      </c>
      <c r="BX37" s="105">
        <v>6</v>
      </c>
      <c r="BY37" s="105">
        <v>3909.6000000000004</v>
      </c>
      <c r="BZ37" s="105">
        <v>3</v>
      </c>
      <c r="CA37" s="105">
        <v>1954.8000000000002</v>
      </c>
      <c r="CB37" s="105">
        <v>4</v>
      </c>
      <c r="CC37" s="105">
        <v>2606.4</v>
      </c>
      <c r="CD37" s="105">
        <v>5</v>
      </c>
      <c r="CE37" s="105">
        <v>3258</v>
      </c>
      <c r="CF37" s="105">
        <v>4</v>
      </c>
      <c r="CG37" s="105">
        <v>2606.4</v>
      </c>
      <c r="CH37" s="105">
        <v>5</v>
      </c>
      <c r="CI37" s="105">
        <v>3258</v>
      </c>
      <c r="CJ37" s="105">
        <v>5</v>
      </c>
      <c r="CK37" s="105">
        <v>3258</v>
      </c>
      <c r="CL37" s="105">
        <v>6</v>
      </c>
      <c r="CM37" s="105">
        <v>3909.6000000000004</v>
      </c>
      <c r="CN37" s="105">
        <v>5</v>
      </c>
      <c r="CO37" s="105">
        <v>3258</v>
      </c>
      <c r="CP37" s="105">
        <v>3</v>
      </c>
      <c r="CQ37" s="105">
        <v>1954.8000000000002</v>
      </c>
      <c r="CR37" s="105">
        <v>5</v>
      </c>
      <c r="CS37" s="105">
        <v>3258</v>
      </c>
      <c r="CT37" s="105">
        <v>4</v>
      </c>
      <c r="CU37" s="105">
        <v>2606.4</v>
      </c>
    </row>
    <row r="38" spans="2:99" x14ac:dyDescent="0.2">
      <c r="C38" s="104" t="s">
        <v>206</v>
      </c>
      <c r="D38" s="105">
        <v>0</v>
      </c>
      <c r="E38" s="105">
        <v>0</v>
      </c>
      <c r="F38" s="105">
        <v>5.8850862817959451</v>
      </c>
      <c r="G38" s="105">
        <v>6073.409042813415</v>
      </c>
      <c r="H38" s="105">
        <v>3.6464456177402327</v>
      </c>
      <c r="I38" s="105">
        <v>3763.1318775079203</v>
      </c>
      <c r="J38" s="105">
        <v>3.9730228628537492</v>
      </c>
      <c r="K38" s="105">
        <v>4100.1595944650689</v>
      </c>
      <c r="L38" s="105">
        <v>4.4856709741897163</v>
      </c>
      <c r="M38" s="105">
        <v>4629.2124453637871</v>
      </c>
      <c r="N38" s="105">
        <v>3</v>
      </c>
      <c r="O38" s="105">
        <v>3096</v>
      </c>
      <c r="P38" s="105">
        <v>6</v>
      </c>
      <c r="Q38" s="105">
        <v>6192</v>
      </c>
      <c r="R38" s="105">
        <v>3</v>
      </c>
      <c r="S38" s="105">
        <v>3096</v>
      </c>
      <c r="T38" s="105">
        <v>5</v>
      </c>
      <c r="U38" s="105">
        <v>5160</v>
      </c>
      <c r="V38" s="105">
        <v>4</v>
      </c>
      <c r="W38" s="105">
        <v>4128</v>
      </c>
      <c r="X38" s="105">
        <v>4</v>
      </c>
      <c r="Y38" s="105">
        <v>4128</v>
      </c>
      <c r="Z38" s="105">
        <v>3</v>
      </c>
      <c r="AA38" s="105">
        <v>3096</v>
      </c>
      <c r="AB38" s="105">
        <v>4</v>
      </c>
      <c r="AC38" s="105">
        <v>4128</v>
      </c>
      <c r="AD38" s="105">
        <v>5</v>
      </c>
      <c r="AE38" s="105">
        <v>5160</v>
      </c>
      <c r="AF38" s="105">
        <v>4</v>
      </c>
      <c r="AG38" s="105">
        <v>4128</v>
      </c>
      <c r="AH38" s="105">
        <v>3</v>
      </c>
      <c r="AI38" s="105">
        <v>3096</v>
      </c>
      <c r="AJ38" s="105">
        <v>4</v>
      </c>
      <c r="AK38" s="105">
        <v>4128</v>
      </c>
      <c r="AL38" s="105">
        <v>6</v>
      </c>
      <c r="AM38" s="105">
        <v>6192</v>
      </c>
      <c r="AN38" s="105">
        <v>5</v>
      </c>
      <c r="AO38" s="105">
        <v>5160</v>
      </c>
      <c r="AP38" s="105">
        <v>6</v>
      </c>
      <c r="AQ38" s="105">
        <v>6192</v>
      </c>
      <c r="AR38" s="105">
        <v>6</v>
      </c>
      <c r="AS38" s="105">
        <v>6192</v>
      </c>
      <c r="AT38" s="105">
        <v>6</v>
      </c>
      <c r="AU38" s="105">
        <v>6192</v>
      </c>
      <c r="AV38" s="105">
        <v>3</v>
      </c>
      <c r="AW38" s="105">
        <v>3096</v>
      </c>
      <c r="AX38" s="105">
        <v>4</v>
      </c>
      <c r="AY38" s="105">
        <v>4128</v>
      </c>
      <c r="AZ38" s="105">
        <v>6</v>
      </c>
      <c r="BA38" s="105">
        <v>6192</v>
      </c>
      <c r="BB38" s="105">
        <v>4</v>
      </c>
      <c r="BC38" s="105">
        <v>4128</v>
      </c>
      <c r="BD38" s="105">
        <v>4</v>
      </c>
      <c r="BE38" s="105">
        <v>4128</v>
      </c>
      <c r="BF38" s="105">
        <v>4</v>
      </c>
      <c r="BG38" s="105">
        <v>4128</v>
      </c>
      <c r="BH38" s="105">
        <v>4</v>
      </c>
      <c r="BI38" s="105">
        <v>4128</v>
      </c>
      <c r="BJ38" s="105">
        <v>6</v>
      </c>
      <c r="BK38" s="105">
        <v>6192</v>
      </c>
      <c r="BL38" s="105">
        <v>3</v>
      </c>
      <c r="BM38" s="105">
        <v>3096</v>
      </c>
      <c r="BN38" s="105">
        <v>5</v>
      </c>
      <c r="BO38" s="105">
        <v>5160</v>
      </c>
      <c r="BP38" s="105">
        <v>4</v>
      </c>
      <c r="BQ38" s="105">
        <v>4128</v>
      </c>
      <c r="BR38" s="105">
        <v>5</v>
      </c>
      <c r="BS38" s="105">
        <v>5160</v>
      </c>
      <c r="BT38" s="105">
        <v>5</v>
      </c>
      <c r="BU38" s="105">
        <v>5160</v>
      </c>
      <c r="BV38" s="105">
        <v>5</v>
      </c>
      <c r="BW38" s="105">
        <v>5160</v>
      </c>
      <c r="BX38" s="105">
        <v>5</v>
      </c>
      <c r="BY38" s="105">
        <v>5160</v>
      </c>
      <c r="BZ38" s="105">
        <v>3</v>
      </c>
      <c r="CA38" s="105">
        <v>3096</v>
      </c>
      <c r="CB38" s="105">
        <v>4</v>
      </c>
      <c r="CC38" s="105">
        <v>4128</v>
      </c>
      <c r="CD38" s="105">
        <v>6</v>
      </c>
      <c r="CE38" s="105">
        <v>6192</v>
      </c>
      <c r="CF38" s="105">
        <v>4</v>
      </c>
      <c r="CG38" s="105">
        <v>4128</v>
      </c>
      <c r="CH38" s="105">
        <v>5</v>
      </c>
      <c r="CI38" s="105">
        <v>5160</v>
      </c>
      <c r="CJ38" s="105">
        <v>4</v>
      </c>
      <c r="CK38" s="105">
        <v>4128</v>
      </c>
      <c r="CL38" s="105">
        <v>6</v>
      </c>
      <c r="CM38" s="105">
        <v>6192</v>
      </c>
      <c r="CN38" s="105">
        <v>5</v>
      </c>
      <c r="CO38" s="105">
        <v>5160</v>
      </c>
      <c r="CP38" s="105">
        <v>3</v>
      </c>
      <c r="CQ38" s="105">
        <v>3096</v>
      </c>
      <c r="CR38" s="105">
        <v>4</v>
      </c>
      <c r="CS38" s="105">
        <v>4128</v>
      </c>
      <c r="CT38" s="105">
        <v>3</v>
      </c>
      <c r="CU38" s="105">
        <v>3096</v>
      </c>
    </row>
    <row r="39" spans="2:99" x14ac:dyDescent="0.2">
      <c r="C39" s="104" t="s">
        <v>207</v>
      </c>
      <c r="D39" s="105">
        <v>0</v>
      </c>
      <c r="E39" s="105">
        <v>0</v>
      </c>
      <c r="F39" s="105">
        <v>4.9042385681632874</v>
      </c>
      <c r="G39" s="105">
        <v>5943.9371446139039</v>
      </c>
      <c r="H39" s="105">
        <v>3.6464456177402327</v>
      </c>
      <c r="I39" s="105">
        <v>4419.4920887011622</v>
      </c>
      <c r="J39" s="105">
        <v>4.9662785785671861</v>
      </c>
      <c r="K39" s="105">
        <v>6019.1296372234292</v>
      </c>
      <c r="L39" s="105">
        <v>4.4856709741897163</v>
      </c>
      <c r="M39" s="105">
        <v>5436.6332207179357</v>
      </c>
      <c r="N39" s="105">
        <v>3</v>
      </c>
      <c r="O39" s="105">
        <v>3636</v>
      </c>
      <c r="P39" s="105">
        <v>6</v>
      </c>
      <c r="Q39" s="105">
        <v>7272</v>
      </c>
      <c r="R39" s="105">
        <v>3</v>
      </c>
      <c r="S39" s="105">
        <v>3636</v>
      </c>
      <c r="T39" s="105">
        <v>4</v>
      </c>
      <c r="U39" s="105">
        <v>4848</v>
      </c>
      <c r="V39" s="105">
        <v>4</v>
      </c>
      <c r="W39" s="105">
        <v>4848</v>
      </c>
      <c r="X39" s="105">
        <v>4</v>
      </c>
      <c r="Y39" s="105">
        <v>4848</v>
      </c>
      <c r="Z39" s="105">
        <v>4</v>
      </c>
      <c r="AA39" s="105">
        <v>4848</v>
      </c>
      <c r="AB39" s="105">
        <v>4</v>
      </c>
      <c r="AC39" s="105">
        <v>4848</v>
      </c>
      <c r="AD39" s="105">
        <v>5</v>
      </c>
      <c r="AE39" s="105">
        <v>6060</v>
      </c>
      <c r="AF39" s="105">
        <v>4</v>
      </c>
      <c r="AG39" s="105">
        <v>4848</v>
      </c>
      <c r="AH39" s="105">
        <v>3</v>
      </c>
      <c r="AI39" s="105">
        <v>3636</v>
      </c>
      <c r="AJ39" s="105">
        <v>4</v>
      </c>
      <c r="AK39" s="105">
        <v>4848</v>
      </c>
      <c r="AL39" s="105">
        <v>5</v>
      </c>
      <c r="AM39" s="105">
        <v>6060</v>
      </c>
      <c r="AN39" s="105">
        <v>5</v>
      </c>
      <c r="AO39" s="105">
        <v>6060</v>
      </c>
      <c r="AP39" s="105">
        <v>6</v>
      </c>
      <c r="AQ39" s="105">
        <v>7272</v>
      </c>
      <c r="AR39" s="105">
        <v>6</v>
      </c>
      <c r="AS39" s="105">
        <v>7272</v>
      </c>
      <c r="AT39" s="105">
        <v>7</v>
      </c>
      <c r="AU39" s="105">
        <v>8484</v>
      </c>
      <c r="AV39" s="105">
        <v>4</v>
      </c>
      <c r="AW39" s="105">
        <v>4848</v>
      </c>
      <c r="AX39" s="105">
        <v>4</v>
      </c>
      <c r="AY39" s="105">
        <v>4848</v>
      </c>
      <c r="AZ39" s="105">
        <v>7</v>
      </c>
      <c r="BA39" s="105">
        <v>8484</v>
      </c>
      <c r="BB39" s="105">
        <v>4</v>
      </c>
      <c r="BC39" s="105">
        <v>4848</v>
      </c>
      <c r="BD39" s="105">
        <v>4</v>
      </c>
      <c r="BE39" s="105">
        <v>4848</v>
      </c>
      <c r="BF39" s="105">
        <v>4</v>
      </c>
      <c r="BG39" s="105">
        <v>4848</v>
      </c>
      <c r="BH39" s="105">
        <v>4</v>
      </c>
      <c r="BI39" s="105">
        <v>4848</v>
      </c>
      <c r="BJ39" s="105">
        <v>6</v>
      </c>
      <c r="BK39" s="105">
        <v>7272</v>
      </c>
      <c r="BL39" s="105">
        <v>3</v>
      </c>
      <c r="BM39" s="105">
        <v>3636</v>
      </c>
      <c r="BN39" s="105">
        <v>5</v>
      </c>
      <c r="BO39" s="105">
        <v>6060</v>
      </c>
      <c r="BP39" s="105">
        <v>4</v>
      </c>
      <c r="BQ39" s="105">
        <v>4848</v>
      </c>
      <c r="BR39" s="105">
        <v>4</v>
      </c>
      <c r="BS39" s="105">
        <v>4848</v>
      </c>
      <c r="BT39" s="105">
        <v>4</v>
      </c>
      <c r="BU39" s="105">
        <v>4848</v>
      </c>
      <c r="BV39" s="105">
        <v>5</v>
      </c>
      <c r="BW39" s="105">
        <v>6060</v>
      </c>
      <c r="BX39" s="105">
        <v>6</v>
      </c>
      <c r="BY39" s="105">
        <v>7272</v>
      </c>
      <c r="BZ39" s="105">
        <v>3</v>
      </c>
      <c r="CA39" s="105">
        <v>3636</v>
      </c>
      <c r="CB39" s="105">
        <v>4</v>
      </c>
      <c r="CC39" s="105">
        <v>4848</v>
      </c>
      <c r="CD39" s="105">
        <v>5</v>
      </c>
      <c r="CE39" s="105">
        <v>6060</v>
      </c>
      <c r="CF39" s="105">
        <v>4</v>
      </c>
      <c r="CG39" s="105">
        <v>4848</v>
      </c>
      <c r="CH39" s="105">
        <v>5</v>
      </c>
      <c r="CI39" s="105">
        <v>6060</v>
      </c>
      <c r="CJ39" s="105">
        <v>5</v>
      </c>
      <c r="CK39" s="105">
        <v>6060</v>
      </c>
      <c r="CL39" s="105">
        <v>6</v>
      </c>
      <c r="CM39" s="105">
        <v>7272</v>
      </c>
      <c r="CN39" s="105">
        <v>5</v>
      </c>
      <c r="CO39" s="105">
        <v>6060</v>
      </c>
      <c r="CP39" s="105">
        <v>3</v>
      </c>
      <c r="CQ39" s="105">
        <v>3636</v>
      </c>
      <c r="CR39" s="105">
        <v>4</v>
      </c>
      <c r="CS39" s="105">
        <v>4848</v>
      </c>
      <c r="CT39" s="105">
        <v>4</v>
      </c>
      <c r="CU39" s="105">
        <v>4848</v>
      </c>
    </row>
    <row r="40" spans="2:99" x14ac:dyDescent="0.2">
      <c r="C40" s="104" t="s">
        <v>208</v>
      </c>
      <c r="D40" s="105">
        <v>0</v>
      </c>
      <c r="E40" s="105">
        <v>0</v>
      </c>
      <c r="F40" s="105">
        <v>5.8850862817959451</v>
      </c>
      <c r="G40" s="105">
        <v>3043.7666249448625</v>
      </c>
      <c r="H40" s="105">
        <v>4.5580570221752907</v>
      </c>
      <c r="I40" s="105">
        <v>2357.42709186906</v>
      </c>
      <c r="J40" s="105">
        <v>3.9730228628537492</v>
      </c>
      <c r="K40" s="105">
        <v>2054.8474246679589</v>
      </c>
      <c r="L40" s="105">
        <v>5.3828051690276606</v>
      </c>
      <c r="M40" s="105">
        <v>2783.9868334211055</v>
      </c>
      <c r="N40" s="105">
        <v>3</v>
      </c>
      <c r="O40" s="105">
        <v>1551.6</v>
      </c>
      <c r="P40" s="105">
        <v>7</v>
      </c>
      <c r="Q40" s="105">
        <v>3620.3999999999996</v>
      </c>
      <c r="R40" s="105">
        <v>3</v>
      </c>
      <c r="S40" s="105">
        <v>1551.6</v>
      </c>
      <c r="T40" s="105">
        <v>5</v>
      </c>
      <c r="U40" s="105">
        <v>2585.9999999999995</v>
      </c>
      <c r="V40" s="105">
        <v>4</v>
      </c>
      <c r="W40" s="105">
        <v>2068.7999999999997</v>
      </c>
      <c r="X40" s="105">
        <v>5</v>
      </c>
      <c r="Y40" s="105">
        <v>2585.9999999999995</v>
      </c>
      <c r="Z40" s="105">
        <v>4</v>
      </c>
      <c r="AA40" s="105">
        <v>2068.7999999999997</v>
      </c>
      <c r="AB40" s="105">
        <v>4</v>
      </c>
      <c r="AC40" s="105">
        <v>2068.7999999999997</v>
      </c>
      <c r="AD40" s="105">
        <v>5</v>
      </c>
      <c r="AE40" s="105">
        <v>2585.9999999999995</v>
      </c>
      <c r="AF40" s="105">
        <v>4</v>
      </c>
      <c r="AG40" s="105">
        <v>2068.7999999999997</v>
      </c>
      <c r="AH40" s="105">
        <v>3</v>
      </c>
      <c r="AI40" s="105">
        <v>1551.6</v>
      </c>
      <c r="AJ40" s="105">
        <v>4</v>
      </c>
      <c r="AK40" s="105">
        <v>2068.7999999999997</v>
      </c>
      <c r="AL40" s="105">
        <v>6</v>
      </c>
      <c r="AM40" s="105">
        <v>3103.2</v>
      </c>
      <c r="AN40" s="105">
        <v>5</v>
      </c>
      <c r="AO40" s="105">
        <v>2585.9999999999995</v>
      </c>
      <c r="AP40" s="105">
        <v>5</v>
      </c>
      <c r="AQ40" s="105">
        <v>2585.9999999999995</v>
      </c>
      <c r="AR40" s="105">
        <v>6</v>
      </c>
      <c r="AS40" s="105">
        <v>3103.2</v>
      </c>
      <c r="AT40" s="105">
        <v>7</v>
      </c>
      <c r="AU40" s="105">
        <v>3620.3999999999996</v>
      </c>
      <c r="AV40" s="105">
        <v>3</v>
      </c>
      <c r="AW40" s="105">
        <v>1551.6</v>
      </c>
      <c r="AX40" s="105">
        <v>4</v>
      </c>
      <c r="AY40" s="105">
        <v>2068.7999999999997</v>
      </c>
      <c r="AZ40" s="105">
        <v>7</v>
      </c>
      <c r="BA40" s="105">
        <v>3620.3999999999996</v>
      </c>
      <c r="BB40" s="105">
        <v>4</v>
      </c>
      <c r="BC40" s="105">
        <v>2068.7999999999997</v>
      </c>
      <c r="BD40" s="105">
        <v>4</v>
      </c>
      <c r="BE40" s="105">
        <v>2068.7999999999997</v>
      </c>
      <c r="BF40" s="105">
        <v>4</v>
      </c>
      <c r="BG40" s="105">
        <v>2068.7999999999997</v>
      </c>
      <c r="BH40" s="105">
        <v>4</v>
      </c>
      <c r="BI40" s="105">
        <v>2068.7999999999997</v>
      </c>
      <c r="BJ40" s="105">
        <v>7</v>
      </c>
      <c r="BK40" s="105">
        <v>3620.3999999999996</v>
      </c>
      <c r="BL40" s="105">
        <v>3</v>
      </c>
      <c r="BM40" s="105">
        <v>1551.6</v>
      </c>
      <c r="BN40" s="105">
        <v>5</v>
      </c>
      <c r="BO40" s="105">
        <v>2585.9999999999995</v>
      </c>
      <c r="BP40" s="105">
        <v>4</v>
      </c>
      <c r="BQ40" s="105">
        <v>2068.7999999999997</v>
      </c>
      <c r="BR40" s="105">
        <v>5</v>
      </c>
      <c r="BS40" s="105">
        <v>2585.9999999999995</v>
      </c>
      <c r="BT40" s="105">
        <v>5</v>
      </c>
      <c r="BU40" s="105">
        <v>2585.9999999999995</v>
      </c>
      <c r="BV40" s="105">
        <v>5</v>
      </c>
      <c r="BW40" s="105">
        <v>2585.9999999999995</v>
      </c>
      <c r="BX40" s="105">
        <v>6</v>
      </c>
      <c r="BY40" s="105">
        <v>3103.2</v>
      </c>
      <c r="BZ40" s="105">
        <v>4</v>
      </c>
      <c r="CA40" s="105">
        <v>2068.7999999999997</v>
      </c>
      <c r="CB40" s="105">
        <v>4</v>
      </c>
      <c r="CC40" s="105">
        <v>2068.7999999999997</v>
      </c>
      <c r="CD40" s="105">
        <v>5</v>
      </c>
      <c r="CE40" s="105">
        <v>2585.9999999999995</v>
      </c>
      <c r="CF40" s="105">
        <v>4</v>
      </c>
      <c r="CG40" s="105">
        <v>2068.7999999999997</v>
      </c>
      <c r="CH40" s="105">
        <v>5</v>
      </c>
      <c r="CI40" s="105">
        <v>2585.9999999999995</v>
      </c>
      <c r="CJ40" s="105">
        <v>5</v>
      </c>
      <c r="CK40" s="105">
        <v>2585.9999999999995</v>
      </c>
      <c r="CL40" s="105">
        <v>6</v>
      </c>
      <c r="CM40" s="105">
        <v>3103.2</v>
      </c>
      <c r="CN40" s="105">
        <v>5</v>
      </c>
      <c r="CO40" s="105">
        <v>2585.9999999999995</v>
      </c>
      <c r="CP40" s="105">
        <v>3</v>
      </c>
      <c r="CQ40" s="105">
        <v>1551.6</v>
      </c>
      <c r="CR40" s="105">
        <v>4</v>
      </c>
      <c r="CS40" s="105">
        <v>2068.7999999999997</v>
      </c>
      <c r="CT40" s="105">
        <v>4</v>
      </c>
      <c r="CU40" s="105">
        <v>2068.7999999999997</v>
      </c>
    </row>
    <row r="41" spans="2:99" x14ac:dyDescent="0.2">
      <c r="C41" s="104" t="s">
        <v>209</v>
      </c>
      <c r="D41" s="105">
        <v>0</v>
      </c>
      <c r="E41" s="105">
        <v>0</v>
      </c>
      <c r="F41" s="105">
        <v>4.9042385681632874</v>
      </c>
      <c r="G41" s="105">
        <v>2230.4477008006634</v>
      </c>
      <c r="H41" s="105">
        <v>3.6464456177402327</v>
      </c>
      <c r="I41" s="105">
        <v>1658.4034669482578</v>
      </c>
      <c r="J41" s="105">
        <v>4.9662785785671861</v>
      </c>
      <c r="K41" s="105">
        <v>2258.6634975323564</v>
      </c>
      <c r="L41" s="105">
        <v>4.4856709741897163</v>
      </c>
      <c r="M41" s="105">
        <v>2040.083159061483</v>
      </c>
      <c r="N41" s="105">
        <v>3</v>
      </c>
      <c r="O41" s="105">
        <v>1364.4</v>
      </c>
      <c r="P41" s="105">
        <v>6</v>
      </c>
      <c r="Q41" s="105">
        <v>2728.8</v>
      </c>
      <c r="R41" s="105">
        <v>3</v>
      </c>
      <c r="S41" s="105">
        <v>1364.4</v>
      </c>
      <c r="T41" s="105">
        <v>5</v>
      </c>
      <c r="U41" s="105">
        <v>2274</v>
      </c>
      <c r="V41" s="105">
        <v>4</v>
      </c>
      <c r="W41" s="105">
        <v>1819.2</v>
      </c>
      <c r="X41" s="105">
        <v>4</v>
      </c>
      <c r="Y41" s="105">
        <v>1819.2</v>
      </c>
      <c r="Z41" s="105">
        <v>4</v>
      </c>
      <c r="AA41" s="105">
        <v>1819.2</v>
      </c>
      <c r="AB41" s="105">
        <v>4</v>
      </c>
      <c r="AC41" s="105">
        <v>1819.2</v>
      </c>
      <c r="AD41" s="105">
        <v>5</v>
      </c>
      <c r="AE41" s="105">
        <v>2274</v>
      </c>
      <c r="AF41" s="105">
        <v>5</v>
      </c>
      <c r="AG41" s="105">
        <v>2274</v>
      </c>
      <c r="AH41" s="105">
        <v>3</v>
      </c>
      <c r="AI41" s="105">
        <v>1364.4</v>
      </c>
      <c r="AJ41" s="105">
        <v>3</v>
      </c>
      <c r="AK41" s="105">
        <v>1364.4</v>
      </c>
      <c r="AL41" s="105">
        <v>5</v>
      </c>
      <c r="AM41" s="105">
        <v>2274</v>
      </c>
      <c r="AN41" s="105">
        <v>6</v>
      </c>
      <c r="AO41" s="105">
        <v>2728.8</v>
      </c>
      <c r="AP41" s="105">
        <v>7</v>
      </c>
      <c r="AQ41" s="105">
        <v>3183.6</v>
      </c>
      <c r="AR41" s="105">
        <v>6</v>
      </c>
      <c r="AS41" s="105">
        <v>2728.8</v>
      </c>
      <c r="AT41" s="105">
        <v>6</v>
      </c>
      <c r="AU41" s="105">
        <v>2728.8</v>
      </c>
      <c r="AV41" s="105">
        <v>4</v>
      </c>
      <c r="AW41" s="105">
        <v>1819.2</v>
      </c>
      <c r="AX41" s="105">
        <v>4</v>
      </c>
      <c r="AY41" s="105">
        <v>1819.2</v>
      </c>
      <c r="AZ41" s="105">
        <v>6</v>
      </c>
      <c r="BA41" s="105">
        <v>2728.8</v>
      </c>
      <c r="BB41" s="105">
        <v>4</v>
      </c>
      <c r="BC41" s="105">
        <v>1819.2</v>
      </c>
      <c r="BD41" s="105">
        <v>4</v>
      </c>
      <c r="BE41" s="105">
        <v>1819.2</v>
      </c>
      <c r="BF41" s="105">
        <v>4</v>
      </c>
      <c r="BG41" s="105">
        <v>1819.2</v>
      </c>
      <c r="BH41" s="105">
        <v>4</v>
      </c>
      <c r="BI41" s="105">
        <v>1819.2</v>
      </c>
      <c r="BJ41" s="105">
        <v>6</v>
      </c>
      <c r="BK41" s="105">
        <v>2728.8</v>
      </c>
      <c r="BL41" s="105">
        <v>3</v>
      </c>
      <c r="BM41" s="105">
        <v>1364.4</v>
      </c>
      <c r="BN41" s="105">
        <v>5</v>
      </c>
      <c r="BO41" s="105">
        <v>2274</v>
      </c>
      <c r="BP41" s="105">
        <v>4</v>
      </c>
      <c r="BQ41" s="105">
        <v>1819.2</v>
      </c>
      <c r="BR41" s="105">
        <v>5</v>
      </c>
      <c r="BS41" s="105">
        <v>2274</v>
      </c>
      <c r="BT41" s="105">
        <v>5</v>
      </c>
      <c r="BU41" s="105">
        <v>2274</v>
      </c>
      <c r="BV41" s="105">
        <v>5</v>
      </c>
      <c r="BW41" s="105">
        <v>2274</v>
      </c>
      <c r="BX41" s="105">
        <v>5</v>
      </c>
      <c r="BY41" s="105">
        <v>2274</v>
      </c>
      <c r="BZ41" s="105">
        <v>3</v>
      </c>
      <c r="CA41" s="105">
        <v>1364.4</v>
      </c>
      <c r="CB41" s="105">
        <v>4</v>
      </c>
      <c r="CC41" s="105">
        <v>1819.2</v>
      </c>
      <c r="CD41" s="105">
        <v>5</v>
      </c>
      <c r="CE41" s="105">
        <v>2274</v>
      </c>
      <c r="CF41" s="105">
        <v>4</v>
      </c>
      <c r="CG41" s="105">
        <v>1819.2</v>
      </c>
      <c r="CH41" s="105">
        <v>5</v>
      </c>
      <c r="CI41" s="105">
        <v>2274</v>
      </c>
      <c r="CJ41" s="105">
        <v>5</v>
      </c>
      <c r="CK41" s="105">
        <v>2274</v>
      </c>
      <c r="CL41" s="105">
        <v>6</v>
      </c>
      <c r="CM41" s="105">
        <v>2728.8</v>
      </c>
      <c r="CN41" s="105">
        <v>6</v>
      </c>
      <c r="CO41" s="105">
        <v>2728.8</v>
      </c>
      <c r="CP41" s="105">
        <v>3</v>
      </c>
      <c r="CQ41" s="105">
        <v>1364.4</v>
      </c>
      <c r="CR41" s="105">
        <v>4</v>
      </c>
      <c r="CS41" s="105">
        <v>1819.2</v>
      </c>
      <c r="CT41" s="105">
        <v>4</v>
      </c>
      <c r="CU41" s="105">
        <v>1819.2</v>
      </c>
    </row>
    <row r="42" spans="2:99" x14ac:dyDescent="0.2">
      <c r="C42" s="104" t="s">
        <v>210</v>
      </c>
      <c r="D42" s="105">
        <v>0</v>
      </c>
      <c r="E42" s="105">
        <v>0</v>
      </c>
      <c r="F42" s="105">
        <v>5.8850862817959451</v>
      </c>
      <c r="G42" s="105">
        <v>4096.0200521299776</v>
      </c>
      <c r="H42" s="105">
        <v>3.6464456177402327</v>
      </c>
      <c r="I42" s="105">
        <v>2537.9261499472018</v>
      </c>
      <c r="J42" s="105">
        <v>3.9730228628537492</v>
      </c>
      <c r="K42" s="105">
        <v>2765.2239125462092</v>
      </c>
      <c r="L42" s="105">
        <v>5.3828051690276606</v>
      </c>
      <c r="M42" s="105">
        <v>3746.432397643252</v>
      </c>
      <c r="N42" s="105">
        <v>4</v>
      </c>
      <c r="O42" s="105">
        <v>2784</v>
      </c>
      <c r="P42" s="105">
        <v>6</v>
      </c>
      <c r="Q42" s="105">
        <v>4176</v>
      </c>
      <c r="R42" s="105">
        <v>3</v>
      </c>
      <c r="S42" s="105">
        <v>2088</v>
      </c>
      <c r="T42" s="105">
        <v>5</v>
      </c>
      <c r="U42" s="105">
        <v>3480</v>
      </c>
      <c r="V42" s="105">
        <v>4</v>
      </c>
      <c r="W42" s="105">
        <v>2784</v>
      </c>
      <c r="X42" s="105">
        <v>4</v>
      </c>
      <c r="Y42" s="105">
        <v>2784</v>
      </c>
      <c r="Z42" s="105">
        <v>4</v>
      </c>
      <c r="AA42" s="105">
        <v>2784</v>
      </c>
      <c r="AB42" s="105">
        <v>4</v>
      </c>
      <c r="AC42" s="105">
        <v>2784</v>
      </c>
      <c r="AD42" s="105">
        <v>5</v>
      </c>
      <c r="AE42" s="105">
        <v>3480</v>
      </c>
      <c r="AF42" s="105">
        <v>4</v>
      </c>
      <c r="AG42" s="105">
        <v>2784</v>
      </c>
      <c r="AH42" s="105">
        <v>3</v>
      </c>
      <c r="AI42" s="105">
        <v>2088</v>
      </c>
      <c r="AJ42" s="105">
        <v>4</v>
      </c>
      <c r="AK42" s="105">
        <v>2784</v>
      </c>
      <c r="AL42" s="105">
        <v>5</v>
      </c>
      <c r="AM42" s="105">
        <v>3480</v>
      </c>
      <c r="AN42" s="105">
        <v>5</v>
      </c>
      <c r="AO42" s="105">
        <v>3480</v>
      </c>
      <c r="AP42" s="105">
        <v>6</v>
      </c>
      <c r="AQ42" s="105">
        <v>4176</v>
      </c>
      <c r="AR42" s="105">
        <v>6</v>
      </c>
      <c r="AS42" s="105">
        <v>4176</v>
      </c>
      <c r="AT42" s="105">
        <v>6</v>
      </c>
      <c r="AU42" s="105">
        <v>4176</v>
      </c>
      <c r="AV42" s="105">
        <v>4</v>
      </c>
      <c r="AW42" s="105">
        <v>2784</v>
      </c>
      <c r="AX42" s="105">
        <v>4</v>
      </c>
      <c r="AY42" s="105">
        <v>2784</v>
      </c>
      <c r="AZ42" s="105">
        <v>6</v>
      </c>
      <c r="BA42" s="105">
        <v>4176</v>
      </c>
      <c r="BB42" s="105">
        <v>4</v>
      </c>
      <c r="BC42" s="105">
        <v>2784</v>
      </c>
      <c r="BD42" s="105">
        <v>4</v>
      </c>
      <c r="BE42" s="105">
        <v>2784</v>
      </c>
      <c r="BF42" s="105">
        <v>5</v>
      </c>
      <c r="BG42" s="105">
        <v>3480</v>
      </c>
      <c r="BH42" s="105">
        <v>4</v>
      </c>
      <c r="BI42" s="105">
        <v>2784</v>
      </c>
      <c r="BJ42" s="105">
        <v>5</v>
      </c>
      <c r="BK42" s="105">
        <v>3480</v>
      </c>
      <c r="BL42" s="105">
        <v>4</v>
      </c>
      <c r="BM42" s="105">
        <v>2784</v>
      </c>
      <c r="BN42" s="105">
        <v>5</v>
      </c>
      <c r="BO42" s="105">
        <v>3480</v>
      </c>
      <c r="BP42" s="105">
        <v>4</v>
      </c>
      <c r="BQ42" s="105">
        <v>2784</v>
      </c>
      <c r="BR42" s="105">
        <v>5</v>
      </c>
      <c r="BS42" s="105">
        <v>3480</v>
      </c>
      <c r="BT42" s="105">
        <v>5</v>
      </c>
      <c r="BU42" s="105">
        <v>3480</v>
      </c>
      <c r="BV42" s="105">
        <v>5</v>
      </c>
      <c r="BW42" s="105">
        <v>3480</v>
      </c>
      <c r="BX42" s="105">
        <v>6</v>
      </c>
      <c r="BY42" s="105">
        <v>4176</v>
      </c>
      <c r="BZ42" s="105">
        <v>3</v>
      </c>
      <c r="CA42" s="105">
        <v>2088</v>
      </c>
      <c r="CB42" s="105">
        <v>4</v>
      </c>
      <c r="CC42" s="105">
        <v>2784</v>
      </c>
      <c r="CD42" s="105">
        <v>5</v>
      </c>
      <c r="CE42" s="105">
        <v>3480</v>
      </c>
      <c r="CF42" s="105">
        <v>4</v>
      </c>
      <c r="CG42" s="105">
        <v>2784</v>
      </c>
      <c r="CH42" s="105">
        <v>5</v>
      </c>
      <c r="CI42" s="105">
        <v>3480</v>
      </c>
      <c r="CJ42" s="105">
        <v>4</v>
      </c>
      <c r="CK42" s="105">
        <v>2784</v>
      </c>
      <c r="CL42" s="105">
        <v>6</v>
      </c>
      <c r="CM42" s="105">
        <v>4176</v>
      </c>
      <c r="CN42" s="105">
        <v>5</v>
      </c>
      <c r="CO42" s="105">
        <v>3480</v>
      </c>
      <c r="CP42" s="105">
        <v>3</v>
      </c>
      <c r="CQ42" s="105">
        <v>2088</v>
      </c>
      <c r="CR42" s="105">
        <v>5</v>
      </c>
      <c r="CS42" s="105">
        <v>3480</v>
      </c>
      <c r="CT42" s="105">
        <v>4</v>
      </c>
      <c r="CU42" s="105">
        <v>2784</v>
      </c>
    </row>
    <row r="43" spans="2:99" x14ac:dyDescent="0.2">
      <c r="C43" s="104" t="s">
        <v>211</v>
      </c>
      <c r="D43" s="105">
        <v>0</v>
      </c>
      <c r="E43" s="105">
        <v>0</v>
      </c>
      <c r="F43" s="105">
        <v>5.8850862817959451</v>
      </c>
      <c r="G43" s="105">
        <v>4795.1683024073354</v>
      </c>
      <c r="H43" s="105">
        <v>3.6464456177402327</v>
      </c>
      <c r="I43" s="105">
        <v>2971.1238893347413</v>
      </c>
      <c r="J43" s="105">
        <v>3.9730228628537492</v>
      </c>
      <c r="K43" s="105">
        <v>3237.2190286532345</v>
      </c>
      <c r="L43" s="105">
        <v>4.4856709741897163</v>
      </c>
      <c r="M43" s="105">
        <v>3654.9247097697807</v>
      </c>
      <c r="N43" s="105">
        <v>3</v>
      </c>
      <c r="O43" s="105">
        <v>2444.3999999999996</v>
      </c>
      <c r="P43" s="105">
        <v>6</v>
      </c>
      <c r="Q43" s="105">
        <v>4888.7999999999993</v>
      </c>
      <c r="R43" s="105">
        <v>3</v>
      </c>
      <c r="S43" s="105">
        <v>2444.3999999999996</v>
      </c>
      <c r="T43" s="105">
        <v>5</v>
      </c>
      <c r="U43" s="105">
        <v>4074</v>
      </c>
      <c r="V43" s="105">
        <v>4</v>
      </c>
      <c r="W43" s="105">
        <v>3259.2</v>
      </c>
      <c r="X43" s="105">
        <v>4</v>
      </c>
      <c r="Y43" s="105">
        <v>3259.2</v>
      </c>
      <c r="Z43" s="105">
        <v>4</v>
      </c>
      <c r="AA43" s="105">
        <v>3259.2</v>
      </c>
      <c r="AB43" s="105">
        <v>4</v>
      </c>
      <c r="AC43" s="105">
        <v>3259.2</v>
      </c>
      <c r="AD43" s="105">
        <v>5</v>
      </c>
      <c r="AE43" s="105">
        <v>4074</v>
      </c>
      <c r="AF43" s="105">
        <v>4</v>
      </c>
      <c r="AG43" s="105">
        <v>3259.2</v>
      </c>
      <c r="AH43" s="105">
        <v>3</v>
      </c>
      <c r="AI43" s="105">
        <v>2444.3999999999996</v>
      </c>
      <c r="AJ43" s="105">
        <v>4</v>
      </c>
      <c r="AK43" s="105">
        <v>3259.2</v>
      </c>
      <c r="AL43" s="105">
        <v>5</v>
      </c>
      <c r="AM43" s="105">
        <v>4074</v>
      </c>
      <c r="AN43" s="105">
        <v>5</v>
      </c>
      <c r="AO43" s="105">
        <v>4074</v>
      </c>
      <c r="AP43" s="105">
        <v>6</v>
      </c>
      <c r="AQ43" s="105">
        <v>4888.7999999999993</v>
      </c>
      <c r="AR43" s="105">
        <v>7</v>
      </c>
      <c r="AS43" s="105">
        <v>5703.5999999999995</v>
      </c>
      <c r="AT43" s="105">
        <v>7</v>
      </c>
      <c r="AU43" s="105">
        <v>5703.5999999999995</v>
      </c>
      <c r="AV43" s="105">
        <v>4</v>
      </c>
      <c r="AW43" s="105">
        <v>3259.2</v>
      </c>
      <c r="AX43" s="105">
        <v>4</v>
      </c>
      <c r="AY43" s="105">
        <v>3259.2</v>
      </c>
      <c r="AZ43" s="105">
        <v>6</v>
      </c>
      <c r="BA43" s="105">
        <v>4888.7999999999993</v>
      </c>
      <c r="BB43" s="105">
        <v>4</v>
      </c>
      <c r="BC43" s="105">
        <v>3259.2</v>
      </c>
      <c r="BD43" s="105">
        <v>4</v>
      </c>
      <c r="BE43" s="105">
        <v>3259.2</v>
      </c>
      <c r="BF43" s="105">
        <v>4</v>
      </c>
      <c r="BG43" s="105">
        <v>3259.2</v>
      </c>
      <c r="BH43" s="105">
        <v>4</v>
      </c>
      <c r="BI43" s="105">
        <v>3259.2</v>
      </c>
      <c r="BJ43" s="105">
        <v>6</v>
      </c>
      <c r="BK43" s="105">
        <v>4888.7999999999993</v>
      </c>
      <c r="BL43" s="105">
        <v>3</v>
      </c>
      <c r="BM43" s="105">
        <v>2444.3999999999996</v>
      </c>
      <c r="BN43" s="105">
        <v>4</v>
      </c>
      <c r="BO43" s="105">
        <v>3259.2</v>
      </c>
      <c r="BP43" s="105">
        <v>4</v>
      </c>
      <c r="BQ43" s="105">
        <v>3259.2</v>
      </c>
      <c r="BR43" s="105">
        <v>5</v>
      </c>
      <c r="BS43" s="105">
        <v>4074</v>
      </c>
      <c r="BT43" s="105">
        <v>5</v>
      </c>
      <c r="BU43" s="105">
        <v>4074</v>
      </c>
      <c r="BV43" s="105">
        <v>5</v>
      </c>
      <c r="BW43" s="105">
        <v>4074</v>
      </c>
      <c r="BX43" s="105">
        <v>6</v>
      </c>
      <c r="BY43" s="105">
        <v>4888.7999999999993</v>
      </c>
      <c r="BZ43" s="105">
        <v>3</v>
      </c>
      <c r="CA43" s="105">
        <v>2444.3999999999996</v>
      </c>
      <c r="CB43" s="105">
        <v>4</v>
      </c>
      <c r="CC43" s="105">
        <v>3259.2</v>
      </c>
      <c r="CD43" s="105">
        <v>5</v>
      </c>
      <c r="CE43" s="105">
        <v>4074</v>
      </c>
      <c r="CF43" s="105">
        <v>4</v>
      </c>
      <c r="CG43" s="105">
        <v>3259.2</v>
      </c>
      <c r="CH43" s="105">
        <v>5</v>
      </c>
      <c r="CI43" s="105">
        <v>4074</v>
      </c>
      <c r="CJ43" s="105">
        <v>5</v>
      </c>
      <c r="CK43" s="105">
        <v>4074</v>
      </c>
      <c r="CL43" s="105">
        <v>6</v>
      </c>
      <c r="CM43" s="105">
        <v>4888.7999999999993</v>
      </c>
      <c r="CN43" s="105">
        <v>5</v>
      </c>
      <c r="CO43" s="105">
        <v>4074</v>
      </c>
      <c r="CP43" s="105">
        <v>4</v>
      </c>
      <c r="CQ43" s="105">
        <v>3259.2</v>
      </c>
      <c r="CR43" s="105">
        <v>4</v>
      </c>
      <c r="CS43" s="105">
        <v>3259.2</v>
      </c>
      <c r="CT43" s="105">
        <v>4</v>
      </c>
      <c r="CU43" s="105">
        <v>3259.2</v>
      </c>
    </row>
    <row r="44" spans="2:99" x14ac:dyDescent="0.2">
      <c r="C44" s="104" t="s">
        <v>212</v>
      </c>
      <c r="D44" s="105">
        <v>0</v>
      </c>
      <c r="E44" s="105">
        <v>0</v>
      </c>
      <c r="F44" s="105">
        <v>5.8850862817959451</v>
      </c>
      <c r="G44" s="105">
        <v>4964.6587873230592</v>
      </c>
      <c r="H44" s="105">
        <v>3.6464456177402327</v>
      </c>
      <c r="I44" s="105">
        <v>3076.1415231256606</v>
      </c>
      <c r="J44" s="105">
        <v>3.9730228628537492</v>
      </c>
      <c r="K44" s="105">
        <v>3351.6420871034229</v>
      </c>
      <c r="L44" s="105">
        <v>5.3828051690276606</v>
      </c>
      <c r="M44" s="105">
        <v>4540.9344405917345</v>
      </c>
      <c r="N44" s="105">
        <v>4</v>
      </c>
      <c r="O44" s="105">
        <v>3374.4</v>
      </c>
      <c r="P44" s="105">
        <v>6</v>
      </c>
      <c r="Q44" s="105">
        <v>5061.6000000000004</v>
      </c>
      <c r="R44" s="105">
        <v>3</v>
      </c>
      <c r="S44" s="105">
        <v>2530.8000000000002</v>
      </c>
      <c r="T44" s="105">
        <v>5</v>
      </c>
      <c r="U44" s="105">
        <v>4218</v>
      </c>
      <c r="V44" s="105">
        <v>4</v>
      </c>
      <c r="W44" s="105">
        <v>3374.4</v>
      </c>
      <c r="X44" s="105">
        <v>4</v>
      </c>
      <c r="Y44" s="105">
        <v>3374.4</v>
      </c>
      <c r="Z44" s="105">
        <v>3</v>
      </c>
      <c r="AA44" s="105">
        <v>2530.8000000000002</v>
      </c>
      <c r="AB44" s="105">
        <v>4</v>
      </c>
      <c r="AC44" s="105">
        <v>3374.4</v>
      </c>
      <c r="AD44" s="105">
        <v>5</v>
      </c>
      <c r="AE44" s="105">
        <v>4218</v>
      </c>
      <c r="AF44" s="105">
        <v>4</v>
      </c>
      <c r="AG44" s="105">
        <v>3374.4</v>
      </c>
      <c r="AH44" s="105">
        <v>3</v>
      </c>
      <c r="AI44" s="105">
        <v>2530.8000000000002</v>
      </c>
      <c r="AJ44" s="105">
        <v>4</v>
      </c>
      <c r="AK44" s="105">
        <v>3374.4</v>
      </c>
      <c r="AL44" s="105">
        <v>5</v>
      </c>
      <c r="AM44" s="105">
        <v>4218</v>
      </c>
      <c r="AN44" s="105">
        <v>5</v>
      </c>
      <c r="AO44" s="105">
        <v>4218</v>
      </c>
      <c r="AP44" s="105">
        <v>6</v>
      </c>
      <c r="AQ44" s="105">
        <v>5061.6000000000004</v>
      </c>
      <c r="AR44" s="105">
        <v>6</v>
      </c>
      <c r="AS44" s="105">
        <v>5061.6000000000004</v>
      </c>
      <c r="AT44" s="105">
        <v>6</v>
      </c>
      <c r="AU44" s="105">
        <v>5061.6000000000004</v>
      </c>
      <c r="AV44" s="105">
        <v>4</v>
      </c>
      <c r="AW44" s="105">
        <v>3374.4</v>
      </c>
      <c r="AX44" s="105">
        <v>4</v>
      </c>
      <c r="AY44" s="105">
        <v>3374.4</v>
      </c>
      <c r="AZ44" s="105">
        <v>6</v>
      </c>
      <c r="BA44" s="105">
        <v>5061.6000000000004</v>
      </c>
      <c r="BB44" s="105">
        <v>4</v>
      </c>
      <c r="BC44" s="105">
        <v>3374.4</v>
      </c>
      <c r="BD44" s="105">
        <v>4</v>
      </c>
      <c r="BE44" s="105">
        <v>3374.4</v>
      </c>
      <c r="BF44" s="105">
        <v>4</v>
      </c>
      <c r="BG44" s="105">
        <v>3374.4</v>
      </c>
      <c r="BH44" s="105">
        <v>4</v>
      </c>
      <c r="BI44" s="105">
        <v>3374.4</v>
      </c>
      <c r="BJ44" s="105">
        <v>5</v>
      </c>
      <c r="BK44" s="105">
        <v>4218</v>
      </c>
      <c r="BL44" s="105">
        <v>3</v>
      </c>
      <c r="BM44" s="105">
        <v>2530.8000000000002</v>
      </c>
      <c r="BN44" s="105">
        <v>4</v>
      </c>
      <c r="BO44" s="105">
        <v>3374.4</v>
      </c>
      <c r="BP44" s="105">
        <v>4</v>
      </c>
      <c r="BQ44" s="105">
        <v>3374.4</v>
      </c>
      <c r="BR44" s="105">
        <v>5</v>
      </c>
      <c r="BS44" s="105">
        <v>4218</v>
      </c>
      <c r="BT44" s="105">
        <v>4</v>
      </c>
      <c r="BU44" s="105">
        <v>3374.4</v>
      </c>
      <c r="BV44" s="105">
        <v>5</v>
      </c>
      <c r="BW44" s="105">
        <v>4218</v>
      </c>
      <c r="BX44" s="105">
        <v>6</v>
      </c>
      <c r="BY44" s="105">
        <v>5061.6000000000004</v>
      </c>
      <c r="BZ44" s="105">
        <v>3</v>
      </c>
      <c r="CA44" s="105">
        <v>2530.8000000000002</v>
      </c>
      <c r="CB44" s="105">
        <v>4</v>
      </c>
      <c r="CC44" s="105">
        <v>3374.4</v>
      </c>
      <c r="CD44" s="105">
        <v>5</v>
      </c>
      <c r="CE44" s="105">
        <v>4218</v>
      </c>
      <c r="CF44" s="105">
        <v>4</v>
      </c>
      <c r="CG44" s="105">
        <v>3374.4</v>
      </c>
      <c r="CH44" s="105">
        <v>5</v>
      </c>
      <c r="CI44" s="105">
        <v>4218</v>
      </c>
      <c r="CJ44" s="105">
        <v>5</v>
      </c>
      <c r="CK44" s="105">
        <v>4218</v>
      </c>
      <c r="CL44" s="105">
        <v>6</v>
      </c>
      <c r="CM44" s="105">
        <v>5061.6000000000004</v>
      </c>
      <c r="CN44" s="105">
        <v>5</v>
      </c>
      <c r="CO44" s="105">
        <v>4218</v>
      </c>
      <c r="CP44" s="105">
        <v>3</v>
      </c>
      <c r="CQ44" s="105">
        <v>2530.8000000000002</v>
      </c>
      <c r="CR44" s="105">
        <v>5</v>
      </c>
      <c r="CS44" s="105">
        <v>4218</v>
      </c>
      <c r="CT44" s="105">
        <v>4</v>
      </c>
      <c r="CU44" s="105">
        <v>3374.4</v>
      </c>
    </row>
    <row r="45" spans="2:99" x14ac:dyDescent="0.2">
      <c r="C45" s="104" t="s">
        <v>213</v>
      </c>
      <c r="D45" s="105">
        <v>0</v>
      </c>
      <c r="E45" s="105">
        <v>0</v>
      </c>
      <c r="F45" s="105">
        <v>5.8850862817959451</v>
      </c>
      <c r="G45" s="105">
        <v>6122.8437675805008</v>
      </c>
      <c r="H45" s="105">
        <v>4.5580570221752907</v>
      </c>
      <c r="I45" s="105">
        <v>4742.2025258711719</v>
      </c>
      <c r="J45" s="105">
        <v>3.9730228628537492</v>
      </c>
      <c r="K45" s="105">
        <v>4133.5329865130398</v>
      </c>
      <c r="L45" s="105">
        <v>5.3828051690276606</v>
      </c>
      <c r="M45" s="105">
        <v>5600.270497856377</v>
      </c>
      <c r="N45" s="105">
        <v>3</v>
      </c>
      <c r="O45" s="105">
        <v>3121.2</v>
      </c>
      <c r="P45" s="105">
        <v>6</v>
      </c>
      <c r="Q45" s="105">
        <v>6242.4</v>
      </c>
      <c r="R45" s="105">
        <v>3</v>
      </c>
      <c r="S45" s="105">
        <v>3121.2</v>
      </c>
      <c r="T45" s="105">
        <v>5</v>
      </c>
      <c r="U45" s="105">
        <v>5201.9999999999991</v>
      </c>
      <c r="V45" s="105">
        <v>4</v>
      </c>
      <c r="W45" s="105">
        <v>4161.5999999999995</v>
      </c>
      <c r="X45" s="105">
        <v>4</v>
      </c>
      <c r="Y45" s="105">
        <v>4161.5999999999995</v>
      </c>
      <c r="Z45" s="105">
        <v>4</v>
      </c>
      <c r="AA45" s="105">
        <v>4161.5999999999995</v>
      </c>
      <c r="AB45" s="105">
        <v>4</v>
      </c>
      <c r="AC45" s="105">
        <v>4161.5999999999995</v>
      </c>
      <c r="AD45" s="105">
        <v>5</v>
      </c>
      <c r="AE45" s="105">
        <v>5201.9999999999991</v>
      </c>
      <c r="AF45" s="105">
        <v>5</v>
      </c>
      <c r="AG45" s="105">
        <v>5201.9999999999991</v>
      </c>
      <c r="AH45" s="105">
        <v>4</v>
      </c>
      <c r="AI45" s="105">
        <v>4161.5999999999995</v>
      </c>
      <c r="AJ45" s="105">
        <v>3</v>
      </c>
      <c r="AK45" s="105">
        <v>3121.2</v>
      </c>
      <c r="AL45" s="105">
        <v>6</v>
      </c>
      <c r="AM45" s="105">
        <v>6242.4</v>
      </c>
      <c r="AN45" s="105">
        <v>5</v>
      </c>
      <c r="AO45" s="105">
        <v>5201.9999999999991</v>
      </c>
      <c r="AP45" s="105">
        <v>5</v>
      </c>
      <c r="AQ45" s="105">
        <v>5201.9999999999991</v>
      </c>
      <c r="AR45" s="105">
        <v>5</v>
      </c>
      <c r="AS45" s="105">
        <v>5201.9999999999991</v>
      </c>
      <c r="AT45" s="105">
        <v>5</v>
      </c>
      <c r="AU45" s="105">
        <v>5201.9999999999991</v>
      </c>
      <c r="AV45" s="105">
        <v>3</v>
      </c>
      <c r="AW45" s="105">
        <v>3121.2</v>
      </c>
      <c r="AX45" s="105">
        <v>3</v>
      </c>
      <c r="AY45" s="105">
        <v>3121.2</v>
      </c>
      <c r="AZ45" s="105">
        <v>7</v>
      </c>
      <c r="BA45" s="105">
        <v>7282.7999999999993</v>
      </c>
      <c r="BB45" s="105">
        <v>4</v>
      </c>
      <c r="BC45" s="105">
        <v>4161.5999999999995</v>
      </c>
      <c r="BD45" s="105">
        <v>4</v>
      </c>
      <c r="BE45" s="105">
        <v>4161.5999999999995</v>
      </c>
      <c r="BF45" s="105">
        <v>4</v>
      </c>
      <c r="BG45" s="105">
        <v>4161.5999999999995</v>
      </c>
      <c r="BH45" s="105">
        <v>4</v>
      </c>
      <c r="BI45" s="105">
        <v>4161.5999999999995</v>
      </c>
      <c r="BJ45" s="105">
        <v>6</v>
      </c>
      <c r="BK45" s="105">
        <v>6242.4</v>
      </c>
      <c r="BL45" s="105">
        <v>3</v>
      </c>
      <c r="BM45" s="105">
        <v>3121.2</v>
      </c>
      <c r="BN45" s="105">
        <v>4</v>
      </c>
      <c r="BO45" s="105">
        <v>4161.5999999999995</v>
      </c>
      <c r="BP45" s="105">
        <v>4</v>
      </c>
      <c r="BQ45" s="105">
        <v>4161.5999999999995</v>
      </c>
      <c r="BR45" s="105">
        <v>5</v>
      </c>
      <c r="BS45" s="105">
        <v>5201.9999999999991</v>
      </c>
      <c r="BT45" s="105">
        <v>5</v>
      </c>
      <c r="BU45" s="105">
        <v>5201.9999999999991</v>
      </c>
      <c r="BV45" s="105">
        <v>4</v>
      </c>
      <c r="BW45" s="105">
        <v>4161.5999999999995</v>
      </c>
      <c r="BX45" s="105">
        <v>5</v>
      </c>
      <c r="BY45" s="105">
        <v>5201.9999999999991</v>
      </c>
      <c r="BZ45" s="105">
        <v>3</v>
      </c>
      <c r="CA45" s="105">
        <v>3121.2</v>
      </c>
      <c r="CB45" s="105">
        <v>4</v>
      </c>
      <c r="CC45" s="105">
        <v>4161.5999999999995</v>
      </c>
      <c r="CD45" s="105">
        <v>5</v>
      </c>
      <c r="CE45" s="105">
        <v>5201.9999999999991</v>
      </c>
      <c r="CF45" s="105">
        <v>4</v>
      </c>
      <c r="CG45" s="105">
        <v>4161.5999999999995</v>
      </c>
      <c r="CH45" s="105">
        <v>5</v>
      </c>
      <c r="CI45" s="105">
        <v>5201.9999999999991</v>
      </c>
      <c r="CJ45" s="105">
        <v>4</v>
      </c>
      <c r="CK45" s="105">
        <v>4161.5999999999995</v>
      </c>
      <c r="CL45" s="105">
        <v>6</v>
      </c>
      <c r="CM45" s="105">
        <v>6242.4</v>
      </c>
      <c r="CN45" s="105">
        <v>5</v>
      </c>
      <c r="CO45" s="105">
        <v>5201.9999999999991</v>
      </c>
      <c r="CP45" s="105">
        <v>3</v>
      </c>
      <c r="CQ45" s="105">
        <v>3121.2</v>
      </c>
      <c r="CR45" s="105">
        <v>5</v>
      </c>
      <c r="CS45" s="105">
        <v>5201.9999999999991</v>
      </c>
      <c r="CT45" s="105">
        <v>3</v>
      </c>
      <c r="CU45" s="105">
        <v>3121.2</v>
      </c>
    </row>
    <row r="46" spans="2:99" x14ac:dyDescent="0.2">
      <c r="C46" s="104" t="s">
        <v>214</v>
      </c>
      <c r="D46" s="105">
        <v>0</v>
      </c>
      <c r="E46" s="105">
        <v>0</v>
      </c>
      <c r="F46" s="105">
        <v>4.9042385681632874</v>
      </c>
      <c r="G46" s="105">
        <v>4990.5531669629599</v>
      </c>
      <c r="H46" s="105">
        <v>4.5580570221752907</v>
      </c>
      <c r="I46" s="105">
        <v>4638.2788257655748</v>
      </c>
      <c r="J46" s="105">
        <v>4.9662785785671861</v>
      </c>
      <c r="K46" s="105">
        <v>5053.6850815499674</v>
      </c>
      <c r="L46" s="105">
        <v>5.3828051690276606</v>
      </c>
      <c r="M46" s="105">
        <v>5477.542540002546</v>
      </c>
      <c r="N46" s="105">
        <v>3</v>
      </c>
      <c r="O46" s="105">
        <v>3052.7999999999993</v>
      </c>
      <c r="P46" s="105">
        <v>5</v>
      </c>
      <c r="Q46" s="105">
        <v>5087.9999999999991</v>
      </c>
      <c r="R46" s="105">
        <v>3</v>
      </c>
      <c r="S46" s="105">
        <v>3052.7999999999993</v>
      </c>
      <c r="T46" s="105">
        <v>4</v>
      </c>
      <c r="U46" s="105">
        <v>4070.3999999999992</v>
      </c>
      <c r="V46" s="105">
        <v>4</v>
      </c>
      <c r="W46" s="105">
        <v>4070.3999999999992</v>
      </c>
      <c r="X46" s="105">
        <v>4</v>
      </c>
      <c r="Y46" s="105">
        <v>4070.3999999999992</v>
      </c>
      <c r="Z46" s="105">
        <v>3</v>
      </c>
      <c r="AA46" s="105">
        <v>3052.7999999999993</v>
      </c>
      <c r="AB46" s="105">
        <v>4</v>
      </c>
      <c r="AC46" s="105">
        <v>4070.3999999999992</v>
      </c>
      <c r="AD46" s="105">
        <v>5</v>
      </c>
      <c r="AE46" s="105">
        <v>5087.9999999999991</v>
      </c>
      <c r="AF46" s="105">
        <v>4</v>
      </c>
      <c r="AG46" s="105">
        <v>4070.3999999999992</v>
      </c>
      <c r="AH46" s="105">
        <v>3</v>
      </c>
      <c r="AI46" s="105">
        <v>3052.7999999999993</v>
      </c>
      <c r="AJ46" s="105">
        <v>3</v>
      </c>
      <c r="AK46" s="105">
        <v>3052.7999999999993</v>
      </c>
      <c r="AL46" s="105">
        <v>6</v>
      </c>
      <c r="AM46" s="105">
        <v>6105.5999999999985</v>
      </c>
      <c r="AN46" s="105">
        <v>5</v>
      </c>
      <c r="AO46" s="105">
        <v>5087.9999999999991</v>
      </c>
      <c r="AP46" s="105">
        <v>6</v>
      </c>
      <c r="AQ46" s="105">
        <v>6105.5999999999985</v>
      </c>
      <c r="AR46" s="105">
        <v>6</v>
      </c>
      <c r="AS46" s="105">
        <v>6105.5999999999985</v>
      </c>
      <c r="AT46" s="105">
        <v>7</v>
      </c>
      <c r="AU46" s="105">
        <v>7123.1999999999989</v>
      </c>
      <c r="AV46" s="105">
        <v>4</v>
      </c>
      <c r="AW46" s="105">
        <v>4070.3999999999992</v>
      </c>
      <c r="AX46" s="105">
        <v>4</v>
      </c>
      <c r="AY46" s="105">
        <v>4070.3999999999992</v>
      </c>
      <c r="AZ46" s="105">
        <v>6</v>
      </c>
      <c r="BA46" s="105">
        <v>6105.5999999999985</v>
      </c>
      <c r="BB46" s="105">
        <v>4</v>
      </c>
      <c r="BC46" s="105">
        <v>4070.3999999999992</v>
      </c>
      <c r="BD46" s="105">
        <v>4</v>
      </c>
      <c r="BE46" s="105">
        <v>4070.3999999999992</v>
      </c>
      <c r="BF46" s="105">
        <v>5</v>
      </c>
      <c r="BG46" s="105">
        <v>5087.9999999999991</v>
      </c>
      <c r="BH46" s="105">
        <v>4</v>
      </c>
      <c r="BI46" s="105">
        <v>4070.3999999999992</v>
      </c>
      <c r="BJ46" s="105">
        <v>6</v>
      </c>
      <c r="BK46" s="105">
        <v>6105.5999999999985</v>
      </c>
      <c r="BL46" s="105">
        <v>3</v>
      </c>
      <c r="BM46" s="105">
        <v>3052.7999999999993</v>
      </c>
      <c r="BN46" s="105">
        <v>5</v>
      </c>
      <c r="BO46" s="105">
        <v>5087.9999999999991</v>
      </c>
      <c r="BP46" s="105">
        <v>4</v>
      </c>
      <c r="BQ46" s="105">
        <v>4070.3999999999992</v>
      </c>
      <c r="BR46" s="105">
        <v>5</v>
      </c>
      <c r="BS46" s="105">
        <v>5087.9999999999991</v>
      </c>
      <c r="BT46" s="105">
        <v>5</v>
      </c>
      <c r="BU46" s="105">
        <v>5087.9999999999991</v>
      </c>
      <c r="BV46" s="105">
        <v>4</v>
      </c>
      <c r="BW46" s="105">
        <v>4070.3999999999992</v>
      </c>
      <c r="BX46" s="105">
        <v>6</v>
      </c>
      <c r="BY46" s="105">
        <v>6105.5999999999985</v>
      </c>
      <c r="BZ46" s="105">
        <v>3</v>
      </c>
      <c r="CA46" s="105">
        <v>3052.7999999999993</v>
      </c>
      <c r="CB46" s="105">
        <v>4</v>
      </c>
      <c r="CC46" s="105">
        <v>4070.3999999999992</v>
      </c>
      <c r="CD46" s="105">
        <v>5</v>
      </c>
      <c r="CE46" s="105">
        <v>5087.9999999999991</v>
      </c>
      <c r="CF46" s="105">
        <v>4</v>
      </c>
      <c r="CG46" s="105">
        <v>4070.3999999999992</v>
      </c>
      <c r="CH46" s="105">
        <v>5</v>
      </c>
      <c r="CI46" s="105">
        <v>5087.9999999999991</v>
      </c>
      <c r="CJ46" s="105">
        <v>5</v>
      </c>
      <c r="CK46" s="105">
        <v>5087.9999999999991</v>
      </c>
      <c r="CL46" s="105">
        <v>6</v>
      </c>
      <c r="CM46" s="105">
        <v>6105.5999999999985</v>
      </c>
      <c r="CN46" s="105">
        <v>5</v>
      </c>
      <c r="CO46" s="105">
        <v>5087.9999999999991</v>
      </c>
      <c r="CP46" s="105">
        <v>3</v>
      </c>
      <c r="CQ46" s="105">
        <v>3052.7999999999993</v>
      </c>
      <c r="CR46" s="105">
        <v>5</v>
      </c>
      <c r="CS46" s="105">
        <v>5087.9999999999991</v>
      </c>
      <c r="CT46" s="105">
        <v>4</v>
      </c>
      <c r="CU46" s="105">
        <v>4070.3999999999992</v>
      </c>
    </row>
    <row r="47" spans="2:99" x14ac:dyDescent="0.2">
      <c r="C47" s="104" t="s">
        <v>215</v>
      </c>
      <c r="D47" s="105">
        <v>0</v>
      </c>
      <c r="E47" s="105">
        <v>0</v>
      </c>
      <c r="F47" s="105">
        <v>4.9042385681632874</v>
      </c>
      <c r="G47" s="105">
        <v>6461.8247374119474</v>
      </c>
      <c r="H47" s="105">
        <v>3.6464456177402327</v>
      </c>
      <c r="I47" s="105">
        <v>4804.5567459345302</v>
      </c>
      <c r="J47" s="105">
        <v>4.9662785785671861</v>
      </c>
      <c r="K47" s="105">
        <v>6543.5686551201243</v>
      </c>
      <c r="L47" s="105">
        <v>5.3828051690276606</v>
      </c>
      <c r="M47" s="105">
        <v>7092.3840907108452</v>
      </c>
      <c r="N47" s="105">
        <v>4</v>
      </c>
      <c r="O47" s="105">
        <v>5270.4</v>
      </c>
      <c r="P47" s="105">
        <v>6</v>
      </c>
      <c r="Q47" s="105">
        <v>7905.5999999999995</v>
      </c>
      <c r="R47" s="105">
        <v>3</v>
      </c>
      <c r="S47" s="105">
        <v>3952.7999999999997</v>
      </c>
      <c r="T47" s="105">
        <v>5</v>
      </c>
      <c r="U47" s="105">
        <v>6588</v>
      </c>
      <c r="V47" s="105">
        <v>3</v>
      </c>
      <c r="W47" s="105">
        <v>3952.7999999999997</v>
      </c>
      <c r="X47" s="105">
        <v>4</v>
      </c>
      <c r="Y47" s="105">
        <v>5270.4</v>
      </c>
      <c r="Z47" s="105">
        <v>4</v>
      </c>
      <c r="AA47" s="105">
        <v>5270.4</v>
      </c>
      <c r="AB47" s="105">
        <v>3</v>
      </c>
      <c r="AC47" s="105">
        <v>3952.7999999999997</v>
      </c>
      <c r="AD47" s="105">
        <v>5</v>
      </c>
      <c r="AE47" s="105">
        <v>6588</v>
      </c>
      <c r="AF47" s="105">
        <v>4</v>
      </c>
      <c r="AG47" s="105">
        <v>5270.4</v>
      </c>
      <c r="AH47" s="105">
        <v>3</v>
      </c>
      <c r="AI47" s="105">
        <v>3952.7999999999997</v>
      </c>
      <c r="AJ47" s="105">
        <v>3</v>
      </c>
      <c r="AK47" s="105">
        <v>3952.7999999999997</v>
      </c>
      <c r="AL47" s="105">
        <v>5</v>
      </c>
      <c r="AM47" s="105">
        <v>6588</v>
      </c>
      <c r="AN47" s="105">
        <v>5</v>
      </c>
      <c r="AO47" s="105">
        <v>6588</v>
      </c>
      <c r="AP47" s="105">
        <v>6</v>
      </c>
      <c r="AQ47" s="105">
        <v>7905.5999999999995</v>
      </c>
      <c r="AR47" s="105">
        <v>6</v>
      </c>
      <c r="AS47" s="105">
        <v>7905.5999999999995</v>
      </c>
      <c r="AT47" s="105">
        <v>6</v>
      </c>
      <c r="AU47" s="105">
        <v>7905.5999999999995</v>
      </c>
      <c r="AV47" s="105">
        <v>4</v>
      </c>
      <c r="AW47" s="105">
        <v>5270.4</v>
      </c>
      <c r="AX47" s="105">
        <v>4</v>
      </c>
      <c r="AY47" s="105">
        <v>5270.4</v>
      </c>
      <c r="AZ47" s="105">
        <v>6</v>
      </c>
      <c r="BA47" s="105">
        <v>7905.5999999999995</v>
      </c>
      <c r="BB47" s="105">
        <v>4</v>
      </c>
      <c r="BC47" s="105">
        <v>5270.4</v>
      </c>
      <c r="BD47" s="105">
        <v>4</v>
      </c>
      <c r="BE47" s="105">
        <v>5270.4</v>
      </c>
      <c r="BF47" s="105">
        <v>5</v>
      </c>
      <c r="BG47" s="105">
        <v>6588</v>
      </c>
      <c r="BH47" s="105">
        <v>4</v>
      </c>
      <c r="BI47" s="105">
        <v>5270.4</v>
      </c>
      <c r="BJ47" s="105">
        <v>6</v>
      </c>
      <c r="BK47" s="105">
        <v>7905.5999999999995</v>
      </c>
      <c r="BL47" s="105">
        <v>3</v>
      </c>
      <c r="BM47" s="105">
        <v>3952.7999999999997</v>
      </c>
      <c r="BN47" s="105">
        <v>5</v>
      </c>
      <c r="BO47" s="105">
        <v>6588</v>
      </c>
      <c r="BP47" s="105">
        <v>4</v>
      </c>
      <c r="BQ47" s="105">
        <v>5270.4</v>
      </c>
      <c r="BR47" s="105">
        <v>4</v>
      </c>
      <c r="BS47" s="105">
        <v>5270.4</v>
      </c>
      <c r="BT47" s="105">
        <v>4</v>
      </c>
      <c r="BU47" s="105">
        <v>5270.4</v>
      </c>
      <c r="BV47" s="105">
        <v>4</v>
      </c>
      <c r="BW47" s="105">
        <v>5270.4</v>
      </c>
      <c r="BX47" s="105">
        <v>5</v>
      </c>
      <c r="BY47" s="105">
        <v>6588</v>
      </c>
      <c r="BZ47" s="105">
        <v>3</v>
      </c>
      <c r="CA47" s="105">
        <v>3952.7999999999997</v>
      </c>
      <c r="CB47" s="105">
        <v>4</v>
      </c>
      <c r="CC47" s="105">
        <v>5270.4</v>
      </c>
      <c r="CD47" s="105">
        <v>5</v>
      </c>
      <c r="CE47" s="105">
        <v>6588</v>
      </c>
      <c r="CF47" s="105">
        <v>3</v>
      </c>
      <c r="CG47" s="105">
        <v>3952.7999999999997</v>
      </c>
      <c r="CH47" s="105">
        <v>5</v>
      </c>
      <c r="CI47" s="105">
        <v>6588</v>
      </c>
      <c r="CJ47" s="105">
        <v>5</v>
      </c>
      <c r="CK47" s="105">
        <v>6588</v>
      </c>
      <c r="CL47" s="105">
        <v>5</v>
      </c>
      <c r="CM47" s="105">
        <v>6588</v>
      </c>
      <c r="CN47" s="105">
        <v>4</v>
      </c>
      <c r="CO47" s="105">
        <v>5270.4</v>
      </c>
      <c r="CP47" s="105">
        <v>3</v>
      </c>
      <c r="CQ47" s="105">
        <v>3952.7999999999997</v>
      </c>
      <c r="CR47" s="105">
        <v>4</v>
      </c>
      <c r="CS47" s="105">
        <v>5270.4</v>
      </c>
      <c r="CT47" s="105">
        <v>3</v>
      </c>
      <c r="CU47" s="105">
        <v>3952.7999999999997</v>
      </c>
    </row>
    <row r="48" spans="2:99" x14ac:dyDescent="0.2">
      <c r="C48" s="104" t="s">
        <v>216</v>
      </c>
      <c r="D48" s="105">
        <v>0</v>
      </c>
      <c r="E48" s="105">
        <v>0</v>
      </c>
      <c r="F48" s="105">
        <v>4.9042385681632874</v>
      </c>
      <c r="G48" s="105">
        <v>3225.0272824241779</v>
      </c>
      <c r="H48" s="105">
        <v>4.5580570221752907</v>
      </c>
      <c r="I48" s="105">
        <v>2997.3782977824712</v>
      </c>
      <c r="J48" s="105">
        <v>4.9662785785671861</v>
      </c>
      <c r="K48" s="105">
        <v>3265.8247932657819</v>
      </c>
      <c r="L48" s="105">
        <v>4.4856709741897163</v>
      </c>
      <c r="M48" s="105">
        <v>2949.7772326271574</v>
      </c>
      <c r="N48" s="105">
        <v>3</v>
      </c>
      <c r="O48" s="105">
        <v>1972.8000000000002</v>
      </c>
      <c r="P48" s="105">
        <v>6</v>
      </c>
      <c r="Q48" s="105">
        <v>3945.6000000000004</v>
      </c>
      <c r="R48" s="105">
        <v>3</v>
      </c>
      <c r="S48" s="105">
        <v>1972.8000000000002</v>
      </c>
      <c r="T48" s="105">
        <v>5</v>
      </c>
      <c r="U48" s="105">
        <v>3288</v>
      </c>
      <c r="V48" s="105">
        <v>4</v>
      </c>
      <c r="W48" s="105">
        <v>2630.4</v>
      </c>
      <c r="X48" s="105">
        <v>4</v>
      </c>
      <c r="Y48" s="105">
        <v>2630.4</v>
      </c>
      <c r="Z48" s="105">
        <v>4</v>
      </c>
      <c r="AA48" s="105">
        <v>2630.4</v>
      </c>
      <c r="AB48" s="105">
        <v>4</v>
      </c>
      <c r="AC48" s="105">
        <v>2630.4</v>
      </c>
      <c r="AD48" s="105">
        <v>5</v>
      </c>
      <c r="AE48" s="105">
        <v>3288</v>
      </c>
      <c r="AF48" s="105">
        <v>4</v>
      </c>
      <c r="AG48" s="105">
        <v>2630.4</v>
      </c>
      <c r="AH48" s="105">
        <v>3</v>
      </c>
      <c r="AI48" s="105">
        <v>1972.8000000000002</v>
      </c>
      <c r="AJ48" s="105">
        <v>3</v>
      </c>
      <c r="AK48" s="105">
        <v>1972.8000000000002</v>
      </c>
      <c r="AL48" s="105">
        <v>5</v>
      </c>
      <c r="AM48" s="105">
        <v>3288</v>
      </c>
      <c r="AN48" s="105">
        <v>5</v>
      </c>
      <c r="AO48" s="105">
        <v>3288</v>
      </c>
      <c r="AP48" s="105">
        <v>5</v>
      </c>
      <c r="AQ48" s="105">
        <v>3288</v>
      </c>
      <c r="AR48" s="105">
        <v>6</v>
      </c>
      <c r="AS48" s="105">
        <v>3945.6000000000004</v>
      </c>
      <c r="AT48" s="105">
        <v>6</v>
      </c>
      <c r="AU48" s="105">
        <v>3945.6000000000004</v>
      </c>
      <c r="AV48" s="105">
        <v>4</v>
      </c>
      <c r="AW48" s="105">
        <v>2630.4</v>
      </c>
      <c r="AX48" s="105">
        <v>4</v>
      </c>
      <c r="AY48" s="105">
        <v>2630.4</v>
      </c>
      <c r="AZ48" s="105">
        <v>6</v>
      </c>
      <c r="BA48" s="105">
        <v>3945.6000000000004</v>
      </c>
      <c r="BB48" s="105">
        <v>4</v>
      </c>
      <c r="BC48" s="105">
        <v>2630.4</v>
      </c>
      <c r="BD48" s="105">
        <v>4</v>
      </c>
      <c r="BE48" s="105">
        <v>2630.4</v>
      </c>
      <c r="BF48" s="105">
        <v>4</v>
      </c>
      <c r="BG48" s="105">
        <v>2630.4</v>
      </c>
      <c r="BH48" s="105">
        <v>4</v>
      </c>
      <c r="BI48" s="105">
        <v>2630.4</v>
      </c>
      <c r="BJ48" s="105">
        <v>6</v>
      </c>
      <c r="BK48" s="105">
        <v>3945.6000000000004</v>
      </c>
      <c r="BL48" s="105">
        <v>3</v>
      </c>
      <c r="BM48" s="105">
        <v>1972.8000000000002</v>
      </c>
      <c r="BN48" s="105">
        <v>5</v>
      </c>
      <c r="BO48" s="105">
        <v>3288</v>
      </c>
      <c r="BP48" s="105">
        <v>4</v>
      </c>
      <c r="BQ48" s="105">
        <v>2630.4</v>
      </c>
      <c r="BR48" s="105">
        <v>5</v>
      </c>
      <c r="BS48" s="105">
        <v>3288</v>
      </c>
      <c r="BT48" s="105">
        <v>5</v>
      </c>
      <c r="BU48" s="105">
        <v>3288</v>
      </c>
      <c r="BV48" s="105">
        <v>5</v>
      </c>
      <c r="BW48" s="105">
        <v>3288</v>
      </c>
      <c r="BX48" s="105">
        <v>6</v>
      </c>
      <c r="BY48" s="105">
        <v>3945.6000000000004</v>
      </c>
      <c r="BZ48" s="105">
        <v>3</v>
      </c>
      <c r="CA48" s="105">
        <v>1972.8000000000002</v>
      </c>
      <c r="CB48" s="105">
        <v>4</v>
      </c>
      <c r="CC48" s="105">
        <v>2630.4</v>
      </c>
      <c r="CD48" s="105">
        <v>5</v>
      </c>
      <c r="CE48" s="105">
        <v>3288</v>
      </c>
      <c r="CF48" s="105">
        <v>4</v>
      </c>
      <c r="CG48" s="105">
        <v>2630.4</v>
      </c>
      <c r="CH48" s="105">
        <v>5</v>
      </c>
      <c r="CI48" s="105">
        <v>3288</v>
      </c>
      <c r="CJ48" s="105">
        <v>5</v>
      </c>
      <c r="CK48" s="105">
        <v>3288</v>
      </c>
      <c r="CL48" s="105">
        <v>6</v>
      </c>
      <c r="CM48" s="105">
        <v>3945.6000000000004</v>
      </c>
      <c r="CN48" s="105">
        <v>5</v>
      </c>
      <c r="CO48" s="105">
        <v>3288</v>
      </c>
      <c r="CP48" s="105">
        <v>4</v>
      </c>
      <c r="CQ48" s="105">
        <v>2630.4</v>
      </c>
      <c r="CR48" s="105">
        <v>5</v>
      </c>
      <c r="CS48" s="105">
        <v>3288</v>
      </c>
      <c r="CT48" s="105">
        <v>3</v>
      </c>
      <c r="CU48" s="105">
        <v>1972.8000000000002</v>
      </c>
    </row>
    <row r="49" spans="2:99" x14ac:dyDescent="0.2">
      <c r="B49" s="104" t="s">
        <v>129</v>
      </c>
      <c r="C49" s="104" t="s">
        <v>217</v>
      </c>
      <c r="D49" s="105">
        <v>0</v>
      </c>
      <c r="E49" s="105">
        <v>0</v>
      </c>
      <c r="F49" s="105">
        <v>1.8433884782353636</v>
      </c>
      <c r="G49" s="105">
        <v>1090.5486237240411</v>
      </c>
      <c r="H49" s="105">
        <v>1.8235376400823395</v>
      </c>
      <c r="I49" s="105">
        <v>1078.8048678727121</v>
      </c>
      <c r="J49" s="105">
        <v>2.2159888369286471</v>
      </c>
      <c r="K49" s="105">
        <v>1310.9789959269876</v>
      </c>
      <c r="L49" s="105">
        <v>1.9389902323125661</v>
      </c>
      <c r="M49" s="105">
        <v>1147.1066214361142</v>
      </c>
      <c r="N49" s="105">
        <v>2.1483044936706754</v>
      </c>
      <c r="O49" s="105">
        <v>1270.9369384555716</v>
      </c>
      <c r="P49" s="105">
        <v>2.6805968279603793</v>
      </c>
      <c r="Q49" s="105">
        <v>1585.8410834213605</v>
      </c>
      <c r="R49" s="105">
        <v>3.6285197329825793</v>
      </c>
      <c r="S49" s="105">
        <v>2146.632274032494</v>
      </c>
      <c r="T49" s="105">
        <v>2.6180458832912286</v>
      </c>
      <c r="U49" s="105">
        <v>1548.8359445550909</v>
      </c>
      <c r="V49" s="105">
        <v>4</v>
      </c>
      <c r="W49" s="105">
        <v>2366.4</v>
      </c>
      <c r="X49" s="105">
        <v>1.3851600792316305</v>
      </c>
      <c r="Y49" s="105">
        <v>819.46070287343264</v>
      </c>
      <c r="Z49" s="105">
        <v>2.0870562478000707</v>
      </c>
      <c r="AA49" s="105">
        <v>1234.7024761985219</v>
      </c>
      <c r="AB49" s="105">
        <v>2.7461266418421983</v>
      </c>
      <c r="AC49" s="105">
        <v>1624.6085213138447</v>
      </c>
      <c r="AD49" s="105">
        <v>3.6233615413195674</v>
      </c>
      <c r="AE49" s="105">
        <v>2143.580687844656</v>
      </c>
      <c r="AF49" s="105">
        <v>1.2883063258025127</v>
      </c>
      <c r="AG49" s="105">
        <v>762.16202234476657</v>
      </c>
      <c r="AH49" s="105">
        <v>2.0665670914127414</v>
      </c>
      <c r="AI49" s="105">
        <v>1222.5810912797779</v>
      </c>
      <c r="AJ49" s="105">
        <v>2.7101694859241889</v>
      </c>
      <c r="AK49" s="105">
        <v>1603.3362678727503</v>
      </c>
      <c r="AL49" s="105">
        <v>2.3502911906818982</v>
      </c>
      <c r="AM49" s="105">
        <v>1390.4322684074111</v>
      </c>
      <c r="AN49" s="105">
        <v>1.2611318584146771</v>
      </c>
      <c r="AO49" s="105">
        <v>746.08560743812302</v>
      </c>
      <c r="AP49" s="105">
        <v>4.6586076959823011</v>
      </c>
      <c r="AQ49" s="105">
        <v>2756.0323129431295</v>
      </c>
      <c r="AR49" s="105">
        <v>2.3716548270455351</v>
      </c>
      <c r="AS49" s="105">
        <v>1403.0709956801386</v>
      </c>
      <c r="AT49" s="105">
        <v>3.0692003644118686</v>
      </c>
      <c r="AU49" s="105">
        <v>1815.7389355860616</v>
      </c>
      <c r="AV49" s="105">
        <v>1.8415202186471211</v>
      </c>
      <c r="AW49" s="105">
        <v>1089.4433613516369</v>
      </c>
      <c r="AX49" s="105">
        <v>3.5659590479311558</v>
      </c>
      <c r="AY49" s="105">
        <v>2109.6213727560717</v>
      </c>
      <c r="AZ49" s="105">
        <v>1.5668607937879322</v>
      </c>
      <c r="BA49" s="105">
        <v>926.95484560494072</v>
      </c>
      <c r="BB49" s="105">
        <v>2.3152122176866459</v>
      </c>
      <c r="BC49" s="105">
        <v>1369.6795479834198</v>
      </c>
      <c r="BD49" s="105">
        <v>2.2811649791912543</v>
      </c>
      <c r="BE49" s="105">
        <v>1349.537201689546</v>
      </c>
      <c r="BF49" s="105">
        <v>3.6743948024649136</v>
      </c>
      <c r="BG49" s="105">
        <v>2173.7719651382431</v>
      </c>
      <c r="BH49" s="105">
        <v>2.9533814827359492</v>
      </c>
      <c r="BI49" s="105">
        <v>1747.2204851865877</v>
      </c>
      <c r="BJ49" s="105">
        <v>1.7053953688987089</v>
      </c>
      <c r="BK49" s="105">
        <v>1008.9119002404763</v>
      </c>
      <c r="BL49" s="105">
        <v>2.9562906883031834</v>
      </c>
      <c r="BM49" s="105">
        <v>1748.9415712001635</v>
      </c>
      <c r="BN49" s="105">
        <v>2.5678175715709375</v>
      </c>
      <c r="BO49" s="105">
        <v>1519.1208753413666</v>
      </c>
      <c r="BP49" s="105">
        <v>3.4944371142157067</v>
      </c>
      <c r="BQ49" s="105">
        <v>2067.3089967700121</v>
      </c>
      <c r="BR49" s="105">
        <v>3.2206543356586477</v>
      </c>
      <c r="BS49" s="105">
        <v>1905.339104975656</v>
      </c>
      <c r="BT49" s="105">
        <v>2.8217426189524333</v>
      </c>
      <c r="BU49" s="105">
        <v>1669.3429333722595</v>
      </c>
      <c r="BV49" s="105">
        <v>2.3152122176866459</v>
      </c>
      <c r="BW49" s="105">
        <v>1369.6795479834198</v>
      </c>
      <c r="BX49" s="105">
        <v>2.2811649791912543</v>
      </c>
      <c r="BY49" s="105">
        <v>1349.537201689546</v>
      </c>
      <c r="BZ49" s="105">
        <v>3.2956849390652474</v>
      </c>
      <c r="CA49" s="105">
        <v>1949.7272099510005</v>
      </c>
      <c r="CB49" s="105">
        <v>2.1797872931063287</v>
      </c>
      <c r="CC49" s="105">
        <v>1289.5621626017041</v>
      </c>
      <c r="CD49" s="105">
        <v>2.8977441126471448</v>
      </c>
      <c r="CE49" s="105">
        <v>1714.305417042051</v>
      </c>
      <c r="CF49" s="105">
        <v>4.1271108494095099</v>
      </c>
      <c r="CG49" s="105">
        <v>2441.5987785106663</v>
      </c>
      <c r="CH49" s="105">
        <v>2.5206732807784689</v>
      </c>
      <c r="CI49" s="105">
        <v>1491.2303129085421</v>
      </c>
      <c r="CJ49" s="105">
        <v>2.2243034266811446</v>
      </c>
      <c r="CK49" s="105">
        <v>1315.8979072245652</v>
      </c>
      <c r="CL49" s="105">
        <v>2.6914560259872431</v>
      </c>
      <c r="CM49" s="105">
        <v>1592.2653849740532</v>
      </c>
      <c r="CN49" s="105">
        <v>1.4436741425664221</v>
      </c>
      <c r="CO49" s="105">
        <v>854.07762274229538</v>
      </c>
      <c r="CP49" s="105">
        <v>2.9215620149132282</v>
      </c>
      <c r="CQ49" s="105">
        <v>1728.3960880226659</v>
      </c>
      <c r="CR49" s="105">
        <v>2.3007572772664435</v>
      </c>
      <c r="CS49" s="105">
        <v>1361.128005230828</v>
      </c>
      <c r="CT49" s="105">
        <v>3.0890617579151791</v>
      </c>
      <c r="CU49" s="105">
        <v>1827.48893598262</v>
      </c>
    </row>
    <row r="50" spans="2:99" x14ac:dyDescent="0.2">
      <c r="C50" s="104" t="s">
        <v>218</v>
      </c>
      <c r="D50" s="105">
        <v>0</v>
      </c>
      <c r="E50" s="105">
        <v>0</v>
      </c>
      <c r="F50" s="105">
        <v>2.9425431408979725</v>
      </c>
      <c r="G50" s="105">
        <v>1136.9986696429764</v>
      </c>
      <c r="H50" s="105">
        <v>2.7348342133051746</v>
      </c>
      <c r="I50" s="105">
        <v>1056.7399400211193</v>
      </c>
      <c r="J50" s="105">
        <v>2.9797671471403118</v>
      </c>
      <c r="K50" s="105">
        <v>1151.3820256550164</v>
      </c>
      <c r="L50" s="105">
        <v>2.6914025845138303</v>
      </c>
      <c r="M50" s="105">
        <v>1039.957958656144</v>
      </c>
      <c r="N50" s="105">
        <v>3</v>
      </c>
      <c r="O50" s="105">
        <v>1159.1999999999998</v>
      </c>
      <c r="P50" s="105">
        <v>4</v>
      </c>
      <c r="Q50" s="105">
        <v>1545.6</v>
      </c>
      <c r="R50" s="105">
        <v>4</v>
      </c>
      <c r="S50" s="105">
        <v>1545.6</v>
      </c>
      <c r="T50" s="105">
        <v>5</v>
      </c>
      <c r="U50" s="105">
        <v>1932</v>
      </c>
      <c r="V50" s="105">
        <v>4</v>
      </c>
      <c r="W50" s="105">
        <v>1545.6</v>
      </c>
      <c r="X50" s="105">
        <v>3</v>
      </c>
      <c r="Y50" s="105">
        <v>1159.1999999999998</v>
      </c>
      <c r="Z50" s="105">
        <v>3</v>
      </c>
      <c r="AA50" s="105">
        <v>1159.1999999999998</v>
      </c>
      <c r="AB50" s="105">
        <v>3</v>
      </c>
      <c r="AC50" s="105">
        <v>1159.1999999999998</v>
      </c>
      <c r="AD50" s="105">
        <v>4</v>
      </c>
      <c r="AE50" s="105">
        <v>1545.6</v>
      </c>
      <c r="AF50" s="105">
        <v>2</v>
      </c>
      <c r="AG50" s="105">
        <v>772.8</v>
      </c>
      <c r="AH50" s="105">
        <v>2</v>
      </c>
      <c r="AI50" s="105">
        <v>772.8</v>
      </c>
      <c r="AJ50" s="105">
        <v>4</v>
      </c>
      <c r="AK50" s="105">
        <v>1545.6</v>
      </c>
      <c r="AL50" s="105">
        <v>4</v>
      </c>
      <c r="AM50" s="105">
        <v>1545.6</v>
      </c>
      <c r="AN50" s="105">
        <v>3</v>
      </c>
      <c r="AO50" s="105">
        <v>1159.1999999999998</v>
      </c>
      <c r="AP50" s="105">
        <v>5</v>
      </c>
      <c r="AQ50" s="105">
        <v>1932</v>
      </c>
      <c r="AR50" s="105">
        <v>3</v>
      </c>
      <c r="AS50" s="105">
        <v>1159.1999999999998</v>
      </c>
      <c r="AT50" s="105">
        <v>4</v>
      </c>
      <c r="AU50" s="105">
        <v>1545.6</v>
      </c>
      <c r="AV50" s="105">
        <v>4</v>
      </c>
      <c r="AW50" s="105">
        <v>1545.6</v>
      </c>
      <c r="AX50" s="105">
        <v>5</v>
      </c>
      <c r="AY50" s="105">
        <v>1932</v>
      </c>
      <c r="AZ50" s="105">
        <v>2</v>
      </c>
      <c r="BA50" s="105">
        <v>772.8</v>
      </c>
      <c r="BB50" s="105">
        <v>3</v>
      </c>
      <c r="BC50" s="105">
        <v>1159.1999999999998</v>
      </c>
      <c r="BD50" s="105">
        <v>3</v>
      </c>
      <c r="BE50" s="105">
        <v>1159.1999999999998</v>
      </c>
      <c r="BF50" s="105">
        <v>5</v>
      </c>
      <c r="BG50" s="105">
        <v>1932</v>
      </c>
      <c r="BH50" s="105">
        <v>4</v>
      </c>
      <c r="BI50" s="105">
        <v>1545.6</v>
      </c>
      <c r="BJ50" s="105">
        <v>3</v>
      </c>
      <c r="BK50" s="105">
        <v>1159.1999999999998</v>
      </c>
      <c r="BL50" s="105">
        <v>2</v>
      </c>
      <c r="BM50" s="105">
        <v>772.8</v>
      </c>
      <c r="BN50" s="105">
        <v>3</v>
      </c>
      <c r="BO50" s="105">
        <v>1159.1999999999998</v>
      </c>
      <c r="BP50" s="105">
        <v>4</v>
      </c>
      <c r="BQ50" s="105">
        <v>1545.6</v>
      </c>
      <c r="BR50" s="105">
        <v>4</v>
      </c>
      <c r="BS50" s="105">
        <v>1545.6</v>
      </c>
      <c r="BT50" s="105">
        <v>4</v>
      </c>
      <c r="BU50" s="105">
        <v>1545.6</v>
      </c>
      <c r="BV50" s="105">
        <v>3</v>
      </c>
      <c r="BW50" s="105">
        <v>1159.1999999999998</v>
      </c>
      <c r="BX50" s="105">
        <v>3</v>
      </c>
      <c r="BY50" s="105">
        <v>1159.1999999999998</v>
      </c>
      <c r="BZ50" s="105">
        <v>4</v>
      </c>
      <c r="CA50" s="105">
        <v>1545.6</v>
      </c>
      <c r="CB50" s="105">
        <v>3</v>
      </c>
      <c r="CC50" s="105">
        <v>1159.1999999999998</v>
      </c>
      <c r="CD50" s="105">
        <v>4</v>
      </c>
      <c r="CE50" s="105">
        <v>1545.6</v>
      </c>
      <c r="CF50" s="105">
        <v>4</v>
      </c>
      <c r="CG50" s="105">
        <v>1545.6</v>
      </c>
      <c r="CH50" s="105">
        <v>5</v>
      </c>
      <c r="CI50" s="105">
        <v>1932</v>
      </c>
      <c r="CJ50" s="105">
        <v>2</v>
      </c>
      <c r="CK50" s="105">
        <v>772.8</v>
      </c>
      <c r="CL50" s="105">
        <v>4</v>
      </c>
      <c r="CM50" s="105">
        <v>1545.6</v>
      </c>
      <c r="CN50" s="105">
        <v>2</v>
      </c>
      <c r="CO50" s="105">
        <v>772.8</v>
      </c>
      <c r="CP50" s="105">
        <v>3</v>
      </c>
      <c r="CQ50" s="105">
        <v>1159.1999999999998</v>
      </c>
      <c r="CR50" s="105">
        <v>4</v>
      </c>
      <c r="CS50" s="105">
        <v>1545.6</v>
      </c>
      <c r="CT50" s="105">
        <v>4</v>
      </c>
      <c r="CU50" s="105">
        <v>1545.6</v>
      </c>
    </row>
    <row r="51" spans="2:99" x14ac:dyDescent="0.2">
      <c r="C51" s="104" t="s">
        <v>219</v>
      </c>
      <c r="D51" s="105">
        <v>0</v>
      </c>
      <c r="E51" s="105">
        <v>0</v>
      </c>
      <c r="F51" s="105">
        <v>2</v>
      </c>
      <c r="G51" s="105">
        <v>271.2</v>
      </c>
      <c r="H51" s="105">
        <v>3</v>
      </c>
      <c r="I51" s="105">
        <v>406.79999999999995</v>
      </c>
      <c r="J51" s="105">
        <v>3</v>
      </c>
      <c r="K51" s="105">
        <v>406.79999999999995</v>
      </c>
      <c r="L51" s="105">
        <v>3</v>
      </c>
      <c r="M51" s="105">
        <v>406.79999999999995</v>
      </c>
      <c r="N51" s="105">
        <v>3</v>
      </c>
      <c r="O51" s="105">
        <v>406.79999999999995</v>
      </c>
      <c r="P51" s="105">
        <v>3</v>
      </c>
      <c r="Q51" s="105">
        <v>406.79999999999995</v>
      </c>
      <c r="R51" s="105">
        <v>4</v>
      </c>
      <c r="S51" s="105">
        <v>542.4</v>
      </c>
      <c r="T51" s="105">
        <v>4</v>
      </c>
      <c r="U51" s="105">
        <v>542.4</v>
      </c>
      <c r="V51" s="105">
        <v>3.247347238837119</v>
      </c>
      <c r="W51" s="105">
        <v>440.34028558631331</v>
      </c>
      <c r="X51" s="105">
        <v>2</v>
      </c>
      <c r="Y51" s="105">
        <v>271.2</v>
      </c>
      <c r="Z51" s="105">
        <v>2</v>
      </c>
      <c r="AA51" s="105">
        <v>271.2</v>
      </c>
      <c r="AB51" s="105">
        <v>3</v>
      </c>
      <c r="AC51" s="105">
        <v>406.79999999999995</v>
      </c>
      <c r="AD51" s="105">
        <v>4</v>
      </c>
      <c r="AE51" s="105">
        <v>542.4</v>
      </c>
      <c r="AF51" s="105">
        <v>2</v>
      </c>
      <c r="AG51" s="105">
        <v>271.2</v>
      </c>
      <c r="AH51" s="105">
        <v>3</v>
      </c>
      <c r="AI51" s="105">
        <v>406.79999999999995</v>
      </c>
      <c r="AJ51" s="105">
        <v>4</v>
      </c>
      <c r="AK51" s="105">
        <v>542.4</v>
      </c>
      <c r="AL51" s="105">
        <v>4</v>
      </c>
      <c r="AM51" s="105">
        <v>542.4</v>
      </c>
      <c r="AN51" s="105">
        <v>2</v>
      </c>
      <c r="AO51" s="105">
        <v>271.2</v>
      </c>
      <c r="AP51" s="105">
        <v>5</v>
      </c>
      <c r="AQ51" s="105">
        <v>678</v>
      </c>
      <c r="AR51" s="105">
        <v>3</v>
      </c>
      <c r="AS51" s="105">
        <v>406.79999999999995</v>
      </c>
      <c r="AT51" s="105">
        <v>4</v>
      </c>
      <c r="AU51" s="105">
        <v>542.4</v>
      </c>
      <c r="AV51" s="105">
        <v>4</v>
      </c>
      <c r="AW51" s="105">
        <v>542.4</v>
      </c>
      <c r="AX51" s="105">
        <v>4</v>
      </c>
      <c r="AY51" s="105">
        <v>542.4</v>
      </c>
      <c r="AZ51" s="105">
        <v>2</v>
      </c>
      <c r="BA51" s="105">
        <v>271.2</v>
      </c>
      <c r="BB51" s="105">
        <v>3</v>
      </c>
      <c r="BC51" s="105">
        <v>406.79999999999995</v>
      </c>
      <c r="BD51" s="105">
        <v>3.1505391953891362</v>
      </c>
      <c r="BE51" s="105">
        <v>427.21311489476687</v>
      </c>
      <c r="BF51" s="105">
        <v>5.1076461338389461</v>
      </c>
      <c r="BG51" s="105">
        <v>692.59681574856108</v>
      </c>
      <c r="BH51" s="105">
        <v>4</v>
      </c>
      <c r="BI51" s="105">
        <v>542.4</v>
      </c>
      <c r="BJ51" s="105">
        <v>3</v>
      </c>
      <c r="BK51" s="105">
        <v>406.79999999999995</v>
      </c>
      <c r="BL51" s="105">
        <v>3</v>
      </c>
      <c r="BM51" s="105">
        <v>406.79999999999995</v>
      </c>
      <c r="BN51" s="105">
        <v>3</v>
      </c>
      <c r="BO51" s="105">
        <v>406.79999999999995</v>
      </c>
      <c r="BP51" s="105">
        <v>4</v>
      </c>
      <c r="BQ51" s="105">
        <v>542.4</v>
      </c>
      <c r="BR51" s="105">
        <v>5</v>
      </c>
      <c r="BS51" s="105">
        <v>678</v>
      </c>
      <c r="BT51" s="105">
        <v>4</v>
      </c>
      <c r="BU51" s="105">
        <v>542.4</v>
      </c>
      <c r="BV51" s="105">
        <v>3</v>
      </c>
      <c r="BW51" s="105">
        <v>406.79999999999995</v>
      </c>
      <c r="BX51" s="105">
        <v>4</v>
      </c>
      <c r="BY51" s="105">
        <v>542.4</v>
      </c>
      <c r="BZ51" s="105">
        <v>4</v>
      </c>
      <c r="CA51" s="105">
        <v>542.4</v>
      </c>
      <c r="CB51" s="105">
        <v>3</v>
      </c>
      <c r="CC51" s="105">
        <v>406.79999999999995</v>
      </c>
      <c r="CD51" s="105">
        <v>4</v>
      </c>
      <c r="CE51" s="105">
        <v>542.4</v>
      </c>
      <c r="CF51" s="105">
        <v>4</v>
      </c>
      <c r="CG51" s="105">
        <v>542.4</v>
      </c>
      <c r="CH51" s="105">
        <v>4</v>
      </c>
      <c r="CI51" s="105">
        <v>542.4</v>
      </c>
      <c r="CJ51" s="105">
        <v>2.058679740993167</v>
      </c>
      <c r="CK51" s="105">
        <v>279.15697287867346</v>
      </c>
      <c r="CL51" s="105">
        <v>4</v>
      </c>
      <c r="CM51" s="105">
        <v>542.4</v>
      </c>
      <c r="CN51" s="105">
        <v>2</v>
      </c>
      <c r="CO51" s="105">
        <v>271.2</v>
      </c>
      <c r="CP51" s="105">
        <v>4</v>
      </c>
      <c r="CQ51" s="105">
        <v>542.4</v>
      </c>
      <c r="CR51" s="105">
        <v>4</v>
      </c>
      <c r="CS51" s="105">
        <v>542.4</v>
      </c>
      <c r="CT51" s="105">
        <v>4</v>
      </c>
      <c r="CU51" s="105">
        <v>542.4</v>
      </c>
    </row>
    <row r="52" spans="2:99" x14ac:dyDescent="0.2">
      <c r="C52" s="104" t="s">
        <v>220</v>
      </c>
      <c r="D52" s="105">
        <v>0</v>
      </c>
      <c r="E52" s="105">
        <v>0</v>
      </c>
      <c r="F52" s="105">
        <v>2</v>
      </c>
      <c r="G52" s="105">
        <v>532.79999999999995</v>
      </c>
      <c r="H52" s="105">
        <v>3</v>
      </c>
      <c r="I52" s="105">
        <v>799.19999999999993</v>
      </c>
      <c r="J52" s="105">
        <v>3</v>
      </c>
      <c r="K52" s="105">
        <v>799.19999999999993</v>
      </c>
      <c r="L52" s="105">
        <v>3</v>
      </c>
      <c r="M52" s="105">
        <v>799.19999999999993</v>
      </c>
      <c r="N52" s="105">
        <v>3</v>
      </c>
      <c r="O52" s="105">
        <v>799.19999999999993</v>
      </c>
      <c r="P52" s="105">
        <v>4</v>
      </c>
      <c r="Q52" s="105">
        <v>1065.5999999999999</v>
      </c>
      <c r="R52" s="105">
        <v>4</v>
      </c>
      <c r="S52" s="105">
        <v>1065.5999999999999</v>
      </c>
      <c r="T52" s="105">
        <v>4</v>
      </c>
      <c r="U52" s="105">
        <v>1065.5999999999999</v>
      </c>
      <c r="V52" s="105">
        <v>4.2473472388371185</v>
      </c>
      <c r="W52" s="105">
        <v>1131.4933044262082</v>
      </c>
      <c r="X52" s="105">
        <v>2</v>
      </c>
      <c r="Y52" s="105">
        <v>532.79999999999995</v>
      </c>
      <c r="Z52" s="105">
        <v>3</v>
      </c>
      <c r="AA52" s="105">
        <v>799.19999999999993</v>
      </c>
      <c r="AB52" s="105">
        <v>4</v>
      </c>
      <c r="AC52" s="105">
        <v>1065.5999999999999</v>
      </c>
      <c r="AD52" s="105">
        <v>5</v>
      </c>
      <c r="AE52" s="105">
        <v>1332</v>
      </c>
      <c r="AF52" s="105">
        <v>2</v>
      </c>
      <c r="AG52" s="105">
        <v>532.79999999999995</v>
      </c>
      <c r="AH52" s="105">
        <v>3</v>
      </c>
      <c r="AI52" s="105">
        <v>799.19999999999993</v>
      </c>
      <c r="AJ52" s="105">
        <v>3</v>
      </c>
      <c r="AK52" s="105">
        <v>799.19999999999993</v>
      </c>
      <c r="AL52" s="105">
        <v>4</v>
      </c>
      <c r="AM52" s="105">
        <v>1065.5999999999999</v>
      </c>
      <c r="AN52" s="105">
        <v>2</v>
      </c>
      <c r="AO52" s="105">
        <v>532.79999999999995</v>
      </c>
      <c r="AP52" s="105">
        <v>5</v>
      </c>
      <c r="AQ52" s="105">
        <v>1332</v>
      </c>
      <c r="AR52" s="105">
        <v>3</v>
      </c>
      <c r="AS52" s="105">
        <v>799.19999999999993</v>
      </c>
      <c r="AT52" s="105">
        <v>4</v>
      </c>
      <c r="AU52" s="105">
        <v>1065.5999999999999</v>
      </c>
      <c r="AV52" s="105">
        <v>4</v>
      </c>
      <c r="AW52" s="105">
        <v>1065.5999999999999</v>
      </c>
      <c r="AX52" s="105">
        <v>4</v>
      </c>
      <c r="AY52" s="105">
        <v>1065.5999999999999</v>
      </c>
      <c r="AZ52" s="105">
        <v>2</v>
      </c>
      <c r="BA52" s="105">
        <v>532.79999999999995</v>
      </c>
      <c r="BB52" s="105">
        <v>3</v>
      </c>
      <c r="BC52" s="105">
        <v>799.19999999999993</v>
      </c>
      <c r="BD52" s="105">
        <v>3.1756290612873257</v>
      </c>
      <c r="BE52" s="105">
        <v>845.98758192694345</v>
      </c>
      <c r="BF52" s="105">
        <v>5.1076461338389461</v>
      </c>
      <c r="BG52" s="105">
        <v>1360.676930054695</v>
      </c>
      <c r="BH52" s="105">
        <v>4</v>
      </c>
      <c r="BI52" s="105">
        <v>1065.5999999999999</v>
      </c>
      <c r="BJ52" s="105">
        <v>2</v>
      </c>
      <c r="BK52" s="105">
        <v>532.79999999999995</v>
      </c>
      <c r="BL52" s="105">
        <v>2</v>
      </c>
      <c r="BM52" s="105">
        <v>532.79999999999995</v>
      </c>
      <c r="BN52" s="105">
        <v>3</v>
      </c>
      <c r="BO52" s="105">
        <v>799.19999999999993</v>
      </c>
      <c r="BP52" s="105">
        <v>4</v>
      </c>
      <c r="BQ52" s="105">
        <v>1065.5999999999999</v>
      </c>
      <c r="BR52" s="105">
        <v>5</v>
      </c>
      <c r="BS52" s="105">
        <v>1332</v>
      </c>
      <c r="BT52" s="105">
        <v>4</v>
      </c>
      <c r="BU52" s="105">
        <v>1065.5999999999999</v>
      </c>
      <c r="BV52" s="105">
        <v>3</v>
      </c>
      <c r="BW52" s="105">
        <v>799.19999999999993</v>
      </c>
      <c r="BX52" s="105">
        <v>3</v>
      </c>
      <c r="BY52" s="105">
        <v>799.19999999999993</v>
      </c>
      <c r="BZ52" s="105">
        <v>4</v>
      </c>
      <c r="CA52" s="105">
        <v>1065.5999999999999</v>
      </c>
      <c r="CB52" s="105">
        <v>3</v>
      </c>
      <c r="CC52" s="105">
        <v>799.19999999999993</v>
      </c>
      <c r="CD52" s="105">
        <v>5</v>
      </c>
      <c r="CE52" s="105">
        <v>1332</v>
      </c>
      <c r="CF52" s="105">
        <v>4</v>
      </c>
      <c r="CG52" s="105">
        <v>1065.5999999999999</v>
      </c>
      <c r="CH52" s="105">
        <v>5</v>
      </c>
      <c r="CI52" s="105">
        <v>1332</v>
      </c>
      <c r="CJ52" s="105">
        <v>2.058679740993167</v>
      </c>
      <c r="CK52" s="105">
        <v>548.43228300057967</v>
      </c>
      <c r="CL52" s="105">
        <v>3</v>
      </c>
      <c r="CM52" s="105">
        <v>799.19999999999993</v>
      </c>
      <c r="CN52" s="105">
        <v>2</v>
      </c>
      <c r="CO52" s="105">
        <v>532.79999999999995</v>
      </c>
      <c r="CP52" s="105">
        <v>4</v>
      </c>
      <c r="CQ52" s="105">
        <v>1065.5999999999999</v>
      </c>
      <c r="CR52" s="105">
        <v>4</v>
      </c>
      <c r="CS52" s="105">
        <v>1065.5999999999999</v>
      </c>
      <c r="CT52" s="105">
        <v>4</v>
      </c>
      <c r="CU52" s="105">
        <v>1065.5999999999999</v>
      </c>
    </row>
    <row r="53" spans="2:99" x14ac:dyDescent="0.2">
      <c r="C53" s="104" t="s">
        <v>221</v>
      </c>
      <c r="D53" s="105">
        <v>0</v>
      </c>
      <c r="E53" s="105">
        <v>0</v>
      </c>
      <c r="F53" s="105">
        <v>2</v>
      </c>
      <c r="G53" s="105">
        <v>784.8</v>
      </c>
      <c r="H53" s="105">
        <v>3</v>
      </c>
      <c r="I53" s="105">
        <v>1177.1999999999998</v>
      </c>
      <c r="J53" s="105">
        <v>3</v>
      </c>
      <c r="K53" s="105">
        <v>1177.1999999999998</v>
      </c>
      <c r="L53" s="105">
        <v>3</v>
      </c>
      <c r="M53" s="105">
        <v>1177.1999999999998</v>
      </c>
      <c r="N53" s="105">
        <v>3</v>
      </c>
      <c r="O53" s="105">
        <v>1177.1999999999998</v>
      </c>
      <c r="P53" s="105">
        <v>4</v>
      </c>
      <c r="Q53" s="105">
        <v>1569.6</v>
      </c>
      <c r="R53" s="105">
        <v>4</v>
      </c>
      <c r="S53" s="105">
        <v>1569.6</v>
      </c>
      <c r="T53" s="105">
        <v>4</v>
      </c>
      <c r="U53" s="105">
        <v>1569.6</v>
      </c>
      <c r="V53" s="105">
        <v>4.2473472388371185</v>
      </c>
      <c r="W53" s="105">
        <v>1666.6590565196852</v>
      </c>
      <c r="X53" s="105">
        <v>2</v>
      </c>
      <c r="Y53" s="105">
        <v>784.8</v>
      </c>
      <c r="Z53" s="105">
        <v>3</v>
      </c>
      <c r="AA53" s="105">
        <v>1177.1999999999998</v>
      </c>
      <c r="AB53" s="105">
        <v>3</v>
      </c>
      <c r="AC53" s="105">
        <v>1177.1999999999998</v>
      </c>
      <c r="AD53" s="105">
        <v>4</v>
      </c>
      <c r="AE53" s="105">
        <v>1569.6</v>
      </c>
      <c r="AF53" s="105">
        <v>2</v>
      </c>
      <c r="AG53" s="105">
        <v>784.8</v>
      </c>
      <c r="AH53" s="105">
        <v>2</v>
      </c>
      <c r="AI53" s="105">
        <v>784.8</v>
      </c>
      <c r="AJ53" s="105">
        <v>3</v>
      </c>
      <c r="AK53" s="105">
        <v>1177.1999999999998</v>
      </c>
      <c r="AL53" s="105">
        <v>4</v>
      </c>
      <c r="AM53" s="105">
        <v>1569.6</v>
      </c>
      <c r="AN53" s="105">
        <v>3</v>
      </c>
      <c r="AO53" s="105">
        <v>1177.1999999999998</v>
      </c>
      <c r="AP53" s="105">
        <v>5</v>
      </c>
      <c r="AQ53" s="105">
        <v>1962</v>
      </c>
      <c r="AR53" s="105">
        <v>3</v>
      </c>
      <c r="AS53" s="105">
        <v>1177.1999999999998</v>
      </c>
      <c r="AT53" s="105">
        <v>4</v>
      </c>
      <c r="AU53" s="105">
        <v>1569.6</v>
      </c>
      <c r="AV53" s="105">
        <v>4</v>
      </c>
      <c r="AW53" s="105">
        <v>1569.6</v>
      </c>
      <c r="AX53" s="105">
        <v>5</v>
      </c>
      <c r="AY53" s="105">
        <v>1962</v>
      </c>
      <c r="AZ53" s="105">
        <v>2</v>
      </c>
      <c r="BA53" s="105">
        <v>784.8</v>
      </c>
      <c r="BB53" s="105">
        <v>3</v>
      </c>
      <c r="BC53" s="105">
        <v>1177.1999999999998</v>
      </c>
      <c r="BD53" s="105">
        <v>2.1505391953891362</v>
      </c>
      <c r="BE53" s="105">
        <v>843.871580270697</v>
      </c>
      <c r="BF53" s="105">
        <v>4.1076461338389461</v>
      </c>
      <c r="BG53" s="105">
        <v>1611.8403429184023</v>
      </c>
      <c r="BH53" s="105">
        <v>4</v>
      </c>
      <c r="BI53" s="105">
        <v>1569.6</v>
      </c>
      <c r="BJ53" s="105">
        <v>3</v>
      </c>
      <c r="BK53" s="105">
        <v>1177.1999999999998</v>
      </c>
      <c r="BL53" s="105">
        <v>2</v>
      </c>
      <c r="BM53" s="105">
        <v>784.8</v>
      </c>
      <c r="BN53" s="105">
        <v>3</v>
      </c>
      <c r="BO53" s="105">
        <v>1177.1999999999998</v>
      </c>
      <c r="BP53" s="105">
        <v>4</v>
      </c>
      <c r="BQ53" s="105">
        <v>1569.6</v>
      </c>
      <c r="BR53" s="105">
        <v>5</v>
      </c>
      <c r="BS53" s="105">
        <v>1962</v>
      </c>
      <c r="BT53" s="105">
        <v>4</v>
      </c>
      <c r="BU53" s="105">
        <v>1569.6</v>
      </c>
      <c r="BV53" s="105">
        <v>3</v>
      </c>
      <c r="BW53" s="105">
        <v>1177.1999999999998</v>
      </c>
      <c r="BX53" s="105">
        <v>4</v>
      </c>
      <c r="BY53" s="105">
        <v>1569.6</v>
      </c>
      <c r="BZ53" s="105">
        <v>4</v>
      </c>
      <c r="CA53" s="105">
        <v>1569.6</v>
      </c>
      <c r="CB53" s="105">
        <v>3</v>
      </c>
      <c r="CC53" s="105">
        <v>1177.1999999999998</v>
      </c>
      <c r="CD53" s="105">
        <v>4</v>
      </c>
      <c r="CE53" s="105">
        <v>1569.6</v>
      </c>
      <c r="CF53" s="105">
        <v>4</v>
      </c>
      <c r="CG53" s="105">
        <v>1569.6</v>
      </c>
      <c r="CH53" s="105">
        <v>5</v>
      </c>
      <c r="CI53" s="105">
        <v>1962</v>
      </c>
      <c r="CJ53" s="105">
        <v>2.0733496762414587</v>
      </c>
      <c r="CK53" s="105">
        <v>813.58241295714834</v>
      </c>
      <c r="CL53" s="105">
        <v>4</v>
      </c>
      <c r="CM53" s="105">
        <v>1569.6</v>
      </c>
      <c r="CN53" s="105">
        <v>2</v>
      </c>
      <c r="CO53" s="105">
        <v>784.8</v>
      </c>
      <c r="CP53" s="105">
        <v>4</v>
      </c>
      <c r="CQ53" s="105">
        <v>1569.6</v>
      </c>
      <c r="CR53" s="105">
        <v>5</v>
      </c>
      <c r="CS53" s="105">
        <v>1962</v>
      </c>
      <c r="CT53" s="105">
        <v>4</v>
      </c>
      <c r="CU53" s="105">
        <v>1569.6</v>
      </c>
    </row>
    <row r="54" spans="2:99" x14ac:dyDescent="0.2">
      <c r="C54" s="104" t="s">
        <v>222</v>
      </c>
      <c r="D54" s="105">
        <v>0</v>
      </c>
      <c r="E54" s="105">
        <v>0</v>
      </c>
      <c r="F54" s="105">
        <v>2.9425431408979725</v>
      </c>
      <c r="G54" s="105">
        <v>1200.5576014863727</v>
      </c>
      <c r="H54" s="105">
        <v>2.7348342133051746</v>
      </c>
      <c r="I54" s="105">
        <v>1115.8123590285113</v>
      </c>
      <c r="J54" s="105">
        <v>2.9797671471403118</v>
      </c>
      <c r="K54" s="105">
        <v>1215.7449960332472</v>
      </c>
      <c r="L54" s="105">
        <v>2.6914025845138303</v>
      </c>
      <c r="M54" s="105">
        <v>1098.0922544816428</v>
      </c>
      <c r="N54" s="105">
        <v>3</v>
      </c>
      <c r="O54" s="105">
        <v>1224</v>
      </c>
      <c r="P54" s="105">
        <v>3</v>
      </c>
      <c r="Q54" s="105">
        <v>1224</v>
      </c>
      <c r="R54" s="105">
        <v>4</v>
      </c>
      <c r="S54" s="105">
        <v>1632</v>
      </c>
      <c r="T54" s="105">
        <v>4</v>
      </c>
      <c r="U54" s="105">
        <v>1632</v>
      </c>
      <c r="V54" s="105">
        <v>3</v>
      </c>
      <c r="W54" s="105">
        <v>1224</v>
      </c>
      <c r="X54" s="105">
        <v>2</v>
      </c>
      <c r="Y54" s="105">
        <v>816</v>
      </c>
      <c r="Z54" s="105">
        <v>2</v>
      </c>
      <c r="AA54" s="105">
        <v>816</v>
      </c>
      <c r="AB54" s="105">
        <v>3</v>
      </c>
      <c r="AC54" s="105">
        <v>1224</v>
      </c>
      <c r="AD54" s="105">
        <v>4</v>
      </c>
      <c r="AE54" s="105">
        <v>1632</v>
      </c>
      <c r="AF54" s="105">
        <v>3</v>
      </c>
      <c r="AG54" s="105">
        <v>1224</v>
      </c>
      <c r="AH54" s="105">
        <v>2</v>
      </c>
      <c r="AI54" s="105">
        <v>816</v>
      </c>
      <c r="AJ54" s="105">
        <v>4</v>
      </c>
      <c r="AK54" s="105">
        <v>1632</v>
      </c>
      <c r="AL54" s="105">
        <v>4</v>
      </c>
      <c r="AM54" s="105">
        <v>1632</v>
      </c>
      <c r="AN54" s="105">
        <v>2</v>
      </c>
      <c r="AO54" s="105">
        <v>816</v>
      </c>
      <c r="AP54" s="105">
        <v>5</v>
      </c>
      <c r="AQ54" s="105">
        <v>2040</v>
      </c>
      <c r="AR54" s="105">
        <v>3</v>
      </c>
      <c r="AS54" s="105">
        <v>1224</v>
      </c>
      <c r="AT54" s="105">
        <v>4</v>
      </c>
      <c r="AU54" s="105">
        <v>1632</v>
      </c>
      <c r="AV54" s="105">
        <v>4</v>
      </c>
      <c r="AW54" s="105">
        <v>1632</v>
      </c>
      <c r="AX54" s="105">
        <v>4</v>
      </c>
      <c r="AY54" s="105">
        <v>1632</v>
      </c>
      <c r="AZ54" s="105">
        <v>2</v>
      </c>
      <c r="BA54" s="105">
        <v>816</v>
      </c>
      <c r="BB54" s="105">
        <v>3</v>
      </c>
      <c r="BC54" s="105">
        <v>1224</v>
      </c>
      <c r="BD54" s="105">
        <v>3</v>
      </c>
      <c r="BE54" s="105">
        <v>1224</v>
      </c>
      <c r="BF54" s="105">
        <v>4</v>
      </c>
      <c r="BG54" s="105">
        <v>1632</v>
      </c>
      <c r="BH54" s="105">
        <v>4</v>
      </c>
      <c r="BI54" s="105">
        <v>1632</v>
      </c>
      <c r="BJ54" s="105">
        <v>3</v>
      </c>
      <c r="BK54" s="105">
        <v>1224</v>
      </c>
      <c r="BL54" s="105">
        <v>3</v>
      </c>
      <c r="BM54" s="105">
        <v>1224</v>
      </c>
      <c r="BN54" s="105">
        <v>3</v>
      </c>
      <c r="BO54" s="105">
        <v>1224</v>
      </c>
      <c r="BP54" s="105">
        <v>4</v>
      </c>
      <c r="BQ54" s="105">
        <v>1632</v>
      </c>
      <c r="BR54" s="105">
        <v>4</v>
      </c>
      <c r="BS54" s="105">
        <v>1632</v>
      </c>
      <c r="BT54" s="105">
        <v>4</v>
      </c>
      <c r="BU54" s="105">
        <v>1632</v>
      </c>
      <c r="BV54" s="105">
        <v>3</v>
      </c>
      <c r="BW54" s="105">
        <v>1224</v>
      </c>
      <c r="BX54" s="105">
        <v>4</v>
      </c>
      <c r="BY54" s="105">
        <v>1632</v>
      </c>
      <c r="BZ54" s="105">
        <v>4</v>
      </c>
      <c r="CA54" s="105">
        <v>1632</v>
      </c>
      <c r="CB54" s="105">
        <v>3</v>
      </c>
      <c r="CC54" s="105">
        <v>1224</v>
      </c>
      <c r="CD54" s="105">
        <v>4</v>
      </c>
      <c r="CE54" s="105">
        <v>1632</v>
      </c>
      <c r="CF54" s="105">
        <v>4</v>
      </c>
      <c r="CG54" s="105">
        <v>1632</v>
      </c>
      <c r="CH54" s="105">
        <v>4</v>
      </c>
      <c r="CI54" s="105">
        <v>1632</v>
      </c>
      <c r="CJ54" s="105">
        <v>2</v>
      </c>
      <c r="CK54" s="105">
        <v>816</v>
      </c>
      <c r="CL54" s="105">
        <v>4</v>
      </c>
      <c r="CM54" s="105">
        <v>1632</v>
      </c>
      <c r="CN54" s="105">
        <v>2</v>
      </c>
      <c r="CO54" s="105">
        <v>816</v>
      </c>
      <c r="CP54" s="105">
        <v>4</v>
      </c>
      <c r="CQ54" s="105">
        <v>1632</v>
      </c>
      <c r="CR54" s="105">
        <v>4</v>
      </c>
      <c r="CS54" s="105">
        <v>1632</v>
      </c>
      <c r="CT54" s="105">
        <v>4</v>
      </c>
      <c r="CU54" s="105">
        <v>1632</v>
      </c>
    </row>
    <row r="55" spans="2:99" x14ac:dyDescent="0.2">
      <c r="C55" s="104" t="s">
        <v>223</v>
      </c>
      <c r="D55" s="105">
        <v>0</v>
      </c>
      <c r="E55" s="105">
        <v>0</v>
      </c>
      <c r="F55" s="105">
        <v>3</v>
      </c>
      <c r="G55" s="105">
        <v>763.19999999999982</v>
      </c>
      <c r="H55" s="105">
        <v>3</v>
      </c>
      <c r="I55" s="105">
        <v>763.19999999999982</v>
      </c>
      <c r="J55" s="105">
        <v>3</v>
      </c>
      <c r="K55" s="105">
        <v>763.19999999999982</v>
      </c>
      <c r="L55" s="105">
        <v>3</v>
      </c>
      <c r="M55" s="105">
        <v>763.19999999999982</v>
      </c>
      <c r="N55" s="105">
        <v>3</v>
      </c>
      <c r="O55" s="105">
        <v>763.19999999999982</v>
      </c>
      <c r="P55" s="105">
        <v>4</v>
      </c>
      <c r="Q55" s="105">
        <v>1017.5999999999998</v>
      </c>
      <c r="R55" s="105">
        <v>4</v>
      </c>
      <c r="S55" s="105">
        <v>1017.5999999999998</v>
      </c>
      <c r="T55" s="105">
        <v>5</v>
      </c>
      <c r="U55" s="105">
        <v>1271.9999999999998</v>
      </c>
      <c r="V55" s="105">
        <v>4.2473472388371185</v>
      </c>
      <c r="W55" s="105">
        <v>1080.5251375601626</v>
      </c>
      <c r="X55" s="105">
        <v>3</v>
      </c>
      <c r="Y55" s="105">
        <v>763.19999999999982</v>
      </c>
      <c r="Z55" s="105">
        <v>2</v>
      </c>
      <c r="AA55" s="105">
        <v>508.7999999999999</v>
      </c>
      <c r="AB55" s="105">
        <v>3</v>
      </c>
      <c r="AC55" s="105">
        <v>763.19999999999982</v>
      </c>
      <c r="AD55" s="105">
        <v>4</v>
      </c>
      <c r="AE55" s="105">
        <v>1017.5999999999998</v>
      </c>
      <c r="AF55" s="105">
        <v>2</v>
      </c>
      <c r="AG55" s="105">
        <v>508.7999999999999</v>
      </c>
      <c r="AH55" s="105">
        <v>3</v>
      </c>
      <c r="AI55" s="105">
        <v>763.19999999999982</v>
      </c>
      <c r="AJ55" s="105">
        <v>4</v>
      </c>
      <c r="AK55" s="105">
        <v>1017.5999999999998</v>
      </c>
      <c r="AL55" s="105">
        <v>4</v>
      </c>
      <c r="AM55" s="105">
        <v>1017.5999999999998</v>
      </c>
      <c r="AN55" s="105">
        <v>3</v>
      </c>
      <c r="AO55" s="105">
        <v>763.19999999999982</v>
      </c>
      <c r="AP55" s="105">
        <v>5</v>
      </c>
      <c r="AQ55" s="105">
        <v>1271.9999999999998</v>
      </c>
      <c r="AR55" s="105">
        <v>3</v>
      </c>
      <c r="AS55" s="105">
        <v>763.19999999999982</v>
      </c>
      <c r="AT55" s="105">
        <v>4</v>
      </c>
      <c r="AU55" s="105">
        <v>1017.5999999999998</v>
      </c>
      <c r="AV55" s="105">
        <v>4</v>
      </c>
      <c r="AW55" s="105">
        <v>1017.5999999999998</v>
      </c>
      <c r="AX55" s="105">
        <v>4</v>
      </c>
      <c r="AY55" s="105">
        <v>1017.5999999999998</v>
      </c>
      <c r="AZ55" s="105">
        <v>2</v>
      </c>
      <c r="BA55" s="105">
        <v>508.7999999999999</v>
      </c>
      <c r="BB55" s="105">
        <v>3</v>
      </c>
      <c r="BC55" s="105">
        <v>763.19999999999982</v>
      </c>
      <c r="BD55" s="105">
        <v>3.1756290612873257</v>
      </c>
      <c r="BE55" s="105">
        <v>807.8800331914955</v>
      </c>
      <c r="BF55" s="105">
        <v>4.1076461338389461</v>
      </c>
      <c r="BG55" s="105">
        <v>1044.9851764486277</v>
      </c>
      <c r="BH55" s="105">
        <v>4</v>
      </c>
      <c r="BI55" s="105">
        <v>1017.5999999999998</v>
      </c>
      <c r="BJ55" s="105">
        <v>3</v>
      </c>
      <c r="BK55" s="105">
        <v>763.19999999999982</v>
      </c>
      <c r="BL55" s="105">
        <v>2</v>
      </c>
      <c r="BM55" s="105">
        <v>508.7999999999999</v>
      </c>
      <c r="BN55" s="105">
        <v>3</v>
      </c>
      <c r="BO55" s="105">
        <v>763.19999999999982</v>
      </c>
      <c r="BP55" s="105">
        <v>4</v>
      </c>
      <c r="BQ55" s="105">
        <v>1017.5999999999998</v>
      </c>
      <c r="BR55" s="105">
        <v>4</v>
      </c>
      <c r="BS55" s="105">
        <v>1017.5999999999998</v>
      </c>
      <c r="BT55" s="105">
        <v>4</v>
      </c>
      <c r="BU55" s="105">
        <v>1017.5999999999998</v>
      </c>
      <c r="BV55" s="105">
        <v>3</v>
      </c>
      <c r="BW55" s="105">
        <v>763.19999999999982</v>
      </c>
      <c r="BX55" s="105">
        <v>4</v>
      </c>
      <c r="BY55" s="105">
        <v>1017.5999999999998</v>
      </c>
      <c r="BZ55" s="105">
        <v>4</v>
      </c>
      <c r="CA55" s="105">
        <v>1017.5999999999998</v>
      </c>
      <c r="CB55" s="105">
        <v>3</v>
      </c>
      <c r="CC55" s="105">
        <v>763.19999999999982</v>
      </c>
      <c r="CD55" s="105">
        <v>4</v>
      </c>
      <c r="CE55" s="105">
        <v>1017.5999999999998</v>
      </c>
      <c r="CF55" s="105">
        <v>4</v>
      </c>
      <c r="CG55" s="105">
        <v>1017.5999999999998</v>
      </c>
      <c r="CH55" s="105">
        <v>4</v>
      </c>
      <c r="CI55" s="105">
        <v>1017.5999999999998</v>
      </c>
      <c r="CJ55" s="105">
        <v>2.058679740993167</v>
      </c>
      <c r="CK55" s="105">
        <v>523.72812610866163</v>
      </c>
      <c r="CL55" s="105">
        <v>4</v>
      </c>
      <c r="CM55" s="105">
        <v>1017.5999999999998</v>
      </c>
      <c r="CN55" s="105">
        <v>2</v>
      </c>
      <c r="CO55" s="105">
        <v>508.7999999999999</v>
      </c>
      <c r="CP55" s="105">
        <v>4</v>
      </c>
      <c r="CQ55" s="105">
        <v>1017.5999999999998</v>
      </c>
      <c r="CR55" s="105">
        <v>5</v>
      </c>
      <c r="CS55" s="105">
        <v>1271.9999999999998</v>
      </c>
      <c r="CT55" s="105">
        <v>3</v>
      </c>
      <c r="CU55" s="105">
        <v>763.19999999999982</v>
      </c>
    </row>
    <row r="56" spans="2:99" x14ac:dyDescent="0.2">
      <c r="C56" s="104" t="s">
        <v>224</v>
      </c>
      <c r="D56" s="105">
        <v>0</v>
      </c>
      <c r="E56" s="105">
        <v>0</v>
      </c>
      <c r="F56" s="105">
        <v>1.8433884782353636</v>
      </c>
      <c r="G56" s="105">
        <v>1398.0258218936997</v>
      </c>
      <c r="H56" s="105">
        <v>1.8235376400823395</v>
      </c>
      <c r="I56" s="105">
        <v>1382.9709462384462</v>
      </c>
      <c r="J56" s="105">
        <v>2.2159888369286471</v>
      </c>
      <c r="K56" s="105">
        <v>1680.605933926686</v>
      </c>
      <c r="L56" s="105">
        <v>1.9389902323125661</v>
      </c>
      <c r="M56" s="105">
        <v>1470.53019218585</v>
      </c>
      <c r="N56" s="105">
        <v>2.1483044936706754</v>
      </c>
      <c r="O56" s="105">
        <v>1629.2741279998402</v>
      </c>
      <c r="P56" s="105">
        <v>2.6805968279603793</v>
      </c>
      <c r="Q56" s="105">
        <v>2032.9646343251516</v>
      </c>
      <c r="R56" s="105">
        <v>3.6285197329825793</v>
      </c>
      <c r="S56" s="105">
        <v>2751.869365493988</v>
      </c>
      <c r="T56" s="105">
        <v>2.6180458832912286</v>
      </c>
      <c r="U56" s="105">
        <v>1985.5259978880676</v>
      </c>
      <c r="V56" s="105">
        <v>3</v>
      </c>
      <c r="W56" s="105">
        <v>2275.1999999999998</v>
      </c>
      <c r="X56" s="105">
        <v>1.3851600792316305</v>
      </c>
      <c r="Y56" s="105">
        <v>1050.5054040892685</v>
      </c>
      <c r="Z56" s="105">
        <v>1.391370831866714</v>
      </c>
      <c r="AA56" s="105">
        <v>1055.2156388877158</v>
      </c>
      <c r="AB56" s="105">
        <v>2.7461266418421983</v>
      </c>
      <c r="AC56" s="105">
        <v>2082.6624451731232</v>
      </c>
      <c r="AD56" s="105">
        <v>2.8986892330556535</v>
      </c>
      <c r="AE56" s="105">
        <v>2198.3659143494074</v>
      </c>
      <c r="AF56" s="105">
        <v>1.2883063258025127</v>
      </c>
      <c r="AG56" s="105">
        <v>977.05151748862556</v>
      </c>
      <c r="AH56" s="105">
        <v>2.0665670914127414</v>
      </c>
      <c r="AI56" s="105">
        <v>1567.284482127423</v>
      </c>
      <c r="AJ56" s="105">
        <v>2.7101694859241889</v>
      </c>
      <c r="AK56" s="105">
        <v>2055.3925381249046</v>
      </c>
      <c r="AL56" s="105">
        <v>2.3502911906818982</v>
      </c>
      <c r="AM56" s="105">
        <v>1782.4608390131516</v>
      </c>
      <c r="AN56" s="105">
        <v>1.2611318584146771</v>
      </c>
      <c r="AO56" s="105">
        <v>956.4424014216911</v>
      </c>
      <c r="AP56" s="105">
        <v>4.6586076959823011</v>
      </c>
      <c r="AQ56" s="105">
        <v>3533.0880766329769</v>
      </c>
      <c r="AR56" s="105">
        <v>2.3716548270455351</v>
      </c>
      <c r="AS56" s="105">
        <v>1798.6630208313338</v>
      </c>
      <c r="AT56" s="105">
        <v>3.0692003644118686</v>
      </c>
      <c r="AU56" s="105">
        <v>2327.6815563699611</v>
      </c>
      <c r="AV56" s="105">
        <v>2.455360291529495</v>
      </c>
      <c r="AW56" s="105">
        <v>1862.1452450959689</v>
      </c>
      <c r="AX56" s="105">
        <v>4.4574488099139451</v>
      </c>
      <c r="AY56" s="105">
        <v>3380.529177438736</v>
      </c>
      <c r="AZ56" s="105">
        <v>1.5668607937879322</v>
      </c>
      <c r="BA56" s="105">
        <v>1188.3072260087677</v>
      </c>
      <c r="BB56" s="105">
        <v>2.3152122176866459</v>
      </c>
      <c r="BC56" s="105">
        <v>1755.8569458935522</v>
      </c>
      <c r="BD56" s="105">
        <v>1.5207766527941695</v>
      </c>
      <c r="BE56" s="105">
        <v>1153.3570134790982</v>
      </c>
      <c r="BF56" s="105">
        <v>3.6743948024649136</v>
      </c>
      <c r="BG56" s="105">
        <v>2786.6610181893902</v>
      </c>
      <c r="BH56" s="105">
        <v>3.9378419769812654</v>
      </c>
      <c r="BI56" s="105">
        <v>2986.4593553425916</v>
      </c>
      <c r="BJ56" s="105">
        <v>1.7053953688987089</v>
      </c>
      <c r="BK56" s="105">
        <v>1293.3718477727807</v>
      </c>
      <c r="BL56" s="105">
        <v>1.9726327335246903</v>
      </c>
      <c r="BM56" s="105">
        <v>1496.044665105125</v>
      </c>
      <c r="BN56" s="105">
        <v>2.5946956692840484</v>
      </c>
      <c r="BO56" s="105">
        <v>1967.8171955850223</v>
      </c>
      <c r="BP56" s="105">
        <v>3.4944371142157067</v>
      </c>
      <c r="BQ56" s="105">
        <v>2650.1811074211919</v>
      </c>
      <c r="BR56" s="105">
        <v>3.2206543356586477</v>
      </c>
      <c r="BS56" s="105">
        <v>2442.5442481635182</v>
      </c>
      <c r="BT56" s="105">
        <v>2.8062164412398509</v>
      </c>
      <c r="BU56" s="105">
        <v>2128.2345490363027</v>
      </c>
      <c r="BV56" s="105">
        <v>2.3152122176866459</v>
      </c>
      <c r="BW56" s="105">
        <v>1755.8569458935522</v>
      </c>
      <c r="BX56" s="105">
        <v>3.041553305588339</v>
      </c>
      <c r="BY56" s="105">
        <v>2306.7140269581964</v>
      </c>
      <c r="BZ56" s="105">
        <v>3.2956849390652474</v>
      </c>
      <c r="CA56" s="105">
        <v>2499.4474577870837</v>
      </c>
      <c r="CB56" s="105">
        <v>2.1544223438927022</v>
      </c>
      <c r="CC56" s="105">
        <v>1633.9139056082251</v>
      </c>
      <c r="CD56" s="105">
        <v>2.867512919853493</v>
      </c>
      <c r="CE56" s="105">
        <v>2174.7217984168892</v>
      </c>
      <c r="CF56" s="105">
        <v>4.1271108494095099</v>
      </c>
      <c r="CG56" s="105">
        <v>3130.0008681921722</v>
      </c>
      <c r="CH56" s="105">
        <v>2.5206732807784689</v>
      </c>
      <c r="CI56" s="105">
        <v>1911.6786161423906</v>
      </c>
      <c r="CJ56" s="105">
        <v>2.1794427413449156</v>
      </c>
      <c r="CK56" s="105">
        <v>1652.8893750359839</v>
      </c>
      <c r="CL56" s="105">
        <v>2.034179412400726</v>
      </c>
      <c r="CM56" s="105">
        <v>1542.7216663647105</v>
      </c>
      <c r="CN56" s="105">
        <v>1.4436741425664221</v>
      </c>
      <c r="CO56" s="105">
        <v>1094.8824697223745</v>
      </c>
      <c r="CP56" s="105">
        <v>2.9215620149132282</v>
      </c>
      <c r="CQ56" s="105">
        <v>2215.7126321101923</v>
      </c>
      <c r="CR56" s="105">
        <v>2.3007572772664435</v>
      </c>
      <c r="CS56" s="105">
        <v>1744.8943190788707</v>
      </c>
      <c r="CT56" s="105">
        <v>2.3405505445998038</v>
      </c>
      <c r="CU56" s="105">
        <v>1775.0735330244911</v>
      </c>
    </row>
    <row r="57" spans="2:99" x14ac:dyDescent="0.2">
      <c r="C57" s="104" t="s">
        <v>225</v>
      </c>
      <c r="D57" s="105">
        <v>0</v>
      </c>
      <c r="E57" s="105">
        <v>0</v>
      </c>
      <c r="F57" s="105">
        <v>2</v>
      </c>
      <c r="G57" s="105">
        <v>1399.2</v>
      </c>
      <c r="H57" s="105">
        <v>3</v>
      </c>
      <c r="I57" s="105">
        <v>2098.8000000000002</v>
      </c>
      <c r="J57" s="105">
        <v>3</v>
      </c>
      <c r="K57" s="105">
        <v>2098.8000000000002</v>
      </c>
      <c r="L57" s="105">
        <v>3</v>
      </c>
      <c r="M57" s="105">
        <v>2098.8000000000002</v>
      </c>
      <c r="N57" s="105">
        <v>3</v>
      </c>
      <c r="O57" s="105">
        <v>2098.8000000000002</v>
      </c>
      <c r="P57" s="105">
        <v>3</v>
      </c>
      <c r="Q57" s="105">
        <v>2098.8000000000002</v>
      </c>
      <c r="R57" s="105">
        <v>4</v>
      </c>
      <c r="S57" s="105">
        <v>2798.4</v>
      </c>
      <c r="T57" s="105">
        <v>4</v>
      </c>
      <c r="U57" s="105">
        <v>2798.4</v>
      </c>
      <c r="V57" s="105">
        <v>3.247347238837119</v>
      </c>
      <c r="W57" s="105">
        <v>2271.8441282904487</v>
      </c>
      <c r="X57" s="105">
        <v>2</v>
      </c>
      <c r="Y57" s="105">
        <v>1399.2</v>
      </c>
      <c r="Z57" s="105">
        <v>3</v>
      </c>
      <c r="AA57" s="105">
        <v>2098.8000000000002</v>
      </c>
      <c r="AB57" s="105">
        <v>3</v>
      </c>
      <c r="AC57" s="105">
        <v>2098.8000000000002</v>
      </c>
      <c r="AD57" s="105">
        <v>4</v>
      </c>
      <c r="AE57" s="105">
        <v>2798.4</v>
      </c>
      <c r="AF57" s="105">
        <v>2</v>
      </c>
      <c r="AG57" s="105">
        <v>1399.2</v>
      </c>
      <c r="AH57" s="105">
        <v>2</v>
      </c>
      <c r="AI57" s="105">
        <v>1399.2</v>
      </c>
      <c r="AJ57" s="105">
        <v>3</v>
      </c>
      <c r="AK57" s="105">
        <v>2098.8000000000002</v>
      </c>
      <c r="AL57" s="105">
        <v>4</v>
      </c>
      <c r="AM57" s="105">
        <v>2798.4</v>
      </c>
      <c r="AN57" s="105">
        <v>2</v>
      </c>
      <c r="AO57" s="105">
        <v>1399.2</v>
      </c>
      <c r="AP57" s="105">
        <v>5</v>
      </c>
      <c r="AQ57" s="105">
        <v>3498</v>
      </c>
      <c r="AR57" s="105">
        <v>3</v>
      </c>
      <c r="AS57" s="105">
        <v>2098.8000000000002</v>
      </c>
      <c r="AT57" s="105">
        <v>4</v>
      </c>
      <c r="AU57" s="105">
        <v>2798.4</v>
      </c>
      <c r="AV57" s="105">
        <v>4</v>
      </c>
      <c r="AW57" s="105">
        <v>2798.4</v>
      </c>
      <c r="AX57" s="105">
        <v>4</v>
      </c>
      <c r="AY57" s="105">
        <v>2798.4</v>
      </c>
      <c r="AZ57" s="105">
        <v>2</v>
      </c>
      <c r="BA57" s="105">
        <v>1399.2</v>
      </c>
      <c r="BB57" s="105">
        <v>3</v>
      </c>
      <c r="BC57" s="105">
        <v>2098.8000000000002</v>
      </c>
      <c r="BD57" s="105">
        <v>2.1505391953891362</v>
      </c>
      <c r="BE57" s="105">
        <v>1504.5172210942396</v>
      </c>
      <c r="BF57" s="105">
        <v>4.1076461338389461</v>
      </c>
      <c r="BG57" s="105">
        <v>2873.7092352337268</v>
      </c>
      <c r="BH57" s="105">
        <v>4</v>
      </c>
      <c r="BI57" s="105">
        <v>2798.4</v>
      </c>
      <c r="BJ57" s="105">
        <v>3</v>
      </c>
      <c r="BK57" s="105">
        <v>2098.8000000000002</v>
      </c>
      <c r="BL57" s="105">
        <v>3</v>
      </c>
      <c r="BM57" s="105">
        <v>2098.8000000000002</v>
      </c>
      <c r="BN57" s="105">
        <v>3</v>
      </c>
      <c r="BO57" s="105">
        <v>2098.8000000000002</v>
      </c>
      <c r="BP57" s="105">
        <v>4</v>
      </c>
      <c r="BQ57" s="105">
        <v>2798.4</v>
      </c>
      <c r="BR57" s="105">
        <v>4</v>
      </c>
      <c r="BS57" s="105">
        <v>2798.4</v>
      </c>
      <c r="BT57" s="105">
        <v>4</v>
      </c>
      <c r="BU57" s="105">
        <v>2798.4</v>
      </c>
      <c r="BV57" s="105">
        <v>3</v>
      </c>
      <c r="BW57" s="105">
        <v>2098.8000000000002</v>
      </c>
      <c r="BX57" s="105">
        <v>4</v>
      </c>
      <c r="BY57" s="105">
        <v>2798.4</v>
      </c>
      <c r="BZ57" s="105">
        <v>4</v>
      </c>
      <c r="CA57" s="105">
        <v>2798.4</v>
      </c>
      <c r="CB57" s="105">
        <v>3</v>
      </c>
      <c r="CC57" s="105">
        <v>2098.8000000000002</v>
      </c>
      <c r="CD57" s="105">
        <v>4</v>
      </c>
      <c r="CE57" s="105">
        <v>2798.4</v>
      </c>
      <c r="CF57" s="105">
        <v>4</v>
      </c>
      <c r="CG57" s="105">
        <v>2798.4</v>
      </c>
      <c r="CH57" s="105">
        <v>5</v>
      </c>
      <c r="CI57" s="105">
        <v>3498</v>
      </c>
      <c r="CJ57" s="105">
        <v>2.058679740993167</v>
      </c>
      <c r="CK57" s="105">
        <v>1440.2523467988196</v>
      </c>
      <c r="CL57" s="105">
        <v>4</v>
      </c>
      <c r="CM57" s="105">
        <v>2798.4</v>
      </c>
      <c r="CN57" s="105">
        <v>2</v>
      </c>
      <c r="CO57" s="105">
        <v>1399.2</v>
      </c>
      <c r="CP57" s="105">
        <v>4</v>
      </c>
      <c r="CQ57" s="105">
        <v>2798.4</v>
      </c>
      <c r="CR57" s="105">
        <v>5</v>
      </c>
      <c r="CS57" s="105">
        <v>3498</v>
      </c>
      <c r="CT57" s="105">
        <v>4</v>
      </c>
      <c r="CU57" s="105">
        <v>2798.4</v>
      </c>
    </row>
    <row r="58" spans="2:99" x14ac:dyDescent="0.2">
      <c r="C58" s="104" t="s">
        <v>226</v>
      </c>
      <c r="D58" s="105">
        <v>0</v>
      </c>
      <c r="E58" s="105">
        <v>0</v>
      </c>
      <c r="F58" s="105">
        <v>1.8433884782353636</v>
      </c>
      <c r="G58" s="105">
        <v>1393.601689545935</v>
      </c>
      <c r="H58" s="105">
        <v>1.8235376400823395</v>
      </c>
      <c r="I58" s="105">
        <v>1378.5944559022487</v>
      </c>
      <c r="J58" s="105">
        <v>2.2159888369286471</v>
      </c>
      <c r="K58" s="105">
        <v>1675.2875607180572</v>
      </c>
      <c r="L58" s="105">
        <v>1.9389902323125661</v>
      </c>
      <c r="M58" s="105">
        <v>1465.8766156283</v>
      </c>
      <c r="N58" s="105">
        <v>2.1483044936706754</v>
      </c>
      <c r="O58" s="105">
        <v>1624.1181972150307</v>
      </c>
      <c r="P58" s="105">
        <v>2.6805968279603793</v>
      </c>
      <c r="Q58" s="105">
        <v>2026.5312019380467</v>
      </c>
      <c r="R58" s="105">
        <v>3.6285197329825793</v>
      </c>
      <c r="S58" s="105">
        <v>2743.1609181348299</v>
      </c>
      <c r="T58" s="105">
        <v>2.6180458832912286</v>
      </c>
      <c r="U58" s="105">
        <v>1979.2426877681687</v>
      </c>
      <c r="V58" s="105">
        <v>3</v>
      </c>
      <c r="W58" s="105">
        <v>2268</v>
      </c>
      <c r="X58" s="105">
        <v>1.3851600792316305</v>
      </c>
      <c r="Y58" s="105">
        <v>1047.1810198991127</v>
      </c>
      <c r="Z58" s="105">
        <v>2.0870562478000707</v>
      </c>
      <c r="AA58" s="105">
        <v>1577.8145233368534</v>
      </c>
      <c r="AB58" s="105">
        <v>2.7461266418421983</v>
      </c>
      <c r="AC58" s="105">
        <v>2076.0717412327022</v>
      </c>
      <c r="AD58" s="105">
        <v>2.8986892330556535</v>
      </c>
      <c r="AE58" s="105">
        <v>2191.4090601900739</v>
      </c>
      <c r="AF58" s="105">
        <v>1.2883063258025127</v>
      </c>
      <c r="AG58" s="105">
        <v>973.95958230669964</v>
      </c>
      <c r="AH58" s="105">
        <v>2.0554725761772845</v>
      </c>
      <c r="AI58" s="105">
        <v>1553.9372675900272</v>
      </c>
      <c r="AJ58" s="105">
        <v>2.0326271144431414</v>
      </c>
      <c r="AK58" s="105">
        <v>1536.6660985190149</v>
      </c>
      <c r="AL58" s="105">
        <v>2.3502911906818982</v>
      </c>
      <c r="AM58" s="105">
        <v>1776.820140155515</v>
      </c>
      <c r="AN58" s="105">
        <v>1.8916977876220156</v>
      </c>
      <c r="AO58" s="105">
        <v>1430.1235274422438</v>
      </c>
      <c r="AP58" s="105">
        <v>3.7268861567858402</v>
      </c>
      <c r="AQ58" s="105">
        <v>2817.5259345300951</v>
      </c>
      <c r="AR58" s="105">
        <v>2.3716548270455351</v>
      </c>
      <c r="AS58" s="105">
        <v>1792.9710492464246</v>
      </c>
      <c r="AT58" s="105">
        <v>3.0692003644118686</v>
      </c>
      <c r="AU58" s="105">
        <v>2320.3154754953725</v>
      </c>
      <c r="AV58" s="105">
        <v>1.8415202186471211</v>
      </c>
      <c r="AW58" s="105">
        <v>1392.1892852972235</v>
      </c>
      <c r="AX58" s="105">
        <v>3.5659590479311558</v>
      </c>
      <c r="AY58" s="105">
        <v>2695.865040235954</v>
      </c>
      <c r="AZ58" s="105">
        <v>1.5668607937879322</v>
      </c>
      <c r="BA58" s="105">
        <v>1184.5467601036767</v>
      </c>
      <c r="BB58" s="105">
        <v>2.3152122176866459</v>
      </c>
      <c r="BC58" s="105">
        <v>1750.3004365711042</v>
      </c>
      <c r="BD58" s="105">
        <v>2.2811649791912543</v>
      </c>
      <c r="BE58" s="105">
        <v>1724.5607242685883</v>
      </c>
      <c r="BF58" s="105">
        <v>2.9395158419719305</v>
      </c>
      <c r="BG58" s="105">
        <v>2222.2739765307792</v>
      </c>
      <c r="BH58" s="105">
        <v>3.9378419769812654</v>
      </c>
      <c r="BI58" s="105">
        <v>2977.0085345978368</v>
      </c>
      <c r="BJ58" s="105">
        <v>1.7053953688987089</v>
      </c>
      <c r="BK58" s="105">
        <v>1289.278898887424</v>
      </c>
      <c r="BL58" s="105">
        <v>2.9576198942951097</v>
      </c>
      <c r="BM58" s="105">
        <v>2235.960640087103</v>
      </c>
      <c r="BN58" s="105">
        <v>2.5678175715709375</v>
      </c>
      <c r="BO58" s="105">
        <v>1941.2700841076287</v>
      </c>
      <c r="BP58" s="105">
        <v>3.5307303148526872</v>
      </c>
      <c r="BQ58" s="105">
        <v>2669.2321180286317</v>
      </c>
      <c r="BR58" s="105">
        <v>2.586647761015747</v>
      </c>
      <c r="BS58" s="105">
        <v>1955.5057073279047</v>
      </c>
      <c r="BT58" s="105">
        <v>2.8217426189524333</v>
      </c>
      <c r="BU58" s="105">
        <v>2133.2374199280393</v>
      </c>
      <c r="BV58" s="105">
        <v>2.3152122176866459</v>
      </c>
      <c r="BW58" s="105">
        <v>1750.3004365711042</v>
      </c>
      <c r="BX58" s="105">
        <v>2.2811649791912543</v>
      </c>
      <c r="BY58" s="105">
        <v>1724.5607242685883</v>
      </c>
      <c r="BZ58" s="105">
        <v>3.2956849390652474</v>
      </c>
      <c r="CA58" s="105">
        <v>2491.537813933327</v>
      </c>
      <c r="CB58" s="105">
        <v>2.1544223438927022</v>
      </c>
      <c r="CC58" s="105">
        <v>1628.7432919828827</v>
      </c>
      <c r="CD58" s="105">
        <v>2.867512919853493</v>
      </c>
      <c r="CE58" s="105">
        <v>2167.8397674092407</v>
      </c>
      <c r="CF58" s="105">
        <v>4.1271108494095099</v>
      </c>
      <c r="CG58" s="105">
        <v>3120.0958021535894</v>
      </c>
      <c r="CH58" s="105">
        <v>2.5206732807784689</v>
      </c>
      <c r="CI58" s="105">
        <v>1905.6290002685225</v>
      </c>
      <c r="CJ58" s="105">
        <v>2.1794427413449156</v>
      </c>
      <c r="CK58" s="105">
        <v>1647.6587124567561</v>
      </c>
      <c r="CL58" s="105">
        <v>2.6914560259872431</v>
      </c>
      <c r="CM58" s="105">
        <v>2034.7407556463559</v>
      </c>
      <c r="CN58" s="105">
        <v>2.0878676956423279</v>
      </c>
      <c r="CO58" s="105">
        <v>1578.4279779055998</v>
      </c>
      <c r="CP58" s="105">
        <v>2.2329941010977428</v>
      </c>
      <c r="CQ58" s="105">
        <v>1688.1435404298936</v>
      </c>
      <c r="CR58" s="105">
        <v>2.8700056931399343</v>
      </c>
      <c r="CS58" s="105">
        <v>2169.7243040137905</v>
      </c>
      <c r="CT58" s="105">
        <v>3.0890617579151791</v>
      </c>
      <c r="CU58" s="105">
        <v>2335.3306889838755</v>
      </c>
    </row>
    <row r="59" spans="2:99" x14ac:dyDescent="0.2">
      <c r="C59" s="104" t="s">
        <v>227</v>
      </c>
      <c r="D59" s="105">
        <v>0</v>
      </c>
      <c r="E59" s="105">
        <v>0</v>
      </c>
      <c r="F59" s="105">
        <v>1.9616954272653149</v>
      </c>
      <c r="G59" s="105">
        <v>861.57663165492625</v>
      </c>
      <c r="H59" s="105">
        <v>2.7348342133051746</v>
      </c>
      <c r="I59" s="105">
        <v>1201.1391864836326</v>
      </c>
      <c r="J59" s="105">
        <v>2.9797671471403118</v>
      </c>
      <c r="K59" s="105">
        <v>1308.7137310240248</v>
      </c>
      <c r="L59" s="105">
        <v>2.6914025845138303</v>
      </c>
      <c r="M59" s="105">
        <v>1182.0640151184743</v>
      </c>
      <c r="N59" s="105">
        <v>3</v>
      </c>
      <c r="O59" s="105">
        <v>1317.6</v>
      </c>
      <c r="P59" s="105">
        <v>3</v>
      </c>
      <c r="Q59" s="105">
        <v>1317.6</v>
      </c>
      <c r="R59" s="105">
        <v>4</v>
      </c>
      <c r="S59" s="105">
        <v>1756.8</v>
      </c>
      <c r="T59" s="105">
        <v>4</v>
      </c>
      <c r="U59" s="105">
        <v>1756.8</v>
      </c>
      <c r="V59" s="105">
        <v>3</v>
      </c>
      <c r="W59" s="105">
        <v>1317.6</v>
      </c>
      <c r="X59" s="105">
        <v>3</v>
      </c>
      <c r="Y59" s="105">
        <v>1317.6</v>
      </c>
      <c r="Z59" s="105">
        <v>3</v>
      </c>
      <c r="AA59" s="105">
        <v>1317.6</v>
      </c>
      <c r="AB59" s="105">
        <v>3</v>
      </c>
      <c r="AC59" s="105">
        <v>1317.6</v>
      </c>
      <c r="AD59" s="105">
        <v>4</v>
      </c>
      <c r="AE59" s="105">
        <v>1756.8</v>
      </c>
      <c r="AF59" s="105">
        <v>2</v>
      </c>
      <c r="AG59" s="105">
        <v>878.4</v>
      </c>
      <c r="AH59" s="105">
        <v>3</v>
      </c>
      <c r="AI59" s="105">
        <v>1317.6</v>
      </c>
      <c r="AJ59" s="105">
        <v>4</v>
      </c>
      <c r="AK59" s="105">
        <v>1756.8</v>
      </c>
      <c r="AL59" s="105">
        <v>4</v>
      </c>
      <c r="AM59" s="105">
        <v>1756.8</v>
      </c>
      <c r="AN59" s="105">
        <v>3</v>
      </c>
      <c r="AO59" s="105">
        <v>1317.6</v>
      </c>
      <c r="AP59" s="105">
        <v>4</v>
      </c>
      <c r="AQ59" s="105">
        <v>1756.8</v>
      </c>
      <c r="AR59" s="105">
        <v>3</v>
      </c>
      <c r="AS59" s="105">
        <v>1317.6</v>
      </c>
      <c r="AT59" s="105">
        <v>4</v>
      </c>
      <c r="AU59" s="105">
        <v>1756.8</v>
      </c>
      <c r="AV59" s="105">
        <v>4</v>
      </c>
      <c r="AW59" s="105">
        <v>1756.8</v>
      </c>
      <c r="AX59" s="105">
        <v>4</v>
      </c>
      <c r="AY59" s="105">
        <v>1756.8</v>
      </c>
      <c r="AZ59" s="105">
        <v>2</v>
      </c>
      <c r="BA59" s="105">
        <v>878.4</v>
      </c>
      <c r="BB59" s="105">
        <v>3</v>
      </c>
      <c r="BC59" s="105">
        <v>1317.6</v>
      </c>
      <c r="BD59" s="105">
        <v>3</v>
      </c>
      <c r="BE59" s="105">
        <v>1317.6</v>
      </c>
      <c r="BF59" s="105">
        <v>4</v>
      </c>
      <c r="BG59" s="105">
        <v>1756.8</v>
      </c>
      <c r="BH59" s="105">
        <v>4</v>
      </c>
      <c r="BI59" s="105">
        <v>1756.8</v>
      </c>
      <c r="BJ59" s="105">
        <v>2</v>
      </c>
      <c r="BK59" s="105">
        <v>878.4</v>
      </c>
      <c r="BL59" s="105">
        <v>3</v>
      </c>
      <c r="BM59" s="105">
        <v>1317.6</v>
      </c>
      <c r="BN59" s="105">
        <v>3</v>
      </c>
      <c r="BO59" s="105">
        <v>1317.6</v>
      </c>
      <c r="BP59" s="105">
        <v>4</v>
      </c>
      <c r="BQ59" s="105">
        <v>1756.8</v>
      </c>
      <c r="BR59" s="105">
        <v>5</v>
      </c>
      <c r="BS59" s="105">
        <v>2196</v>
      </c>
      <c r="BT59" s="105">
        <v>4</v>
      </c>
      <c r="BU59" s="105">
        <v>1756.8</v>
      </c>
      <c r="BV59" s="105">
        <v>3</v>
      </c>
      <c r="BW59" s="105">
        <v>1317.6</v>
      </c>
      <c r="BX59" s="105">
        <v>3</v>
      </c>
      <c r="BY59" s="105">
        <v>1317.6</v>
      </c>
      <c r="BZ59" s="105">
        <v>4</v>
      </c>
      <c r="CA59" s="105">
        <v>1756.8</v>
      </c>
      <c r="CB59" s="105">
        <v>3</v>
      </c>
      <c r="CC59" s="105">
        <v>1317.6</v>
      </c>
      <c r="CD59" s="105">
        <v>4</v>
      </c>
      <c r="CE59" s="105">
        <v>1756.8</v>
      </c>
      <c r="CF59" s="105">
        <v>4</v>
      </c>
      <c r="CG59" s="105">
        <v>1756.8</v>
      </c>
      <c r="CH59" s="105">
        <v>5</v>
      </c>
      <c r="CI59" s="105">
        <v>2196</v>
      </c>
      <c r="CJ59" s="105">
        <v>3</v>
      </c>
      <c r="CK59" s="105">
        <v>1317.6</v>
      </c>
      <c r="CL59" s="105">
        <v>4</v>
      </c>
      <c r="CM59" s="105">
        <v>1756.8</v>
      </c>
      <c r="CN59" s="105">
        <v>2</v>
      </c>
      <c r="CO59" s="105">
        <v>878.4</v>
      </c>
      <c r="CP59" s="105">
        <v>4</v>
      </c>
      <c r="CQ59" s="105">
        <v>1756.8</v>
      </c>
      <c r="CR59" s="105">
        <v>4</v>
      </c>
      <c r="CS59" s="105">
        <v>1756.8</v>
      </c>
      <c r="CT59" s="105">
        <v>3</v>
      </c>
      <c r="CU59" s="105">
        <v>1317.6</v>
      </c>
    </row>
    <row r="60" spans="2:99" x14ac:dyDescent="0.2">
      <c r="C60" s="104" t="s">
        <v>228</v>
      </c>
      <c r="D60" s="105">
        <v>0</v>
      </c>
      <c r="E60" s="105">
        <v>0</v>
      </c>
      <c r="F60" s="105">
        <v>3</v>
      </c>
      <c r="G60" s="105">
        <v>630</v>
      </c>
      <c r="H60" s="105">
        <v>3</v>
      </c>
      <c r="I60" s="105">
        <v>630</v>
      </c>
      <c r="J60" s="105">
        <v>3</v>
      </c>
      <c r="K60" s="105">
        <v>630</v>
      </c>
      <c r="L60" s="105">
        <v>3</v>
      </c>
      <c r="M60" s="105">
        <v>630</v>
      </c>
      <c r="N60" s="105">
        <v>4</v>
      </c>
      <c r="O60" s="105">
        <v>840</v>
      </c>
      <c r="P60" s="105">
        <v>4</v>
      </c>
      <c r="Q60" s="105">
        <v>840</v>
      </c>
      <c r="R60" s="105">
        <v>4</v>
      </c>
      <c r="S60" s="105">
        <v>840</v>
      </c>
      <c r="T60" s="105">
        <v>4</v>
      </c>
      <c r="U60" s="105">
        <v>840</v>
      </c>
      <c r="V60" s="105">
        <v>4.2473472388371185</v>
      </c>
      <c r="W60" s="105">
        <v>891.94292015579492</v>
      </c>
      <c r="X60" s="105">
        <v>2</v>
      </c>
      <c r="Y60" s="105">
        <v>420</v>
      </c>
      <c r="Z60" s="105">
        <v>3</v>
      </c>
      <c r="AA60" s="105">
        <v>630</v>
      </c>
      <c r="AB60" s="105">
        <v>3</v>
      </c>
      <c r="AC60" s="105">
        <v>630</v>
      </c>
      <c r="AD60" s="105">
        <v>4</v>
      </c>
      <c r="AE60" s="105">
        <v>840</v>
      </c>
      <c r="AF60" s="105">
        <v>2</v>
      </c>
      <c r="AG60" s="105">
        <v>420</v>
      </c>
      <c r="AH60" s="105">
        <v>2</v>
      </c>
      <c r="AI60" s="105">
        <v>420</v>
      </c>
      <c r="AJ60" s="105">
        <v>4</v>
      </c>
      <c r="AK60" s="105">
        <v>840</v>
      </c>
      <c r="AL60" s="105">
        <v>4</v>
      </c>
      <c r="AM60" s="105">
        <v>840</v>
      </c>
      <c r="AN60" s="105">
        <v>3</v>
      </c>
      <c r="AO60" s="105">
        <v>630</v>
      </c>
      <c r="AP60" s="105">
        <v>5</v>
      </c>
      <c r="AQ60" s="105">
        <v>1050</v>
      </c>
      <c r="AR60" s="105">
        <v>3</v>
      </c>
      <c r="AS60" s="105">
        <v>630</v>
      </c>
      <c r="AT60" s="105">
        <v>4</v>
      </c>
      <c r="AU60" s="105">
        <v>840</v>
      </c>
      <c r="AV60" s="105">
        <v>4</v>
      </c>
      <c r="AW60" s="105">
        <v>840</v>
      </c>
      <c r="AX60" s="105">
        <v>5</v>
      </c>
      <c r="AY60" s="105">
        <v>1050</v>
      </c>
      <c r="AZ60" s="105">
        <v>2</v>
      </c>
      <c r="BA60" s="105">
        <v>420</v>
      </c>
      <c r="BB60" s="105">
        <v>3</v>
      </c>
      <c r="BC60" s="105">
        <v>630</v>
      </c>
      <c r="BD60" s="105">
        <v>3.1505391953891362</v>
      </c>
      <c r="BE60" s="105">
        <v>661.61323103171856</v>
      </c>
      <c r="BF60" s="105">
        <v>5.08073460037921</v>
      </c>
      <c r="BG60" s="105">
        <v>1066.9542660796342</v>
      </c>
      <c r="BH60" s="105">
        <v>4</v>
      </c>
      <c r="BI60" s="105">
        <v>840</v>
      </c>
      <c r="BJ60" s="105">
        <v>3</v>
      </c>
      <c r="BK60" s="105">
        <v>630</v>
      </c>
      <c r="BL60" s="105">
        <v>2</v>
      </c>
      <c r="BM60" s="105">
        <v>420</v>
      </c>
      <c r="BN60" s="105">
        <v>3</v>
      </c>
      <c r="BO60" s="105">
        <v>630</v>
      </c>
      <c r="BP60" s="105">
        <v>4</v>
      </c>
      <c r="BQ60" s="105">
        <v>840</v>
      </c>
      <c r="BR60" s="105">
        <v>5</v>
      </c>
      <c r="BS60" s="105">
        <v>1050</v>
      </c>
      <c r="BT60" s="105">
        <v>4</v>
      </c>
      <c r="BU60" s="105">
        <v>840</v>
      </c>
      <c r="BV60" s="105">
        <v>3</v>
      </c>
      <c r="BW60" s="105">
        <v>630</v>
      </c>
      <c r="BX60" s="105">
        <v>4</v>
      </c>
      <c r="BY60" s="105">
        <v>840</v>
      </c>
      <c r="BZ60" s="105">
        <v>4</v>
      </c>
      <c r="CA60" s="105">
        <v>840</v>
      </c>
      <c r="CB60" s="105">
        <v>3</v>
      </c>
      <c r="CC60" s="105">
        <v>630</v>
      </c>
      <c r="CD60" s="105">
        <v>5</v>
      </c>
      <c r="CE60" s="105">
        <v>1050</v>
      </c>
      <c r="CF60" s="105">
        <v>4</v>
      </c>
      <c r="CG60" s="105">
        <v>840</v>
      </c>
      <c r="CH60" s="105">
        <v>5</v>
      </c>
      <c r="CI60" s="105">
        <v>1050</v>
      </c>
      <c r="CJ60" s="105">
        <v>3.0733496762414587</v>
      </c>
      <c r="CK60" s="105">
        <v>645.4034320107063</v>
      </c>
      <c r="CL60" s="105">
        <v>4</v>
      </c>
      <c r="CM60" s="105">
        <v>840</v>
      </c>
      <c r="CN60" s="105">
        <v>2</v>
      </c>
      <c r="CO60" s="105">
        <v>420</v>
      </c>
      <c r="CP60" s="105">
        <v>4</v>
      </c>
      <c r="CQ60" s="105">
        <v>840</v>
      </c>
      <c r="CR60" s="105">
        <v>4</v>
      </c>
      <c r="CS60" s="105">
        <v>840</v>
      </c>
      <c r="CT60" s="105">
        <v>3</v>
      </c>
      <c r="CU60" s="105">
        <v>630</v>
      </c>
    </row>
    <row r="61" spans="2:99" x14ac:dyDescent="0.2">
      <c r="C61" s="104" t="s">
        <v>229</v>
      </c>
      <c r="D61" s="105">
        <v>0</v>
      </c>
      <c r="E61" s="105">
        <v>0</v>
      </c>
      <c r="F61" s="105">
        <v>3</v>
      </c>
      <c r="G61" s="105">
        <v>594</v>
      </c>
      <c r="H61" s="105">
        <v>3</v>
      </c>
      <c r="I61" s="105">
        <v>594</v>
      </c>
      <c r="J61" s="105">
        <v>3</v>
      </c>
      <c r="K61" s="105">
        <v>594</v>
      </c>
      <c r="L61" s="105">
        <v>3</v>
      </c>
      <c r="M61" s="105">
        <v>594</v>
      </c>
      <c r="N61" s="105">
        <v>3</v>
      </c>
      <c r="O61" s="105">
        <v>594</v>
      </c>
      <c r="P61" s="105">
        <v>4</v>
      </c>
      <c r="Q61" s="105">
        <v>792</v>
      </c>
      <c r="R61" s="105">
        <v>5</v>
      </c>
      <c r="S61" s="105">
        <v>990</v>
      </c>
      <c r="T61" s="105">
        <v>4</v>
      </c>
      <c r="U61" s="105">
        <v>792</v>
      </c>
      <c r="V61" s="105">
        <v>4.1978777910696952</v>
      </c>
      <c r="W61" s="105">
        <v>831.17980263179959</v>
      </c>
      <c r="X61" s="105">
        <v>3</v>
      </c>
      <c r="Y61" s="105">
        <v>594</v>
      </c>
      <c r="Z61" s="105">
        <v>3</v>
      </c>
      <c r="AA61" s="105">
        <v>594</v>
      </c>
      <c r="AB61" s="105">
        <v>4</v>
      </c>
      <c r="AC61" s="105">
        <v>792</v>
      </c>
      <c r="AD61" s="105">
        <v>4</v>
      </c>
      <c r="AE61" s="105">
        <v>792</v>
      </c>
      <c r="AF61" s="105">
        <v>2</v>
      </c>
      <c r="AG61" s="105">
        <v>396</v>
      </c>
      <c r="AH61" s="105">
        <v>2</v>
      </c>
      <c r="AI61" s="105">
        <v>396</v>
      </c>
      <c r="AJ61" s="105">
        <v>4</v>
      </c>
      <c r="AK61" s="105">
        <v>792</v>
      </c>
      <c r="AL61" s="105">
        <v>4</v>
      </c>
      <c r="AM61" s="105">
        <v>792</v>
      </c>
      <c r="AN61" s="105">
        <v>2</v>
      </c>
      <c r="AO61" s="105">
        <v>396</v>
      </c>
      <c r="AP61" s="105">
        <v>5</v>
      </c>
      <c r="AQ61" s="105">
        <v>990</v>
      </c>
      <c r="AR61" s="105">
        <v>3</v>
      </c>
      <c r="AS61" s="105">
        <v>594</v>
      </c>
      <c r="AT61" s="105">
        <v>4</v>
      </c>
      <c r="AU61" s="105">
        <v>792</v>
      </c>
      <c r="AV61" s="105">
        <v>3</v>
      </c>
      <c r="AW61" s="105">
        <v>594</v>
      </c>
      <c r="AX61" s="105">
        <v>4</v>
      </c>
      <c r="AY61" s="105">
        <v>792</v>
      </c>
      <c r="AZ61" s="105">
        <v>2</v>
      </c>
      <c r="BA61" s="105">
        <v>396</v>
      </c>
      <c r="BB61" s="105">
        <v>3</v>
      </c>
      <c r="BC61" s="105">
        <v>594</v>
      </c>
      <c r="BD61" s="105">
        <v>3.1505391953891362</v>
      </c>
      <c r="BE61" s="105">
        <v>623.80676068704895</v>
      </c>
      <c r="BF61" s="105">
        <v>4.1076461338389461</v>
      </c>
      <c r="BG61" s="105">
        <v>813.31393450011137</v>
      </c>
      <c r="BH61" s="105">
        <v>4</v>
      </c>
      <c r="BI61" s="105">
        <v>792</v>
      </c>
      <c r="BJ61" s="105">
        <v>2</v>
      </c>
      <c r="BK61" s="105">
        <v>396</v>
      </c>
      <c r="BL61" s="105">
        <v>3</v>
      </c>
      <c r="BM61" s="105">
        <v>594</v>
      </c>
      <c r="BN61" s="105">
        <v>3</v>
      </c>
      <c r="BO61" s="105">
        <v>594</v>
      </c>
      <c r="BP61" s="105">
        <v>4</v>
      </c>
      <c r="BQ61" s="105">
        <v>792</v>
      </c>
      <c r="BR61" s="105">
        <v>5</v>
      </c>
      <c r="BS61" s="105">
        <v>990</v>
      </c>
      <c r="BT61" s="105">
        <v>4</v>
      </c>
      <c r="BU61" s="105">
        <v>792</v>
      </c>
      <c r="BV61" s="105">
        <v>3</v>
      </c>
      <c r="BW61" s="105">
        <v>594</v>
      </c>
      <c r="BX61" s="105">
        <v>4</v>
      </c>
      <c r="BY61" s="105">
        <v>792</v>
      </c>
      <c r="BZ61" s="105">
        <v>4</v>
      </c>
      <c r="CA61" s="105">
        <v>792</v>
      </c>
      <c r="CB61" s="105">
        <v>3</v>
      </c>
      <c r="CC61" s="105">
        <v>594</v>
      </c>
      <c r="CD61" s="105">
        <v>4</v>
      </c>
      <c r="CE61" s="105">
        <v>792</v>
      </c>
      <c r="CF61" s="105">
        <v>4</v>
      </c>
      <c r="CG61" s="105">
        <v>792</v>
      </c>
      <c r="CH61" s="105">
        <v>4</v>
      </c>
      <c r="CI61" s="105">
        <v>792</v>
      </c>
      <c r="CJ61" s="105">
        <v>2.058679740993167</v>
      </c>
      <c r="CK61" s="105">
        <v>407.61858871664708</v>
      </c>
      <c r="CL61" s="105">
        <v>4</v>
      </c>
      <c r="CM61" s="105">
        <v>792</v>
      </c>
      <c r="CN61" s="105">
        <v>2</v>
      </c>
      <c r="CO61" s="105">
        <v>396</v>
      </c>
      <c r="CP61" s="105">
        <v>4</v>
      </c>
      <c r="CQ61" s="105">
        <v>792</v>
      </c>
      <c r="CR61" s="105">
        <v>5</v>
      </c>
      <c r="CS61" s="105">
        <v>990</v>
      </c>
      <c r="CT61" s="105">
        <v>4</v>
      </c>
      <c r="CU61" s="105">
        <v>792</v>
      </c>
    </row>
    <row r="62" spans="2:99" x14ac:dyDescent="0.2">
      <c r="C62" s="104" t="s">
        <v>230</v>
      </c>
      <c r="D62" s="105">
        <v>0</v>
      </c>
      <c r="E62" s="105">
        <v>0</v>
      </c>
      <c r="F62" s="105">
        <v>2</v>
      </c>
      <c r="G62" s="105">
        <v>1912.8</v>
      </c>
      <c r="H62" s="105">
        <v>3</v>
      </c>
      <c r="I62" s="105">
        <v>2869.2</v>
      </c>
      <c r="J62" s="105">
        <v>3</v>
      </c>
      <c r="K62" s="105">
        <v>2869.2</v>
      </c>
      <c r="L62" s="105">
        <v>3</v>
      </c>
      <c r="M62" s="105">
        <v>2869.2</v>
      </c>
      <c r="N62" s="105">
        <v>3</v>
      </c>
      <c r="O62" s="105">
        <v>2869.2</v>
      </c>
      <c r="P62" s="105">
        <v>4</v>
      </c>
      <c r="Q62" s="105">
        <v>3825.6</v>
      </c>
      <c r="R62" s="105">
        <v>4</v>
      </c>
      <c r="S62" s="105">
        <v>3825.6</v>
      </c>
      <c r="T62" s="105">
        <v>4</v>
      </c>
      <c r="U62" s="105">
        <v>3825.6</v>
      </c>
      <c r="V62" s="105">
        <v>3.247347238837119</v>
      </c>
      <c r="W62" s="105">
        <v>3105.7628992238206</v>
      </c>
      <c r="X62" s="105">
        <v>3</v>
      </c>
      <c r="Y62" s="105">
        <v>2869.2</v>
      </c>
      <c r="Z62" s="105">
        <v>2</v>
      </c>
      <c r="AA62" s="105">
        <v>1912.8</v>
      </c>
      <c r="AB62" s="105">
        <v>3</v>
      </c>
      <c r="AC62" s="105">
        <v>2869.2</v>
      </c>
      <c r="AD62" s="105">
        <v>4</v>
      </c>
      <c r="AE62" s="105">
        <v>3825.6</v>
      </c>
      <c r="AF62" s="105">
        <v>2</v>
      </c>
      <c r="AG62" s="105">
        <v>1912.8</v>
      </c>
      <c r="AH62" s="105">
        <v>2</v>
      </c>
      <c r="AI62" s="105">
        <v>1912.8</v>
      </c>
      <c r="AJ62" s="105">
        <v>3</v>
      </c>
      <c r="AK62" s="105">
        <v>2869.2</v>
      </c>
      <c r="AL62" s="105">
        <v>4</v>
      </c>
      <c r="AM62" s="105">
        <v>3825.6</v>
      </c>
      <c r="AN62" s="105">
        <v>2</v>
      </c>
      <c r="AO62" s="105">
        <v>1912.8</v>
      </c>
      <c r="AP62" s="105">
        <v>5</v>
      </c>
      <c r="AQ62" s="105">
        <v>4782</v>
      </c>
      <c r="AR62" s="105">
        <v>3</v>
      </c>
      <c r="AS62" s="105">
        <v>2869.2</v>
      </c>
      <c r="AT62" s="105">
        <v>4</v>
      </c>
      <c r="AU62" s="105">
        <v>3825.6</v>
      </c>
      <c r="AV62" s="105">
        <v>4</v>
      </c>
      <c r="AW62" s="105">
        <v>3825.6</v>
      </c>
      <c r="AX62" s="105">
        <v>4</v>
      </c>
      <c r="AY62" s="105">
        <v>3825.6</v>
      </c>
      <c r="AZ62" s="105">
        <v>2</v>
      </c>
      <c r="BA62" s="105">
        <v>1912.8</v>
      </c>
      <c r="BB62" s="105">
        <v>3</v>
      </c>
      <c r="BC62" s="105">
        <v>2869.2</v>
      </c>
      <c r="BD62" s="105">
        <v>2.1505391953891362</v>
      </c>
      <c r="BE62" s="105">
        <v>2056.7756864701696</v>
      </c>
      <c r="BF62" s="105">
        <v>5.08073460037921</v>
      </c>
      <c r="BG62" s="105">
        <v>4859.2145718026759</v>
      </c>
      <c r="BH62" s="105">
        <v>3</v>
      </c>
      <c r="BI62" s="105">
        <v>2869.2</v>
      </c>
      <c r="BJ62" s="105">
        <v>2</v>
      </c>
      <c r="BK62" s="105">
        <v>1912.8</v>
      </c>
      <c r="BL62" s="105">
        <v>2</v>
      </c>
      <c r="BM62" s="105">
        <v>1912.8</v>
      </c>
      <c r="BN62" s="105">
        <v>3</v>
      </c>
      <c r="BO62" s="105">
        <v>2869.2</v>
      </c>
      <c r="BP62" s="105">
        <v>4</v>
      </c>
      <c r="BQ62" s="105">
        <v>3825.6</v>
      </c>
      <c r="BR62" s="105">
        <v>4</v>
      </c>
      <c r="BS62" s="105">
        <v>3825.6</v>
      </c>
      <c r="BT62" s="105">
        <v>4</v>
      </c>
      <c r="BU62" s="105">
        <v>3825.6</v>
      </c>
      <c r="BV62" s="105">
        <v>3</v>
      </c>
      <c r="BW62" s="105">
        <v>2869.2</v>
      </c>
      <c r="BX62" s="105">
        <v>4</v>
      </c>
      <c r="BY62" s="105">
        <v>3825.6</v>
      </c>
      <c r="BZ62" s="105">
        <v>4</v>
      </c>
      <c r="CA62" s="105">
        <v>3825.6</v>
      </c>
      <c r="CB62" s="105">
        <v>3</v>
      </c>
      <c r="CC62" s="105">
        <v>2869.2</v>
      </c>
      <c r="CD62" s="105">
        <v>4</v>
      </c>
      <c r="CE62" s="105">
        <v>3825.6</v>
      </c>
      <c r="CF62" s="105">
        <v>4</v>
      </c>
      <c r="CG62" s="105">
        <v>3825.6</v>
      </c>
      <c r="CH62" s="105">
        <v>4</v>
      </c>
      <c r="CI62" s="105">
        <v>3825.6</v>
      </c>
      <c r="CJ62" s="105">
        <v>2.058679740993167</v>
      </c>
      <c r="CK62" s="105">
        <v>1968.9213042858648</v>
      </c>
      <c r="CL62" s="105">
        <v>4</v>
      </c>
      <c r="CM62" s="105">
        <v>3825.6</v>
      </c>
      <c r="CN62" s="105">
        <v>2</v>
      </c>
      <c r="CO62" s="105">
        <v>1912.8</v>
      </c>
      <c r="CP62" s="105">
        <v>4</v>
      </c>
      <c r="CQ62" s="105">
        <v>3825.6</v>
      </c>
      <c r="CR62" s="105">
        <v>4</v>
      </c>
      <c r="CS62" s="105">
        <v>3825.6</v>
      </c>
      <c r="CT62" s="105">
        <v>4</v>
      </c>
      <c r="CU62" s="105">
        <v>3825.6</v>
      </c>
    </row>
    <row r="63" spans="2:99" x14ac:dyDescent="0.2">
      <c r="C63" s="104" t="s">
        <v>231</v>
      </c>
      <c r="D63" s="105">
        <v>0</v>
      </c>
      <c r="E63" s="105">
        <v>0</v>
      </c>
      <c r="F63" s="105">
        <v>2</v>
      </c>
      <c r="G63" s="105">
        <v>60</v>
      </c>
      <c r="H63" s="105">
        <v>3</v>
      </c>
      <c r="I63" s="105">
        <v>90</v>
      </c>
      <c r="J63" s="105">
        <v>3</v>
      </c>
      <c r="K63" s="105">
        <v>90</v>
      </c>
      <c r="L63" s="105">
        <v>3</v>
      </c>
      <c r="M63" s="105">
        <v>90</v>
      </c>
      <c r="N63" s="105">
        <v>4</v>
      </c>
      <c r="O63" s="105">
        <v>120</v>
      </c>
      <c r="P63" s="105">
        <v>4</v>
      </c>
      <c r="Q63" s="105">
        <v>120</v>
      </c>
      <c r="R63" s="105">
        <v>4</v>
      </c>
      <c r="S63" s="105">
        <v>120</v>
      </c>
      <c r="T63" s="105">
        <v>5</v>
      </c>
      <c r="U63" s="105">
        <v>150</v>
      </c>
      <c r="V63" s="105">
        <v>3.1978777910696952</v>
      </c>
      <c r="W63" s="105">
        <v>95.936333732090858</v>
      </c>
      <c r="X63" s="105">
        <v>3</v>
      </c>
      <c r="Y63" s="105">
        <v>90</v>
      </c>
      <c r="Z63" s="105">
        <v>3</v>
      </c>
      <c r="AA63" s="105">
        <v>90</v>
      </c>
      <c r="AB63" s="105">
        <v>4</v>
      </c>
      <c r="AC63" s="105">
        <v>120</v>
      </c>
      <c r="AD63" s="105">
        <v>4</v>
      </c>
      <c r="AE63" s="105">
        <v>120</v>
      </c>
      <c r="AF63" s="105">
        <v>2</v>
      </c>
      <c r="AG63" s="105">
        <v>60</v>
      </c>
      <c r="AH63" s="105">
        <v>3</v>
      </c>
      <c r="AI63" s="105">
        <v>90</v>
      </c>
      <c r="AJ63" s="105">
        <v>3</v>
      </c>
      <c r="AK63" s="105">
        <v>90</v>
      </c>
      <c r="AL63" s="105">
        <v>4</v>
      </c>
      <c r="AM63" s="105">
        <v>120</v>
      </c>
      <c r="AN63" s="105">
        <v>3</v>
      </c>
      <c r="AO63" s="105">
        <v>90</v>
      </c>
      <c r="AP63" s="105">
        <v>5</v>
      </c>
      <c r="AQ63" s="105">
        <v>150</v>
      </c>
      <c r="AR63" s="105">
        <v>3</v>
      </c>
      <c r="AS63" s="105">
        <v>90</v>
      </c>
      <c r="AT63" s="105">
        <v>4</v>
      </c>
      <c r="AU63" s="105">
        <v>120</v>
      </c>
      <c r="AV63" s="105">
        <v>4</v>
      </c>
      <c r="AW63" s="105">
        <v>120</v>
      </c>
      <c r="AX63" s="105">
        <v>5</v>
      </c>
      <c r="AY63" s="105">
        <v>150</v>
      </c>
      <c r="AZ63" s="105">
        <v>2</v>
      </c>
      <c r="BA63" s="105">
        <v>60</v>
      </c>
      <c r="BB63" s="105">
        <v>3</v>
      </c>
      <c r="BC63" s="105">
        <v>90</v>
      </c>
      <c r="BD63" s="105">
        <v>3.1505391953891362</v>
      </c>
      <c r="BE63" s="105">
        <v>94.516175861674085</v>
      </c>
      <c r="BF63" s="105">
        <v>4.08073460037921</v>
      </c>
      <c r="BG63" s="105">
        <v>122.4220380113763</v>
      </c>
      <c r="BH63" s="105">
        <v>4</v>
      </c>
      <c r="BI63" s="105">
        <v>120</v>
      </c>
      <c r="BJ63" s="105">
        <v>2</v>
      </c>
      <c r="BK63" s="105">
        <v>60</v>
      </c>
      <c r="BL63" s="105">
        <v>3</v>
      </c>
      <c r="BM63" s="105">
        <v>90</v>
      </c>
      <c r="BN63" s="105">
        <v>3</v>
      </c>
      <c r="BO63" s="105">
        <v>90</v>
      </c>
      <c r="BP63" s="105">
        <v>4</v>
      </c>
      <c r="BQ63" s="105">
        <v>120</v>
      </c>
      <c r="BR63" s="105">
        <v>5</v>
      </c>
      <c r="BS63" s="105">
        <v>150</v>
      </c>
      <c r="BT63" s="105">
        <v>4</v>
      </c>
      <c r="BU63" s="105">
        <v>120</v>
      </c>
      <c r="BV63" s="105">
        <v>3</v>
      </c>
      <c r="BW63" s="105">
        <v>90</v>
      </c>
      <c r="BX63" s="105">
        <v>4</v>
      </c>
      <c r="BY63" s="105">
        <v>120</v>
      </c>
      <c r="BZ63" s="105">
        <v>4</v>
      </c>
      <c r="CA63" s="105">
        <v>120</v>
      </c>
      <c r="CB63" s="105">
        <v>3</v>
      </c>
      <c r="CC63" s="105">
        <v>90</v>
      </c>
      <c r="CD63" s="105">
        <v>5</v>
      </c>
      <c r="CE63" s="105">
        <v>150</v>
      </c>
      <c r="CF63" s="105">
        <v>4</v>
      </c>
      <c r="CG63" s="105">
        <v>120</v>
      </c>
      <c r="CH63" s="105">
        <v>4</v>
      </c>
      <c r="CI63" s="105">
        <v>120</v>
      </c>
      <c r="CJ63" s="105">
        <v>2.0733496762414587</v>
      </c>
      <c r="CK63" s="105">
        <v>62.20049028724376</v>
      </c>
      <c r="CL63" s="105">
        <v>4</v>
      </c>
      <c r="CM63" s="105">
        <v>120</v>
      </c>
      <c r="CN63" s="105">
        <v>2</v>
      </c>
      <c r="CO63" s="105">
        <v>60</v>
      </c>
      <c r="CP63" s="105">
        <v>4</v>
      </c>
      <c r="CQ63" s="105">
        <v>120</v>
      </c>
      <c r="CR63" s="105">
        <v>4</v>
      </c>
      <c r="CS63" s="105">
        <v>120</v>
      </c>
      <c r="CT63" s="105">
        <v>4</v>
      </c>
      <c r="CU63" s="105">
        <v>120</v>
      </c>
    </row>
    <row r="64" spans="2:99" x14ac:dyDescent="0.2">
      <c r="C64" s="104" t="s">
        <v>232</v>
      </c>
      <c r="D64" s="105">
        <v>0</v>
      </c>
      <c r="E64" s="105">
        <v>0</v>
      </c>
      <c r="F64" s="105">
        <v>2</v>
      </c>
      <c r="G64" s="105">
        <v>448.8</v>
      </c>
      <c r="H64" s="105">
        <v>3</v>
      </c>
      <c r="I64" s="105">
        <v>673.2</v>
      </c>
      <c r="J64" s="105">
        <v>3</v>
      </c>
      <c r="K64" s="105">
        <v>673.2</v>
      </c>
      <c r="L64" s="105">
        <v>3</v>
      </c>
      <c r="M64" s="105">
        <v>673.2</v>
      </c>
      <c r="N64" s="105">
        <v>3</v>
      </c>
      <c r="O64" s="105">
        <v>673.2</v>
      </c>
      <c r="P64" s="105">
        <v>4</v>
      </c>
      <c r="Q64" s="105">
        <v>897.6</v>
      </c>
      <c r="R64" s="105">
        <v>4</v>
      </c>
      <c r="S64" s="105">
        <v>897.6</v>
      </c>
      <c r="T64" s="105">
        <v>4</v>
      </c>
      <c r="U64" s="105">
        <v>897.6</v>
      </c>
      <c r="V64" s="105">
        <v>3.247347238837119</v>
      </c>
      <c r="W64" s="105">
        <v>728.70472039504955</v>
      </c>
      <c r="X64" s="105">
        <v>3</v>
      </c>
      <c r="Y64" s="105">
        <v>673.2</v>
      </c>
      <c r="Z64" s="105">
        <v>3</v>
      </c>
      <c r="AA64" s="105">
        <v>673.2</v>
      </c>
      <c r="AB64" s="105">
        <v>3</v>
      </c>
      <c r="AC64" s="105">
        <v>673.2</v>
      </c>
      <c r="AD64" s="105">
        <v>4</v>
      </c>
      <c r="AE64" s="105">
        <v>897.6</v>
      </c>
      <c r="AF64" s="105">
        <v>2</v>
      </c>
      <c r="AG64" s="105">
        <v>448.8</v>
      </c>
      <c r="AH64" s="105">
        <v>3</v>
      </c>
      <c r="AI64" s="105">
        <v>673.2</v>
      </c>
      <c r="AJ64" s="105">
        <v>4</v>
      </c>
      <c r="AK64" s="105">
        <v>897.6</v>
      </c>
      <c r="AL64" s="105">
        <v>4</v>
      </c>
      <c r="AM64" s="105">
        <v>897.6</v>
      </c>
      <c r="AN64" s="105">
        <v>3</v>
      </c>
      <c r="AO64" s="105">
        <v>673.2</v>
      </c>
      <c r="AP64" s="105">
        <v>4</v>
      </c>
      <c r="AQ64" s="105">
        <v>897.6</v>
      </c>
      <c r="AR64" s="105">
        <v>3</v>
      </c>
      <c r="AS64" s="105">
        <v>673.2</v>
      </c>
      <c r="AT64" s="105">
        <v>4</v>
      </c>
      <c r="AU64" s="105">
        <v>897.6</v>
      </c>
      <c r="AV64" s="105">
        <v>4</v>
      </c>
      <c r="AW64" s="105">
        <v>897.6</v>
      </c>
      <c r="AX64" s="105">
        <v>5</v>
      </c>
      <c r="AY64" s="105">
        <v>1122</v>
      </c>
      <c r="AZ64" s="105">
        <v>2</v>
      </c>
      <c r="BA64" s="105">
        <v>448.8</v>
      </c>
      <c r="BB64" s="105">
        <v>3</v>
      </c>
      <c r="BC64" s="105">
        <v>673.2</v>
      </c>
      <c r="BD64" s="105">
        <v>2.1756290612873257</v>
      </c>
      <c r="BE64" s="105">
        <v>488.21116135287588</v>
      </c>
      <c r="BF64" s="105">
        <v>5.1076461338389461</v>
      </c>
      <c r="BG64" s="105">
        <v>1146.1557924334595</v>
      </c>
      <c r="BH64" s="105">
        <v>4</v>
      </c>
      <c r="BI64" s="105">
        <v>897.6</v>
      </c>
      <c r="BJ64" s="105">
        <v>2</v>
      </c>
      <c r="BK64" s="105">
        <v>448.8</v>
      </c>
      <c r="BL64" s="105">
        <v>3</v>
      </c>
      <c r="BM64" s="105">
        <v>673.2</v>
      </c>
      <c r="BN64" s="105">
        <v>3</v>
      </c>
      <c r="BO64" s="105">
        <v>673.2</v>
      </c>
      <c r="BP64" s="105">
        <v>4</v>
      </c>
      <c r="BQ64" s="105">
        <v>897.6</v>
      </c>
      <c r="BR64" s="105">
        <v>5</v>
      </c>
      <c r="BS64" s="105">
        <v>1122</v>
      </c>
      <c r="BT64" s="105">
        <v>4</v>
      </c>
      <c r="BU64" s="105">
        <v>897.6</v>
      </c>
      <c r="BV64" s="105">
        <v>3</v>
      </c>
      <c r="BW64" s="105">
        <v>673.2</v>
      </c>
      <c r="BX64" s="105">
        <v>4</v>
      </c>
      <c r="BY64" s="105">
        <v>897.6</v>
      </c>
      <c r="BZ64" s="105">
        <v>4</v>
      </c>
      <c r="CA64" s="105">
        <v>897.6</v>
      </c>
      <c r="CB64" s="105">
        <v>3</v>
      </c>
      <c r="CC64" s="105">
        <v>673.2</v>
      </c>
      <c r="CD64" s="105">
        <v>4</v>
      </c>
      <c r="CE64" s="105">
        <v>897.6</v>
      </c>
      <c r="CF64" s="105">
        <v>4</v>
      </c>
      <c r="CG64" s="105">
        <v>897.6</v>
      </c>
      <c r="CH64" s="105">
        <v>4</v>
      </c>
      <c r="CI64" s="105">
        <v>897.6</v>
      </c>
      <c r="CJ64" s="105">
        <v>2.0733496762414587</v>
      </c>
      <c r="CK64" s="105">
        <v>465.25966734858332</v>
      </c>
      <c r="CL64" s="105">
        <v>4</v>
      </c>
      <c r="CM64" s="105">
        <v>897.6</v>
      </c>
      <c r="CN64" s="105">
        <v>3</v>
      </c>
      <c r="CO64" s="105">
        <v>673.2</v>
      </c>
      <c r="CP64" s="105">
        <v>4</v>
      </c>
      <c r="CQ64" s="105">
        <v>897.6</v>
      </c>
      <c r="CR64" s="105">
        <v>4</v>
      </c>
      <c r="CS64" s="105">
        <v>897.6</v>
      </c>
      <c r="CT64" s="105">
        <v>3</v>
      </c>
      <c r="CU64" s="105">
        <v>673.2</v>
      </c>
    </row>
    <row r="65" spans="2:99" x14ac:dyDescent="0.2">
      <c r="C65" s="104" t="s">
        <v>233</v>
      </c>
      <c r="D65" s="105">
        <v>0</v>
      </c>
      <c r="E65" s="105">
        <v>0</v>
      </c>
      <c r="F65" s="105">
        <v>3</v>
      </c>
      <c r="G65" s="105">
        <v>1483.1999999999998</v>
      </c>
      <c r="H65" s="105">
        <v>3</v>
      </c>
      <c r="I65" s="105">
        <v>1483.1999999999998</v>
      </c>
      <c r="J65" s="105">
        <v>3</v>
      </c>
      <c r="K65" s="105">
        <v>1483.1999999999998</v>
      </c>
      <c r="L65" s="105">
        <v>3</v>
      </c>
      <c r="M65" s="105">
        <v>1483.1999999999998</v>
      </c>
      <c r="N65" s="105">
        <v>3</v>
      </c>
      <c r="O65" s="105">
        <v>1483.1999999999998</v>
      </c>
      <c r="P65" s="105">
        <v>3</v>
      </c>
      <c r="Q65" s="105">
        <v>1483.1999999999998</v>
      </c>
      <c r="R65" s="105">
        <v>4</v>
      </c>
      <c r="S65" s="105">
        <v>1977.6</v>
      </c>
      <c r="T65" s="105">
        <v>5</v>
      </c>
      <c r="U65" s="105">
        <v>2472</v>
      </c>
      <c r="V65" s="105">
        <v>3.1978777910696952</v>
      </c>
      <c r="W65" s="105">
        <v>1581.0307799048571</v>
      </c>
      <c r="X65" s="105">
        <v>2</v>
      </c>
      <c r="Y65" s="105">
        <v>988.8</v>
      </c>
      <c r="Z65" s="105">
        <v>2</v>
      </c>
      <c r="AA65" s="105">
        <v>988.8</v>
      </c>
      <c r="AB65" s="105">
        <v>3</v>
      </c>
      <c r="AC65" s="105">
        <v>1483.1999999999998</v>
      </c>
      <c r="AD65" s="105">
        <v>4</v>
      </c>
      <c r="AE65" s="105">
        <v>1977.6</v>
      </c>
      <c r="AF65" s="105">
        <v>2</v>
      </c>
      <c r="AG65" s="105">
        <v>988.8</v>
      </c>
      <c r="AH65" s="105">
        <v>2</v>
      </c>
      <c r="AI65" s="105">
        <v>988.8</v>
      </c>
      <c r="AJ65" s="105">
        <v>4</v>
      </c>
      <c r="AK65" s="105">
        <v>1977.6</v>
      </c>
      <c r="AL65" s="105">
        <v>4</v>
      </c>
      <c r="AM65" s="105">
        <v>1977.6</v>
      </c>
      <c r="AN65" s="105">
        <v>3</v>
      </c>
      <c r="AO65" s="105">
        <v>1483.1999999999998</v>
      </c>
      <c r="AP65" s="105">
        <v>4</v>
      </c>
      <c r="AQ65" s="105">
        <v>1977.6</v>
      </c>
      <c r="AR65" s="105">
        <v>3</v>
      </c>
      <c r="AS65" s="105">
        <v>1483.1999999999998</v>
      </c>
      <c r="AT65" s="105">
        <v>4</v>
      </c>
      <c r="AU65" s="105">
        <v>1977.6</v>
      </c>
      <c r="AV65" s="105">
        <v>4</v>
      </c>
      <c r="AW65" s="105">
        <v>1977.6</v>
      </c>
      <c r="AX65" s="105">
        <v>4</v>
      </c>
      <c r="AY65" s="105">
        <v>1977.6</v>
      </c>
      <c r="AZ65" s="105">
        <v>2</v>
      </c>
      <c r="BA65" s="105">
        <v>988.8</v>
      </c>
      <c r="BB65" s="105">
        <v>3</v>
      </c>
      <c r="BC65" s="105">
        <v>1483.1999999999998</v>
      </c>
      <c r="BD65" s="105">
        <v>3.1505391953891362</v>
      </c>
      <c r="BE65" s="105">
        <v>1557.6265782003888</v>
      </c>
      <c r="BF65" s="105">
        <v>4.08073460037921</v>
      </c>
      <c r="BG65" s="105">
        <v>2017.5151864274812</v>
      </c>
      <c r="BH65" s="105">
        <v>4</v>
      </c>
      <c r="BI65" s="105">
        <v>1977.6</v>
      </c>
      <c r="BJ65" s="105">
        <v>3</v>
      </c>
      <c r="BK65" s="105">
        <v>1483.1999999999998</v>
      </c>
      <c r="BL65" s="105">
        <v>2</v>
      </c>
      <c r="BM65" s="105">
        <v>988.8</v>
      </c>
      <c r="BN65" s="105">
        <v>3</v>
      </c>
      <c r="BO65" s="105">
        <v>1483.1999999999998</v>
      </c>
      <c r="BP65" s="105">
        <v>4</v>
      </c>
      <c r="BQ65" s="105">
        <v>1977.6</v>
      </c>
      <c r="BR65" s="105">
        <v>4</v>
      </c>
      <c r="BS65" s="105">
        <v>1977.6</v>
      </c>
      <c r="BT65" s="105">
        <v>4</v>
      </c>
      <c r="BU65" s="105">
        <v>1977.6</v>
      </c>
      <c r="BV65" s="105">
        <v>3</v>
      </c>
      <c r="BW65" s="105">
        <v>1483.1999999999998</v>
      </c>
      <c r="BX65" s="105">
        <v>4</v>
      </c>
      <c r="BY65" s="105">
        <v>1977.6</v>
      </c>
      <c r="BZ65" s="105">
        <v>4</v>
      </c>
      <c r="CA65" s="105">
        <v>1977.6</v>
      </c>
      <c r="CB65" s="105">
        <v>3</v>
      </c>
      <c r="CC65" s="105">
        <v>1483.1999999999998</v>
      </c>
      <c r="CD65" s="105">
        <v>4</v>
      </c>
      <c r="CE65" s="105">
        <v>1977.6</v>
      </c>
      <c r="CF65" s="105">
        <v>4</v>
      </c>
      <c r="CG65" s="105">
        <v>1977.6</v>
      </c>
      <c r="CH65" s="105">
        <v>4</v>
      </c>
      <c r="CI65" s="105">
        <v>1977.6</v>
      </c>
      <c r="CJ65" s="105">
        <v>2.058679740993167</v>
      </c>
      <c r="CK65" s="105">
        <v>1017.8112639470218</v>
      </c>
      <c r="CL65" s="105">
        <v>4</v>
      </c>
      <c r="CM65" s="105">
        <v>1977.6</v>
      </c>
      <c r="CN65" s="105">
        <v>2</v>
      </c>
      <c r="CO65" s="105">
        <v>988.8</v>
      </c>
      <c r="CP65" s="105">
        <v>4</v>
      </c>
      <c r="CQ65" s="105">
        <v>1977.6</v>
      </c>
      <c r="CR65" s="105">
        <v>4</v>
      </c>
      <c r="CS65" s="105">
        <v>1977.6</v>
      </c>
      <c r="CT65" s="105">
        <v>4</v>
      </c>
      <c r="CU65" s="105">
        <v>1977.6</v>
      </c>
    </row>
    <row r="66" spans="2:99" x14ac:dyDescent="0.2">
      <c r="C66" s="104" t="s">
        <v>234</v>
      </c>
      <c r="D66" s="105">
        <v>0</v>
      </c>
      <c r="E66" s="105">
        <v>0</v>
      </c>
      <c r="F66" s="105">
        <v>2</v>
      </c>
      <c r="G66" s="105">
        <v>796.8</v>
      </c>
      <c r="H66" s="105">
        <v>3</v>
      </c>
      <c r="I66" s="105">
        <v>1195.1999999999998</v>
      </c>
      <c r="J66" s="105">
        <v>3</v>
      </c>
      <c r="K66" s="105">
        <v>1195.1999999999998</v>
      </c>
      <c r="L66" s="105">
        <v>3</v>
      </c>
      <c r="M66" s="105">
        <v>1195.1999999999998</v>
      </c>
      <c r="N66" s="105">
        <v>3</v>
      </c>
      <c r="O66" s="105">
        <v>1195.1999999999998</v>
      </c>
      <c r="P66" s="105">
        <v>3</v>
      </c>
      <c r="Q66" s="105">
        <v>1195.1999999999998</v>
      </c>
      <c r="R66" s="105">
        <v>4</v>
      </c>
      <c r="S66" s="105">
        <v>1593.6</v>
      </c>
      <c r="T66" s="105">
        <v>4</v>
      </c>
      <c r="U66" s="105">
        <v>1593.6</v>
      </c>
      <c r="V66" s="105">
        <v>4.2473472388371185</v>
      </c>
      <c r="W66" s="105">
        <v>1692.143139952708</v>
      </c>
      <c r="X66" s="105">
        <v>2</v>
      </c>
      <c r="Y66" s="105">
        <v>796.8</v>
      </c>
      <c r="Z66" s="105">
        <v>3</v>
      </c>
      <c r="AA66" s="105">
        <v>1195.1999999999998</v>
      </c>
      <c r="AB66" s="105">
        <v>4</v>
      </c>
      <c r="AC66" s="105">
        <v>1593.6</v>
      </c>
      <c r="AD66" s="105">
        <v>4</v>
      </c>
      <c r="AE66" s="105">
        <v>1593.6</v>
      </c>
      <c r="AF66" s="105">
        <v>2</v>
      </c>
      <c r="AG66" s="105">
        <v>796.8</v>
      </c>
      <c r="AH66" s="105">
        <v>3</v>
      </c>
      <c r="AI66" s="105">
        <v>1195.1999999999998</v>
      </c>
      <c r="AJ66" s="105">
        <v>4</v>
      </c>
      <c r="AK66" s="105">
        <v>1593.6</v>
      </c>
      <c r="AL66" s="105">
        <v>4</v>
      </c>
      <c r="AM66" s="105">
        <v>1593.6</v>
      </c>
      <c r="AN66" s="105">
        <v>2</v>
      </c>
      <c r="AO66" s="105">
        <v>796.8</v>
      </c>
      <c r="AP66" s="105">
        <v>5</v>
      </c>
      <c r="AQ66" s="105">
        <v>1992</v>
      </c>
      <c r="AR66" s="105">
        <v>3</v>
      </c>
      <c r="AS66" s="105">
        <v>1195.1999999999998</v>
      </c>
      <c r="AT66" s="105">
        <v>4</v>
      </c>
      <c r="AU66" s="105">
        <v>1593.6</v>
      </c>
      <c r="AV66" s="105">
        <v>4</v>
      </c>
      <c r="AW66" s="105">
        <v>1593.6</v>
      </c>
      <c r="AX66" s="105">
        <v>4</v>
      </c>
      <c r="AY66" s="105">
        <v>1593.6</v>
      </c>
      <c r="AZ66" s="105">
        <v>2</v>
      </c>
      <c r="BA66" s="105">
        <v>796.8</v>
      </c>
      <c r="BB66" s="105">
        <v>3</v>
      </c>
      <c r="BC66" s="105">
        <v>1195.1999999999998</v>
      </c>
      <c r="BD66" s="105">
        <v>3.1756290612873257</v>
      </c>
      <c r="BE66" s="105">
        <v>1265.1706180168705</v>
      </c>
      <c r="BF66" s="105">
        <v>4.1076461338389461</v>
      </c>
      <c r="BG66" s="105">
        <v>1636.4862197214361</v>
      </c>
      <c r="BH66" s="105">
        <v>4</v>
      </c>
      <c r="BI66" s="105">
        <v>1593.6</v>
      </c>
      <c r="BJ66" s="105">
        <v>2</v>
      </c>
      <c r="BK66" s="105">
        <v>796.8</v>
      </c>
      <c r="BL66" s="105">
        <v>3</v>
      </c>
      <c r="BM66" s="105">
        <v>1195.1999999999998</v>
      </c>
      <c r="BN66" s="105">
        <v>3</v>
      </c>
      <c r="BO66" s="105">
        <v>1195.1999999999998</v>
      </c>
      <c r="BP66" s="105">
        <v>4</v>
      </c>
      <c r="BQ66" s="105">
        <v>1593.6</v>
      </c>
      <c r="BR66" s="105">
        <v>5</v>
      </c>
      <c r="BS66" s="105">
        <v>1992</v>
      </c>
      <c r="BT66" s="105">
        <v>4</v>
      </c>
      <c r="BU66" s="105">
        <v>1593.6</v>
      </c>
      <c r="BV66" s="105">
        <v>3</v>
      </c>
      <c r="BW66" s="105">
        <v>1195.1999999999998</v>
      </c>
      <c r="BX66" s="105">
        <v>3</v>
      </c>
      <c r="BY66" s="105">
        <v>1195.1999999999998</v>
      </c>
      <c r="BZ66" s="105">
        <v>4</v>
      </c>
      <c r="CA66" s="105">
        <v>1593.6</v>
      </c>
      <c r="CB66" s="105">
        <v>3</v>
      </c>
      <c r="CC66" s="105">
        <v>1195.1999999999998</v>
      </c>
      <c r="CD66" s="105">
        <v>4</v>
      </c>
      <c r="CE66" s="105">
        <v>1593.6</v>
      </c>
      <c r="CF66" s="105">
        <v>4</v>
      </c>
      <c r="CG66" s="105">
        <v>1593.6</v>
      </c>
      <c r="CH66" s="105">
        <v>4</v>
      </c>
      <c r="CI66" s="105">
        <v>1593.6</v>
      </c>
      <c r="CJ66" s="105">
        <v>2.0733496762414587</v>
      </c>
      <c r="CK66" s="105">
        <v>826.02251101459706</v>
      </c>
      <c r="CL66" s="105">
        <v>3</v>
      </c>
      <c r="CM66" s="105">
        <v>1195.1999999999998</v>
      </c>
      <c r="CN66" s="105">
        <v>2</v>
      </c>
      <c r="CO66" s="105">
        <v>796.8</v>
      </c>
      <c r="CP66" s="105">
        <v>3</v>
      </c>
      <c r="CQ66" s="105">
        <v>1195.1999999999998</v>
      </c>
      <c r="CR66" s="105">
        <v>5</v>
      </c>
      <c r="CS66" s="105">
        <v>1992</v>
      </c>
      <c r="CT66" s="105">
        <v>4</v>
      </c>
      <c r="CU66" s="105">
        <v>1593.6</v>
      </c>
    </row>
    <row r="67" spans="2:99" x14ac:dyDescent="0.2">
      <c r="C67" s="104" t="s">
        <v>235</v>
      </c>
      <c r="D67" s="105">
        <v>0</v>
      </c>
      <c r="E67" s="105">
        <v>0</v>
      </c>
      <c r="F67" s="105">
        <v>2</v>
      </c>
      <c r="G67" s="105">
        <v>948</v>
      </c>
      <c r="H67" s="105">
        <v>3</v>
      </c>
      <c r="I67" s="105">
        <v>1422</v>
      </c>
      <c r="J67" s="105">
        <v>3</v>
      </c>
      <c r="K67" s="105">
        <v>1422</v>
      </c>
      <c r="L67" s="105">
        <v>3</v>
      </c>
      <c r="M67" s="105">
        <v>1422</v>
      </c>
      <c r="N67" s="105">
        <v>3</v>
      </c>
      <c r="O67" s="105">
        <v>1422</v>
      </c>
      <c r="P67" s="105">
        <v>4</v>
      </c>
      <c r="Q67" s="105">
        <v>1896</v>
      </c>
      <c r="R67" s="105">
        <v>4</v>
      </c>
      <c r="S67" s="105">
        <v>1896</v>
      </c>
      <c r="T67" s="105">
        <v>4</v>
      </c>
      <c r="U67" s="105">
        <v>1896</v>
      </c>
      <c r="V67" s="105">
        <v>3.247347238837119</v>
      </c>
      <c r="W67" s="105">
        <v>1539.2425912087945</v>
      </c>
      <c r="X67" s="105">
        <v>2</v>
      </c>
      <c r="Y67" s="105">
        <v>948</v>
      </c>
      <c r="Z67" s="105">
        <v>3</v>
      </c>
      <c r="AA67" s="105">
        <v>1422</v>
      </c>
      <c r="AB67" s="105">
        <v>3</v>
      </c>
      <c r="AC67" s="105">
        <v>1422</v>
      </c>
      <c r="AD67" s="105">
        <v>4</v>
      </c>
      <c r="AE67" s="105">
        <v>1896</v>
      </c>
      <c r="AF67" s="105">
        <v>2</v>
      </c>
      <c r="AG67" s="105">
        <v>948</v>
      </c>
      <c r="AH67" s="105">
        <v>2</v>
      </c>
      <c r="AI67" s="105">
        <v>948</v>
      </c>
      <c r="AJ67" s="105">
        <v>4</v>
      </c>
      <c r="AK67" s="105">
        <v>1896</v>
      </c>
      <c r="AL67" s="105">
        <v>4</v>
      </c>
      <c r="AM67" s="105">
        <v>1896</v>
      </c>
      <c r="AN67" s="105">
        <v>3</v>
      </c>
      <c r="AO67" s="105">
        <v>1422</v>
      </c>
      <c r="AP67" s="105">
        <v>5</v>
      </c>
      <c r="AQ67" s="105">
        <v>2370</v>
      </c>
      <c r="AR67" s="105">
        <v>3</v>
      </c>
      <c r="AS67" s="105">
        <v>1422</v>
      </c>
      <c r="AT67" s="105">
        <v>4</v>
      </c>
      <c r="AU67" s="105">
        <v>1896</v>
      </c>
      <c r="AV67" s="105">
        <v>3</v>
      </c>
      <c r="AW67" s="105">
        <v>1422</v>
      </c>
      <c r="AX67" s="105">
        <v>5</v>
      </c>
      <c r="AY67" s="105">
        <v>2370</v>
      </c>
      <c r="AZ67" s="105">
        <v>2</v>
      </c>
      <c r="BA67" s="105">
        <v>948</v>
      </c>
      <c r="BB67" s="105">
        <v>3</v>
      </c>
      <c r="BC67" s="105">
        <v>1422</v>
      </c>
      <c r="BD67" s="105">
        <v>3.1505391953891362</v>
      </c>
      <c r="BE67" s="105">
        <v>1493.3555786144505</v>
      </c>
      <c r="BF67" s="105">
        <v>4.1076461338389461</v>
      </c>
      <c r="BG67" s="105">
        <v>1947.0242674396604</v>
      </c>
      <c r="BH67" s="105">
        <v>4</v>
      </c>
      <c r="BI67" s="105">
        <v>1896</v>
      </c>
      <c r="BJ67" s="105">
        <v>2</v>
      </c>
      <c r="BK67" s="105">
        <v>948</v>
      </c>
      <c r="BL67" s="105">
        <v>3</v>
      </c>
      <c r="BM67" s="105">
        <v>1422</v>
      </c>
      <c r="BN67" s="105">
        <v>3</v>
      </c>
      <c r="BO67" s="105">
        <v>1422</v>
      </c>
      <c r="BP67" s="105">
        <v>4</v>
      </c>
      <c r="BQ67" s="105">
        <v>1896</v>
      </c>
      <c r="BR67" s="105">
        <v>5</v>
      </c>
      <c r="BS67" s="105">
        <v>2370</v>
      </c>
      <c r="BT67" s="105">
        <v>4</v>
      </c>
      <c r="BU67" s="105">
        <v>1896</v>
      </c>
      <c r="BV67" s="105">
        <v>3</v>
      </c>
      <c r="BW67" s="105">
        <v>1422</v>
      </c>
      <c r="BX67" s="105">
        <v>4</v>
      </c>
      <c r="BY67" s="105">
        <v>1896</v>
      </c>
      <c r="BZ67" s="105">
        <v>4</v>
      </c>
      <c r="CA67" s="105">
        <v>1896</v>
      </c>
      <c r="CB67" s="105">
        <v>3</v>
      </c>
      <c r="CC67" s="105">
        <v>1422</v>
      </c>
      <c r="CD67" s="105">
        <v>4</v>
      </c>
      <c r="CE67" s="105">
        <v>1896</v>
      </c>
      <c r="CF67" s="105">
        <v>4</v>
      </c>
      <c r="CG67" s="105">
        <v>1896</v>
      </c>
      <c r="CH67" s="105">
        <v>4</v>
      </c>
      <c r="CI67" s="105">
        <v>1896</v>
      </c>
      <c r="CJ67" s="105">
        <v>2.058679740993167</v>
      </c>
      <c r="CK67" s="105">
        <v>975.81419723076112</v>
      </c>
      <c r="CL67" s="105">
        <v>4</v>
      </c>
      <c r="CM67" s="105">
        <v>1896</v>
      </c>
      <c r="CN67" s="105">
        <v>2</v>
      </c>
      <c r="CO67" s="105">
        <v>948</v>
      </c>
      <c r="CP67" s="105">
        <v>4</v>
      </c>
      <c r="CQ67" s="105">
        <v>1896</v>
      </c>
      <c r="CR67" s="105">
        <v>5</v>
      </c>
      <c r="CS67" s="105">
        <v>2370</v>
      </c>
      <c r="CT67" s="105">
        <v>4</v>
      </c>
      <c r="CU67" s="105">
        <v>1896</v>
      </c>
    </row>
    <row r="68" spans="2:99" x14ac:dyDescent="0.2">
      <c r="C68" s="104" t="s">
        <v>236</v>
      </c>
      <c r="D68" s="105">
        <v>0</v>
      </c>
      <c r="E68" s="105">
        <v>0</v>
      </c>
      <c r="F68" s="105">
        <v>2</v>
      </c>
      <c r="G68" s="105">
        <v>540</v>
      </c>
      <c r="H68" s="105">
        <v>3</v>
      </c>
      <c r="I68" s="105">
        <v>810</v>
      </c>
      <c r="J68" s="105">
        <v>3</v>
      </c>
      <c r="K68" s="105">
        <v>810</v>
      </c>
      <c r="L68" s="105">
        <v>3</v>
      </c>
      <c r="M68" s="105">
        <v>810</v>
      </c>
      <c r="N68" s="105">
        <v>3</v>
      </c>
      <c r="O68" s="105">
        <v>810</v>
      </c>
      <c r="P68" s="105">
        <v>4</v>
      </c>
      <c r="Q68" s="105">
        <v>1080</v>
      </c>
      <c r="R68" s="105">
        <v>4</v>
      </c>
      <c r="S68" s="105">
        <v>1080</v>
      </c>
      <c r="T68" s="105">
        <v>4</v>
      </c>
      <c r="U68" s="105">
        <v>1080</v>
      </c>
      <c r="V68" s="105">
        <v>3.1978777910696952</v>
      </c>
      <c r="W68" s="105">
        <v>863.42700358881768</v>
      </c>
      <c r="X68" s="105">
        <v>3</v>
      </c>
      <c r="Y68" s="105">
        <v>810</v>
      </c>
      <c r="Z68" s="105">
        <v>2</v>
      </c>
      <c r="AA68" s="105">
        <v>540</v>
      </c>
      <c r="AB68" s="105">
        <v>3</v>
      </c>
      <c r="AC68" s="105">
        <v>810</v>
      </c>
      <c r="AD68" s="105">
        <v>4</v>
      </c>
      <c r="AE68" s="105">
        <v>1080</v>
      </c>
      <c r="AF68" s="105">
        <v>3</v>
      </c>
      <c r="AG68" s="105">
        <v>810</v>
      </c>
      <c r="AH68" s="105">
        <v>3</v>
      </c>
      <c r="AI68" s="105">
        <v>810</v>
      </c>
      <c r="AJ68" s="105">
        <v>4</v>
      </c>
      <c r="AK68" s="105">
        <v>1080</v>
      </c>
      <c r="AL68" s="105">
        <v>4</v>
      </c>
      <c r="AM68" s="105">
        <v>1080</v>
      </c>
      <c r="AN68" s="105">
        <v>2</v>
      </c>
      <c r="AO68" s="105">
        <v>540</v>
      </c>
      <c r="AP68" s="105">
        <v>5</v>
      </c>
      <c r="AQ68" s="105">
        <v>1350</v>
      </c>
      <c r="AR68" s="105">
        <v>3</v>
      </c>
      <c r="AS68" s="105">
        <v>810</v>
      </c>
      <c r="AT68" s="105">
        <v>4</v>
      </c>
      <c r="AU68" s="105">
        <v>1080</v>
      </c>
      <c r="AV68" s="105">
        <v>4</v>
      </c>
      <c r="AW68" s="105">
        <v>1080</v>
      </c>
      <c r="AX68" s="105">
        <v>4</v>
      </c>
      <c r="AY68" s="105">
        <v>1080</v>
      </c>
      <c r="AZ68" s="105">
        <v>2</v>
      </c>
      <c r="BA68" s="105">
        <v>540</v>
      </c>
      <c r="BB68" s="105">
        <v>3</v>
      </c>
      <c r="BC68" s="105">
        <v>810</v>
      </c>
      <c r="BD68" s="105">
        <v>3.1756290612873257</v>
      </c>
      <c r="BE68" s="105">
        <v>857.41984654757789</v>
      </c>
      <c r="BF68" s="105">
        <v>4.1076461338389461</v>
      </c>
      <c r="BG68" s="105">
        <v>1109.0644561365154</v>
      </c>
      <c r="BH68" s="105">
        <v>4</v>
      </c>
      <c r="BI68" s="105">
        <v>1080</v>
      </c>
      <c r="BJ68" s="105">
        <v>3</v>
      </c>
      <c r="BK68" s="105">
        <v>810</v>
      </c>
      <c r="BL68" s="105">
        <v>3</v>
      </c>
      <c r="BM68" s="105">
        <v>810</v>
      </c>
      <c r="BN68" s="105">
        <v>3</v>
      </c>
      <c r="BO68" s="105">
        <v>810</v>
      </c>
      <c r="BP68" s="105">
        <v>4</v>
      </c>
      <c r="BQ68" s="105">
        <v>1080</v>
      </c>
      <c r="BR68" s="105">
        <v>5</v>
      </c>
      <c r="BS68" s="105">
        <v>1350</v>
      </c>
      <c r="BT68" s="105">
        <v>4</v>
      </c>
      <c r="BU68" s="105">
        <v>1080</v>
      </c>
      <c r="BV68" s="105">
        <v>3</v>
      </c>
      <c r="BW68" s="105">
        <v>810</v>
      </c>
      <c r="BX68" s="105">
        <v>4</v>
      </c>
      <c r="BY68" s="105">
        <v>1080</v>
      </c>
      <c r="BZ68" s="105">
        <v>4</v>
      </c>
      <c r="CA68" s="105">
        <v>1080</v>
      </c>
      <c r="CB68" s="105">
        <v>3</v>
      </c>
      <c r="CC68" s="105">
        <v>810</v>
      </c>
      <c r="CD68" s="105">
        <v>4</v>
      </c>
      <c r="CE68" s="105">
        <v>1080</v>
      </c>
      <c r="CF68" s="105">
        <v>4</v>
      </c>
      <c r="CG68" s="105">
        <v>1080</v>
      </c>
      <c r="CH68" s="105">
        <v>5</v>
      </c>
      <c r="CI68" s="105">
        <v>1350</v>
      </c>
      <c r="CJ68" s="105">
        <v>2.0733496762414587</v>
      </c>
      <c r="CK68" s="105">
        <v>559.80441258519386</v>
      </c>
      <c r="CL68" s="105">
        <v>4</v>
      </c>
      <c r="CM68" s="105">
        <v>1080</v>
      </c>
      <c r="CN68" s="105">
        <v>2</v>
      </c>
      <c r="CO68" s="105">
        <v>540</v>
      </c>
      <c r="CP68" s="105">
        <v>4</v>
      </c>
      <c r="CQ68" s="105">
        <v>1080</v>
      </c>
      <c r="CR68" s="105">
        <v>5</v>
      </c>
      <c r="CS68" s="105">
        <v>1350</v>
      </c>
      <c r="CT68" s="105">
        <v>4</v>
      </c>
      <c r="CU68" s="105">
        <v>1080</v>
      </c>
    </row>
    <row r="69" spans="2:99" x14ac:dyDescent="0.2">
      <c r="C69" s="104" t="s">
        <v>237</v>
      </c>
      <c r="D69" s="105">
        <v>0</v>
      </c>
      <c r="E69" s="105">
        <v>0</v>
      </c>
      <c r="F69" s="105">
        <v>3</v>
      </c>
      <c r="G69" s="105">
        <v>518.4</v>
      </c>
      <c r="H69" s="105">
        <v>3</v>
      </c>
      <c r="I69" s="105">
        <v>518.4</v>
      </c>
      <c r="J69" s="105">
        <v>3</v>
      </c>
      <c r="K69" s="105">
        <v>518.4</v>
      </c>
      <c r="L69" s="105">
        <v>3</v>
      </c>
      <c r="M69" s="105">
        <v>518.4</v>
      </c>
      <c r="N69" s="105">
        <v>3</v>
      </c>
      <c r="O69" s="105">
        <v>518.4</v>
      </c>
      <c r="P69" s="105">
        <v>4</v>
      </c>
      <c r="Q69" s="105">
        <v>691.19999999999993</v>
      </c>
      <c r="R69" s="105">
        <v>4</v>
      </c>
      <c r="S69" s="105">
        <v>691.19999999999993</v>
      </c>
      <c r="T69" s="105">
        <v>5</v>
      </c>
      <c r="U69" s="105">
        <v>863.99999999999989</v>
      </c>
      <c r="V69" s="105">
        <v>3.247347238837119</v>
      </c>
      <c r="W69" s="105">
        <v>561.14160287105415</v>
      </c>
      <c r="X69" s="105">
        <v>2</v>
      </c>
      <c r="Y69" s="105">
        <v>345.59999999999997</v>
      </c>
      <c r="Z69" s="105">
        <v>3</v>
      </c>
      <c r="AA69" s="105">
        <v>518.4</v>
      </c>
      <c r="AB69" s="105">
        <v>3</v>
      </c>
      <c r="AC69" s="105">
        <v>518.4</v>
      </c>
      <c r="AD69" s="105">
        <v>4</v>
      </c>
      <c r="AE69" s="105">
        <v>691.19999999999993</v>
      </c>
      <c r="AF69" s="105">
        <v>2</v>
      </c>
      <c r="AG69" s="105">
        <v>345.59999999999997</v>
      </c>
      <c r="AH69" s="105">
        <v>3</v>
      </c>
      <c r="AI69" s="105">
        <v>518.4</v>
      </c>
      <c r="AJ69" s="105">
        <v>4</v>
      </c>
      <c r="AK69" s="105">
        <v>691.19999999999993</v>
      </c>
      <c r="AL69" s="105">
        <v>4</v>
      </c>
      <c r="AM69" s="105">
        <v>691.19999999999993</v>
      </c>
      <c r="AN69" s="105">
        <v>3</v>
      </c>
      <c r="AO69" s="105">
        <v>518.4</v>
      </c>
      <c r="AP69" s="105">
        <v>5</v>
      </c>
      <c r="AQ69" s="105">
        <v>863.99999999999989</v>
      </c>
      <c r="AR69" s="105">
        <v>3</v>
      </c>
      <c r="AS69" s="105">
        <v>518.4</v>
      </c>
      <c r="AT69" s="105">
        <v>4</v>
      </c>
      <c r="AU69" s="105">
        <v>691.19999999999993</v>
      </c>
      <c r="AV69" s="105">
        <v>4</v>
      </c>
      <c r="AW69" s="105">
        <v>691.19999999999993</v>
      </c>
      <c r="AX69" s="105">
        <v>5</v>
      </c>
      <c r="AY69" s="105">
        <v>863.99999999999989</v>
      </c>
      <c r="AZ69" s="105">
        <v>2</v>
      </c>
      <c r="BA69" s="105">
        <v>345.59999999999997</v>
      </c>
      <c r="BB69" s="105">
        <v>3</v>
      </c>
      <c r="BC69" s="105">
        <v>518.4</v>
      </c>
      <c r="BD69" s="105">
        <v>3.1756290612873257</v>
      </c>
      <c r="BE69" s="105">
        <v>548.74870179044979</v>
      </c>
      <c r="BF69" s="105">
        <v>5.1076461338389461</v>
      </c>
      <c r="BG69" s="105">
        <v>882.60125192736984</v>
      </c>
      <c r="BH69" s="105">
        <v>4</v>
      </c>
      <c r="BI69" s="105">
        <v>691.19999999999993</v>
      </c>
      <c r="BJ69" s="105">
        <v>3</v>
      </c>
      <c r="BK69" s="105">
        <v>518.4</v>
      </c>
      <c r="BL69" s="105">
        <v>3</v>
      </c>
      <c r="BM69" s="105">
        <v>518.4</v>
      </c>
      <c r="BN69" s="105">
        <v>3</v>
      </c>
      <c r="BO69" s="105">
        <v>518.4</v>
      </c>
      <c r="BP69" s="105">
        <v>4</v>
      </c>
      <c r="BQ69" s="105">
        <v>691.19999999999993</v>
      </c>
      <c r="BR69" s="105">
        <v>5</v>
      </c>
      <c r="BS69" s="105">
        <v>863.99999999999989</v>
      </c>
      <c r="BT69" s="105">
        <v>4</v>
      </c>
      <c r="BU69" s="105">
        <v>691.19999999999993</v>
      </c>
      <c r="BV69" s="105">
        <v>3</v>
      </c>
      <c r="BW69" s="105">
        <v>518.4</v>
      </c>
      <c r="BX69" s="105">
        <v>4</v>
      </c>
      <c r="BY69" s="105">
        <v>691.19999999999993</v>
      </c>
      <c r="BZ69" s="105">
        <v>4</v>
      </c>
      <c r="CA69" s="105">
        <v>691.19999999999993</v>
      </c>
      <c r="CB69" s="105">
        <v>3</v>
      </c>
      <c r="CC69" s="105">
        <v>518.4</v>
      </c>
      <c r="CD69" s="105">
        <v>5</v>
      </c>
      <c r="CE69" s="105">
        <v>863.99999999999989</v>
      </c>
      <c r="CF69" s="105">
        <v>4</v>
      </c>
      <c r="CG69" s="105">
        <v>691.19999999999993</v>
      </c>
      <c r="CH69" s="105">
        <v>5</v>
      </c>
      <c r="CI69" s="105">
        <v>863.99999999999989</v>
      </c>
      <c r="CJ69" s="105">
        <v>2.0733496762414587</v>
      </c>
      <c r="CK69" s="105">
        <v>358.274824054524</v>
      </c>
      <c r="CL69" s="105">
        <v>4</v>
      </c>
      <c r="CM69" s="105">
        <v>691.19999999999993</v>
      </c>
      <c r="CN69" s="105">
        <v>3</v>
      </c>
      <c r="CO69" s="105">
        <v>518.4</v>
      </c>
      <c r="CP69" s="105">
        <v>4</v>
      </c>
      <c r="CQ69" s="105">
        <v>691.19999999999993</v>
      </c>
      <c r="CR69" s="105">
        <v>4</v>
      </c>
      <c r="CS69" s="105">
        <v>691.19999999999993</v>
      </c>
      <c r="CT69" s="105">
        <v>3</v>
      </c>
      <c r="CU69" s="105">
        <v>518.4</v>
      </c>
    </row>
    <row r="70" spans="2:99" x14ac:dyDescent="0.2">
      <c r="C70" s="104" t="s">
        <v>238</v>
      </c>
      <c r="D70" s="105">
        <v>0</v>
      </c>
      <c r="E70" s="105">
        <v>0</v>
      </c>
      <c r="F70" s="105">
        <v>3</v>
      </c>
      <c r="G70" s="105">
        <v>1288.8</v>
      </c>
      <c r="H70" s="105">
        <v>3</v>
      </c>
      <c r="I70" s="105">
        <v>1288.8</v>
      </c>
      <c r="J70" s="105">
        <v>3</v>
      </c>
      <c r="K70" s="105">
        <v>1288.8</v>
      </c>
      <c r="L70" s="105">
        <v>3</v>
      </c>
      <c r="M70" s="105">
        <v>1288.8</v>
      </c>
      <c r="N70" s="105">
        <v>4</v>
      </c>
      <c r="O70" s="105">
        <v>1718.3999999999999</v>
      </c>
      <c r="P70" s="105">
        <v>4</v>
      </c>
      <c r="Q70" s="105">
        <v>1718.3999999999999</v>
      </c>
      <c r="R70" s="105">
        <v>4</v>
      </c>
      <c r="S70" s="105">
        <v>1718.3999999999999</v>
      </c>
      <c r="T70" s="105">
        <v>4</v>
      </c>
      <c r="U70" s="105">
        <v>1718.3999999999999</v>
      </c>
      <c r="V70" s="105">
        <v>4.2473472388371185</v>
      </c>
      <c r="W70" s="105">
        <v>1824.6603738044259</v>
      </c>
      <c r="X70" s="105">
        <v>2</v>
      </c>
      <c r="Y70" s="105">
        <v>859.19999999999993</v>
      </c>
      <c r="Z70" s="105">
        <v>2</v>
      </c>
      <c r="AA70" s="105">
        <v>859.19999999999993</v>
      </c>
      <c r="AB70" s="105">
        <v>4</v>
      </c>
      <c r="AC70" s="105">
        <v>1718.3999999999999</v>
      </c>
      <c r="AD70" s="105">
        <v>4</v>
      </c>
      <c r="AE70" s="105">
        <v>1718.3999999999999</v>
      </c>
      <c r="AF70" s="105">
        <v>3</v>
      </c>
      <c r="AG70" s="105">
        <v>1288.8</v>
      </c>
      <c r="AH70" s="105">
        <v>2</v>
      </c>
      <c r="AI70" s="105">
        <v>859.19999999999993</v>
      </c>
      <c r="AJ70" s="105">
        <v>4</v>
      </c>
      <c r="AK70" s="105">
        <v>1718.3999999999999</v>
      </c>
      <c r="AL70" s="105">
        <v>4</v>
      </c>
      <c r="AM70" s="105">
        <v>1718.3999999999999</v>
      </c>
      <c r="AN70" s="105">
        <v>2</v>
      </c>
      <c r="AO70" s="105">
        <v>859.19999999999993</v>
      </c>
      <c r="AP70" s="105">
        <v>5</v>
      </c>
      <c r="AQ70" s="105">
        <v>2148</v>
      </c>
      <c r="AR70" s="105">
        <v>3</v>
      </c>
      <c r="AS70" s="105">
        <v>1288.8</v>
      </c>
      <c r="AT70" s="105">
        <v>4</v>
      </c>
      <c r="AU70" s="105">
        <v>1718.3999999999999</v>
      </c>
      <c r="AV70" s="105">
        <v>4</v>
      </c>
      <c r="AW70" s="105">
        <v>1718.3999999999999</v>
      </c>
      <c r="AX70" s="105">
        <v>5</v>
      </c>
      <c r="AY70" s="105">
        <v>2148</v>
      </c>
      <c r="AZ70" s="105">
        <v>2</v>
      </c>
      <c r="BA70" s="105">
        <v>859.19999999999993</v>
      </c>
      <c r="BB70" s="105">
        <v>3</v>
      </c>
      <c r="BC70" s="105">
        <v>1288.8</v>
      </c>
      <c r="BD70" s="105">
        <v>3.1505391953891362</v>
      </c>
      <c r="BE70" s="105">
        <v>1353.4716383391728</v>
      </c>
      <c r="BF70" s="105">
        <v>4.1076461338389461</v>
      </c>
      <c r="BG70" s="105">
        <v>1764.6447790972111</v>
      </c>
      <c r="BH70" s="105">
        <v>4</v>
      </c>
      <c r="BI70" s="105">
        <v>1718.3999999999999</v>
      </c>
      <c r="BJ70" s="105">
        <v>2</v>
      </c>
      <c r="BK70" s="105">
        <v>859.19999999999993</v>
      </c>
      <c r="BL70" s="105">
        <v>3</v>
      </c>
      <c r="BM70" s="105">
        <v>1288.8</v>
      </c>
      <c r="BN70" s="105">
        <v>3</v>
      </c>
      <c r="BO70" s="105">
        <v>1288.8</v>
      </c>
      <c r="BP70" s="105">
        <v>4</v>
      </c>
      <c r="BQ70" s="105">
        <v>1718.3999999999999</v>
      </c>
      <c r="BR70" s="105">
        <v>4</v>
      </c>
      <c r="BS70" s="105">
        <v>1718.3999999999999</v>
      </c>
      <c r="BT70" s="105">
        <v>4</v>
      </c>
      <c r="BU70" s="105">
        <v>1718.3999999999999</v>
      </c>
      <c r="BV70" s="105">
        <v>3</v>
      </c>
      <c r="BW70" s="105">
        <v>1288.8</v>
      </c>
      <c r="BX70" s="105">
        <v>4</v>
      </c>
      <c r="BY70" s="105">
        <v>1718.3999999999999</v>
      </c>
      <c r="BZ70" s="105">
        <v>4</v>
      </c>
      <c r="CA70" s="105">
        <v>1718.3999999999999</v>
      </c>
      <c r="CB70" s="105">
        <v>3</v>
      </c>
      <c r="CC70" s="105">
        <v>1288.8</v>
      </c>
      <c r="CD70" s="105">
        <v>5</v>
      </c>
      <c r="CE70" s="105">
        <v>2148</v>
      </c>
      <c r="CF70" s="105">
        <v>4</v>
      </c>
      <c r="CG70" s="105">
        <v>1718.3999999999999</v>
      </c>
      <c r="CH70" s="105">
        <v>5</v>
      </c>
      <c r="CI70" s="105">
        <v>2148</v>
      </c>
      <c r="CJ70" s="105">
        <v>2.058679740993167</v>
      </c>
      <c r="CK70" s="105">
        <v>884.40881673066451</v>
      </c>
      <c r="CL70" s="105">
        <v>4</v>
      </c>
      <c r="CM70" s="105">
        <v>1718.3999999999999</v>
      </c>
      <c r="CN70" s="105">
        <v>2</v>
      </c>
      <c r="CO70" s="105">
        <v>859.19999999999993</v>
      </c>
      <c r="CP70" s="105">
        <v>4</v>
      </c>
      <c r="CQ70" s="105">
        <v>1718.3999999999999</v>
      </c>
      <c r="CR70" s="105">
        <v>4</v>
      </c>
      <c r="CS70" s="105">
        <v>1718.3999999999999</v>
      </c>
      <c r="CT70" s="105">
        <v>4</v>
      </c>
      <c r="CU70" s="105">
        <v>1718.3999999999999</v>
      </c>
    </row>
    <row r="71" spans="2:99" x14ac:dyDescent="0.2">
      <c r="B71" s="104" t="s">
        <v>130</v>
      </c>
      <c r="C71" s="104" t="s">
        <v>239</v>
      </c>
      <c r="D71" s="105">
        <v>0</v>
      </c>
      <c r="E71" s="105">
        <v>0</v>
      </c>
      <c r="F71" s="105">
        <v>1.8433884782353636</v>
      </c>
      <c r="G71" s="105">
        <v>338.44612460401277</v>
      </c>
      <c r="H71" s="105">
        <v>1.7683721583855054</v>
      </c>
      <c r="I71" s="105">
        <v>324.6731282795788</v>
      </c>
      <c r="J71" s="105">
        <v>2.2159888369286471</v>
      </c>
      <c r="K71" s="105">
        <v>406.85555046009961</v>
      </c>
      <c r="L71" s="105">
        <v>2.5853203097500881</v>
      </c>
      <c r="M71" s="105">
        <v>474.66480887011613</v>
      </c>
      <c r="N71" s="105">
        <v>2.2365635018140084</v>
      </c>
      <c r="O71" s="105">
        <v>410.63305893305193</v>
      </c>
      <c r="P71" s="105">
        <v>2.0601452689113438</v>
      </c>
      <c r="Q71" s="105">
        <v>378.24267137212269</v>
      </c>
      <c r="R71" s="105">
        <v>1.8142598664912897</v>
      </c>
      <c r="S71" s="105">
        <v>333.09811148780079</v>
      </c>
      <c r="T71" s="105">
        <v>2.6180458832912286</v>
      </c>
      <c r="U71" s="105">
        <v>480.67322417226956</v>
      </c>
      <c r="V71" s="105">
        <v>2</v>
      </c>
      <c r="W71" s="105">
        <v>367.2</v>
      </c>
      <c r="X71" s="105">
        <v>2.7594586580528802</v>
      </c>
      <c r="Y71" s="105">
        <v>506.63660961850877</v>
      </c>
      <c r="Z71" s="105">
        <v>2.0870562478000707</v>
      </c>
      <c r="AA71" s="105">
        <v>383.18352709609297</v>
      </c>
      <c r="AB71" s="105">
        <v>1.8307510945614653</v>
      </c>
      <c r="AC71" s="105">
        <v>336.125900961485</v>
      </c>
      <c r="AD71" s="105">
        <v>2.17401692479174</v>
      </c>
      <c r="AE71" s="105">
        <v>399.14950739176345</v>
      </c>
      <c r="AF71" s="105">
        <v>2.5766126516050254</v>
      </c>
      <c r="AG71" s="105">
        <v>473.06608283468267</v>
      </c>
      <c r="AH71" s="105">
        <v>2</v>
      </c>
      <c r="AI71" s="105">
        <v>367.2</v>
      </c>
      <c r="AJ71" s="105">
        <v>2.7101694859241889</v>
      </c>
      <c r="AK71" s="105">
        <v>497.58711761568105</v>
      </c>
      <c r="AL71" s="105">
        <v>2.3502911906818982</v>
      </c>
      <c r="AM71" s="105">
        <v>431.51346260919649</v>
      </c>
      <c r="AN71" s="105">
        <v>2.5222637168293542</v>
      </c>
      <c r="AO71" s="105">
        <v>463.08761840986944</v>
      </c>
      <c r="AP71" s="105">
        <v>1.8634430783929201</v>
      </c>
      <c r="AQ71" s="105">
        <v>342.1281491929401</v>
      </c>
      <c r="AR71" s="105">
        <v>2.3716548270455351</v>
      </c>
      <c r="AS71" s="105">
        <v>435.43582624556024</v>
      </c>
      <c r="AT71" s="105">
        <v>2.3019002733089016</v>
      </c>
      <c r="AU71" s="105">
        <v>422.62889017951431</v>
      </c>
      <c r="AV71" s="105">
        <v>2.455360291529495</v>
      </c>
      <c r="AW71" s="105">
        <v>450.80414952481527</v>
      </c>
      <c r="AX71" s="105">
        <v>1.7829795239655779</v>
      </c>
      <c r="AY71" s="105">
        <v>327.35504060008009</v>
      </c>
      <c r="AZ71" s="105">
        <v>2.3502911906818982</v>
      </c>
      <c r="BA71" s="105">
        <v>431.51346260919649</v>
      </c>
      <c r="BB71" s="105">
        <v>2.3152122176866459</v>
      </c>
      <c r="BC71" s="105">
        <v>425.07296316726814</v>
      </c>
      <c r="BD71" s="105">
        <v>2.2811649791912543</v>
      </c>
      <c r="BE71" s="105">
        <v>418.8218901795143</v>
      </c>
      <c r="BF71" s="105">
        <v>2.2046368814789479</v>
      </c>
      <c r="BG71" s="105">
        <v>404.77133143953483</v>
      </c>
      <c r="BH71" s="105">
        <v>1.9689209884906327</v>
      </c>
      <c r="BI71" s="105">
        <v>361.49389348688015</v>
      </c>
      <c r="BJ71" s="105">
        <v>2.5143067704767685</v>
      </c>
      <c r="BK71" s="105">
        <v>461.6267230595347</v>
      </c>
      <c r="BL71" s="105">
        <v>1.9673159095569861</v>
      </c>
      <c r="BM71" s="105">
        <v>361.19920099466265</v>
      </c>
      <c r="BN71" s="105">
        <v>1.6402034538123298</v>
      </c>
      <c r="BO71" s="105">
        <v>301.14135411994374</v>
      </c>
      <c r="BP71" s="105">
        <v>2.1282971637961454</v>
      </c>
      <c r="BQ71" s="105">
        <v>390.75535927297227</v>
      </c>
      <c r="BR71" s="105">
        <v>1.9830140638393323</v>
      </c>
      <c r="BS71" s="105">
        <v>364.08138212090142</v>
      </c>
      <c r="BT71" s="105">
        <v>2.1861747639209441</v>
      </c>
      <c r="BU71" s="105">
        <v>401.38168665588535</v>
      </c>
      <c r="BV71" s="105">
        <v>2.3152122176866459</v>
      </c>
      <c r="BW71" s="105">
        <v>425.07296316726814</v>
      </c>
      <c r="BX71" s="105">
        <v>2.2811649791912543</v>
      </c>
      <c r="BY71" s="105">
        <v>418.8218901795143</v>
      </c>
      <c r="BZ71" s="105">
        <v>2.3951041622262168</v>
      </c>
      <c r="CA71" s="105">
        <v>439.74112418473339</v>
      </c>
      <c r="CB71" s="105">
        <v>2.669643531481261</v>
      </c>
      <c r="CC71" s="105">
        <v>490.14655237995953</v>
      </c>
      <c r="CD71" s="105">
        <v>2.4227154250329854</v>
      </c>
      <c r="CE71" s="105">
        <v>444.81055203605609</v>
      </c>
      <c r="CF71" s="105">
        <v>1.99941779990389</v>
      </c>
      <c r="CG71" s="105">
        <v>367.09310806235419</v>
      </c>
      <c r="CH71" s="105">
        <v>2.4933989727642154</v>
      </c>
      <c r="CI71" s="105">
        <v>457.78805139950992</v>
      </c>
      <c r="CJ71" s="105">
        <v>2.4934675386985177</v>
      </c>
      <c r="CK71" s="105">
        <v>457.80064010504782</v>
      </c>
      <c r="CL71" s="105">
        <v>2.7288657689719487</v>
      </c>
      <c r="CM71" s="105">
        <v>501.01975518324974</v>
      </c>
      <c r="CN71" s="105">
        <v>2.9805205069816099</v>
      </c>
      <c r="CO71" s="105">
        <v>547.22356508182361</v>
      </c>
      <c r="CP71" s="105">
        <v>2.3445210075319345</v>
      </c>
      <c r="CQ71" s="105">
        <v>430.45405698286316</v>
      </c>
      <c r="CR71" s="105">
        <v>2.3126390841526838</v>
      </c>
      <c r="CS71" s="105">
        <v>424.60053585043272</v>
      </c>
      <c r="CT71" s="105">
        <v>2.2455336399461241</v>
      </c>
      <c r="CU71" s="105">
        <v>412.27997629410839</v>
      </c>
    </row>
    <row r="72" spans="2:99" x14ac:dyDescent="0.2">
      <c r="C72" s="104" t="s">
        <v>240</v>
      </c>
      <c r="D72" s="105">
        <v>0</v>
      </c>
      <c r="E72" s="105">
        <v>0</v>
      </c>
      <c r="F72" s="105">
        <v>1.8433884782353636</v>
      </c>
      <c r="G72" s="105">
        <v>902.52299894403393</v>
      </c>
      <c r="H72" s="105">
        <v>1.9522570973749529</v>
      </c>
      <c r="I72" s="105">
        <v>955.82507487477687</v>
      </c>
      <c r="J72" s="105">
        <v>2.2159888369286471</v>
      </c>
      <c r="K72" s="105">
        <v>1084.9481345602655</v>
      </c>
      <c r="L72" s="105">
        <v>2.5853203097500881</v>
      </c>
      <c r="M72" s="105">
        <v>1265.7728236536429</v>
      </c>
      <c r="N72" s="105">
        <v>2.9183420520929371</v>
      </c>
      <c r="O72" s="105">
        <v>1428.8202687047019</v>
      </c>
      <c r="P72" s="105">
        <v>2.0491013471466641</v>
      </c>
      <c r="Q72" s="105">
        <v>1003.2400195630067</v>
      </c>
      <c r="R72" s="105">
        <v>1.8142598664912897</v>
      </c>
      <c r="S72" s="105">
        <v>888.26163063413537</v>
      </c>
      <c r="T72" s="105">
        <v>2.6180458832912286</v>
      </c>
      <c r="U72" s="105">
        <v>1281.7952644593854</v>
      </c>
      <c r="V72" s="105">
        <v>2</v>
      </c>
      <c r="W72" s="105">
        <v>979.19999999999993</v>
      </c>
      <c r="X72" s="105">
        <v>2.7594586580528802</v>
      </c>
      <c r="Y72" s="105">
        <v>1351.03095898269</v>
      </c>
      <c r="Z72" s="105">
        <v>2.7827416637334279</v>
      </c>
      <c r="AA72" s="105">
        <v>1362.4303185638862</v>
      </c>
      <c r="AB72" s="105">
        <v>1.8307510945614653</v>
      </c>
      <c r="AC72" s="105">
        <v>896.33573589729338</v>
      </c>
      <c r="AD72" s="105">
        <v>2.17401692479174</v>
      </c>
      <c r="AE72" s="105">
        <v>1064.3986863780358</v>
      </c>
      <c r="AF72" s="105">
        <v>2.5766126516050254</v>
      </c>
      <c r="AG72" s="105">
        <v>1261.5095542258202</v>
      </c>
      <c r="AH72" s="105">
        <v>2</v>
      </c>
      <c r="AI72" s="105">
        <v>979.19999999999993</v>
      </c>
      <c r="AJ72" s="105">
        <v>2.7101694859241889</v>
      </c>
      <c r="AK72" s="105">
        <v>1326.8989803084828</v>
      </c>
      <c r="AL72" s="105">
        <v>2.3502911906818982</v>
      </c>
      <c r="AM72" s="105">
        <v>1150.7025669578572</v>
      </c>
      <c r="AN72" s="105">
        <v>2.5222637168293542</v>
      </c>
      <c r="AO72" s="105">
        <v>1234.9003157596517</v>
      </c>
      <c r="AP72" s="105">
        <v>1.8634430783929201</v>
      </c>
      <c r="AQ72" s="105">
        <v>912.3417311811736</v>
      </c>
      <c r="AR72" s="105">
        <v>2.3716548270455351</v>
      </c>
      <c r="AS72" s="105">
        <v>1161.162203321494</v>
      </c>
      <c r="AT72" s="105">
        <v>2.3019002733089016</v>
      </c>
      <c r="AU72" s="105">
        <v>1127.0103738120381</v>
      </c>
      <c r="AV72" s="105">
        <v>2.455360291529495</v>
      </c>
      <c r="AW72" s="105">
        <v>1202.1443987328407</v>
      </c>
      <c r="AX72" s="105">
        <v>1.7829795239655779</v>
      </c>
      <c r="AY72" s="105">
        <v>872.94677493354686</v>
      </c>
      <c r="AZ72" s="105">
        <v>2.3502911906818982</v>
      </c>
      <c r="BA72" s="105">
        <v>1150.7025669578572</v>
      </c>
      <c r="BB72" s="105">
        <v>2.3152122176866459</v>
      </c>
      <c r="BC72" s="105">
        <v>1133.5279017793816</v>
      </c>
      <c r="BD72" s="105">
        <v>2.2811649791912543</v>
      </c>
      <c r="BE72" s="105">
        <v>1116.8583738120381</v>
      </c>
      <c r="BF72" s="105">
        <v>2.2046368814789479</v>
      </c>
      <c r="BG72" s="105">
        <v>1079.3902171720929</v>
      </c>
      <c r="BH72" s="105">
        <v>1.9689209884906327</v>
      </c>
      <c r="BI72" s="105">
        <v>963.98371596501374</v>
      </c>
      <c r="BJ72" s="105">
        <v>2.5143067704767685</v>
      </c>
      <c r="BK72" s="105">
        <v>1231.0045948254258</v>
      </c>
      <c r="BL72" s="105">
        <v>1.9673159095569861</v>
      </c>
      <c r="BM72" s="105">
        <v>963.19786931910028</v>
      </c>
      <c r="BN72" s="105">
        <v>2.4603051807184944</v>
      </c>
      <c r="BO72" s="105">
        <v>1204.5654164797747</v>
      </c>
      <c r="BP72" s="105">
        <v>2.0920039631591654</v>
      </c>
      <c r="BQ72" s="105">
        <v>1024.2451403627274</v>
      </c>
      <c r="BR72" s="105">
        <v>1.9830140638393323</v>
      </c>
      <c r="BS72" s="105">
        <v>970.88368565573705</v>
      </c>
      <c r="BT72" s="105">
        <v>2.0464391645077056</v>
      </c>
      <c r="BU72" s="105">
        <v>1001.9366149429726</v>
      </c>
      <c r="BV72" s="105">
        <v>2.3152122176866459</v>
      </c>
      <c r="BW72" s="105">
        <v>1133.5279017793816</v>
      </c>
      <c r="BX72" s="105">
        <v>2.2811649791912543</v>
      </c>
      <c r="BY72" s="105">
        <v>1116.8583738120381</v>
      </c>
      <c r="BZ72" s="105">
        <v>2.5995296077534662</v>
      </c>
      <c r="CA72" s="105">
        <v>1272.729695956097</v>
      </c>
      <c r="CB72" s="105">
        <v>2.9232930236175219</v>
      </c>
      <c r="CC72" s="105">
        <v>1431.2442643631387</v>
      </c>
      <c r="CD72" s="105">
        <v>2.392484232239334</v>
      </c>
      <c r="CE72" s="105">
        <v>1171.3602801043778</v>
      </c>
      <c r="CF72" s="105">
        <v>1.99941779990389</v>
      </c>
      <c r="CG72" s="105">
        <v>978.91495483294443</v>
      </c>
      <c r="CH72" s="105">
        <v>2.4933989727642154</v>
      </c>
      <c r="CI72" s="105">
        <v>1220.7681370653597</v>
      </c>
      <c r="CJ72" s="105">
        <v>2.5383282240347467</v>
      </c>
      <c r="CK72" s="105">
        <v>1242.7654984874118</v>
      </c>
      <c r="CL72" s="105">
        <v>2.7288657689719487</v>
      </c>
      <c r="CM72" s="105">
        <v>1336.0526804886661</v>
      </c>
      <c r="CN72" s="105">
        <v>2.3052695466227826</v>
      </c>
      <c r="CO72" s="105">
        <v>1128.6599700265142</v>
      </c>
      <c r="CP72" s="105">
        <v>1.6280713671079015</v>
      </c>
      <c r="CQ72" s="105">
        <v>797.10374133602852</v>
      </c>
      <c r="CR72" s="105">
        <v>2.3126390841526838</v>
      </c>
      <c r="CS72" s="105">
        <v>1132.2680956011538</v>
      </c>
      <c r="CT72" s="105">
        <v>2.2455336399461241</v>
      </c>
      <c r="CU72" s="105">
        <v>1099.4132701176222</v>
      </c>
    </row>
    <row r="73" spans="2:99" x14ac:dyDescent="0.2">
      <c r="C73" s="104" t="s">
        <v>241</v>
      </c>
      <c r="D73" s="105">
        <v>0</v>
      </c>
      <c r="E73" s="105">
        <v>0</v>
      </c>
      <c r="F73" s="105">
        <v>1.8433884782353636</v>
      </c>
      <c r="G73" s="105">
        <v>1046.3073002463923</v>
      </c>
      <c r="H73" s="105">
        <v>2.3578295445140074</v>
      </c>
      <c r="I73" s="105">
        <v>1338.3040494661507</v>
      </c>
      <c r="J73" s="105">
        <v>2.2159888369286471</v>
      </c>
      <c r="K73" s="105">
        <v>1257.7952638407</v>
      </c>
      <c r="L73" s="105">
        <v>2.5853203097500881</v>
      </c>
      <c r="M73" s="105">
        <v>1467.4278078141501</v>
      </c>
      <c r="N73" s="105">
        <v>2.785953539877938</v>
      </c>
      <c r="O73" s="105">
        <v>1581.3072292347176</v>
      </c>
      <c r="P73" s="105">
        <v>2.0491013471466641</v>
      </c>
      <c r="Q73" s="105">
        <v>1163.0699246404465</v>
      </c>
      <c r="R73" s="105">
        <v>1.8142598664912897</v>
      </c>
      <c r="S73" s="105">
        <v>1029.773900220456</v>
      </c>
      <c r="T73" s="105">
        <v>1.9635344124684213</v>
      </c>
      <c r="U73" s="105">
        <v>1114.502132517076</v>
      </c>
      <c r="V73" s="105">
        <v>2</v>
      </c>
      <c r="W73" s="105">
        <v>1135.2</v>
      </c>
      <c r="X73" s="105">
        <v>2.7594586580528802</v>
      </c>
      <c r="Y73" s="105">
        <v>1566.2687343108148</v>
      </c>
      <c r="Z73" s="105">
        <v>2.0870562478000707</v>
      </c>
      <c r="AA73" s="105">
        <v>1184.6131262513202</v>
      </c>
      <c r="AB73" s="105">
        <v>1.8307510945614653</v>
      </c>
      <c r="AC73" s="105">
        <v>1039.1343212730878</v>
      </c>
      <c r="AD73" s="105">
        <v>2.17401692479174</v>
      </c>
      <c r="AE73" s="105">
        <v>1233.9720065117917</v>
      </c>
      <c r="AF73" s="105">
        <v>2.5766126516050254</v>
      </c>
      <c r="AG73" s="105">
        <v>1462.4853410510125</v>
      </c>
      <c r="AH73" s="105">
        <v>2</v>
      </c>
      <c r="AI73" s="105">
        <v>1135.2</v>
      </c>
      <c r="AJ73" s="105">
        <v>2.7101694859241889</v>
      </c>
      <c r="AK73" s="105">
        <v>1538.2922002105697</v>
      </c>
      <c r="AL73" s="105">
        <v>2.3502911906818982</v>
      </c>
      <c r="AM73" s="105">
        <v>1334.0252798310455</v>
      </c>
      <c r="AN73" s="105">
        <v>2.5222637168293542</v>
      </c>
      <c r="AO73" s="105">
        <v>1431.6368856723416</v>
      </c>
      <c r="AP73" s="105">
        <v>1.8634430783929201</v>
      </c>
      <c r="AQ73" s="105">
        <v>1057.6902912958215</v>
      </c>
      <c r="AR73" s="105">
        <v>2.3716548270455351</v>
      </c>
      <c r="AS73" s="105">
        <v>1346.1512798310457</v>
      </c>
      <c r="AT73" s="105">
        <v>2.3019002733089016</v>
      </c>
      <c r="AU73" s="105">
        <v>1306.5585951301325</v>
      </c>
      <c r="AV73" s="105">
        <v>2.455360291529495</v>
      </c>
      <c r="AW73" s="105">
        <v>1393.6625014721415</v>
      </c>
      <c r="AX73" s="105">
        <v>1.7829795239655779</v>
      </c>
      <c r="AY73" s="105">
        <v>1012.019177802862</v>
      </c>
      <c r="AZ73" s="105">
        <v>2.3502911906818982</v>
      </c>
      <c r="BA73" s="105">
        <v>1334.0252798310455</v>
      </c>
      <c r="BB73" s="105">
        <v>2.3152122176866459</v>
      </c>
      <c r="BC73" s="105">
        <v>1314.1144547589402</v>
      </c>
      <c r="BD73" s="105">
        <v>2.2811649791912543</v>
      </c>
      <c r="BE73" s="105">
        <v>1294.789242188956</v>
      </c>
      <c r="BF73" s="105">
        <v>2.2046368814789479</v>
      </c>
      <c r="BG73" s="105">
        <v>1251.3518939274509</v>
      </c>
      <c r="BH73" s="105">
        <v>1.9689209884906327</v>
      </c>
      <c r="BI73" s="105">
        <v>1117.5595530672831</v>
      </c>
      <c r="BJ73" s="105">
        <v>2.5143067704767685</v>
      </c>
      <c r="BK73" s="105">
        <v>1427.1205229226139</v>
      </c>
      <c r="BL73" s="105">
        <v>1.9673159095569861</v>
      </c>
      <c r="BM73" s="105">
        <v>1116.6485102645454</v>
      </c>
      <c r="BN73" s="105">
        <v>2.4603051807184944</v>
      </c>
      <c r="BO73" s="105">
        <v>1396.4692205758174</v>
      </c>
      <c r="BP73" s="105">
        <v>2.1282971637961454</v>
      </c>
      <c r="BQ73" s="105">
        <v>1208.0214701706923</v>
      </c>
      <c r="BR73" s="105">
        <v>1.9931383563281613</v>
      </c>
      <c r="BS73" s="105">
        <v>1131.3053310518644</v>
      </c>
      <c r="BT73" s="105">
        <v>2.0464391645077056</v>
      </c>
      <c r="BU73" s="105">
        <v>1161.5588697745736</v>
      </c>
      <c r="BV73" s="105">
        <v>2.3152122176866459</v>
      </c>
      <c r="BW73" s="105">
        <v>1314.1144547589402</v>
      </c>
      <c r="BX73" s="105">
        <v>2.2811649791912543</v>
      </c>
      <c r="BY73" s="105">
        <v>1294.789242188956</v>
      </c>
      <c r="BZ73" s="105">
        <v>2.3951041622262168</v>
      </c>
      <c r="CA73" s="105">
        <v>1359.4611224796008</v>
      </c>
      <c r="CB73" s="105">
        <v>2.669643531481261</v>
      </c>
      <c r="CC73" s="105">
        <v>1515.2896684687637</v>
      </c>
      <c r="CD73" s="105">
        <v>2.4227154250329854</v>
      </c>
      <c r="CE73" s="105">
        <v>1375.1332752487226</v>
      </c>
      <c r="CF73" s="105">
        <v>1.99941779990389</v>
      </c>
      <c r="CG73" s="105">
        <v>1134.8695432254481</v>
      </c>
      <c r="CH73" s="105">
        <v>2.4933989727642154</v>
      </c>
      <c r="CI73" s="105">
        <v>1415.2532569409686</v>
      </c>
      <c r="CJ73" s="105">
        <v>2.4934675386985177</v>
      </c>
      <c r="CK73" s="105">
        <v>1415.2921749652787</v>
      </c>
      <c r="CL73" s="105">
        <v>2.7288657689719487</v>
      </c>
      <c r="CM73" s="105">
        <v>1548.9042104684781</v>
      </c>
      <c r="CN73" s="105">
        <v>2.9805205069816099</v>
      </c>
      <c r="CO73" s="105">
        <v>1691.7434397627619</v>
      </c>
      <c r="CP73" s="105">
        <v>2.3445210075319345</v>
      </c>
      <c r="CQ73" s="105">
        <v>1330.7501238751261</v>
      </c>
      <c r="CR73" s="105">
        <v>2.2888754703802032</v>
      </c>
      <c r="CS73" s="105">
        <v>1299.1657169878033</v>
      </c>
      <c r="CT73" s="105">
        <v>2.2455336399461241</v>
      </c>
      <c r="CU73" s="105">
        <v>1274.5648940334202</v>
      </c>
    </row>
    <row r="74" spans="2:99" x14ac:dyDescent="0.2">
      <c r="C74" s="104" t="s">
        <v>242</v>
      </c>
      <c r="D74" s="105">
        <v>0</v>
      </c>
      <c r="E74" s="105">
        <v>0</v>
      </c>
      <c r="F74" s="105">
        <v>1.8433884782353636</v>
      </c>
      <c r="G74" s="105">
        <v>579.56133755719827</v>
      </c>
      <c r="H74" s="105">
        <v>2.3578295445140074</v>
      </c>
      <c r="I74" s="105">
        <v>741.30160879520383</v>
      </c>
      <c r="J74" s="105">
        <v>2.2159888369286471</v>
      </c>
      <c r="K74" s="105">
        <v>696.7068903303666</v>
      </c>
      <c r="L74" s="105">
        <v>2.5853203097500881</v>
      </c>
      <c r="M74" s="105">
        <v>812.82470538542759</v>
      </c>
      <c r="N74" s="105">
        <v>2.2365635018140084</v>
      </c>
      <c r="O74" s="105">
        <v>703.17556497032422</v>
      </c>
      <c r="P74" s="105">
        <v>2.6143332973723008</v>
      </c>
      <c r="Q74" s="105">
        <v>821.9463886938513</v>
      </c>
      <c r="R74" s="105">
        <v>1.8142598664912897</v>
      </c>
      <c r="S74" s="105">
        <v>570.40330202486143</v>
      </c>
      <c r="T74" s="105">
        <v>2.6180458832912286</v>
      </c>
      <c r="U74" s="105">
        <v>823.11362570676215</v>
      </c>
      <c r="V74" s="105">
        <v>2</v>
      </c>
      <c r="W74" s="105">
        <v>628.79999999999995</v>
      </c>
      <c r="X74" s="105">
        <v>2.7594586580528802</v>
      </c>
      <c r="Y74" s="105">
        <v>867.57380209182543</v>
      </c>
      <c r="Z74" s="105">
        <v>2.7827416637334279</v>
      </c>
      <c r="AA74" s="105">
        <v>874.89397907778971</v>
      </c>
      <c r="AB74" s="105">
        <v>1.8307510945614653</v>
      </c>
      <c r="AC74" s="105">
        <v>575.58814413012465</v>
      </c>
      <c r="AD74" s="105">
        <v>2.17401692479174</v>
      </c>
      <c r="AE74" s="105">
        <v>683.51092115452298</v>
      </c>
      <c r="AF74" s="105">
        <v>2.5766126516050254</v>
      </c>
      <c r="AG74" s="105">
        <v>810.08701766461991</v>
      </c>
      <c r="AH74" s="105">
        <v>2</v>
      </c>
      <c r="AI74" s="105">
        <v>628.79999999999995</v>
      </c>
      <c r="AJ74" s="105">
        <v>2.7101694859241889</v>
      </c>
      <c r="AK74" s="105">
        <v>852.07728637456489</v>
      </c>
      <c r="AL74" s="105">
        <v>2.3502911906818982</v>
      </c>
      <c r="AM74" s="105">
        <v>738.93155035038876</v>
      </c>
      <c r="AN74" s="105">
        <v>2.5222637168293542</v>
      </c>
      <c r="AO74" s="105">
        <v>792.99971257114896</v>
      </c>
      <c r="AP74" s="105">
        <v>1.8634430783929201</v>
      </c>
      <c r="AQ74" s="105">
        <v>585.86650384673408</v>
      </c>
      <c r="AR74" s="105">
        <v>2.3716548270455351</v>
      </c>
      <c r="AS74" s="105">
        <v>745.6482776231162</v>
      </c>
      <c r="AT74" s="105">
        <v>2.3019002733089016</v>
      </c>
      <c r="AU74" s="105">
        <v>723.71744592831863</v>
      </c>
      <c r="AV74" s="105">
        <v>2.455360291529495</v>
      </c>
      <c r="AW74" s="105">
        <v>771.96527565687313</v>
      </c>
      <c r="AX74" s="105">
        <v>1.7829795239655779</v>
      </c>
      <c r="AY74" s="105">
        <v>560.5687623347776</v>
      </c>
      <c r="AZ74" s="105">
        <v>2.3502911906818982</v>
      </c>
      <c r="BA74" s="105">
        <v>738.93155035038876</v>
      </c>
      <c r="BB74" s="105">
        <v>2.3152122176866459</v>
      </c>
      <c r="BC74" s="105">
        <v>727.90272124068144</v>
      </c>
      <c r="BD74" s="105">
        <v>2.2811649791912543</v>
      </c>
      <c r="BE74" s="105">
        <v>717.19826945773025</v>
      </c>
      <c r="BF74" s="105">
        <v>2.2046368814789479</v>
      </c>
      <c r="BG74" s="105">
        <v>693.13783553698113</v>
      </c>
      <c r="BH74" s="105">
        <v>1.9689209884906327</v>
      </c>
      <c r="BI74" s="105">
        <v>619.02875878145483</v>
      </c>
      <c r="BJ74" s="105">
        <v>2.5143067704767685</v>
      </c>
      <c r="BK74" s="105">
        <v>790.49804863789598</v>
      </c>
      <c r="BL74" s="105">
        <v>1.9766203515004686</v>
      </c>
      <c r="BM74" s="105">
        <v>621.4494385117473</v>
      </c>
      <c r="BN74" s="105">
        <v>2.4603051807184944</v>
      </c>
      <c r="BO74" s="105">
        <v>773.5199488178946</v>
      </c>
      <c r="BP74" s="105">
        <v>2.0920039631591654</v>
      </c>
      <c r="BQ74" s="105">
        <v>657.72604601724152</v>
      </c>
      <c r="BR74" s="105">
        <v>2.6271449309710619</v>
      </c>
      <c r="BS74" s="105">
        <v>825.9743662973018</v>
      </c>
      <c r="BT74" s="105">
        <v>2.1861747639209441</v>
      </c>
      <c r="BU74" s="105">
        <v>687.33334577674475</v>
      </c>
      <c r="BV74" s="105">
        <v>2.3152122176866459</v>
      </c>
      <c r="BW74" s="105">
        <v>727.90272124068144</v>
      </c>
      <c r="BX74" s="105">
        <v>2.2811649791912543</v>
      </c>
      <c r="BY74" s="105">
        <v>717.19826945773025</v>
      </c>
      <c r="BZ74" s="105">
        <v>2.3951041622262168</v>
      </c>
      <c r="CA74" s="105">
        <v>753.02074860392247</v>
      </c>
      <c r="CB74" s="105">
        <v>2.9232930236175219</v>
      </c>
      <c r="CC74" s="105">
        <v>919.08332662534883</v>
      </c>
      <c r="CD74" s="105">
        <v>2.4227154250329854</v>
      </c>
      <c r="CE74" s="105">
        <v>761.70172963037055</v>
      </c>
      <c r="CF74" s="105">
        <v>1.99941779990389</v>
      </c>
      <c r="CG74" s="105">
        <v>628.61695628978293</v>
      </c>
      <c r="CH74" s="105">
        <v>2.4933989727642154</v>
      </c>
      <c r="CI74" s="105">
        <v>783.92463703706926</v>
      </c>
      <c r="CJ74" s="105">
        <v>2.4934675386985177</v>
      </c>
      <c r="CK74" s="105">
        <v>783.94619416681394</v>
      </c>
      <c r="CL74" s="105">
        <v>2.6291064543460658</v>
      </c>
      <c r="CM74" s="105">
        <v>826.59106924640298</v>
      </c>
      <c r="CN74" s="105">
        <v>2.9805205069816099</v>
      </c>
      <c r="CO74" s="105">
        <v>937.07564739501811</v>
      </c>
      <c r="CP74" s="105">
        <v>1.6280713671079015</v>
      </c>
      <c r="CQ74" s="105">
        <v>511.86563781872417</v>
      </c>
      <c r="CR74" s="105">
        <v>2.3126390841526838</v>
      </c>
      <c r="CS74" s="105">
        <v>727.0937280576037</v>
      </c>
      <c r="CT74" s="105">
        <v>2.2455336399461241</v>
      </c>
      <c r="CU74" s="105">
        <v>705.99577639906136</v>
      </c>
    </row>
    <row r="75" spans="2:99" x14ac:dyDescent="0.2">
      <c r="C75" s="104" t="s">
        <v>243</v>
      </c>
      <c r="D75" s="105">
        <v>0</v>
      </c>
      <c r="E75" s="105">
        <v>0</v>
      </c>
      <c r="F75" s="105">
        <v>1.8433884782353636</v>
      </c>
      <c r="G75" s="105">
        <v>1103.8210207673355</v>
      </c>
      <c r="H75" s="105">
        <v>1.933868603476008</v>
      </c>
      <c r="I75" s="105">
        <v>1158.0005197614335</v>
      </c>
      <c r="J75" s="105">
        <v>2.2159888369286471</v>
      </c>
      <c r="K75" s="105">
        <v>1326.9341155528739</v>
      </c>
      <c r="L75" s="105">
        <v>2.5853203097500881</v>
      </c>
      <c r="M75" s="105">
        <v>1548.0898014783527</v>
      </c>
      <c r="N75" s="105">
        <v>2.2218536671234528</v>
      </c>
      <c r="O75" s="105">
        <v>1330.4459758735234</v>
      </c>
      <c r="P75" s="105">
        <v>2.7026846714897395</v>
      </c>
      <c r="Q75" s="105">
        <v>1618.3675812880558</v>
      </c>
      <c r="R75" s="105">
        <v>1.8142598664912897</v>
      </c>
      <c r="S75" s="105">
        <v>1086.3788080549841</v>
      </c>
      <c r="T75" s="105">
        <v>1.9635344124684213</v>
      </c>
      <c r="U75" s="105">
        <v>1175.7644061860906</v>
      </c>
      <c r="V75" s="105">
        <v>2</v>
      </c>
      <c r="W75" s="105">
        <v>1197.5999999999999</v>
      </c>
      <c r="X75" s="105">
        <v>2.7594586580528802</v>
      </c>
      <c r="Y75" s="105">
        <v>1652.3638444420644</v>
      </c>
      <c r="Z75" s="105">
        <v>2.7827416637334279</v>
      </c>
      <c r="AA75" s="105">
        <v>1666.3057082435764</v>
      </c>
      <c r="AB75" s="105">
        <v>1.8307510945614653</v>
      </c>
      <c r="AC75" s="105">
        <v>1096.2537554234054</v>
      </c>
      <c r="AD75" s="105">
        <v>2.17401692479174</v>
      </c>
      <c r="AE75" s="105">
        <v>1301.8013345652939</v>
      </c>
      <c r="AF75" s="105">
        <v>2.5766126516050254</v>
      </c>
      <c r="AG75" s="105">
        <v>1542.8756557810891</v>
      </c>
      <c r="AH75" s="105">
        <v>2</v>
      </c>
      <c r="AI75" s="105">
        <v>1197.5999999999999</v>
      </c>
      <c r="AJ75" s="105">
        <v>2.7101694859241889</v>
      </c>
      <c r="AK75" s="105">
        <v>1622.8494881714041</v>
      </c>
      <c r="AL75" s="105">
        <v>2.3502911906818982</v>
      </c>
      <c r="AM75" s="105">
        <v>1407.3543649803205</v>
      </c>
      <c r="AN75" s="105">
        <v>2.5222637168293542</v>
      </c>
      <c r="AO75" s="105">
        <v>1510.3315136374172</v>
      </c>
      <c r="AP75" s="105">
        <v>1.8634430783929201</v>
      </c>
      <c r="AQ75" s="105">
        <v>1115.8297153416804</v>
      </c>
      <c r="AR75" s="105">
        <v>2.3716548270455351</v>
      </c>
      <c r="AS75" s="105">
        <v>1420.1469104348664</v>
      </c>
      <c r="AT75" s="105">
        <v>2.3019002733089016</v>
      </c>
      <c r="AU75" s="105">
        <v>1378.3778836573701</v>
      </c>
      <c r="AV75" s="105">
        <v>2.455360291529495</v>
      </c>
      <c r="AW75" s="105">
        <v>1470.2697425678614</v>
      </c>
      <c r="AX75" s="105">
        <v>1.7829795239655779</v>
      </c>
      <c r="AY75" s="105">
        <v>1067.648138950588</v>
      </c>
      <c r="AZ75" s="105">
        <v>2.3502911906818982</v>
      </c>
      <c r="BA75" s="105">
        <v>1407.3543649803205</v>
      </c>
      <c r="BB75" s="105">
        <v>2.3152122176866459</v>
      </c>
      <c r="BC75" s="105">
        <v>1386.3490759507633</v>
      </c>
      <c r="BD75" s="105">
        <v>2.2811649791912543</v>
      </c>
      <c r="BE75" s="105">
        <v>1365.961589539723</v>
      </c>
      <c r="BF75" s="105">
        <v>2.2046368814789479</v>
      </c>
      <c r="BG75" s="105">
        <v>1320.136564629594</v>
      </c>
      <c r="BH75" s="105">
        <v>1.9689209884906327</v>
      </c>
      <c r="BI75" s="105">
        <v>1178.9898879081907</v>
      </c>
      <c r="BJ75" s="105">
        <v>2.5143067704767685</v>
      </c>
      <c r="BK75" s="105">
        <v>1505.5668941614888</v>
      </c>
      <c r="BL75" s="105">
        <v>1.9673159095569861</v>
      </c>
      <c r="BM75" s="105">
        <v>1178.0287666427232</v>
      </c>
      <c r="BN75" s="105">
        <v>2.4603051807184944</v>
      </c>
      <c r="BO75" s="105">
        <v>1473.2307422142344</v>
      </c>
      <c r="BP75" s="105">
        <v>2.1282971637961454</v>
      </c>
      <c r="BQ75" s="105">
        <v>1274.4243416811319</v>
      </c>
      <c r="BR75" s="105">
        <v>1.9830140638393323</v>
      </c>
      <c r="BS75" s="105">
        <v>1187.428821426992</v>
      </c>
      <c r="BT75" s="105">
        <v>2.1706485862083622</v>
      </c>
      <c r="BU75" s="105">
        <v>1299.7843734215671</v>
      </c>
      <c r="BV75" s="105">
        <v>2.3152122176866459</v>
      </c>
      <c r="BW75" s="105">
        <v>1386.3490759507633</v>
      </c>
      <c r="BX75" s="105">
        <v>2.2811649791912543</v>
      </c>
      <c r="BY75" s="105">
        <v>1365.961589539723</v>
      </c>
      <c r="BZ75" s="105">
        <v>2.6199721523061914</v>
      </c>
      <c r="CA75" s="105">
        <v>1568.8393248009472</v>
      </c>
      <c r="CB75" s="105">
        <v>2.669643531481261</v>
      </c>
      <c r="CC75" s="105">
        <v>1598.5825466509789</v>
      </c>
      <c r="CD75" s="105">
        <v>2.4227154250329854</v>
      </c>
      <c r="CE75" s="105">
        <v>1450.7219965097515</v>
      </c>
      <c r="CF75" s="105">
        <v>1.99941779990389</v>
      </c>
      <c r="CG75" s="105">
        <v>1197.2513785824492</v>
      </c>
      <c r="CH75" s="105">
        <v>2.4933989727642154</v>
      </c>
      <c r="CI75" s="105">
        <v>1493.047304891212</v>
      </c>
      <c r="CJ75" s="105">
        <v>2.4486068533622891</v>
      </c>
      <c r="CK75" s="105">
        <v>1466.2257837933387</v>
      </c>
      <c r="CL75" s="105">
        <v>2.7288657689719487</v>
      </c>
      <c r="CM75" s="105">
        <v>1634.0448224604027</v>
      </c>
      <c r="CN75" s="105">
        <v>2.9184056924157664</v>
      </c>
      <c r="CO75" s="105">
        <v>1747.5413286185608</v>
      </c>
      <c r="CP75" s="105">
        <v>2.3166392809233867</v>
      </c>
      <c r="CQ75" s="105">
        <v>1387.2036014169239</v>
      </c>
      <c r="CR75" s="105">
        <v>2.2888754703802032</v>
      </c>
      <c r="CS75" s="105">
        <v>1370.5786316636656</v>
      </c>
      <c r="CT75" s="105">
        <v>2.2455336399461241</v>
      </c>
      <c r="CU75" s="105">
        <v>1344.6255435997391</v>
      </c>
    </row>
    <row r="76" spans="2:99" x14ac:dyDescent="0.2">
      <c r="C76" s="104" t="s">
        <v>244</v>
      </c>
      <c r="D76" s="105">
        <v>0</v>
      </c>
      <c r="E76" s="105">
        <v>0</v>
      </c>
      <c r="F76" s="105">
        <v>1.8433884782353636</v>
      </c>
      <c r="G76" s="105">
        <v>1590.4755790214715</v>
      </c>
      <c r="H76" s="105">
        <v>2.5417144835034544</v>
      </c>
      <c r="I76" s="105">
        <v>2192.9912563667804</v>
      </c>
      <c r="J76" s="105">
        <v>2.2159888369286471</v>
      </c>
      <c r="K76" s="105">
        <v>1911.9551685020367</v>
      </c>
      <c r="L76" s="105">
        <v>2.5853203097500881</v>
      </c>
      <c r="M76" s="105">
        <v>2230.6143632523758</v>
      </c>
      <c r="N76" s="105">
        <v>2.785953539877938</v>
      </c>
      <c r="O76" s="105">
        <v>2403.720714206685</v>
      </c>
      <c r="P76" s="105">
        <v>1.9607499730292253</v>
      </c>
      <c r="Q76" s="105">
        <v>1691.7350767296155</v>
      </c>
      <c r="R76" s="105">
        <v>1.8142598664912897</v>
      </c>
      <c r="S76" s="105">
        <v>1565.3434128086847</v>
      </c>
      <c r="T76" s="105">
        <v>2.6180458832912286</v>
      </c>
      <c r="U76" s="105">
        <v>2258.8499881036719</v>
      </c>
      <c r="V76" s="105">
        <v>2</v>
      </c>
      <c r="W76" s="105">
        <v>1725.6</v>
      </c>
      <c r="X76" s="105">
        <v>2.7594586580528802</v>
      </c>
      <c r="Y76" s="105">
        <v>2380.8609301680249</v>
      </c>
      <c r="Z76" s="105">
        <v>2.0870562478000707</v>
      </c>
      <c r="AA76" s="105">
        <v>1800.712130601901</v>
      </c>
      <c r="AB76" s="105">
        <v>1.8307510945614653</v>
      </c>
      <c r="AC76" s="105">
        <v>1579.5720443876321</v>
      </c>
      <c r="AD76" s="105">
        <v>2.17401692479174</v>
      </c>
      <c r="AE76" s="105">
        <v>1875.7418027103131</v>
      </c>
      <c r="AF76" s="105">
        <v>2.5766126516050254</v>
      </c>
      <c r="AG76" s="105">
        <v>2223.1013958048156</v>
      </c>
      <c r="AH76" s="105">
        <v>2</v>
      </c>
      <c r="AI76" s="105">
        <v>1725.6</v>
      </c>
      <c r="AJ76" s="105">
        <v>2.0326271144431414</v>
      </c>
      <c r="AK76" s="105">
        <v>1753.7506743415422</v>
      </c>
      <c r="AL76" s="105">
        <v>2.3502911906818982</v>
      </c>
      <c r="AM76" s="105">
        <v>2027.8312393203416</v>
      </c>
      <c r="AN76" s="105">
        <v>1.8916977876220156</v>
      </c>
      <c r="AO76" s="105">
        <v>1632.156851160275</v>
      </c>
      <c r="AP76" s="105">
        <v>1.8634430783929201</v>
      </c>
      <c r="AQ76" s="105">
        <v>1607.7786880374115</v>
      </c>
      <c r="AR76" s="105">
        <v>2.3716548270455351</v>
      </c>
      <c r="AS76" s="105">
        <v>2046.2637847748877</v>
      </c>
      <c r="AT76" s="105">
        <v>2.3019002733089016</v>
      </c>
      <c r="AU76" s="105">
        <v>1986.0795558109201</v>
      </c>
      <c r="AV76" s="105">
        <v>2.455360291529495</v>
      </c>
      <c r="AW76" s="105">
        <v>2118.484859531648</v>
      </c>
      <c r="AX76" s="105">
        <v>1.7829795239655779</v>
      </c>
      <c r="AY76" s="105">
        <v>1538.3547332775006</v>
      </c>
      <c r="AZ76" s="105">
        <v>2.3502911906818982</v>
      </c>
      <c r="BA76" s="105">
        <v>2027.8312393203416</v>
      </c>
      <c r="BB76" s="105">
        <v>2.3152122176866459</v>
      </c>
      <c r="BC76" s="105">
        <v>1997.565101420038</v>
      </c>
      <c r="BD76" s="105">
        <v>2.2811649791912543</v>
      </c>
      <c r="BE76" s="105">
        <v>1968.1891440462141</v>
      </c>
      <c r="BF76" s="105">
        <v>2.2046368814789479</v>
      </c>
      <c r="BG76" s="105">
        <v>1902.1607013400362</v>
      </c>
      <c r="BH76" s="105">
        <v>1.9689209884906327</v>
      </c>
      <c r="BI76" s="105">
        <v>1698.7850288697177</v>
      </c>
      <c r="BJ76" s="105">
        <v>2.5143067704767685</v>
      </c>
      <c r="BK76" s="105">
        <v>2169.3438815673558</v>
      </c>
      <c r="BL76" s="105">
        <v>1.9673159095569861</v>
      </c>
      <c r="BM76" s="105">
        <v>1697.4001667657676</v>
      </c>
      <c r="BN76" s="105">
        <v>1.6402034538123298</v>
      </c>
      <c r="BO76" s="105">
        <v>1415.1675399492781</v>
      </c>
      <c r="BP76" s="105">
        <v>2.0920039631591654</v>
      </c>
      <c r="BQ76" s="105">
        <v>1804.9810194137278</v>
      </c>
      <c r="BR76" s="105">
        <v>1.9830140638393323</v>
      </c>
      <c r="BS76" s="105">
        <v>1710.9445342805759</v>
      </c>
      <c r="BT76" s="105">
        <v>2.1706485862083622</v>
      </c>
      <c r="BU76" s="105">
        <v>1872.8356001805748</v>
      </c>
      <c r="BV76" s="105">
        <v>2.3152122176866459</v>
      </c>
      <c r="BW76" s="105">
        <v>1997.565101420038</v>
      </c>
      <c r="BX76" s="105">
        <v>2.2811649791912543</v>
      </c>
      <c r="BY76" s="105">
        <v>1968.1891440462141</v>
      </c>
      <c r="BZ76" s="105">
        <v>2.3951041622262168</v>
      </c>
      <c r="CA76" s="105">
        <v>2066.4958711687796</v>
      </c>
      <c r="CB76" s="105">
        <v>2.669643531481261</v>
      </c>
      <c r="CC76" s="105">
        <v>2303.3684389620321</v>
      </c>
      <c r="CD76" s="105">
        <v>2.4227154250329854</v>
      </c>
      <c r="CE76" s="105">
        <v>2090.3188687184597</v>
      </c>
      <c r="CF76" s="105">
        <v>1.99941779990389</v>
      </c>
      <c r="CG76" s="105">
        <v>1725.0976777570763</v>
      </c>
      <c r="CH76" s="105">
        <v>2.4933989727642154</v>
      </c>
      <c r="CI76" s="105">
        <v>2151.304633700965</v>
      </c>
      <c r="CJ76" s="105">
        <v>2.4934675386985177</v>
      </c>
      <c r="CK76" s="105">
        <v>2151.363792389081</v>
      </c>
      <c r="CL76" s="105">
        <v>2.7288657689719487</v>
      </c>
      <c r="CM76" s="105">
        <v>2354.4653854689973</v>
      </c>
      <c r="CN76" s="105">
        <v>2.9494630996986877</v>
      </c>
      <c r="CO76" s="105">
        <v>2544.7967624200278</v>
      </c>
      <c r="CP76" s="105">
        <v>2.3166392809233867</v>
      </c>
      <c r="CQ76" s="105">
        <v>1998.796371580698</v>
      </c>
      <c r="CR76" s="105">
        <v>2.3126390841526838</v>
      </c>
      <c r="CS76" s="105">
        <v>1995.3450018069354</v>
      </c>
      <c r="CT76" s="105">
        <v>2.2455336399461241</v>
      </c>
      <c r="CU76" s="105">
        <v>1937.4464245455158</v>
      </c>
    </row>
    <row r="77" spans="2:99" x14ac:dyDescent="0.2">
      <c r="C77" s="104" t="s">
        <v>245</v>
      </c>
      <c r="D77" s="105">
        <v>0</v>
      </c>
      <c r="E77" s="105">
        <v>0</v>
      </c>
      <c r="F77" s="105">
        <v>1.8433884782353636</v>
      </c>
      <c r="G77" s="105">
        <v>1271.9380499824008</v>
      </c>
      <c r="H77" s="105">
        <v>2.5233259896045097</v>
      </c>
      <c r="I77" s="105">
        <v>1741.0949328271117</v>
      </c>
      <c r="J77" s="105">
        <v>2.2159888369286471</v>
      </c>
      <c r="K77" s="105">
        <v>1529.0322974807666</v>
      </c>
      <c r="L77" s="105">
        <v>2.5853203097500881</v>
      </c>
      <c r="M77" s="105">
        <v>1783.8710137275607</v>
      </c>
      <c r="N77" s="105">
        <v>2.9330518867834927</v>
      </c>
      <c r="O77" s="105">
        <v>2023.80580188061</v>
      </c>
      <c r="P77" s="105">
        <v>2.7026846714897395</v>
      </c>
      <c r="Q77" s="105">
        <v>1864.8524233279202</v>
      </c>
      <c r="R77" s="105">
        <v>1.8142598664912897</v>
      </c>
      <c r="S77" s="105">
        <v>1251.83930787899</v>
      </c>
      <c r="T77" s="105">
        <v>1.9635344124684213</v>
      </c>
      <c r="U77" s="105">
        <v>1354.8387446032107</v>
      </c>
      <c r="V77" s="105">
        <v>2</v>
      </c>
      <c r="W77" s="105">
        <v>1380</v>
      </c>
      <c r="X77" s="105">
        <v>2.7594586580528802</v>
      </c>
      <c r="Y77" s="105">
        <v>1904.0264740564874</v>
      </c>
      <c r="Z77" s="105">
        <v>2.7827416637334279</v>
      </c>
      <c r="AA77" s="105">
        <v>1920.0917479760653</v>
      </c>
      <c r="AB77" s="105">
        <v>2.7461266418421983</v>
      </c>
      <c r="AC77" s="105">
        <v>1894.8273828711169</v>
      </c>
      <c r="AD77" s="105">
        <v>2.17401692479174</v>
      </c>
      <c r="AE77" s="105">
        <v>1500.0716781063006</v>
      </c>
      <c r="AF77" s="105">
        <v>2.5766126516050254</v>
      </c>
      <c r="AG77" s="105">
        <v>1777.8627296074676</v>
      </c>
      <c r="AH77" s="105">
        <v>2</v>
      </c>
      <c r="AI77" s="105">
        <v>1380</v>
      </c>
      <c r="AJ77" s="105">
        <v>2.7101694859241889</v>
      </c>
      <c r="AK77" s="105">
        <v>1870.0169452876903</v>
      </c>
      <c r="AL77" s="105">
        <v>2.3502911906818982</v>
      </c>
      <c r="AM77" s="105">
        <v>1621.7009215705098</v>
      </c>
      <c r="AN77" s="105">
        <v>2.5222637168293542</v>
      </c>
      <c r="AO77" s="105">
        <v>1740.3619646122545</v>
      </c>
      <c r="AP77" s="105">
        <v>1.8634430783929201</v>
      </c>
      <c r="AQ77" s="105">
        <v>1285.7757240911149</v>
      </c>
      <c r="AR77" s="105">
        <v>2.3716548270455351</v>
      </c>
      <c r="AS77" s="105">
        <v>1636.4418306614193</v>
      </c>
      <c r="AT77" s="105">
        <v>2.3019002733089016</v>
      </c>
      <c r="AU77" s="105">
        <v>1588.311188583142</v>
      </c>
      <c r="AV77" s="105">
        <v>2.455360291529495</v>
      </c>
      <c r="AW77" s="105">
        <v>1694.1986011553515</v>
      </c>
      <c r="AX77" s="105">
        <v>1.7829795239655779</v>
      </c>
      <c r="AY77" s="105">
        <v>1230.2558715362488</v>
      </c>
      <c r="AZ77" s="105">
        <v>2.3502911906818982</v>
      </c>
      <c r="BA77" s="105">
        <v>1621.7009215705098</v>
      </c>
      <c r="BB77" s="105">
        <v>2.3152122176866459</v>
      </c>
      <c r="BC77" s="105">
        <v>1597.4964302037856</v>
      </c>
      <c r="BD77" s="105">
        <v>2.2811649791912543</v>
      </c>
      <c r="BE77" s="105">
        <v>1574.0038356419655</v>
      </c>
      <c r="BF77" s="105">
        <v>2.2046368814789479</v>
      </c>
      <c r="BG77" s="105">
        <v>1521.1994482204741</v>
      </c>
      <c r="BH77" s="105">
        <v>1.9689209884906327</v>
      </c>
      <c r="BI77" s="105">
        <v>1358.5554820585367</v>
      </c>
      <c r="BJ77" s="105">
        <v>2.5143067704767685</v>
      </c>
      <c r="BK77" s="105">
        <v>1734.8716716289703</v>
      </c>
      <c r="BL77" s="105">
        <v>1.9673159095569861</v>
      </c>
      <c r="BM77" s="105">
        <v>1357.4479775943205</v>
      </c>
      <c r="BN77" s="105">
        <v>2.4603051807184944</v>
      </c>
      <c r="BO77" s="105">
        <v>1697.6105746957612</v>
      </c>
      <c r="BP77" s="105">
        <v>2.1282971637961454</v>
      </c>
      <c r="BQ77" s="105">
        <v>1468.5250430193403</v>
      </c>
      <c r="BR77" s="105">
        <v>1.9830140638393323</v>
      </c>
      <c r="BS77" s="105">
        <v>1368.2797040491394</v>
      </c>
      <c r="BT77" s="105">
        <v>2.1706485862083622</v>
      </c>
      <c r="BU77" s="105">
        <v>1497.7475244837699</v>
      </c>
      <c r="BV77" s="105">
        <v>2.3152122176866459</v>
      </c>
      <c r="BW77" s="105">
        <v>1597.4964302037856</v>
      </c>
      <c r="BX77" s="105">
        <v>2.2811649791912543</v>
      </c>
      <c r="BY77" s="105">
        <v>1574.0038356419655</v>
      </c>
      <c r="BZ77" s="105">
        <v>2.3951041622262168</v>
      </c>
      <c r="CA77" s="105">
        <v>1652.6218719360895</v>
      </c>
      <c r="CB77" s="105">
        <v>2.669643531481261</v>
      </c>
      <c r="CC77" s="105">
        <v>1842.0540367220701</v>
      </c>
      <c r="CD77" s="105">
        <v>2.392484232239334</v>
      </c>
      <c r="CE77" s="105">
        <v>1650.8141202451404</v>
      </c>
      <c r="CF77" s="105">
        <v>1.99941779990389</v>
      </c>
      <c r="CG77" s="105">
        <v>1379.5982819336841</v>
      </c>
      <c r="CH77" s="105">
        <v>2.4933989727642154</v>
      </c>
      <c r="CI77" s="105">
        <v>1720.4452912073086</v>
      </c>
      <c r="CJ77" s="105">
        <v>2.4486068533622891</v>
      </c>
      <c r="CK77" s="105">
        <v>1689.5387288199795</v>
      </c>
      <c r="CL77" s="105">
        <v>2.7288657689719487</v>
      </c>
      <c r="CM77" s="105">
        <v>1882.9173805906446</v>
      </c>
      <c r="CN77" s="105">
        <v>2.9184056924157664</v>
      </c>
      <c r="CO77" s="105">
        <v>2013.6999277668788</v>
      </c>
      <c r="CP77" s="105">
        <v>1.6559530937164493</v>
      </c>
      <c r="CQ77" s="105">
        <v>1142.6076346643499</v>
      </c>
      <c r="CR77" s="105">
        <v>2.3126390841526838</v>
      </c>
      <c r="CS77" s="105">
        <v>1595.7209680653518</v>
      </c>
      <c r="CT77" s="105">
        <v>2.2455336399461241</v>
      </c>
      <c r="CU77" s="105">
        <v>1549.4182115628257</v>
      </c>
    </row>
    <row r="78" spans="2:99" x14ac:dyDescent="0.2">
      <c r="C78" s="104" t="s">
        <v>246</v>
      </c>
      <c r="D78" s="105">
        <v>0</v>
      </c>
      <c r="E78" s="105">
        <v>0</v>
      </c>
      <c r="F78" s="105">
        <v>1.8433884782353636</v>
      </c>
      <c r="G78" s="105">
        <v>238.90314677930311</v>
      </c>
      <c r="H78" s="105">
        <v>1.7683721583855054</v>
      </c>
      <c r="I78" s="105">
        <v>229.18103172676149</v>
      </c>
      <c r="J78" s="105">
        <v>2.2159888369286471</v>
      </c>
      <c r="K78" s="105">
        <v>287.19215326595264</v>
      </c>
      <c r="L78" s="105">
        <v>2.5853203097500881</v>
      </c>
      <c r="M78" s="105">
        <v>335.0575121436114</v>
      </c>
      <c r="N78" s="105">
        <v>2.2365635018140084</v>
      </c>
      <c r="O78" s="105">
        <v>289.85862983509548</v>
      </c>
      <c r="P78" s="105">
        <v>2.7026846714897395</v>
      </c>
      <c r="Q78" s="105">
        <v>350.26793342507023</v>
      </c>
      <c r="R78" s="105">
        <v>1.8142598664912897</v>
      </c>
      <c r="S78" s="105">
        <v>235.12807869727112</v>
      </c>
      <c r="T78" s="105">
        <v>1.9635344124684213</v>
      </c>
      <c r="U78" s="105">
        <v>254.4740598559074</v>
      </c>
      <c r="V78" s="105">
        <v>2</v>
      </c>
      <c r="W78" s="105">
        <v>259.2</v>
      </c>
      <c r="X78" s="105">
        <v>2.7594586580528802</v>
      </c>
      <c r="Y78" s="105">
        <v>357.62584208365325</v>
      </c>
      <c r="Z78" s="105">
        <v>2.7827416637334279</v>
      </c>
      <c r="AA78" s="105">
        <v>360.64331961985226</v>
      </c>
      <c r="AB78" s="105">
        <v>1.8307510945614653</v>
      </c>
      <c r="AC78" s="105">
        <v>237.2653418551659</v>
      </c>
      <c r="AD78" s="105">
        <v>2.17401692479174</v>
      </c>
      <c r="AE78" s="105">
        <v>281.75259345300947</v>
      </c>
      <c r="AF78" s="105">
        <v>2.5766126516050254</v>
      </c>
      <c r="AG78" s="105">
        <v>333.92899964801126</v>
      </c>
      <c r="AH78" s="105">
        <v>2</v>
      </c>
      <c r="AI78" s="105">
        <v>259.2</v>
      </c>
      <c r="AJ78" s="105">
        <v>2.7101694859241889</v>
      </c>
      <c r="AK78" s="105">
        <v>351.23796537577488</v>
      </c>
      <c r="AL78" s="105">
        <v>2.3502911906818982</v>
      </c>
      <c r="AM78" s="105">
        <v>304.59773831237396</v>
      </c>
      <c r="AN78" s="105">
        <v>2.5222637168293542</v>
      </c>
      <c r="AO78" s="105">
        <v>326.88537770108428</v>
      </c>
      <c r="AP78" s="105">
        <v>1.8634430783929201</v>
      </c>
      <c r="AQ78" s="105">
        <v>241.50222295972245</v>
      </c>
      <c r="AR78" s="105">
        <v>2.3716548270455351</v>
      </c>
      <c r="AS78" s="105">
        <v>307.36646558510131</v>
      </c>
      <c r="AT78" s="105">
        <v>2.3019002733089016</v>
      </c>
      <c r="AU78" s="105">
        <v>298.32627542083361</v>
      </c>
      <c r="AV78" s="105">
        <v>2.455360291529495</v>
      </c>
      <c r="AW78" s="105">
        <v>318.21469378222253</v>
      </c>
      <c r="AX78" s="105">
        <v>1.7829795239655779</v>
      </c>
      <c r="AY78" s="105">
        <v>231.07414630593888</v>
      </c>
      <c r="AZ78" s="105">
        <v>2.3502911906818982</v>
      </c>
      <c r="BA78" s="105">
        <v>304.59773831237396</v>
      </c>
      <c r="BB78" s="105">
        <v>2.3152122176866459</v>
      </c>
      <c r="BC78" s="105">
        <v>300.05150341218928</v>
      </c>
      <c r="BD78" s="105">
        <v>2.2811649791912543</v>
      </c>
      <c r="BE78" s="105">
        <v>295.63898130318654</v>
      </c>
      <c r="BF78" s="105">
        <v>2.2046368814789479</v>
      </c>
      <c r="BG78" s="105">
        <v>285.72093983967164</v>
      </c>
      <c r="BH78" s="105">
        <v>1.9689209884906327</v>
      </c>
      <c r="BI78" s="105">
        <v>255.17216010838598</v>
      </c>
      <c r="BJ78" s="105">
        <v>2.5143067704767685</v>
      </c>
      <c r="BK78" s="105">
        <v>325.85415745378918</v>
      </c>
      <c r="BL78" s="105">
        <v>1.9673159095569861</v>
      </c>
      <c r="BM78" s="105">
        <v>254.96414187858539</v>
      </c>
      <c r="BN78" s="105">
        <v>2.4603051807184944</v>
      </c>
      <c r="BO78" s="105">
        <v>318.85555142111684</v>
      </c>
      <c r="BP78" s="105">
        <v>2.1645903644331255</v>
      </c>
      <c r="BQ78" s="105">
        <v>280.53091123053304</v>
      </c>
      <c r="BR78" s="105">
        <v>2.6170206384822334</v>
      </c>
      <c r="BS78" s="105">
        <v>339.16587474729744</v>
      </c>
      <c r="BT78" s="105">
        <v>2.201700941633526</v>
      </c>
      <c r="BU78" s="105">
        <v>285.34044203570494</v>
      </c>
      <c r="BV78" s="105">
        <v>2.3152122176866459</v>
      </c>
      <c r="BW78" s="105">
        <v>300.05150341218928</v>
      </c>
      <c r="BX78" s="105">
        <v>2.2811649791912543</v>
      </c>
      <c r="BY78" s="105">
        <v>295.63898130318654</v>
      </c>
      <c r="BZ78" s="105">
        <v>2.5995296077534662</v>
      </c>
      <c r="CA78" s="105">
        <v>336.89903716484923</v>
      </c>
      <c r="CB78" s="105">
        <v>2.9232930236175219</v>
      </c>
      <c r="CC78" s="105">
        <v>378.8587758608308</v>
      </c>
      <c r="CD78" s="105">
        <v>3.1093624622027072</v>
      </c>
      <c r="CE78" s="105">
        <v>402.97337510147082</v>
      </c>
      <c r="CF78" s="105">
        <v>2.999126699855835</v>
      </c>
      <c r="CG78" s="105">
        <v>388.68682030131617</v>
      </c>
      <c r="CH78" s="105">
        <v>2.4933989727642154</v>
      </c>
      <c r="CI78" s="105">
        <v>323.14450687024231</v>
      </c>
      <c r="CJ78" s="105">
        <v>2.4486068533622891</v>
      </c>
      <c r="CK78" s="105">
        <v>317.33944819575265</v>
      </c>
      <c r="CL78" s="105">
        <v>2.7288657689719487</v>
      </c>
      <c r="CM78" s="105">
        <v>353.66100365876451</v>
      </c>
      <c r="CN78" s="105">
        <v>2.9805205069816099</v>
      </c>
      <c r="CO78" s="105">
        <v>386.27545770481663</v>
      </c>
      <c r="CP78" s="105">
        <v>2.3445210075319345</v>
      </c>
      <c r="CQ78" s="105">
        <v>303.84992257613868</v>
      </c>
      <c r="CR78" s="105">
        <v>2.3126390841526838</v>
      </c>
      <c r="CS78" s="105">
        <v>299.71802530618783</v>
      </c>
      <c r="CT78" s="105">
        <v>2.4830759015803232</v>
      </c>
      <c r="CU78" s="105">
        <v>321.80663684480987</v>
      </c>
    </row>
    <row r="79" spans="2:99" x14ac:dyDescent="0.2">
      <c r="C79" s="104" t="s">
        <v>247</v>
      </c>
      <c r="D79" s="105">
        <v>0</v>
      </c>
      <c r="E79" s="105">
        <v>0</v>
      </c>
      <c r="F79" s="105">
        <v>1.8433884782353636</v>
      </c>
      <c r="G79" s="105">
        <v>884.82646955297446</v>
      </c>
      <c r="H79" s="105">
        <v>2.3578295445140074</v>
      </c>
      <c r="I79" s="105">
        <v>1131.7581813667236</v>
      </c>
      <c r="J79" s="105">
        <v>2.2159888369286471</v>
      </c>
      <c r="K79" s="105">
        <v>1063.6746417257507</v>
      </c>
      <c r="L79" s="105">
        <v>2.5853203097500881</v>
      </c>
      <c r="M79" s="105">
        <v>1240.9537486800423</v>
      </c>
      <c r="N79" s="105">
        <v>2.9183420520929371</v>
      </c>
      <c r="O79" s="105">
        <v>1400.8041850046097</v>
      </c>
      <c r="P79" s="105">
        <v>2.0491013471466641</v>
      </c>
      <c r="Q79" s="105">
        <v>983.5686466303988</v>
      </c>
      <c r="R79" s="105">
        <v>2.7213897997369347</v>
      </c>
      <c r="S79" s="105">
        <v>1306.2671038737287</v>
      </c>
      <c r="T79" s="105">
        <v>2.6180458832912286</v>
      </c>
      <c r="U79" s="105">
        <v>1256.6620239797896</v>
      </c>
      <c r="V79" s="105">
        <v>2</v>
      </c>
      <c r="W79" s="105">
        <v>960</v>
      </c>
      <c r="X79" s="105">
        <v>2.7594586580528802</v>
      </c>
      <c r="Y79" s="105">
        <v>1324.5401558653825</v>
      </c>
      <c r="Z79" s="105">
        <v>2.0870562478000707</v>
      </c>
      <c r="AA79" s="105">
        <v>1001.7869989440339</v>
      </c>
      <c r="AB79" s="105">
        <v>2.7461266418421983</v>
      </c>
      <c r="AC79" s="105">
        <v>1318.1407880842553</v>
      </c>
      <c r="AD79" s="105">
        <v>2.17401692479174</v>
      </c>
      <c r="AE79" s="105">
        <v>1043.5281239000351</v>
      </c>
      <c r="AF79" s="105">
        <v>2.5766126516050254</v>
      </c>
      <c r="AG79" s="105">
        <v>1236.7740727704122</v>
      </c>
      <c r="AH79" s="105">
        <v>2</v>
      </c>
      <c r="AI79" s="105">
        <v>960</v>
      </c>
      <c r="AJ79" s="105">
        <v>2.7101694859241889</v>
      </c>
      <c r="AK79" s="105">
        <v>1300.8813532436106</v>
      </c>
      <c r="AL79" s="105">
        <v>2.3502911906818982</v>
      </c>
      <c r="AM79" s="105">
        <v>1128.139771527311</v>
      </c>
      <c r="AN79" s="105">
        <v>2.5222637168293542</v>
      </c>
      <c r="AO79" s="105">
        <v>1210.6865840780899</v>
      </c>
      <c r="AP79" s="105">
        <v>1.8634430783929201</v>
      </c>
      <c r="AQ79" s="105">
        <v>894.45267762860169</v>
      </c>
      <c r="AR79" s="105">
        <v>2.3716548270455351</v>
      </c>
      <c r="AS79" s="105">
        <v>1138.3943169818569</v>
      </c>
      <c r="AT79" s="105">
        <v>2.3019002733089016</v>
      </c>
      <c r="AU79" s="105">
        <v>1104.9121311882727</v>
      </c>
      <c r="AV79" s="105">
        <v>2.455360291529495</v>
      </c>
      <c r="AW79" s="105">
        <v>1178.5729399341576</v>
      </c>
      <c r="AX79" s="105">
        <v>1.7829795239655779</v>
      </c>
      <c r="AY79" s="105">
        <v>855.83017150347735</v>
      </c>
      <c r="AZ79" s="105">
        <v>2.3502911906818982</v>
      </c>
      <c r="BA79" s="105">
        <v>1128.139771527311</v>
      </c>
      <c r="BB79" s="105">
        <v>2.3152122176866459</v>
      </c>
      <c r="BC79" s="105">
        <v>1111.3018644895901</v>
      </c>
      <c r="BD79" s="105">
        <v>2.2811649791912543</v>
      </c>
      <c r="BE79" s="105">
        <v>1094.9591900118021</v>
      </c>
      <c r="BF79" s="105">
        <v>2.2046368814789479</v>
      </c>
      <c r="BG79" s="105">
        <v>1058.225703109895</v>
      </c>
      <c r="BH79" s="105">
        <v>1.9689209884906327</v>
      </c>
      <c r="BI79" s="105">
        <v>945.08207447550365</v>
      </c>
      <c r="BJ79" s="105">
        <v>2.5143067704767685</v>
      </c>
      <c r="BK79" s="105">
        <v>1206.8672498288488</v>
      </c>
      <c r="BL79" s="105">
        <v>1.9673159095569861</v>
      </c>
      <c r="BM79" s="105">
        <v>944.31163658735329</v>
      </c>
      <c r="BN79" s="105">
        <v>2.4603051807184944</v>
      </c>
      <c r="BO79" s="105">
        <v>1180.9464867448773</v>
      </c>
      <c r="BP79" s="105">
        <v>2.1645903644331255</v>
      </c>
      <c r="BQ79" s="105">
        <v>1039.0033749279003</v>
      </c>
      <c r="BR79" s="105">
        <v>1.9931383563281613</v>
      </c>
      <c r="BS79" s="105">
        <v>956.70641103751746</v>
      </c>
      <c r="BT79" s="105">
        <v>2.0464391645077056</v>
      </c>
      <c r="BU79" s="105">
        <v>982.29079896369865</v>
      </c>
      <c r="BV79" s="105">
        <v>2.3152122176866459</v>
      </c>
      <c r="BW79" s="105">
        <v>1111.3018644895901</v>
      </c>
      <c r="BX79" s="105">
        <v>2.2811649791912543</v>
      </c>
      <c r="BY79" s="105">
        <v>1094.9591900118021</v>
      </c>
      <c r="BZ79" s="105">
        <v>2.6199721523061914</v>
      </c>
      <c r="CA79" s="105">
        <v>1257.5866331069719</v>
      </c>
      <c r="CB79" s="105">
        <v>2.9232930236175219</v>
      </c>
      <c r="CC79" s="105">
        <v>1403.1806513364104</v>
      </c>
      <c r="CD79" s="105">
        <v>3.1093624622027072</v>
      </c>
      <c r="CE79" s="105">
        <v>1492.4939818572993</v>
      </c>
      <c r="CF79" s="105">
        <v>2.2303132491870046</v>
      </c>
      <c r="CG79" s="105">
        <v>1070.5503596097622</v>
      </c>
      <c r="CH79" s="105">
        <v>2.4933989727642154</v>
      </c>
      <c r="CI79" s="105">
        <v>1196.8315069268233</v>
      </c>
      <c r="CJ79" s="105">
        <v>2.4486068533622891</v>
      </c>
      <c r="CK79" s="105">
        <v>1175.3312896138987</v>
      </c>
      <c r="CL79" s="105">
        <v>2.6291064543460658</v>
      </c>
      <c r="CM79" s="105">
        <v>1261.9710980861116</v>
      </c>
      <c r="CN79" s="105">
        <v>2.9805205069816099</v>
      </c>
      <c r="CO79" s="105">
        <v>1430.6498433511726</v>
      </c>
      <c r="CP79" s="105">
        <v>2.3445210075319345</v>
      </c>
      <c r="CQ79" s="105">
        <v>1125.3700836153284</v>
      </c>
      <c r="CR79" s="105">
        <v>2.3096686324311237</v>
      </c>
      <c r="CS79" s="105">
        <v>1108.6409435669393</v>
      </c>
      <c r="CT79" s="105">
        <v>2.2455336399461241</v>
      </c>
      <c r="CU79" s="105">
        <v>1077.8561471741396</v>
      </c>
    </row>
    <row r="80" spans="2:99" x14ac:dyDescent="0.2">
      <c r="C80" s="104" t="s">
        <v>248</v>
      </c>
      <c r="D80" s="105">
        <v>0</v>
      </c>
      <c r="E80" s="105">
        <v>0</v>
      </c>
      <c r="F80" s="105">
        <v>1.8433884782353636</v>
      </c>
      <c r="G80" s="105">
        <v>1404.6620204153471</v>
      </c>
      <c r="H80" s="105">
        <v>2.5417144835034544</v>
      </c>
      <c r="I80" s="105">
        <v>1936.7864364296322</v>
      </c>
      <c r="J80" s="105">
        <v>2.2159888369286471</v>
      </c>
      <c r="K80" s="105">
        <v>1688.5834937396291</v>
      </c>
      <c r="L80" s="105">
        <v>2.5853203097500881</v>
      </c>
      <c r="M80" s="105">
        <v>1970.0140760295671</v>
      </c>
      <c r="N80" s="105">
        <v>2.785953539877938</v>
      </c>
      <c r="O80" s="105">
        <v>2122.8965973869886</v>
      </c>
      <c r="P80" s="105">
        <v>2.0491013471466641</v>
      </c>
      <c r="Q80" s="105">
        <v>1561.415226525758</v>
      </c>
      <c r="R80" s="105">
        <v>1.8142598664912897</v>
      </c>
      <c r="S80" s="105">
        <v>1382.4660182663627</v>
      </c>
      <c r="T80" s="105">
        <v>2.6180458832912286</v>
      </c>
      <c r="U80" s="105">
        <v>1994.9509630679161</v>
      </c>
      <c r="V80" s="105">
        <v>2</v>
      </c>
      <c r="W80" s="105">
        <v>1524</v>
      </c>
      <c r="X80" s="105">
        <v>2.7594586580528802</v>
      </c>
      <c r="Y80" s="105">
        <v>2102.7074974362945</v>
      </c>
      <c r="Z80" s="105">
        <v>2.0870562478000707</v>
      </c>
      <c r="AA80" s="105">
        <v>1590.336860823654</v>
      </c>
      <c r="AB80" s="105">
        <v>1.8307510945614653</v>
      </c>
      <c r="AC80" s="105">
        <v>1395.0323340558366</v>
      </c>
      <c r="AD80" s="105">
        <v>2.17401692479174</v>
      </c>
      <c r="AE80" s="105">
        <v>1656.6008966913059</v>
      </c>
      <c r="AF80" s="105">
        <v>2.5766126516050254</v>
      </c>
      <c r="AG80" s="105">
        <v>1963.3788405230293</v>
      </c>
      <c r="AH80" s="105">
        <v>2</v>
      </c>
      <c r="AI80" s="105">
        <v>1524</v>
      </c>
      <c r="AJ80" s="105">
        <v>2.7101694859241889</v>
      </c>
      <c r="AK80" s="105">
        <v>2065.1491482742322</v>
      </c>
      <c r="AL80" s="105">
        <v>2.3502911906818982</v>
      </c>
      <c r="AM80" s="105">
        <v>1790.9218872996064</v>
      </c>
      <c r="AN80" s="105">
        <v>1.8916977876220156</v>
      </c>
      <c r="AO80" s="105">
        <v>1441.4737141679759</v>
      </c>
      <c r="AP80" s="105">
        <v>1.8634430783929201</v>
      </c>
      <c r="AQ80" s="105">
        <v>1419.943625735405</v>
      </c>
      <c r="AR80" s="105">
        <v>2.3716548270455351</v>
      </c>
      <c r="AS80" s="105">
        <v>1807.2009782086977</v>
      </c>
      <c r="AT80" s="105">
        <v>2.3019002733089016</v>
      </c>
      <c r="AU80" s="105">
        <v>1754.0480082613831</v>
      </c>
      <c r="AV80" s="105">
        <v>2.455360291529495</v>
      </c>
      <c r="AW80" s="105">
        <v>1870.9845421454752</v>
      </c>
      <c r="AX80" s="105">
        <v>1.7829795239655779</v>
      </c>
      <c r="AY80" s="105">
        <v>1358.6303972617704</v>
      </c>
      <c r="AZ80" s="105">
        <v>2.3502911906818982</v>
      </c>
      <c r="BA80" s="105">
        <v>1790.9218872996064</v>
      </c>
      <c r="BB80" s="105">
        <v>2.3152122176866459</v>
      </c>
      <c r="BC80" s="105">
        <v>1764.1917098772242</v>
      </c>
      <c r="BD80" s="105">
        <v>2.2811649791912543</v>
      </c>
      <c r="BE80" s="105">
        <v>1738.2477141437357</v>
      </c>
      <c r="BF80" s="105">
        <v>2.2046368814789479</v>
      </c>
      <c r="BG80" s="105">
        <v>1679.9333036869582</v>
      </c>
      <c r="BH80" s="105">
        <v>1.9689209884906327</v>
      </c>
      <c r="BI80" s="105">
        <v>1500.3177932298622</v>
      </c>
      <c r="BJ80" s="105">
        <v>2.5143067704767685</v>
      </c>
      <c r="BK80" s="105">
        <v>1915.9017591032975</v>
      </c>
      <c r="BL80" s="105">
        <v>1.9673159095569861</v>
      </c>
      <c r="BM80" s="105">
        <v>1499.0947230824233</v>
      </c>
      <c r="BN80" s="105">
        <v>2.4603051807184944</v>
      </c>
      <c r="BO80" s="105">
        <v>1874.7525477074928</v>
      </c>
      <c r="BP80" s="105">
        <v>2.1282971637961454</v>
      </c>
      <c r="BQ80" s="105">
        <v>1621.7624388126628</v>
      </c>
      <c r="BR80" s="105">
        <v>1.9830140638393323</v>
      </c>
      <c r="BS80" s="105">
        <v>1511.0567166455712</v>
      </c>
      <c r="BT80" s="105">
        <v>2.0464391645077056</v>
      </c>
      <c r="BU80" s="105">
        <v>1559.3866433548717</v>
      </c>
      <c r="BV80" s="105">
        <v>2.3152122176866459</v>
      </c>
      <c r="BW80" s="105">
        <v>1764.1917098772242</v>
      </c>
      <c r="BX80" s="105">
        <v>2.2811649791912543</v>
      </c>
      <c r="BY80" s="105">
        <v>1738.2477141437357</v>
      </c>
      <c r="BZ80" s="105">
        <v>2.5995296077534662</v>
      </c>
      <c r="CA80" s="105">
        <v>1980.8415611081411</v>
      </c>
      <c r="CB80" s="105">
        <v>2.669643531481261</v>
      </c>
      <c r="CC80" s="105">
        <v>2034.2683709887208</v>
      </c>
      <c r="CD80" s="105">
        <v>2.392484232239334</v>
      </c>
      <c r="CE80" s="105">
        <v>1823.0729849663726</v>
      </c>
      <c r="CF80" s="105">
        <v>1.99941779990389</v>
      </c>
      <c r="CG80" s="105">
        <v>1523.5563635267642</v>
      </c>
      <c r="CH80" s="105">
        <v>2.4933989727642154</v>
      </c>
      <c r="CI80" s="105">
        <v>1899.9700172463322</v>
      </c>
      <c r="CJ80" s="105">
        <v>2.4486068533622891</v>
      </c>
      <c r="CK80" s="105">
        <v>1865.8384222620643</v>
      </c>
      <c r="CL80" s="105">
        <v>2.7163958546437135</v>
      </c>
      <c r="CM80" s="105">
        <v>2069.8936412385096</v>
      </c>
      <c r="CN80" s="105">
        <v>2.9494630996986877</v>
      </c>
      <c r="CO80" s="105">
        <v>2247.4908819704001</v>
      </c>
      <c r="CP80" s="105">
        <v>1.6280713671079015</v>
      </c>
      <c r="CQ80" s="105">
        <v>1240.5903817362209</v>
      </c>
      <c r="CR80" s="105">
        <v>2.2888754703802032</v>
      </c>
      <c r="CS80" s="105">
        <v>1744.1231084297149</v>
      </c>
      <c r="CT80" s="105">
        <v>2.2455336399461241</v>
      </c>
      <c r="CU80" s="105">
        <v>1711.0966336389465</v>
      </c>
    </row>
    <row r="81" spans="2:99" x14ac:dyDescent="0.2">
      <c r="C81" s="104" t="s">
        <v>249</v>
      </c>
      <c r="D81" s="105">
        <v>0</v>
      </c>
      <c r="E81" s="105">
        <v>0</v>
      </c>
      <c r="F81" s="105">
        <v>1.8433884782353636</v>
      </c>
      <c r="G81" s="105">
        <v>1150.2744104188669</v>
      </c>
      <c r="H81" s="105">
        <v>2.3578295445140074</v>
      </c>
      <c r="I81" s="105">
        <v>1471.2856357767407</v>
      </c>
      <c r="J81" s="105">
        <v>2.2159888369286471</v>
      </c>
      <c r="K81" s="105">
        <v>1382.7770342434758</v>
      </c>
      <c r="L81" s="105">
        <v>2.5853203097500881</v>
      </c>
      <c r="M81" s="105">
        <v>1613.239873284055</v>
      </c>
      <c r="N81" s="105">
        <v>2.0894651549084533</v>
      </c>
      <c r="O81" s="105">
        <v>1303.8262566628748</v>
      </c>
      <c r="P81" s="105">
        <v>2.0380574253819845</v>
      </c>
      <c r="Q81" s="105">
        <v>1271.7478334383584</v>
      </c>
      <c r="R81" s="105">
        <v>1.8142598664912897</v>
      </c>
      <c r="S81" s="105">
        <v>1132.0981566905648</v>
      </c>
      <c r="T81" s="105">
        <v>1.9635344124684213</v>
      </c>
      <c r="U81" s="105">
        <v>1225.2454733802949</v>
      </c>
      <c r="V81" s="105">
        <v>2</v>
      </c>
      <c r="W81" s="105">
        <v>1248</v>
      </c>
      <c r="X81" s="105">
        <v>2.7594586580528802</v>
      </c>
      <c r="Y81" s="105">
        <v>1721.9022026249972</v>
      </c>
      <c r="Z81" s="105">
        <v>2.0870562478000707</v>
      </c>
      <c r="AA81" s="105">
        <v>1302.3230986272442</v>
      </c>
      <c r="AB81" s="105">
        <v>2.7461266418421983</v>
      </c>
      <c r="AC81" s="105">
        <v>1713.5830245095317</v>
      </c>
      <c r="AD81" s="105">
        <v>2.17401692479174</v>
      </c>
      <c r="AE81" s="105">
        <v>1356.5865610700457</v>
      </c>
      <c r="AF81" s="105">
        <v>1.9324594887037692</v>
      </c>
      <c r="AG81" s="105">
        <v>1205.8547209511519</v>
      </c>
      <c r="AH81" s="105">
        <v>2</v>
      </c>
      <c r="AI81" s="105">
        <v>1248</v>
      </c>
      <c r="AJ81" s="105">
        <v>2.7101694859241889</v>
      </c>
      <c r="AK81" s="105">
        <v>1691.1457592166939</v>
      </c>
      <c r="AL81" s="105">
        <v>1.7627183930114236</v>
      </c>
      <c r="AM81" s="105">
        <v>1099.9362772391285</v>
      </c>
      <c r="AN81" s="105">
        <v>2.5222637168293542</v>
      </c>
      <c r="AO81" s="105">
        <v>1573.8925593015169</v>
      </c>
      <c r="AP81" s="105">
        <v>1.8634430783929201</v>
      </c>
      <c r="AQ81" s="105">
        <v>1162.7884809171821</v>
      </c>
      <c r="AR81" s="105">
        <v>2.3716548270455351</v>
      </c>
      <c r="AS81" s="105">
        <v>1479.912612076414</v>
      </c>
      <c r="AT81" s="105">
        <v>2.3019002733089016</v>
      </c>
      <c r="AU81" s="105">
        <v>1436.3857705447547</v>
      </c>
      <c r="AV81" s="105">
        <v>2.455360291529495</v>
      </c>
      <c r="AW81" s="105">
        <v>1532.1448219144049</v>
      </c>
      <c r="AX81" s="105">
        <v>1.7829795239655779</v>
      </c>
      <c r="AY81" s="105">
        <v>1112.5792229545207</v>
      </c>
      <c r="AZ81" s="105">
        <v>2.3502911906818982</v>
      </c>
      <c r="BA81" s="105">
        <v>1466.5817029855045</v>
      </c>
      <c r="BB81" s="105">
        <v>2.3152122176866459</v>
      </c>
      <c r="BC81" s="105">
        <v>1444.692423836467</v>
      </c>
      <c r="BD81" s="105">
        <v>2.2811649791912543</v>
      </c>
      <c r="BE81" s="105">
        <v>1423.4469470153426</v>
      </c>
      <c r="BF81" s="105">
        <v>2.2046368814789479</v>
      </c>
      <c r="BG81" s="105">
        <v>1375.6934140428634</v>
      </c>
      <c r="BH81" s="105">
        <v>1.9689209884906327</v>
      </c>
      <c r="BI81" s="105">
        <v>1228.6066968181549</v>
      </c>
      <c r="BJ81" s="105">
        <v>2.5143067704767685</v>
      </c>
      <c r="BK81" s="105">
        <v>1568.9274247775036</v>
      </c>
      <c r="BL81" s="105">
        <v>1.9673159095569861</v>
      </c>
      <c r="BM81" s="105">
        <v>1227.6051275635593</v>
      </c>
      <c r="BN81" s="105">
        <v>1.6402034538123298</v>
      </c>
      <c r="BO81" s="105">
        <v>1023.4869551788938</v>
      </c>
      <c r="BP81" s="105">
        <v>2.1645903644331255</v>
      </c>
      <c r="BQ81" s="105">
        <v>1350.7043874062704</v>
      </c>
      <c r="BR81" s="105">
        <v>2.6068963459934045</v>
      </c>
      <c r="BS81" s="105">
        <v>1626.7033198998845</v>
      </c>
      <c r="BT81" s="105">
        <v>2.1706485862083622</v>
      </c>
      <c r="BU81" s="105">
        <v>1354.484717794018</v>
      </c>
      <c r="BV81" s="105">
        <v>2.3152122176866459</v>
      </c>
      <c r="BW81" s="105">
        <v>1444.692423836467</v>
      </c>
      <c r="BX81" s="105">
        <v>2.2811649791912543</v>
      </c>
      <c r="BY81" s="105">
        <v>1423.4469470153426</v>
      </c>
      <c r="BZ81" s="105">
        <v>2.5995296077534662</v>
      </c>
      <c r="CA81" s="105">
        <v>1622.1064752381628</v>
      </c>
      <c r="CB81" s="105">
        <v>2.669643531481261</v>
      </c>
      <c r="CC81" s="105">
        <v>1665.8575636443068</v>
      </c>
      <c r="CD81" s="105">
        <v>2.0599411115091648</v>
      </c>
      <c r="CE81" s="105">
        <v>1285.4032535817189</v>
      </c>
      <c r="CF81" s="105">
        <v>1.99941779990389</v>
      </c>
      <c r="CG81" s="105">
        <v>1247.6367071400273</v>
      </c>
      <c r="CH81" s="105">
        <v>2.4933989727642154</v>
      </c>
      <c r="CI81" s="105">
        <v>1555.8809590048704</v>
      </c>
      <c r="CJ81" s="105">
        <v>2.4934675386985177</v>
      </c>
      <c r="CK81" s="105">
        <v>1555.9237441478749</v>
      </c>
      <c r="CL81" s="105">
        <v>2.7163958546437135</v>
      </c>
      <c r="CM81" s="105">
        <v>1695.0310132976772</v>
      </c>
      <c r="CN81" s="105">
        <v>2.9494630996986877</v>
      </c>
      <c r="CO81" s="105">
        <v>1840.4649742119811</v>
      </c>
      <c r="CP81" s="105">
        <v>2.3445210075319345</v>
      </c>
      <c r="CQ81" s="105">
        <v>1462.9811086999271</v>
      </c>
      <c r="CR81" s="105">
        <v>2.3096686324311237</v>
      </c>
      <c r="CS81" s="105">
        <v>1441.2332266370213</v>
      </c>
      <c r="CT81" s="105">
        <v>2.2455336399461241</v>
      </c>
      <c r="CU81" s="105">
        <v>1401.2129913263814</v>
      </c>
    </row>
    <row r="82" spans="2:99" x14ac:dyDescent="0.2">
      <c r="C82" s="104" t="s">
        <v>250</v>
      </c>
      <c r="D82" s="105">
        <v>0</v>
      </c>
      <c r="E82" s="105">
        <v>0</v>
      </c>
      <c r="F82" s="105">
        <v>1.8433884782353636</v>
      </c>
      <c r="G82" s="105">
        <v>659.19571981696595</v>
      </c>
      <c r="H82" s="105">
        <v>2.3578295445140074</v>
      </c>
      <c r="I82" s="105">
        <v>843.15984511820898</v>
      </c>
      <c r="J82" s="105">
        <v>2.2159888369286471</v>
      </c>
      <c r="K82" s="105">
        <v>792.43760808568413</v>
      </c>
      <c r="L82" s="105">
        <v>2.5853203097500881</v>
      </c>
      <c r="M82" s="105">
        <v>924.51054276663137</v>
      </c>
      <c r="N82" s="105">
        <v>2.2365635018140084</v>
      </c>
      <c r="O82" s="105">
        <v>799.7951082486893</v>
      </c>
      <c r="P82" s="105">
        <v>2.0380574253819845</v>
      </c>
      <c r="Q82" s="105">
        <v>728.80933531659764</v>
      </c>
      <c r="R82" s="105">
        <v>1.8142598664912897</v>
      </c>
      <c r="S82" s="105">
        <v>648.7793282572851</v>
      </c>
      <c r="T82" s="105">
        <v>1.9635344124684213</v>
      </c>
      <c r="U82" s="105">
        <v>702.15990589870739</v>
      </c>
      <c r="V82" s="105">
        <v>2</v>
      </c>
      <c r="W82" s="105">
        <v>715.19999999999993</v>
      </c>
      <c r="X82" s="105">
        <v>2.7594586580528802</v>
      </c>
      <c r="Y82" s="105">
        <v>986.78241611970986</v>
      </c>
      <c r="Z82" s="105">
        <v>2.7827416637334279</v>
      </c>
      <c r="AA82" s="105">
        <v>995.10841895107376</v>
      </c>
      <c r="AB82" s="105">
        <v>1.8307510945614653</v>
      </c>
      <c r="AC82" s="105">
        <v>654.67659141517993</v>
      </c>
      <c r="AD82" s="105">
        <v>2.17401692479174</v>
      </c>
      <c r="AE82" s="105">
        <v>777.42845230552621</v>
      </c>
      <c r="AF82" s="105">
        <v>2.5766126516050254</v>
      </c>
      <c r="AG82" s="105">
        <v>921.39668421395697</v>
      </c>
      <c r="AH82" s="105">
        <v>2.0998506371191117</v>
      </c>
      <c r="AI82" s="105">
        <v>750.90658783379422</v>
      </c>
      <c r="AJ82" s="105">
        <v>2.7101694859241889</v>
      </c>
      <c r="AK82" s="105">
        <v>969.15660816648983</v>
      </c>
      <c r="AL82" s="105">
        <v>2.3502911906818982</v>
      </c>
      <c r="AM82" s="105">
        <v>840.46412978784667</v>
      </c>
      <c r="AN82" s="105">
        <v>2.5222637168293542</v>
      </c>
      <c r="AO82" s="105">
        <v>901.96150513817702</v>
      </c>
      <c r="AP82" s="105">
        <v>1.8634430783929201</v>
      </c>
      <c r="AQ82" s="105">
        <v>666.36724483330818</v>
      </c>
      <c r="AR82" s="105">
        <v>2.3716548270455351</v>
      </c>
      <c r="AS82" s="105">
        <v>848.10376615148323</v>
      </c>
      <c r="AT82" s="105">
        <v>2.3019002733089016</v>
      </c>
      <c r="AU82" s="105">
        <v>823.15953773526314</v>
      </c>
      <c r="AV82" s="105">
        <v>2.455360291529495</v>
      </c>
      <c r="AW82" s="105">
        <v>878.03684025094731</v>
      </c>
      <c r="AX82" s="105">
        <v>1.7829795239655779</v>
      </c>
      <c r="AY82" s="105">
        <v>637.59347777009054</v>
      </c>
      <c r="AZ82" s="105">
        <v>2.3502911906818982</v>
      </c>
      <c r="BA82" s="105">
        <v>840.46412978784667</v>
      </c>
      <c r="BB82" s="105">
        <v>2.3152122176866459</v>
      </c>
      <c r="BC82" s="105">
        <v>827.91988904474454</v>
      </c>
      <c r="BD82" s="105">
        <v>2.2811649791912543</v>
      </c>
      <c r="BE82" s="105">
        <v>815.74459655879241</v>
      </c>
      <c r="BF82" s="105">
        <v>2.2046368814789479</v>
      </c>
      <c r="BG82" s="105">
        <v>788.37814881687166</v>
      </c>
      <c r="BH82" s="105">
        <v>1.9689209884906327</v>
      </c>
      <c r="BI82" s="105">
        <v>704.08614548425021</v>
      </c>
      <c r="BJ82" s="105">
        <v>2.5143067704767685</v>
      </c>
      <c r="BK82" s="105">
        <v>899.1161011224923</v>
      </c>
      <c r="BL82" s="105">
        <v>1.9673159095569861</v>
      </c>
      <c r="BM82" s="105">
        <v>703.51216925757819</v>
      </c>
      <c r="BN82" s="105">
        <v>2.4603051807184944</v>
      </c>
      <c r="BO82" s="105">
        <v>879.80513262493355</v>
      </c>
      <c r="BP82" s="105">
        <v>2.1282971637961454</v>
      </c>
      <c r="BQ82" s="105">
        <v>761.0790657735015</v>
      </c>
      <c r="BR82" s="105">
        <v>1.9830140638393323</v>
      </c>
      <c r="BS82" s="105">
        <v>709.12582922894512</v>
      </c>
      <c r="BT82" s="105">
        <v>2.1861747639209441</v>
      </c>
      <c r="BU82" s="105">
        <v>781.77609557812957</v>
      </c>
      <c r="BV82" s="105">
        <v>2.3152122176866459</v>
      </c>
      <c r="BW82" s="105">
        <v>827.91988904474454</v>
      </c>
      <c r="BX82" s="105">
        <v>2.2811649791912543</v>
      </c>
      <c r="BY82" s="105">
        <v>815.74459655879241</v>
      </c>
      <c r="BZ82" s="105">
        <v>2.5995296077534662</v>
      </c>
      <c r="CA82" s="105">
        <v>929.59178773263943</v>
      </c>
      <c r="CB82" s="105">
        <v>2.669643531481261</v>
      </c>
      <c r="CC82" s="105">
        <v>954.66452685769889</v>
      </c>
      <c r="CD82" s="105">
        <v>2.4227154250329854</v>
      </c>
      <c r="CE82" s="105">
        <v>866.36303599179553</v>
      </c>
      <c r="CF82" s="105">
        <v>1.99941779990389</v>
      </c>
      <c r="CG82" s="105">
        <v>714.99180524563099</v>
      </c>
      <c r="CH82" s="105">
        <v>2.4933989727642154</v>
      </c>
      <c r="CI82" s="105">
        <v>891.63947266048331</v>
      </c>
      <c r="CJ82" s="105">
        <v>2.5383282240347467</v>
      </c>
      <c r="CK82" s="105">
        <v>907.70617291482529</v>
      </c>
      <c r="CL82" s="105">
        <v>2.7288657689719487</v>
      </c>
      <c r="CM82" s="105">
        <v>975.84239898436874</v>
      </c>
      <c r="CN82" s="105">
        <v>2.9805205069816099</v>
      </c>
      <c r="CO82" s="105">
        <v>1065.8341332966236</v>
      </c>
      <c r="CP82" s="105">
        <v>2.3166392809233867</v>
      </c>
      <c r="CQ82" s="105">
        <v>828.43020685820295</v>
      </c>
      <c r="CR82" s="105">
        <v>2.3126390841526838</v>
      </c>
      <c r="CS82" s="105">
        <v>826.99973649299966</v>
      </c>
      <c r="CT82" s="105">
        <v>2.2455336399461241</v>
      </c>
      <c r="CU82" s="105">
        <v>803.00282964473388</v>
      </c>
    </row>
    <row r="83" spans="2:99" x14ac:dyDescent="0.2">
      <c r="C83" s="104" t="s">
        <v>251</v>
      </c>
      <c r="D83" s="105">
        <v>0</v>
      </c>
      <c r="E83" s="105">
        <v>0</v>
      </c>
      <c r="F83" s="105">
        <v>2.7650827173530454</v>
      </c>
      <c r="G83" s="105">
        <v>1652.4134318901799</v>
      </c>
      <c r="H83" s="105">
        <v>1.9522570973749529</v>
      </c>
      <c r="I83" s="105">
        <v>1166.6688413912718</v>
      </c>
      <c r="J83" s="105">
        <v>2.2159888369286471</v>
      </c>
      <c r="K83" s="105">
        <v>1324.2749289485596</v>
      </c>
      <c r="L83" s="105">
        <v>1.9389902323125661</v>
      </c>
      <c r="M83" s="105">
        <v>1158.7405628299896</v>
      </c>
      <c r="N83" s="105">
        <v>2.2218536671234528</v>
      </c>
      <c r="O83" s="105">
        <v>1327.7797514729755</v>
      </c>
      <c r="P83" s="105">
        <v>2.0491013471466641</v>
      </c>
      <c r="Q83" s="105">
        <v>1224.5429650548465</v>
      </c>
      <c r="R83" s="105">
        <v>1.8142598664912897</v>
      </c>
      <c r="S83" s="105">
        <v>1084.2016962151947</v>
      </c>
      <c r="T83" s="105">
        <v>1.9635344124684213</v>
      </c>
      <c r="U83" s="105">
        <v>1173.4081648911285</v>
      </c>
      <c r="V83" s="105">
        <v>2</v>
      </c>
      <c r="W83" s="105">
        <v>1195.2</v>
      </c>
      <c r="X83" s="105">
        <v>2.0695939935396601</v>
      </c>
      <c r="Y83" s="105">
        <v>1236.789370539301</v>
      </c>
      <c r="Z83" s="105">
        <v>2.7827416637334279</v>
      </c>
      <c r="AA83" s="105">
        <v>1662.9664182470965</v>
      </c>
      <c r="AB83" s="105">
        <v>1.8307510945614653</v>
      </c>
      <c r="AC83" s="105">
        <v>1094.0568541099317</v>
      </c>
      <c r="AD83" s="105">
        <v>2.17401692479174</v>
      </c>
      <c r="AE83" s="105">
        <v>1299.192514255544</v>
      </c>
      <c r="AF83" s="105">
        <v>2.5766126516050254</v>
      </c>
      <c r="AG83" s="105">
        <v>1539.7837205991632</v>
      </c>
      <c r="AH83" s="105">
        <v>2</v>
      </c>
      <c r="AI83" s="105">
        <v>1195.2</v>
      </c>
      <c r="AJ83" s="105">
        <v>2.7101694859241889</v>
      </c>
      <c r="AK83" s="105">
        <v>1619.5972847882954</v>
      </c>
      <c r="AL83" s="105">
        <v>2.3502911906818982</v>
      </c>
      <c r="AM83" s="105">
        <v>1404.5340155515023</v>
      </c>
      <c r="AN83" s="105">
        <v>2.5222637168293542</v>
      </c>
      <c r="AO83" s="105">
        <v>1507.3047971772221</v>
      </c>
      <c r="AP83" s="105">
        <v>1.8634430783929201</v>
      </c>
      <c r="AQ83" s="105">
        <v>1113.5935836476092</v>
      </c>
      <c r="AR83" s="105">
        <v>2.3716548270455351</v>
      </c>
      <c r="AS83" s="105">
        <v>1417.3009246424119</v>
      </c>
      <c r="AT83" s="105">
        <v>2.3019002733089016</v>
      </c>
      <c r="AU83" s="105">
        <v>1375.6156033293996</v>
      </c>
      <c r="AV83" s="105">
        <v>2.455360291529495</v>
      </c>
      <c r="AW83" s="105">
        <v>1467.3233102180263</v>
      </c>
      <c r="AX83" s="105">
        <v>1.7829795239655779</v>
      </c>
      <c r="AY83" s="105">
        <v>1065.5085635218295</v>
      </c>
      <c r="AZ83" s="105">
        <v>2.3502911906818982</v>
      </c>
      <c r="BA83" s="105">
        <v>1404.5340155515023</v>
      </c>
      <c r="BB83" s="105">
        <v>2.3152122176866459</v>
      </c>
      <c r="BC83" s="105">
        <v>1383.5708212895397</v>
      </c>
      <c r="BD83" s="105">
        <v>2.2811649791912543</v>
      </c>
      <c r="BE83" s="105">
        <v>1363.2241915646937</v>
      </c>
      <c r="BF83" s="105">
        <v>2.2046368814789479</v>
      </c>
      <c r="BG83" s="105">
        <v>1317.4910003718194</v>
      </c>
      <c r="BH83" s="105">
        <v>1.9689209884906327</v>
      </c>
      <c r="BI83" s="105">
        <v>1176.6271827220021</v>
      </c>
      <c r="BJ83" s="105">
        <v>2.5143067704767685</v>
      </c>
      <c r="BK83" s="105">
        <v>1502.549726036917</v>
      </c>
      <c r="BL83" s="105">
        <v>1.9673159095569861</v>
      </c>
      <c r="BM83" s="105">
        <v>1175.667987551255</v>
      </c>
      <c r="BN83" s="105">
        <v>2.4603051807184944</v>
      </c>
      <c r="BO83" s="105">
        <v>1470.2783759973722</v>
      </c>
      <c r="BP83" s="105">
        <v>2.0920039631591654</v>
      </c>
      <c r="BQ83" s="105">
        <v>1250.1815683839172</v>
      </c>
      <c r="BR83" s="105">
        <v>1.9830140638393323</v>
      </c>
      <c r="BS83" s="105">
        <v>1185.049204550385</v>
      </c>
      <c r="BT83" s="105">
        <v>2.0464391645077056</v>
      </c>
      <c r="BU83" s="105">
        <v>1222.9520447098048</v>
      </c>
      <c r="BV83" s="105">
        <v>2.3152122176866459</v>
      </c>
      <c r="BW83" s="105">
        <v>1383.5708212895397</v>
      </c>
      <c r="BX83" s="105">
        <v>2.2811649791912543</v>
      </c>
      <c r="BY83" s="105">
        <v>1363.2241915646937</v>
      </c>
      <c r="BZ83" s="105">
        <v>2.3951041622262168</v>
      </c>
      <c r="CA83" s="105">
        <v>1431.3142473463872</v>
      </c>
      <c r="CB83" s="105">
        <v>2.669643531481261</v>
      </c>
      <c r="CC83" s="105">
        <v>1595.3789744132016</v>
      </c>
      <c r="CD83" s="105">
        <v>2.392484232239334</v>
      </c>
      <c r="CE83" s="105">
        <v>1429.7485771862262</v>
      </c>
      <c r="CF83" s="105">
        <v>2.2303132491870046</v>
      </c>
      <c r="CG83" s="105">
        <v>1332.835197714154</v>
      </c>
      <c r="CH83" s="105">
        <v>2.4933989727642154</v>
      </c>
      <c r="CI83" s="105">
        <v>1490.0552261238952</v>
      </c>
      <c r="CJ83" s="105">
        <v>2.4486068533622891</v>
      </c>
      <c r="CK83" s="105">
        <v>1463.287455569304</v>
      </c>
      <c r="CL83" s="105">
        <v>2.7163958546437135</v>
      </c>
      <c r="CM83" s="105">
        <v>1623.3181627350832</v>
      </c>
      <c r="CN83" s="105">
        <v>2.9184056924157664</v>
      </c>
      <c r="CO83" s="105">
        <v>1744.0392417876621</v>
      </c>
      <c r="CP83" s="105">
        <v>2.3445210075319345</v>
      </c>
      <c r="CQ83" s="105">
        <v>1401.0857541010841</v>
      </c>
      <c r="CR83" s="105">
        <v>2.3126390841526838</v>
      </c>
      <c r="CS83" s="105">
        <v>1382.033116689644</v>
      </c>
      <c r="CT83" s="105">
        <v>1.4970224266307495</v>
      </c>
      <c r="CU83" s="105">
        <v>894.62060215453596</v>
      </c>
    </row>
    <row r="84" spans="2:99" x14ac:dyDescent="0.2">
      <c r="C84" s="104" t="s">
        <v>252</v>
      </c>
      <c r="D84" s="105">
        <v>0</v>
      </c>
      <c r="E84" s="105">
        <v>0</v>
      </c>
      <c r="F84" s="105">
        <v>1.8433884782353636</v>
      </c>
      <c r="G84" s="105">
        <v>942.34019007391782</v>
      </c>
      <c r="H84" s="105">
        <v>1.7683721583855054</v>
      </c>
      <c r="I84" s="105">
        <v>903.99184736667041</v>
      </c>
      <c r="J84" s="105">
        <v>2.2159888369286471</v>
      </c>
      <c r="K84" s="105">
        <v>1132.8134934379243</v>
      </c>
      <c r="L84" s="105">
        <v>2.5853203097500881</v>
      </c>
      <c r="M84" s="105">
        <v>1321.6157423442451</v>
      </c>
      <c r="N84" s="105">
        <v>2.785953539877938</v>
      </c>
      <c r="O84" s="105">
        <v>1424.1794495856018</v>
      </c>
      <c r="P84" s="105">
        <v>2.6143332973723008</v>
      </c>
      <c r="Q84" s="105">
        <v>1336.4471816167202</v>
      </c>
      <c r="R84" s="105">
        <v>1.8142598664912897</v>
      </c>
      <c r="S84" s="105">
        <v>927.44964375034726</v>
      </c>
      <c r="T84" s="105">
        <v>2.6180458832912286</v>
      </c>
      <c r="U84" s="105">
        <v>1338.3450555384761</v>
      </c>
      <c r="V84" s="105">
        <v>2</v>
      </c>
      <c r="W84" s="105">
        <v>1022.4</v>
      </c>
      <c r="X84" s="105">
        <v>2.7594586580528802</v>
      </c>
      <c r="Y84" s="105">
        <v>1410.6352659966324</v>
      </c>
      <c r="Z84" s="105">
        <v>2.7827416637334279</v>
      </c>
      <c r="AA84" s="105">
        <v>1422.5375385005284</v>
      </c>
      <c r="AB84" s="105">
        <v>1.8307510945614653</v>
      </c>
      <c r="AC84" s="105">
        <v>935.87995953982102</v>
      </c>
      <c r="AD84" s="105">
        <v>2.17401692479174</v>
      </c>
      <c r="AE84" s="105">
        <v>1111.3574519535375</v>
      </c>
      <c r="AF84" s="105">
        <v>2.5766126516050254</v>
      </c>
      <c r="AG84" s="105">
        <v>1317.1643875004891</v>
      </c>
      <c r="AH84" s="105">
        <v>2</v>
      </c>
      <c r="AI84" s="105">
        <v>1022.4</v>
      </c>
      <c r="AJ84" s="105">
        <v>2.0326271144431414</v>
      </c>
      <c r="AK84" s="105">
        <v>1039.0789809033338</v>
      </c>
      <c r="AL84" s="105">
        <v>2.3502911906818982</v>
      </c>
      <c r="AM84" s="105">
        <v>1201.4688566765863</v>
      </c>
      <c r="AN84" s="105">
        <v>2.5222637168293542</v>
      </c>
      <c r="AO84" s="105">
        <v>1289.3812120431658</v>
      </c>
      <c r="AP84" s="105">
        <v>1.8634430783929201</v>
      </c>
      <c r="AQ84" s="105">
        <v>952.59210167446076</v>
      </c>
      <c r="AR84" s="105">
        <v>2.3716548270455351</v>
      </c>
      <c r="AS84" s="105">
        <v>1212.3899475856774</v>
      </c>
      <c r="AT84" s="105">
        <v>2.3019002733089016</v>
      </c>
      <c r="AU84" s="105">
        <v>1176.7314197155104</v>
      </c>
      <c r="AV84" s="105">
        <v>2.455360291529495</v>
      </c>
      <c r="AW84" s="105">
        <v>1255.1801810298778</v>
      </c>
      <c r="AX84" s="105">
        <v>1.7829795239655779</v>
      </c>
      <c r="AY84" s="105">
        <v>911.45913265120339</v>
      </c>
      <c r="AZ84" s="105">
        <v>2.3502911906818982</v>
      </c>
      <c r="BA84" s="105">
        <v>1201.4688566765863</v>
      </c>
      <c r="BB84" s="105">
        <v>2.3152122176866459</v>
      </c>
      <c r="BC84" s="105">
        <v>1183.5364856814133</v>
      </c>
      <c r="BD84" s="105">
        <v>2.2811649791912543</v>
      </c>
      <c r="BE84" s="105">
        <v>1166.1315373625691</v>
      </c>
      <c r="BF84" s="105">
        <v>2.2046368814789479</v>
      </c>
      <c r="BG84" s="105">
        <v>1127.0103738120381</v>
      </c>
      <c r="BH84" s="105">
        <v>1.9689209884906327</v>
      </c>
      <c r="BI84" s="105">
        <v>1006.5124093164114</v>
      </c>
      <c r="BJ84" s="105">
        <v>2.5143067704767685</v>
      </c>
      <c r="BK84" s="105">
        <v>1285.3136210677239</v>
      </c>
      <c r="BL84" s="105">
        <v>1.9673159095569861</v>
      </c>
      <c r="BM84" s="105">
        <v>1005.6918929655312</v>
      </c>
      <c r="BN84" s="105">
        <v>2.4603051807184944</v>
      </c>
      <c r="BO84" s="105">
        <v>1257.7080083832943</v>
      </c>
      <c r="BP84" s="105">
        <v>2.1645903644331255</v>
      </c>
      <c r="BQ84" s="105">
        <v>1106.5385942982136</v>
      </c>
      <c r="BR84" s="105">
        <v>2.6271449309710619</v>
      </c>
      <c r="BS84" s="105">
        <v>1342.9964887124067</v>
      </c>
      <c r="BT84" s="105">
        <v>2.1861747639209441</v>
      </c>
      <c r="BU84" s="105">
        <v>1117.5725393163866</v>
      </c>
      <c r="BV84" s="105">
        <v>2.3152122176866459</v>
      </c>
      <c r="BW84" s="105">
        <v>1183.5364856814133</v>
      </c>
      <c r="BX84" s="105">
        <v>2.2811649791912543</v>
      </c>
      <c r="BY84" s="105">
        <v>1166.1315373625691</v>
      </c>
      <c r="BZ84" s="105">
        <v>2.3951041622262168</v>
      </c>
      <c r="CA84" s="105">
        <v>1224.377247730042</v>
      </c>
      <c r="CB84" s="105">
        <v>2.9232930236175219</v>
      </c>
      <c r="CC84" s="105">
        <v>1494.3873936732771</v>
      </c>
      <c r="CD84" s="105">
        <v>2.4529466178266373</v>
      </c>
      <c r="CE84" s="105">
        <v>1253.9463110329768</v>
      </c>
      <c r="CF84" s="105">
        <v>1.99941779990389</v>
      </c>
      <c r="CG84" s="105">
        <v>1022.1023793108685</v>
      </c>
      <c r="CH84" s="105">
        <v>2.5411290117891587</v>
      </c>
      <c r="CI84" s="105">
        <v>1299.0251508266178</v>
      </c>
      <c r="CJ84" s="105">
        <v>2.5383282240347467</v>
      </c>
      <c r="CK84" s="105">
        <v>1297.5933881265626</v>
      </c>
      <c r="CL84" s="105">
        <v>2.7163958546437135</v>
      </c>
      <c r="CM84" s="105">
        <v>1388.6215608938662</v>
      </c>
      <c r="CN84" s="105">
        <v>2.9494630996986877</v>
      </c>
      <c r="CO84" s="105">
        <v>1507.7655365659691</v>
      </c>
      <c r="CP84" s="105">
        <v>1.6280713671079015</v>
      </c>
      <c r="CQ84" s="105">
        <v>832.27008286555917</v>
      </c>
      <c r="CR84" s="105">
        <v>2.3096686324311237</v>
      </c>
      <c r="CS84" s="105">
        <v>1180.7026048987905</v>
      </c>
      <c r="CT84" s="105">
        <v>1.4970224266307495</v>
      </c>
      <c r="CU84" s="105">
        <v>765.27786449363907</v>
      </c>
    </row>
    <row r="85" spans="2:99" x14ac:dyDescent="0.2">
      <c r="C85" s="104" t="s">
        <v>253</v>
      </c>
      <c r="D85" s="105">
        <v>0</v>
      </c>
      <c r="E85" s="105">
        <v>0</v>
      </c>
      <c r="F85" s="105">
        <v>1.8433884782353636</v>
      </c>
      <c r="G85" s="105">
        <v>502.13902147131301</v>
      </c>
      <c r="H85" s="105">
        <v>2.3578295445140074</v>
      </c>
      <c r="I85" s="105">
        <v>642.27276792561554</v>
      </c>
      <c r="J85" s="105">
        <v>2.2159888369286471</v>
      </c>
      <c r="K85" s="105">
        <v>603.63535917936338</v>
      </c>
      <c r="L85" s="105">
        <v>2.5853203097500881</v>
      </c>
      <c r="M85" s="105">
        <v>704.24125237592398</v>
      </c>
      <c r="N85" s="105">
        <v>2.0894651549084533</v>
      </c>
      <c r="O85" s="105">
        <v>569.17030819706258</v>
      </c>
      <c r="P85" s="105">
        <v>2.0491013471466641</v>
      </c>
      <c r="Q85" s="105">
        <v>558.1752069627513</v>
      </c>
      <c r="R85" s="105">
        <v>1.8142598664912897</v>
      </c>
      <c r="S85" s="105">
        <v>494.20438763222728</v>
      </c>
      <c r="T85" s="105">
        <v>2.6180458832912286</v>
      </c>
      <c r="U85" s="105">
        <v>713.15569860853066</v>
      </c>
      <c r="V85" s="105">
        <v>2</v>
      </c>
      <c r="W85" s="105">
        <v>544.79999999999995</v>
      </c>
      <c r="X85" s="105">
        <v>2.7594586580528802</v>
      </c>
      <c r="Y85" s="105">
        <v>751.67653845360451</v>
      </c>
      <c r="Z85" s="105">
        <v>2.7827416637334279</v>
      </c>
      <c r="AA85" s="105">
        <v>758.01882920098569</v>
      </c>
      <c r="AB85" s="105">
        <v>1.8307510945614653</v>
      </c>
      <c r="AC85" s="105">
        <v>498.69659815854311</v>
      </c>
      <c r="AD85" s="105">
        <v>2.17401692479174</v>
      </c>
      <c r="AE85" s="105">
        <v>592.20221031326992</v>
      </c>
      <c r="AF85" s="105">
        <v>2.5766126516050254</v>
      </c>
      <c r="AG85" s="105">
        <v>701.86928629720887</v>
      </c>
      <c r="AH85" s="105">
        <v>2.1109451523545686</v>
      </c>
      <c r="AI85" s="105">
        <v>575.02145950138447</v>
      </c>
      <c r="AJ85" s="105">
        <v>2.7101694859241889</v>
      </c>
      <c r="AK85" s="105">
        <v>738.25016796574903</v>
      </c>
      <c r="AL85" s="105">
        <v>2.3502911906818982</v>
      </c>
      <c r="AM85" s="105">
        <v>640.21932034174904</v>
      </c>
      <c r="AN85" s="105">
        <v>2.5222637168293542</v>
      </c>
      <c r="AO85" s="105">
        <v>687.06463646431598</v>
      </c>
      <c r="AP85" s="105">
        <v>1.8634430783929201</v>
      </c>
      <c r="AQ85" s="105">
        <v>507.60189455423142</v>
      </c>
      <c r="AR85" s="105">
        <v>2.3716548270455351</v>
      </c>
      <c r="AS85" s="105">
        <v>646.03877488720366</v>
      </c>
      <c r="AT85" s="105">
        <v>2.3019002733089016</v>
      </c>
      <c r="AU85" s="105">
        <v>627.03763444934475</v>
      </c>
      <c r="AV85" s="105">
        <v>2.455360291529495</v>
      </c>
      <c r="AW85" s="105">
        <v>668.84014341263435</v>
      </c>
      <c r="AX85" s="105">
        <v>1.7829795239655779</v>
      </c>
      <c r="AY85" s="105">
        <v>485.68362232822341</v>
      </c>
      <c r="AZ85" s="105">
        <v>2.3502911906818982</v>
      </c>
      <c r="BA85" s="105">
        <v>640.21932034174904</v>
      </c>
      <c r="BB85" s="105">
        <v>2.3152122176866459</v>
      </c>
      <c r="BC85" s="105">
        <v>630.66380809784232</v>
      </c>
      <c r="BD85" s="105">
        <v>2.2811649791912543</v>
      </c>
      <c r="BE85" s="105">
        <v>621.38934033169767</v>
      </c>
      <c r="BF85" s="105">
        <v>2.2046368814789479</v>
      </c>
      <c r="BG85" s="105">
        <v>600.54308651486531</v>
      </c>
      <c r="BH85" s="105">
        <v>1.9689209884906327</v>
      </c>
      <c r="BI85" s="105">
        <v>536.33407726484825</v>
      </c>
      <c r="BJ85" s="105">
        <v>2.5143067704767685</v>
      </c>
      <c r="BK85" s="105">
        <v>684.89716427787164</v>
      </c>
      <c r="BL85" s="105">
        <v>1.9673159095569861</v>
      </c>
      <c r="BM85" s="105">
        <v>535.89685376332295</v>
      </c>
      <c r="BN85" s="105">
        <v>2.4603051807184944</v>
      </c>
      <c r="BO85" s="105">
        <v>670.18713122771783</v>
      </c>
      <c r="BP85" s="105">
        <v>2.1282971637961454</v>
      </c>
      <c r="BQ85" s="105">
        <v>579.74814741806995</v>
      </c>
      <c r="BR85" s="105">
        <v>1.9830140638393323</v>
      </c>
      <c r="BS85" s="105">
        <v>540.17303098983405</v>
      </c>
      <c r="BT85" s="105">
        <v>2.1861747639209441</v>
      </c>
      <c r="BU85" s="105">
        <v>595.5140056920651</v>
      </c>
      <c r="BV85" s="105">
        <v>2.3152122176866459</v>
      </c>
      <c r="BW85" s="105">
        <v>630.66380809784232</v>
      </c>
      <c r="BX85" s="105">
        <v>2.2811649791912543</v>
      </c>
      <c r="BY85" s="105">
        <v>621.38934033169767</v>
      </c>
      <c r="BZ85" s="105">
        <v>2.6199721523061914</v>
      </c>
      <c r="CA85" s="105">
        <v>713.68041428820652</v>
      </c>
      <c r="CB85" s="105">
        <v>2.9486579728311475</v>
      </c>
      <c r="CC85" s="105">
        <v>803.21443179920448</v>
      </c>
      <c r="CD85" s="105">
        <v>2.4227154250329854</v>
      </c>
      <c r="CE85" s="105">
        <v>659.94768177898516</v>
      </c>
      <c r="CF85" s="105">
        <v>2.2303132491870046</v>
      </c>
      <c r="CG85" s="105">
        <v>607.53732907853998</v>
      </c>
      <c r="CH85" s="105">
        <v>3.1167487159552696</v>
      </c>
      <c r="CI85" s="105">
        <v>849.00235022621541</v>
      </c>
      <c r="CJ85" s="105">
        <v>2.4486068533622891</v>
      </c>
      <c r="CK85" s="105">
        <v>667.00050685588747</v>
      </c>
      <c r="CL85" s="105">
        <v>2.7163958546437135</v>
      </c>
      <c r="CM85" s="105">
        <v>739.9462308049475</v>
      </c>
      <c r="CN85" s="105">
        <v>2.9494630996986877</v>
      </c>
      <c r="CO85" s="105">
        <v>803.43374835792247</v>
      </c>
      <c r="CP85" s="105">
        <v>2.3724027341404823</v>
      </c>
      <c r="CQ85" s="105">
        <v>646.24250477986732</v>
      </c>
      <c r="CR85" s="105">
        <v>2.3126390841526838</v>
      </c>
      <c r="CS85" s="105">
        <v>629.96288652319106</v>
      </c>
      <c r="CT85" s="105">
        <v>2.2455336399461241</v>
      </c>
      <c r="CU85" s="105">
        <v>611.68336352132417</v>
      </c>
    </row>
    <row r="86" spans="2:99" x14ac:dyDescent="0.2">
      <c r="C86" s="104" t="s">
        <v>254</v>
      </c>
      <c r="D86" s="105">
        <v>0</v>
      </c>
      <c r="E86" s="105">
        <v>0</v>
      </c>
      <c r="F86" s="105">
        <v>1.8433884782353636</v>
      </c>
      <c r="G86" s="105">
        <v>913.58332981344608</v>
      </c>
      <c r="H86" s="105">
        <v>2.5233259896045097</v>
      </c>
      <c r="I86" s="105">
        <v>1250.560360447995</v>
      </c>
      <c r="J86" s="105">
        <v>2.2159888369286471</v>
      </c>
      <c r="K86" s="105">
        <v>1098.2440675818375</v>
      </c>
      <c r="L86" s="105">
        <v>2.5853203097500881</v>
      </c>
      <c r="M86" s="105">
        <v>1281.2847455121437</v>
      </c>
      <c r="N86" s="105">
        <v>2.0894651549084533</v>
      </c>
      <c r="O86" s="105">
        <v>1035.5389307726293</v>
      </c>
      <c r="P86" s="105">
        <v>1.9607499730292253</v>
      </c>
      <c r="Q86" s="105">
        <v>971.74768663328393</v>
      </c>
      <c r="R86" s="105">
        <v>1.8142598664912897</v>
      </c>
      <c r="S86" s="105">
        <v>899.14718983308308</v>
      </c>
      <c r="T86" s="105">
        <v>2.6180458832912286</v>
      </c>
      <c r="U86" s="105">
        <v>1297.5035397591328</v>
      </c>
      <c r="V86" s="105">
        <v>2</v>
      </c>
      <c r="W86" s="105">
        <v>991.19999999999993</v>
      </c>
      <c r="X86" s="105">
        <v>2.7594586580528802</v>
      </c>
      <c r="Y86" s="105">
        <v>1367.5877109310072</v>
      </c>
      <c r="Z86" s="105">
        <v>2.0870562478000707</v>
      </c>
      <c r="AA86" s="105">
        <v>1034.3450764097149</v>
      </c>
      <c r="AB86" s="105">
        <v>1.8307510945614653</v>
      </c>
      <c r="AC86" s="105">
        <v>907.32024246466221</v>
      </c>
      <c r="AD86" s="105">
        <v>2.17401692479174</v>
      </c>
      <c r="AE86" s="105">
        <v>1077.4427879267862</v>
      </c>
      <c r="AF86" s="105">
        <v>2.5766126516050254</v>
      </c>
      <c r="AG86" s="105">
        <v>1276.9692301354505</v>
      </c>
      <c r="AH86" s="105">
        <v>2</v>
      </c>
      <c r="AI86" s="105">
        <v>991.19999999999993</v>
      </c>
      <c r="AJ86" s="105">
        <v>2.0326271144431414</v>
      </c>
      <c r="AK86" s="105">
        <v>1007.3699979180208</v>
      </c>
      <c r="AL86" s="105">
        <v>2.3502911906818982</v>
      </c>
      <c r="AM86" s="105">
        <v>1164.8043141019486</v>
      </c>
      <c r="AN86" s="105">
        <v>1.8916977876220156</v>
      </c>
      <c r="AO86" s="105">
        <v>937.52542354547086</v>
      </c>
      <c r="AP86" s="105">
        <v>1.8634430783929201</v>
      </c>
      <c r="AQ86" s="105">
        <v>923.52238965153117</v>
      </c>
      <c r="AR86" s="105">
        <v>2.3716548270455351</v>
      </c>
      <c r="AS86" s="105">
        <v>1175.3921322837671</v>
      </c>
      <c r="AT86" s="105">
        <v>2.3019002733089016</v>
      </c>
      <c r="AU86" s="105">
        <v>1140.8217754518914</v>
      </c>
      <c r="AV86" s="105">
        <v>2.455360291529495</v>
      </c>
      <c r="AW86" s="105">
        <v>1216.8765604820176</v>
      </c>
      <c r="AX86" s="105">
        <v>1.7829795239655779</v>
      </c>
      <c r="AY86" s="105">
        <v>883.64465207734031</v>
      </c>
      <c r="AZ86" s="105">
        <v>2.3502911906818982</v>
      </c>
      <c r="BA86" s="105">
        <v>1164.8043141019486</v>
      </c>
      <c r="BB86" s="105">
        <v>2.3152122176866459</v>
      </c>
      <c r="BC86" s="105">
        <v>1147.4191750855016</v>
      </c>
      <c r="BD86" s="105">
        <v>2.2811649791912543</v>
      </c>
      <c r="BE86" s="105">
        <v>1130.5453636871855</v>
      </c>
      <c r="BF86" s="105">
        <v>2.2046368814789479</v>
      </c>
      <c r="BG86" s="105">
        <v>1092.6180384609665</v>
      </c>
      <c r="BH86" s="105">
        <v>1.9689209884906327</v>
      </c>
      <c r="BI86" s="105">
        <v>975.79724189595754</v>
      </c>
      <c r="BJ86" s="105">
        <v>2.5143067704767685</v>
      </c>
      <c r="BK86" s="105">
        <v>1246.0904354482864</v>
      </c>
      <c r="BL86" s="105">
        <v>1.9673159095569861</v>
      </c>
      <c r="BM86" s="105">
        <v>975.0017647764422</v>
      </c>
      <c r="BN86" s="105">
        <v>2.7022080601364915</v>
      </c>
      <c r="BO86" s="105">
        <v>1339.2143146036451</v>
      </c>
      <c r="BP86" s="105">
        <v>2.1282971637961454</v>
      </c>
      <c r="BQ86" s="105">
        <v>1054.7840743773695</v>
      </c>
      <c r="BR86" s="105">
        <v>2.6271449309710619</v>
      </c>
      <c r="BS86" s="105">
        <v>1302.0130277892581</v>
      </c>
      <c r="BT86" s="105">
        <v>2.8527949743775971</v>
      </c>
      <c r="BU86" s="105">
        <v>1413.8451893015369</v>
      </c>
      <c r="BV86" s="105">
        <v>2.3152122176866459</v>
      </c>
      <c r="BW86" s="105">
        <v>1147.4191750855016</v>
      </c>
      <c r="BX86" s="105">
        <v>2.2811649791912543</v>
      </c>
      <c r="BY86" s="105">
        <v>1130.5453636871855</v>
      </c>
      <c r="BZ86" s="105">
        <v>2.3951041622262168</v>
      </c>
      <c r="CA86" s="105">
        <v>1187.013622799313</v>
      </c>
      <c r="CB86" s="105">
        <v>2.669643531481261</v>
      </c>
      <c r="CC86" s="105">
        <v>1323.0753342021128</v>
      </c>
      <c r="CD86" s="105">
        <v>2.4227154250329854</v>
      </c>
      <c r="CE86" s="105">
        <v>1200.6977646463474</v>
      </c>
      <c r="CF86" s="105">
        <v>1.99941779990389</v>
      </c>
      <c r="CG86" s="105">
        <v>990.91146163236783</v>
      </c>
      <c r="CH86" s="105">
        <v>2.4933989727642154</v>
      </c>
      <c r="CI86" s="105">
        <v>1235.7285309019451</v>
      </c>
      <c r="CJ86" s="105">
        <v>2.4934675386985177</v>
      </c>
      <c r="CK86" s="105">
        <v>1235.7625121789852</v>
      </c>
      <c r="CL86" s="105">
        <v>2.7163958546437135</v>
      </c>
      <c r="CM86" s="105">
        <v>1346.2457855614243</v>
      </c>
      <c r="CN86" s="105">
        <v>2.9805205069816099</v>
      </c>
      <c r="CO86" s="105">
        <v>1477.1459632600856</v>
      </c>
      <c r="CP86" s="105">
        <v>2.3445210075319345</v>
      </c>
      <c r="CQ86" s="105">
        <v>1161.9446113328268</v>
      </c>
      <c r="CR86" s="105">
        <v>2.2888754703802032</v>
      </c>
      <c r="CS86" s="105">
        <v>1134.3666831204287</v>
      </c>
      <c r="CT86" s="105">
        <v>2.2455336399461241</v>
      </c>
      <c r="CU86" s="105">
        <v>1112.8864719572991</v>
      </c>
    </row>
    <row r="87" spans="2:99" x14ac:dyDescent="0.2">
      <c r="B87" s="104" t="s">
        <v>131</v>
      </c>
      <c r="C87" s="104" t="s">
        <v>255</v>
      </c>
      <c r="D87" s="105">
        <v>0</v>
      </c>
      <c r="E87" s="105">
        <v>0</v>
      </c>
      <c r="F87" s="105">
        <v>2.6543408658922916</v>
      </c>
      <c r="G87" s="105">
        <v>2497.2038866314679</v>
      </c>
      <c r="H87" s="105">
        <v>4</v>
      </c>
      <c r="I87" s="105">
        <v>3763.2</v>
      </c>
      <c r="J87" s="105">
        <v>2</v>
      </c>
      <c r="K87" s="105">
        <v>1881.6</v>
      </c>
      <c r="L87" s="105">
        <v>3</v>
      </c>
      <c r="M87" s="105">
        <v>2822.3999999999996</v>
      </c>
      <c r="N87" s="105">
        <v>3</v>
      </c>
      <c r="O87" s="105">
        <v>2822.3999999999996</v>
      </c>
      <c r="P87" s="105">
        <v>4</v>
      </c>
      <c r="Q87" s="105">
        <v>3763.2</v>
      </c>
      <c r="R87" s="105">
        <v>3</v>
      </c>
      <c r="S87" s="105">
        <v>2822.3999999999996</v>
      </c>
      <c r="T87" s="105">
        <v>3</v>
      </c>
      <c r="U87" s="105">
        <v>2822.3999999999996</v>
      </c>
      <c r="V87" s="105">
        <v>4</v>
      </c>
      <c r="W87" s="105">
        <v>3763.2</v>
      </c>
      <c r="X87" s="105">
        <v>3</v>
      </c>
      <c r="Y87" s="105">
        <v>2822.3999999999996</v>
      </c>
      <c r="Z87" s="105">
        <v>4</v>
      </c>
      <c r="AA87" s="105">
        <v>3763.2</v>
      </c>
      <c r="AB87" s="105">
        <v>3</v>
      </c>
      <c r="AC87" s="105">
        <v>2822.3999999999996</v>
      </c>
      <c r="AD87" s="105">
        <v>4</v>
      </c>
      <c r="AE87" s="105">
        <v>3763.2</v>
      </c>
      <c r="AF87" s="105">
        <v>2</v>
      </c>
      <c r="AG87" s="105">
        <v>1881.6</v>
      </c>
      <c r="AH87" s="105">
        <v>4</v>
      </c>
      <c r="AI87" s="105">
        <v>3763.2</v>
      </c>
      <c r="AJ87" s="105">
        <v>3</v>
      </c>
      <c r="AK87" s="105">
        <v>2822.3999999999996</v>
      </c>
      <c r="AL87" s="105">
        <v>4</v>
      </c>
      <c r="AM87" s="105">
        <v>3763.2</v>
      </c>
      <c r="AN87" s="105">
        <v>4</v>
      </c>
      <c r="AO87" s="105">
        <v>3763.2</v>
      </c>
      <c r="AP87" s="105">
        <v>3</v>
      </c>
      <c r="AQ87" s="105">
        <v>2822.3999999999996</v>
      </c>
      <c r="AR87" s="105">
        <v>5</v>
      </c>
      <c r="AS87" s="105">
        <v>4704</v>
      </c>
      <c r="AT87" s="105">
        <v>3</v>
      </c>
      <c r="AU87" s="105">
        <v>2822.3999999999996</v>
      </c>
      <c r="AV87" s="105">
        <v>4</v>
      </c>
      <c r="AW87" s="105">
        <v>3763.2</v>
      </c>
      <c r="AX87" s="105">
        <v>3</v>
      </c>
      <c r="AY87" s="105">
        <v>2822.3999999999996</v>
      </c>
      <c r="AZ87" s="105">
        <v>4</v>
      </c>
      <c r="BA87" s="105">
        <v>3763.2</v>
      </c>
      <c r="BB87" s="105">
        <v>3</v>
      </c>
      <c r="BC87" s="105">
        <v>2822.3999999999996</v>
      </c>
      <c r="BD87" s="105">
        <v>3</v>
      </c>
      <c r="BE87" s="105">
        <v>2822.3999999999996</v>
      </c>
      <c r="BF87" s="105">
        <v>3</v>
      </c>
      <c r="BG87" s="105">
        <v>2822.3999999999996</v>
      </c>
      <c r="BH87" s="105">
        <v>3</v>
      </c>
      <c r="BI87" s="105">
        <v>2822.3999999999996</v>
      </c>
      <c r="BJ87" s="105">
        <v>4</v>
      </c>
      <c r="BK87" s="105">
        <v>3763.2</v>
      </c>
      <c r="BL87" s="105">
        <v>3</v>
      </c>
      <c r="BM87" s="105">
        <v>2822.3999999999996</v>
      </c>
      <c r="BN87" s="105">
        <v>4</v>
      </c>
      <c r="BO87" s="105">
        <v>3763.2</v>
      </c>
      <c r="BP87" s="105">
        <v>4</v>
      </c>
      <c r="BQ87" s="105">
        <v>3763.2</v>
      </c>
      <c r="BR87" s="105">
        <v>4</v>
      </c>
      <c r="BS87" s="105">
        <v>3763.2</v>
      </c>
      <c r="BT87" s="105">
        <v>4</v>
      </c>
      <c r="BU87" s="105">
        <v>3763.2</v>
      </c>
      <c r="BV87" s="105">
        <v>4</v>
      </c>
      <c r="BW87" s="105">
        <v>3763.2</v>
      </c>
      <c r="BX87" s="105">
        <v>4</v>
      </c>
      <c r="BY87" s="105">
        <v>3763.2</v>
      </c>
      <c r="BZ87" s="105">
        <v>4</v>
      </c>
      <c r="CA87" s="105">
        <v>3763.2</v>
      </c>
      <c r="CB87" s="105">
        <v>5</v>
      </c>
      <c r="CC87" s="105">
        <v>4704</v>
      </c>
      <c r="CD87" s="105">
        <v>3</v>
      </c>
      <c r="CE87" s="105">
        <v>2822.3999999999996</v>
      </c>
      <c r="CF87" s="105">
        <v>4</v>
      </c>
      <c r="CG87" s="105">
        <v>3763.2</v>
      </c>
      <c r="CH87" s="105">
        <v>5</v>
      </c>
      <c r="CI87" s="105">
        <v>4704</v>
      </c>
      <c r="CJ87" s="105">
        <v>4</v>
      </c>
      <c r="CK87" s="105">
        <v>3763.2</v>
      </c>
      <c r="CL87" s="105">
        <v>4</v>
      </c>
      <c r="CM87" s="105">
        <v>3763.2</v>
      </c>
      <c r="CN87" s="105">
        <v>3</v>
      </c>
      <c r="CO87" s="105">
        <v>2822.3999999999996</v>
      </c>
      <c r="CP87" s="105">
        <v>4</v>
      </c>
      <c r="CQ87" s="105">
        <v>3763.2</v>
      </c>
      <c r="CR87" s="105">
        <v>3</v>
      </c>
      <c r="CS87" s="105">
        <v>2822.3999999999996</v>
      </c>
      <c r="CT87" s="105">
        <v>4</v>
      </c>
      <c r="CU87" s="105">
        <v>3763.2</v>
      </c>
    </row>
    <row r="88" spans="2:99" x14ac:dyDescent="0.2">
      <c r="C88" s="104" t="s">
        <v>256</v>
      </c>
      <c r="D88" s="105">
        <v>0</v>
      </c>
      <c r="E88" s="105">
        <v>0</v>
      </c>
      <c r="F88" s="105">
        <v>2.6543408658922916</v>
      </c>
      <c r="G88" s="105">
        <v>2325.2025985216474</v>
      </c>
      <c r="H88" s="105">
        <v>3</v>
      </c>
      <c r="I88" s="105">
        <v>2628</v>
      </c>
      <c r="J88" s="105">
        <v>2</v>
      </c>
      <c r="K88" s="105">
        <v>1752</v>
      </c>
      <c r="L88" s="105">
        <v>2</v>
      </c>
      <c r="M88" s="105">
        <v>1752</v>
      </c>
      <c r="N88" s="105">
        <v>3</v>
      </c>
      <c r="O88" s="105">
        <v>2628</v>
      </c>
      <c r="P88" s="105">
        <v>4</v>
      </c>
      <c r="Q88" s="105">
        <v>3504</v>
      </c>
      <c r="R88" s="105">
        <v>3</v>
      </c>
      <c r="S88" s="105">
        <v>2628</v>
      </c>
      <c r="T88" s="105">
        <v>3</v>
      </c>
      <c r="U88" s="105">
        <v>2628</v>
      </c>
      <c r="V88" s="105">
        <v>4</v>
      </c>
      <c r="W88" s="105">
        <v>3504</v>
      </c>
      <c r="X88" s="105">
        <v>3</v>
      </c>
      <c r="Y88" s="105">
        <v>2628</v>
      </c>
      <c r="Z88" s="105">
        <v>4</v>
      </c>
      <c r="AA88" s="105">
        <v>3504</v>
      </c>
      <c r="AB88" s="105">
        <v>2</v>
      </c>
      <c r="AC88" s="105">
        <v>1752</v>
      </c>
      <c r="AD88" s="105">
        <v>4</v>
      </c>
      <c r="AE88" s="105">
        <v>3504</v>
      </c>
      <c r="AF88" s="105">
        <v>2</v>
      </c>
      <c r="AG88" s="105">
        <v>1752</v>
      </c>
      <c r="AH88" s="105">
        <v>4</v>
      </c>
      <c r="AI88" s="105">
        <v>3504</v>
      </c>
      <c r="AJ88" s="105">
        <v>3</v>
      </c>
      <c r="AK88" s="105">
        <v>2628</v>
      </c>
      <c r="AL88" s="105">
        <v>4</v>
      </c>
      <c r="AM88" s="105">
        <v>3504</v>
      </c>
      <c r="AN88" s="105">
        <v>3</v>
      </c>
      <c r="AO88" s="105">
        <v>2628</v>
      </c>
      <c r="AP88" s="105">
        <v>3</v>
      </c>
      <c r="AQ88" s="105">
        <v>2628</v>
      </c>
      <c r="AR88" s="105">
        <v>4</v>
      </c>
      <c r="AS88" s="105">
        <v>3504</v>
      </c>
      <c r="AT88" s="105">
        <v>3</v>
      </c>
      <c r="AU88" s="105">
        <v>2628</v>
      </c>
      <c r="AV88" s="105">
        <v>4</v>
      </c>
      <c r="AW88" s="105">
        <v>3504</v>
      </c>
      <c r="AX88" s="105">
        <v>4</v>
      </c>
      <c r="AY88" s="105">
        <v>3504</v>
      </c>
      <c r="AZ88" s="105">
        <v>4</v>
      </c>
      <c r="BA88" s="105">
        <v>3504</v>
      </c>
      <c r="BB88" s="105">
        <v>3</v>
      </c>
      <c r="BC88" s="105">
        <v>2628</v>
      </c>
      <c r="BD88" s="105">
        <v>3</v>
      </c>
      <c r="BE88" s="105">
        <v>2628</v>
      </c>
      <c r="BF88" s="105">
        <v>4</v>
      </c>
      <c r="BG88" s="105">
        <v>3504</v>
      </c>
      <c r="BH88" s="105">
        <v>3</v>
      </c>
      <c r="BI88" s="105">
        <v>2628</v>
      </c>
      <c r="BJ88" s="105">
        <v>4</v>
      </c>
      <c r="BK88" s="105">
        <v>3504</v>
      </c>
      <c r="BL88" s="105">
        <v>3</v>
      </c>
      <c r="BM88" s="105">
        <v>2628</v>
      </c>
      <c r="BN88" s="105">
        <v>4</v>
      </c>
      <c r="BO88" s="105">
        <v>3504</v>
      </c>
      <c r="BP88" s="105">
        <v>4</v>
      </c>
      <c r="BQ88" s="105">
        <v>3504</v>
      </c>
      <c r="BR88" s="105">
        <v>3</v>
      </c>
      <c r="BS88" s="105">
        <v>2628</v>
      </c>
      <c r="BT88" s="105">
        <v>4</v>
      </c>
      <c r="BU88" s="105">
        <v>3504</v>
      </c>
      <c r="BV88" s="105">
        <v>4</v>
      </c>
      <c r="BW88" s="105">
        <v>3504</v>
      </c>
      <c r="BX88" s="105">
        <v>4</v>
      </c>
      <c r="BY88" s="105">
        <v>3504</v>
      </c>
      <c r="BZ88" s="105">
        <v>4</v>
      </c>
      <c r="CA88" s="105">
        <v>3504</v>
      </c>
      <c r="CB88" s="105">
        <v>4</v>
      </c>
      <c r="CC88" s="105">
        <v>3504</v>
      </c>
      <c r="CD88" s="105">
        <v>3</v>
      </c>
      <c r="CE88" s="105">
        <v>2628</v>
      </c>
      <c r="CF88" s="105">
        <v>3</v>
      </c>
      <c r="CG88" s="105">
        <v>2628</v>
      </c>
      <c r="CH88" s="105">
        <v>4</v>
      </c>
      <c r="CI88" s="105">
        <v>3504</v>
      </c>
      <c r="CJ88" s="105">
        <v>4</v>
      </c>
      <c r="CK88" s="105">
        <v>3504</v>
      </c>
      <c r="CL88" s="105">
        <v>4</v>
      </c>
      <c r="CM88" s="105">
        <v>3504</v>
      </c>
      <c r="CN88" s="105">
        <v>3</v>
      </c>
      <c r="CO88" s="105">
        <v>2628</v>
      </c>
      <c r="CP88" s="105">
        <v>4</v>
      </c>
      <c r="CQ88" s="105">
        <v>3504</v>
      </c>
      <c r="CR88" s="105">
        <v>4</v>
      </c>
      <c r="CS88" s="105">
        <v>3504</v>
      </c>
      <c r="CT88" s="105">
        <v>4</v>
      </c>
      <c r="CU88" s="105">
        <v>3504</v>
      </c>
    </row>
    <row r="89" spans="2:99" x14ac:dyDescent="0.2">
      <c r="C89" s="104" t="s">
        <v>257</v>
      </c>
      <c r="D89" s="105">
        <v>0</v>
      </c>
      <c r="E89" s="105">
        <v>0</v>
      </c>
      <c r="F89" s="105">
        <v>2.6543408658922916</v>
      </c>
      <c r="G89" s="105">
        <v>1548.0115929883843</v>
      </c>
      <c r="H89" s="105">
        <v>3</v>
      </c>
      <c r="I89" s="105">
        <v>1749.6</v>
      </c>
      <c r="J89" s="105">
        <v>2</v>
      </c>
      <c r="K89" s="105">
        <v>1166.3999999999999</v>
      </c>
      <c r="L89" s="105">
        <v>3</v>
      </c>
      <c r="M89" s="105">
        <v>1749.6</v>
      </c>
      <c r="N89" s="105">
        <v>3</v>
      </c>
      <c r="O89" s="105">
        <v>1749.6</v>
      </c>
      <c r="P89" s="105">
        <v>4</v>
      </c>
      <c r="Q89" s="105">
        <v>2332.7999999999997</v>
      </c>
      <c r="R89" s="105">
        <v>4</v>
      </c>
      <c r="S89" s="105">
        <v>2332.7999999999997</v>
      </c>
      <c r="T89" s="105">
        <v>3</v>
      </c>
      <c r="U89" s="105">
        <v>1749.6</v>
      </c>
      <c r="V89" s="105">
        <v>4</v>
      </c>
      <c r="W89" s="105">
        <v>2332.7999999999997</v>
      </c>
      <c r="X89" s="105">
        <v>2</v>
      </c>
      <c r="Y89" s="105">
        <v>1166.3999999999999</v>
      </c>
      <c r="Z89" s="105">
        <v>4</v>
      </c>
      <c r="AA89" s="105">
        <v>2332.7999999999997</v>
      </c>
      <c r="AB89" s="105">
        <v>2</v>
      </c>
      <c r="AC89" s="105">
        <v>1166.3999999999999</v>
      </c>
      <c r="AD89" s="105">
        <v>3</v>
      </c>
      <c r="AE89" s="105">
        <v>1749.6</v>
      </c>
      <c r="AF89" s="105">
        <v>2</v>
      </c>
      <c r="AG89" s="105">
        <v>1166.3999999999999</v>
      </c>
      <c r="AH89" s="105">
        <v>4</v>
      </c>
      <c r="AI89" s="105">
        <v>2332.7999999999997</v>
      </c>
      <c r="AJ89" s="105">
        <v>3</v>
      </c>
      <c r="AK89" s="105">
        <v>1749.6</v>
      </c>
      <c r="AL89" s="105">
        <v>4</v>
      </c>
      <c r="AM89" s="105">
        <v>2332.7999999999997</v>
      </c>
      <c r="AN89" s="105">
        <v>4</v>
      </c>
      <c r="AO89" s="105">
        <v>2332.7999999999997</v>
      </c>
      <c r="AP89" s="105">
        <v>3</v>
      </c>
      <c r="AQ89" s="105">
        <v>1749.6</v>
      </c>
      <c r="AR89" s="105">
        <v>5</v>
      </c>
      <c r="AS89" s="105">
        <v>2915.9999999999995</v>
      </c>
      <c r="AT89" s="105">
        <v>3</v>
      </c>
      <c r="AU89" s="105">
        <v>1749.6</v>
      </c>
      <c r="AV89" s="105">
        <v>4</v>
      </c>
      <c r="AW89" s="105">
        <v>2332.7999999999997</v>
      </c>
      <c r="AX89" s="105">
        <v>4</v>
      </c>
      <c r="AY89" s="105">
        <v>2332.7999999999997</v>
      </c>
      <c r="AZ89" s="105">
        <v>3</v>
      </c>
      <c r="BA89" s="105">
        <v>1749.6</v>
      </c>
      <c r="BB89" s="105">
        <v>3</v>
      </c>
      <c r="BC89" s="105">
        <v>1749.6</v>
      </c>
      <c r="BD89" s="105">
        <v>3</v>
      </c>
      <c r="BE89" s="105">
        <v>1749.6</v>
      </c>
      <c r="BF89" s="105">
        <v>4</v>
      </c>
      <c r="BG89" s="105">
        <v>2332.7999999999997</v>
      </c>
      <c r="BH89" s="105">
        <v>3</v>
      </c>
      <c r="BI89" s="105">
        <v>1749.6</v>
      </c>
      <c r="BJ89" s="105">
        <v>4</v>
      </c>
      <c r="BK89" s="105">
        <v>2332.7999999999997</v>
      </c>
      <c r="BL89" s="105">
        <v>3</v>
      </c>
      <c r="BM89" s="105">
        <v>1749.6</v>
      </c>
      <c r="BN89" s="105">
        <v>4</v>
      </c>
      <c r="BO89" s="105">
        <v>2332.7999999999997</v>
      </c>
      <c r="BP89" s="105">
        <v>4</v>
      </c>
      <c r="BQ89" s="105">
        <v>2332.7999999999997</v>
      </c>
      <c r="BR89" s="105">
        <v>4</v>
      </c>
      <c r="BS89" s="105">
        <v>2332.7999999999997</v>
      </c>
      <c r="BT89" s="105">
        <v>4</v>
      </c>
      <c r="BU89" s="105">
        <v>2332.7999999999997</v>
      </c>
      <c r="BV89" s="105">
        <v>5</v>
      </c>
      <c r="BW89" s="105">
        <v>2915.9999999999995</v>
      </c>
      <c r="BX89" s="105">
        <v>4</v>
      </c>
      <c r="BY89" s="105">
        <v>2332.7999999999997</v>
      </c>
      <c r="BZ89" s="105">
        <v>4</v>
      </c>
      <c r="CA89" s="105">
        <v>2332.7999999999997</v>
      </c>
      <c r="CB89" s="105">
        <v>5</v>
      </c>
      <c r="CC89" s="105">
        <v>2915.9999999999995</v>
      </c>
      <c r="CD89" s="105">
        <v>4</v>
      </c>
      <c r="CE89" s="105">
        <v>2332.7999999999997</v>
      </c>
      <c r="CF89" s="105">
        <v>4</v>
      </c>
      <c r="CG89" s="105">
        <v>2332.7999999999997</v>
      </c>
      <c r="CH89" s="105">
        <v>4</v>
      </c>
      <c r="CI89" s="105">
        <v>2332.7999999999997</v>
      </c>
      <c r="CJ89" s="105">
        <v>5</v>
      </c>
      <c r="CK89" s="105">
        <v>2915.9999999999995</v>
      </c>
      <c r="CL89" s="105">
        <v>4</v>
      </c>
      <c r="CM89" s="105">
        <v>2332.7999999999997</v>
      </c>
      <c r="CN89" s="105">
        <v>3</v>
      </c>
      <c r="CO89" s="105">
        <v>1749.6</v>
      </c>
      <c r="CP89" s="105">
        <v>4</v>
      </c>
      <c r="CQ89" s="105">
        <v>2332.7999999999997</v>
      </c>
      <c r="CR89" s="105">
        <v>4</v>
      </c>
      <c r="CS89" s="105">
        <v>2332.7999999999997</v>
      </c>
      <c r="CT89" s="105">
        <v>5</v>
      </c>
      <c r="CU89" s="105">
        <v>2915.9999999999995</v>
      </c>
    </row>
    <row r="90" spans="2:99" x14ac:dyDescent="0.2">
      <c r="C90" s="104" t="s">
        <v>258</v>
      </c>
      <c r="D90" s="105">
        <v>0</v>
      </c>
      <c r="E90" s="105">
        <v>0</v>
      </c>
      <c r="F90" s="105">
        <v>2.6543408658922916</v>
      </c>
      <c r="G90" s="105">
        <v>2172.3125646462513</v>
      </c>
      <c r="H90" s="105">
        <v>4</v>
      </c>
      <c r="I90" s="105">
        <v>3273.6</v>
      </c>
      <c r="J90" s="105">
        <v>2</v>
      </c>
      <c r="K90" s="105">
        <v>1636.8</v>
      </c>
      <c r="L90" s="105">
        <v>2</v>
      </c>
      <c r="M90" s="105">
        <v>1636.8</v>
      </c>
      <c r="N90" s="105">
        <v>3</v>
      </c>
      <c r="O90" s="105">
        <v>2455.1999999999998</v>
      </c>
      <c r="P90" s="105">
        <v>4</v>
      </c>
      <c r="Q90" s="105">
        <v>3273.6</v>
      </c>
      <c r="R90" s="105">
        <v>3</v>
      </c>
      <c r="S90" s="105">
        <v>2455.1999999999998</v>
      </c>
      <c r="T90" s="105">
        <v>3</v>
      </c>
      <c r="U90" s="105">
        <v>2455.1999999999998</v>
      </c>
      <c r="V90" s="105">
        <v>4</v>
      </c>
      <c r="W90" s="105">
        <v>3273.6</v>
      </c>
      <c r="X90" s="105">
        <v>2</v>
      </c>
      <c r="Y90" s="105">
        <v>1636.8</v>
      </c>
      <c r="Z90" s="105">
        <v>4</v>
      </c>
      <c r="AA90" s="105">
        <v>3273.6</v>
      </c>
      <c r="AB90" s="105">
        <v>2</v>
      </c>
      <c r="AC90" s="105">
        <v>1636.8</v>
      </c>
      <c r="AD90" s="105">
        <v>4</v>
      </c>
      <c r="AE90" s="105">
        <v>3273.6</v>
      </c>
      <c r="AF90" s="105">
        <v>2</v>
      </c>
      <c r="AG90" s="105">
        <v>1636.8</v>
      </c>
      <c r="AH90" s="105">
        <v>4</v>
      </c>
      <c r="AI90" s="105">
        <v>3273.6</v>
      </c>
      <c r="AJ90" s="105">
        <v>3</v>
      </c>
      <c r="AK90" s="105">
        <v>2455.1999999999998</v>
      </c>
      <c r="AL90" s="105">
        <v>4</v>
      </c>
      <c r="AM90" s="105">
        <v>3273.6</v>
      </c>
      <c r="AN90" s="105">
        <v>4</v>
      </c>
      <c r="AO90" s="105">
        <v>3273.6</v>
      </c>
      <c r="AP90" s="105">
        <v>3</v>
      </c>
      <c r="AQ90" s="105">
        <v>2455.1999999999998</v>
      </c>
      <c r="AR90" s="105">
        <v>5</v>
      </c>
      <c r="AS90" s="105">
        <v>4092</v>
      </c>
      <c r="AT90" s="105">
        <v>3</v>
      </c>
      <c r="AU90" s="105">
        <v>2455.1999999999998</v>
      </c>
      <c r="AV90" s="105">
        <v>4</v>
      </c>
      <c r="AW90" s="105">
        <v>3273.6</v>
      </c>
      <c r="AX90" s="105">
        <v>4</v>
      </c>
      <c r="AY90" s="105">
        <v>3273.6</v>
      </c>
      <c r="AZ90" s="105">
        <v>4</v>
      </c>
      <c r="BA90" s="105">
        <v>3273.6</v>
      </c>
      <c r="BB90" s="105">
        <v>3</v>
      </c>
      <c r="BC90" s="105">
        <v>2455.1999999999998</v>
      </c>
      <c r="BD90" s="105">
        <v>3</v>
      </c>
      <c r="BE90" s="105">
        <v>2455.1999999999998</v>
      </c>
      <c r="BF90" s="105">
        <v>3</v>
      </c>
      <c r="BG90" s="105">
        <v>2455.1999999999998</v>
      </c>
      <c r="BH90" s="105">
        <v>3</v>
      </c>
      <c r="BI90" s="105">
        <v>2455.1999999999998</v>
      </c>
      <c r="BJ90" s="105">
        <v>4</v>
      </c>
      <c r="BK90" s="105">
        <v>3273.6</v>
      </c>
      <c r="BL90" s="105">
        <v>3</v>
      </c>
      <c r="BM90" s="105">
        <v>2455.1999999999998</v>
      </c>
      <c r="BN90" s="105">
        <v>4</v>
      </c>
      <c r="BO90" s="105">
        <v>3273.6</v>
      </c>
      <c r="BP90" s="105">
        <v>4</v>
      </c>
      <c r="BQ90" s="105">
        <v>3273.6</v>
      </c>
      <c r="BR90" s="105">
        <v>3</v>
      </c>
      <c r="BS90" s="105">
        <v>2455.1999999999998</v>
      </c>
      <c r="BT90" s="105">
        <v>4</v>
      </c>
      <c r="BU90" s="105">
        <v>3273.6</v>
      </c>
      <c r="BV90" s="105">
        <v>4</v>
      </c>
      <c r="BW90" s="105">
        <v>3273.6</v>
      </c>
      <c r="BX90" s="105">
        <v>4</v>
      </c>
      <c r="BY90" s="105">
        <v>3273.6</v>
      </c>
      <c r="BZ90" s="105">
        <v>4</v>
      </c>
      <c r="CA90" s="105">
        <v>3273.6</v>
      </c>
      <c r="CB90" s="105">
        <v>5</v>
      </c>
      <c r="CC90" s="105">
        <v>4092</v>
      </c>
      <c r="CD90" s="105">
        <v>3</v>
      </c>
      <c r="CE90" s="105">
        <v>2455.1999999999998</v>
      </c>
      <c r="CF90" s="105">
        <v>4</v>
      </c>
      <c r="CG90" s="105">
        <v>3273.6</v>
      </c>
      <c r="CH90" s="105">
        <v>5</v>
      </c>
      <c r="CI90" s="105">
        <v>4092</v>
      </c>
      <c r="CJ90" s="105">
        <v>4</v>
      </c>
      <c r="CK90" s="105">
        <v>3273.6</v>
      </c>
      <c r="CL90" s="105">
        <v>5</v>
      </c>
      <c r="CM90" s="105">
        <v>4092</v>
      </c>
      <c r="CN90" s="105">
        <v>3</v>
      </c>
      <c r="CO90" s="105">
        <v>2455.1999999999998</v>
      </c>
      <c r="CP90" s="105">
        <v>4</v>
      </c>
      <c r="CQ90" s="105">
        <v>3273.6</v>
      </c>
      <c r="CR90" s="105">
        <v>3</v>
      </c>
      <c r="CS90" s="105">
        <v>2455.1999999999998</v>
      </c>
      <c r="CT90" s="105">
        <v>5</v>
      </c>
      <c r="CU90" s="105">
        <v>4092</v>
      </c>
    </row>
    <row r="91" spans="2:99" x14ac:dyDescent="0.2">
      <c r="C91" s="104" t="s">
        <v>259</v>
      </c>
      <c r="D91" s="105">
        <v>0</v>
      </c>
      <c r="E91" s="105">
        <v>0</v>
      </c>
      <c r="F91" s="105">
        <v>2.6543408658922916</v>
      </c>
      <c r="G91" s="105">
        <v>2086.3119205913413</v>
      </c>
      <c r="H91" s="105">
        <v>3</v>
      </c>
      <c r="I91" s="105">
        <v>2358</v>
      </c>
      <c r="J91" s="105">
        <v>2</v>
      </c>
      <c r="K91" s="105">
        <v>1572</v>
      </c>
      <c r="L91" s="105">
        <v>3</v>
      </c>
      <c r="M91" s="105">
        <v>2358</v>
      </c>
      <c r="N91" s="105">
        <v>3</v>
      </c>
      <c r="O91" s="105">
        <v>2358</v>
      </c>
      <c r="P91" s="105">
        <v>4</v>
      </c>
      <c r="Q91" s="105">
        <v>3144</v>
      </c>
      <c r="R91" s="105">
        <v>3</v>
      </c>
      <c r="S91" s="105">
        <v>2358</v>
      </c>
      <c r="T91" s="105">
        <v>3</v>
      </c>
      <c r="U91" s="105">
        <v>2358</v>
      </c>
      <c r="V91" s="105">
        <v>4</v>
      </c>
      <c r="W91" s="105">
        <v>3144</v>
      </c>
      <c r="X91" s="105">
        <v>2</v>
      </c>
      <c r="Y91" s="105">
        <v>1572</v>
      </c>
      <c r="Z91" s="105">
        <v>4</v>
      </c>
      <c r="AA91" s="105">
        <v>3144</v>
      </c>
      <c r="AB91" s="105">
        <v>3</v>
      </c>
      <c r="AC91" s="105">
        <v>2358</v>
      </c>
      <c r="AD91" s="105">
        <v>4</v>
      </c>
      <c r="AE91" s="105">
        <v>3144</v>
      </c>
      <c r="AF91" s="105">
        <v>2</v>
      </c>
      <c r="AG91" s="105">
        <v>1572</v>
      </c>
      <c r="AH91" s="105">
        <v>4</v>
      </c>
      <c r="AI91" s="105">
        <v>3144</v>
      </c>
      <c r="AJ91" s="105">
        <v>3</v>
      </c>
      <c r="AK91" s="105">
        <v>2358</v>
      </c>
      <c r="AL91" s="105">
        <v>4</v>
      </c>
      <c r="AM91" s="105">
        <v>3144</v>
      </c>
      <c r="AN91" s="105">
        <v>3</v>
      </c>
      <c r="AO91" s="105">
        <v>2358</v>
      </c>
      <c r="AP91" s="105">
        <v>3</v>
      </c>
      <c r="AQ91" s="105">
        <v>2358</v>
      </c>
      <c r="AR91" s="105">
        <v>4</v>
      </c>
      <c r="AS91" s="105">
        <v>3144</v>
      </c>
      <c r="AT91" s="105">
        <v>2</v>
      </c>
      <c r="AU91" s="105">
        <v>1572</v>
      </c>
      <c r="AV91" s="105">
        <v>4</v>
      </c>
      <c r="AW91" s="105">
        <v>3144</v>
      </c>
      <c r="AX91" s="105">
        <v>4</v>
      </c>
      <c r="AY91" s="105">
        <v>3144</v>
      </c>
      <c r="AZ91" s="105">
        <v>4</v>
      </c>
      <c r="BA91" s="105">
        <v>3144</v>
      </c>
      <c r="BB91" s="105">
        <v>3</v>
      </c>
      <c r="BC91" s="105">
        <v>2358</v>
      </c>
      <c r="BD91" s="105">
        <v>3</v>
      </c>
      <c r="BE91" s="105">
        <v>2358</v>
      </c>
      <c r="BF91" s="105">
        <v>4</v>
      </c>
      <c r="BG91" s="105">
        <v>3144</v>
      </c>
      <c r="BH91" s="105">
        <v>3</v>
      </c>
      <c r="BI91" s="105">
        <v>2358</v>
      </c>
      <c r="BJ91" s="105">
        <v>4</v>
      </c>
      <c r="BK91" s="105">
        <v>3144</v>
      </c>
      <c r="BL91" s="105">
        <v>3</v>
      </c>
      <c r="BM91" s="105">
        <v>2358</v>
      </c>
      <c r="BN91" s="105">
        <v>4</v>
      </c>
      <c r="BO91" s="105">
        <v>3144</v>
      </c>
      <c r="BP91" s="105">
        <v>4</v>
      </c>
      <c r="BQ91" s="105">
        <v>3144</v>
      </c>
      <c r="BR91" s="105">
        <v>3</v>
      </c>
      <c r="BS91" s="105">
        <v>2358</v>
      </c>
      <c r="BT91" s="105">
        <v>3</v>
      </c>
      <c r="BU91" s="105">
        <v>2358</v>
      </c>
      <c r="BV91" s="105">
        <v>5</v>
      </c>
      <c r="BW91" s="105">
        <v>3930</v>
      </c>
      <c r="BX91" s="105">
        <v>4</v>
      </c>
      <c r="BY91" s="105">
        <v>3144</v>
      </c>
      <c r="BZ91" s="105">
        <v>4</v>
      </c>
      <c r="CA91" s="105">
        <v>3144</v>
      </c>
      <c r="CB91" s="105">
        <v>5</v>
      </c>
      <c r="CC91" s="105">
        <v>3930</v>
      </c>
      <c r="CD91" s="105">
        <v>3</v>
      </c>
      <c r="CE91" s="105">
        <v>2358</v>
      </c>
      <c r="CF91" s="105">
        <v>4</v>
      </c>
      <c r="CG91" s="105">
        <v>3144</v>
      </c>
      <c r="CH91" s="105">
        <v>5</v>
      </c>
      <c r="CI91" s="105">
        <v>3930</v>
      </c>
      <c r="CJ91" s="105">
        <v>4</v>
      </c>
      <c r="CK91" s="105">
        <v>3144</v>
      </c>
      <c r="CL91" s="105">
        <v>5</v>
      </c>
      <c r="CM91" s="105">
        <v>3930</v>
      </c>
      <c r="CN91" s="105">
        <v>3</v>
      </c>
      <c r="CO91" s="105">
        <v>2358</v>
      </c>
      <c r="CP91" s="105">
        <v>4</v>
      </c>
      <c r="CQ91" s="105">
        <v>3144</v>
      </c>
      <c r="CR91" s="105">
        <v>3</v>
      </c>
      <c r="CS91" s="105">
        <v>2358</v>
      </c>
      <c r="CT91" s="105">
        <v>4</v>
      </c>
      <c r="CU91" s="105">
        <v>3144</v>
      </c>
    </row>
    <row r="92" spans="2:99" x14ac:dyDescent="0.2">
      <c r="C92" s="104" t="s">
        <v>260</v>
      </c>
      <c r="D92" s="105">
        <v>0</v>
      </c>
      <c r="E92" s="105">
        <v>0</v>
      </c>
      <c r="F92" s="105">
        <v>2.6543408658922916</v>
      </c>
      <c r="G92" s="105">
        <v>2487.6482595142556</v>
      </c>
      <c r="H92" s="105">
        <v>3</v>
      </c>
      <c r="I92" s="105">
        <v>2811.6</v>
      </c>
      <c r="J92" s="105">
        <v>2</v>
      </c>
      <c r="K92" s="105">
        <v>1874.3999999999999</v>
      </c>
      <c r="L92" s="105">
        <v>2</v>
      </c>
      <c r="M92" s="105">
        <v>1874.3999999999999</v>
      </c>
      <c r="N92" s="105">
        <v>3</v>
      </c>
      <c r="O92" s="105">
        <v>2811.6</v>
      </c>
      <c r="P92" s="105">
        <v>4</v>
      </c>
      <c r="Q92" s="105">
        <v>3748.7999999999997</v>
      </c>
      <c r="R92" s="105">
        <v>3</v>
      </c>
      <c r="S92" s="105">
        <v>2811.6</v>
      </c>
      <c r="T92" s="105">
        <v>4</v>
      </c>
      <c r="U92" s="105">
        <v>3748.7999999999997</v>
      </c>
      <c r="V92" s="105">
        <v>3</v>
      </c>
      <c r="W92" s="105">
        <v>2811.6</v>
      </c>
      <c r="X92" s="105">
        <v>2</v>
      </c>
      <c r="Y92" s="105">
        <v>1874.3999999999999</v>
      </c>
      <c r="Z92" s="105">
        <v>4</v>
      </c>
      <c r="AA92" s="105">
        <v>3748.7999999999997</v>
      </c>
      <c r="AB92" s="105">
        <v>2</v>
      </c>
      <c r="AC92" s="105">
        <v>1874.3999999999999</v>
      </c>
      <c r="AD92" s="105">
        <v>3</v>
      </c>
      <c r="AE92" s="105">
        <v>2811.6</v>
      </c>
      <c r="AF92" s="105">
        <v>2</v>
      </c>
      <c r="AG92" s="105">
        <v>1874.3999999999999</v>
      </c>
      <c r="AH92" s="105">
        <v>4</v>
      </c>
      <c r="AI92" s="105">
        <v>3748.7999999999997</v>
      </c>
      <c r="AJ92" s="105">
        <v>4</v>
      </c>
      <c r="AK92" s="105">
        <v>3748.7999999999997</v>
      </c>
      <c r="AL92" s="105">
        <v>4</v>
      </c>
      <c r="AM92" s="105">
        <v>3748.7999999999997</v>
      </c>
      <c r="AN92" s="105">
        <v>3</v>
      </c>
      <c r="AO92" s="105">
        <v>2811.6</v>
      </c>
      <c r="AP92" s="105">
        <v>3</v>
      </c>
      <c r="AQ92" s="105">
        <v>2811.6</v>
      </c>
      <c r="AR92" s="105">
        <v>5</v>
      </c>
      <c r="AS92" s="105">
        <v>4686</v>
      </c>
      <c r="AT92" s="105">
        <v>3</v>
      </c>
      <c r="AU92" s="105">
        <v>2811.6</v>
      </c>
      <c r="AV92" s="105">
        <v>4</v>
      </c>
      <c r="AW92" s="105">
        <v>3748.7999999999997</v>
      </c>
      <c r="AX92" s="105">
        <v>4</v>
      </c>
      <c r="AY92" s="105">
        <v>3748.7999999999997</v>
      </c>
      <c r="AZ92" s="105">
        <v>3</v>
      </c>
      <c r="BA92" s="105">
        <v>2811.6</v>
      </c>
      <c r="BB92" s="105">
        <v>2</v>
      </c>
      <c r="BC92" s="105">
        <v>1874.3999999999999</v>
      </c>
      <c r="BD92" s="105">
        <v>3</v>
      </c>
      <c r="BE92" s="105">
        <v>2811.6</v>
      </c>
      <c r="BF92" s="105">
        <v>3</v>
      </c>
      <c r="BG92" s="105">
        <v>2811.6</v>
      </c>
      <c r="BH92" s="105">
        <v>3</v>
      </c>
      <c r="BI92" s="105">
        <v>2811.6</v>
      </c>
      <c r="BJ92" s="105">
        <v>4</v>
      </c>
      <c r="BK92" s="105">
        <v>3748.7999999999997</v>
      </c>
      <c r="BL92" s="105">
        <v>3</v>
      </c>
      <c r="BM92" s="105">
        <v>2811.6</v>
      </c>
      <c r="BN92" s="105">
        <v>4</v>
      </c>
      <c r="BO92" s="105">
        <v>3748.7999999999997</v>
      </c>
      <c r="BP92" s="105">
        <v>4</v>
      </c>
      <c r="BQ92" s="105">
        <v>3748.7999999999997</v>
      </c>
      <c r="BR92" s="105">
        <v>4</v>
      </c>
      <c r="BS92" s="105">
        <v>3748.7999999999997</v>
      </c>
      <c r="BT92" s="105">
        <v>4</v>
      </c>
      <c r="BU92" s="105">
        <v>3748.7999999999997</v>
      </c>
      <c r="BV92" s="105">
        <v>4</v>
      </c>
      <c r="BW92" s="105">
        <v>3748.7999999999997</v>
      </c>
      <c r="BX92" s="105">
        <v>4</v>
      </c>
      <c r="BY92" s="105">
        <v>3748.7999999999997</v>
      </c>
      <c r="BZ92" s="105">
        <v>4</v>
      </c>
      <c r="CA92" s="105">
        <v>3748.7999999999997</v>
      </c>
      <c r="CB92" s="105">
        <v>4</v>
      </c>
      <c r="CC92" s="105">
        <v>3748.7999999999997</v>
      </c>
      <c r="CD92" s="105">
        <v>3</v>
      </c>
      <c r="CE92" s="105">
        <v>2811.6</v>
      </c>
      <c r="CF92" s="105">
        <v>4</v>
      </c>
      <c r="CG92" s="105">
        <v>3748.7999999999997</v>
      </c>
      <c r="CH92" s="105">
        <v>5</v>
      </c>
      <c r="CI92" s="105">
        <v>4686</v>
      </c>
      <c r="CJ92" s="105">
        <v>5</v>
      </c>
      <c r="CK92" s="105">
        <v>4686</v>
      </c>
      <c r="CL92" s="105">
        <v>5</v>
      </c>
      <c r="CM92" s="105">
        <v>4686</v>
      </c>
      <c r="CN92" s="105">
        <v>3</v>
      </c>
      <c r="CO92" s="105">
        <v>2811.6</v>
      </c>
      <c r="CP92" s="105">
        <v>4</v>
      </c>
      <c r="CQ92" s="105">
        <v>3748.7999999999997</v>
      </c>
      <c r="CR92" s="105">
        <v>4</v>
      </c>
      <c r="CS92" s="105">
        <v>3748.7999999999997</v>
      </c>
      <c r="CT92" s="105">
        <v>5</v>
      </c>
      <c r="CU92" s="105">
        <v>4686</v>
      </c>
    </row>
    <row r="93" spans="2:99" x14ac:dyDescent="0.2">
      <c r="C93" s="104" t="s">
        <v>261</v>
      </c>
      <c r="D93" s="105">
        <v>0</v>
      </c>
      <c r="E93" s="105">
        <v>0</v>
      </c>
      <c r="F93" s="105">
        <v>2.6543408658922916</v>
      </c>
      <c r="G93" s="105">
        <v>1551.1968020274551</v>
      </c>
      <c r="H93" s="105">
        <v>4</v>
      </c>
      <c r="I93" s="105">
        <v>2337.6</v>
      </c>
      <c r="J93" s="105">
        <v>3</v>
      </c>
      <c r="K93" s="105">
        <v>1753.1999999999998</v>
      </c>
      <c r="L93" s="105">
        <v>3</v>
      </c>
      <c r="M93" s="105">
        <v>1753.1999999999998</v>
      </c>
      <c r="N93" s="105">
        <v>3</v>
      </c>
      <c r="O93" s="105">
        <v>1753.1999999999998</v>
      </c>
      <c r="P93" s="105">
        <v>4</v>
      </c>
      <c r="Q93" s="105">
        <v>2337.6</v>
      </c>
      <c r="R93" s="105">
        <v>3</v>
      </c>
      <c r="S93" s="105">
        <v>1753.1999999999998</v>
      </c>
      <c r="T93" s="105">
        <v>3</v>
      </c>
      <c r="U93" s="105">
        <v>1753.1999999999998</v>
      </c>
      <c r="V93" s="105">
        <v>4</v>
      </c>
      <c r="W93" s="105">
        <v>2337.6</v>
      </c>
      <c r="X93" s="105">
        <v>2</v>
      </c>
      <c r="Y93" s="105">
        <v>1168.8</v>
      </c>
      <c r="Z93" s="105">
        <v>4</v>
      </c>
      <c r="AA93" s="105">
        <v>2337.6</v>
      </c>
      <c r="AB93" s="105">
        <v>2</v>
      </c>
      <c r="AC93" s="105">
        <v>1168.8</v>
      </c>
      <c r="AD93" s="105">
        <v>4</v>
      </c>
      <c r="AE93" s="105">
        <v>2337.6</v>
      </c>
      <c r="AF93" s="105">
        <v>2</v>
      </c>
      <c r="AG93" s="105">
        <v>1168.8</v>
      </c>
      <c r="AH93" s="105">
        <v>4</v>
      </c>
      <c r="AI93" s="105">
        <v>2337.6</v>
      </c>
      <c r="AJ93" s="105">
        <v>3</v>
      </c>
      <c r="AK93" s="105">
        <v>1753.1999999999998</v>
      </c>
      <c r="AL93" s="105">
        <v>4</v>
      </c>
      <c r="AM93" s="105">
        <v>2337.6</v>
      </c>
      <c r="AN93" s="105">
        <v>4</v>
      </c>
      <c r="AO93" s="105">
        <v>2337.6</v>
      </c>
      <c r="AP93" s="105">
        <v>3</v>
      </c>
      <c r="AQ93" s="105">
        <v>1753.1999999999998</v>
      </c>
      <c r="AR93" s="105">
        <v>4</v>
      </c>
      <c r="AS93" s="105">
        <v>2337.6</v>
      </c>
      <c r="AT93" s="105">
        <v>3</v>
      </c>
      <c r="AU93" s="105">
        <v>1753.1999999999998</v>
      </c>
      <c r="AV93" s="105">
        <v>4</v>
      </c>
      <c r="AW93" s="105">
        <v>2337.6</v>
      </c>
      <c r="AX93" s="105">
        <v>3</v>
      </c>
      <c r="AY93" s="105">
        <v>1753.1999999999998</v>
      </c>
      <c r="AZ93" s="105">
        <v>4</v>
      </c>
      <c r="BA93" s="105">
        <v>2337.6</v>
      </c>
      <c r="BB93" s="105">
        <v>3</v>
      </c>
      <c r="BC93" s="105">
        <v>1753.1999999999998</v>
      </c>
      <c r="BD93" s="105">
        <v>3</v>
      </c>
      <c r="BE93" s="105">
        <v>1753.1999999999998</v>
      </c>
      <c r="BF93" s="105">
        <v>4</v>
      </c>
      <c r="BG93" s="105">
        <v>2337.6</v>
      </c>
      <c r="BH93" s="105">
        <v>3</v>
      </c>
      <c r="BI93" s="105">
        <v>1753.1999999999998</v>
      </c>
      <c r="BJ93" s="105">
        <v>4</v>
      </c>
      <c r="BK93" s="105">
        <v>2337.6</v>
      </c>
      <c r="BL93" s="105">
        <v>3</v>
      </c>
      <c r="BM93" s="105">
        <v>1753.1999999999998</v>
      </c>
      <c r="BN93" s="105">
        <v>4</v>
      </c>
      <c r="BO93" s="105">
        <v>2337.6</v>
      </c>
      <c r="BP93" s="105">
        <v>4</v>
      </c>
      <c r="BQ93" s="105">
        <v>2337.6</v>
      </c>
      <c r="BR93" s="105">
        <v>4</v>
      </c>
      <c r="BS93" s="105">
        <v>2337.6</v>
      </c>
      <c r="BT93" s="105">
        <v>3</v>
      </c>
      <c r="BU93" s="105">
        <v>1753.1999999999998</v>
      </c>
      <c r="BV93" s="105">
        <v>4</v>
      </c>
      <c r="BW93" s="105">
        <v>2337.6</v>
      </c>
      <c r="BX93" s="105">
        <v>4</v>
      </c>
      <c r="BY93" s="105">
        <v>2337.6</v>
      </c>
      <c r="BZ93" s="105">
        <v>4</v>
      </c>
      <c r="CA93" s="105">
        <v>2337.6</v>
      </c>
      <c r="CB93" s="105">
        <v>4</v>
      </c>
      <c r="CC93" s="105">
        <v>2337.6</v>
      </c>
      <c r="CD93" s="105">
        <v>4</v>
      </c>
      <c r="CE93" s="105">
        <v>2337.6</v>
      </c>
      <c r="CF93" s="105">
        <v>4</v>
      </c>
      <c r="CG93" s="105">
        <v>2337.6</v>
      </c>
      <c r="CH93" s="105">
        <v>4</v>
      </c>
      <c r="CI93" s="105">
        <v>2337.6</v>
      </c>
      <c r="CJ93" s="105">
        <v>4</v>
      </c>
      <c r="CK93" s="105">
        <v>2337.6</v>
      </c>
      <c r="CL93" s="105">
        <v>5</v>
      </c>
      <c r="CM93" s="105">
        <v>2922</v>
      </c>
      <c r="CN93" s="105">
        <v>3</v>
      </c>
      <c r="CO93" s="105">
        <v>1753.1999999999998</v>
      </c>
      <c r="CP93" s="105">
        <v>4</v>
      </c>
      <c r="CQ93" s="105">
        <v>2337.6</v>
      </c>
      <c r="CR93" s="105">
        <v>4</v>
      </c>
      <c r="CS93" s="105">
        <v>2337.6</v>
      </c>
      <c r="CT93" s="105">
        <v>5</v>
      </c>
      <c r="CU93" s="105">
        <v>2922</v>
      </c>
    </row>
    <row r="94" spans="2:99" x14ac:dyDescent="0.2">
      <c r="C94" s="104" t="s">
        <v>262</v>
      </c>
      <c r="D94" s="105">
        <v>0</v>
      </c>
      <c r="E94" s="105">
        <v>0</v>
      </c>
      <c r="F94" s="105">
        <v>2.6543408658922916</v>
      </c>
      <c r="G94" s="105">
        <v>2127.7196380992609</v>
      </c>
      <c r="H94" s="105">
        <v>4</v>
      </c>
      <c r="I94" s="105">
        <v>3206.4</v>
      </c>
      <c r="J94" s="105">
        <v>2</v>
      </c>
      <c r="K94" s="105">
        <v>1603.2</v>
      </c>
      <c r="L94" s="105">
        <v>3</v>
      </c>
      <c r="M94" s="105">
        <v>2404.8000000000002</v>
      </c>
      <c r="N94" s="105">
        <v>3</v>
      </c>
      <c r="O94" s="105">
        <v>2404.8000000000002</v>
      </c>
      <c r="P94" s="105">
        <v>5</v>
      </c>
      <c r="Q94" s="105">
        <v>4008</v>
      </c>
      <c r="R94" s="105">
        <v>4</v>
      </c>
      <c r="S94" s="105">
        <v>3206.4</v>
      </c>
      <c r="T94" s="105">
        <v>3</v>
      </c>
      <c r="U94" s="105">
        <v>2404.8000000000002</v>
      </c>
      <c r="V94" s="105">
        <v>4</v>
      </c>
      <c r="W94" s="105">
        <v>3206.4</v>
      </c>
      <c r="X94" s="105">
        <v>2</v>
      </c>
      <c r="Y94" s="105">
        <v>1603.2</v>
      </c>
      <c r="Z94" s="105">
        <v>4</v>
      </c>
      <c r="AA94" s="105">
        <v>3206.4</v>
      </c>
      <c r="AB94" s="105">
        <v>3</v>
      </c>
      <c r="AC94" s="105">
        <v>2404.8000000000002</v>
      </c>
      <c r="AD94" s="105">
        <v>4</v>
      </c>
      <c r="AE94" s="105">
        <v>3206.4</v>
      </c>
      <c r="AF94" s="105">
        <v>2</v>
      </c>
      <c r="AG94" s="105">
        <v>1603.2</v>
      </c>
      <c r="AH94" s="105">
        <v>4</v>
      </c>
      <c r="AI94" s="105">
        <v>3206.4</v>
      </c>
      <c r="AJ94" s="105">
        <v>3</v>
      </c>
      <c r="AK94" s="105">
        <v>2404.8000000000002</v>
      </c>
      <c r="AL94" s="105">
        <v>4</v>
      </c>
      <c r="AM94" s="105">
        <v>3206.4</v>
      </c>
      <c r="AN94" s="105">
        <v>3</v>
      </c>
      <c r="AO94" s="105">
        <v>2404.8000000000002</v>
      </c>
      <c r="AP94" s="105">
        <v>3</v>
      </c>
      <c r="AQ94" s="105">
        <v>2404.8000000000002</v>
      </c>
      <c r="AR94" s="105">
        <v>4</v>
      </c>
      <c r="AS94" s="105">
        <v>3206.4</v>
      </c>
      <c r="AT94" s="105">
        <v>3</v>
      </c>
      <c r="AU94" s="105">
        <v>2404.8000000000002</v>
      </c>
      <c r="AV94" s="105">
        <v>4</v>
      </c>
      <c r="AW94" s="105">
        <v>3206.4</v>
      </c>
      <c r="AX94" s="105">
        <v>3</v>
      </c>
      <c r="AY94" s="105">
        <v>2404.8000000000002</v>
      </c>
      <c r="AZ94" s="105">
        <v>3</v>
      </c>
      <c r="BA94" s="105">
        <v>2404.8000000000002</v>
      </c>
      <c r="BB94" s="105">
        <v>2</v>
      </c>
      <c r="BC94" s="105">
        <v>1603.2</v>
      </c>
      <c r="BD94" s="105">
        <v>3</v>
      </c>
      <c r="BE94" s="105">
        <v>2404.8000000000002</v>
      </c>
      <c r="BF94" s="105">
        <v>4</v>
      </c>
      <c r="BG94" s="105">
        <v>3206.4</v>
      </c>
      <c r="BH94" s="105">
        <v>3</v>
      </c>
      <c r="BI94" s="105">
        <v>2404.8000000000002</v>
      </c>
      <c r="BJ94" s="105">
        <v>4</v>
      </c>
      <c r="BK94" s="105">
        <v>3206.4</v>
      </c>
      <c r="BL94" s="105">
        <v>3</v>
      </c>
      <c r="BM94" s="105">
        <v>2404.8000000000002</v>
      </c>
      <c r="BN94" s="105">
        <v>4</v>
      </c>
      <c r="BO94" s="105">
        <v>3206.4</v>
      </c>
      <c r="BP94" s="105">
        <v>4</v>
      </c>
      <c r="BQ94" s="105">
        <v>3206.4</v>
      </c>
      <c r="BR94" s="105">
        <v>3</v>
      </c>
      <c r="BS94" s="105">
        <v>2404.8000000000002</v>
      </c>
      <c r="BT94" s="105">
        <v>4</v>
      </c>
      <c r="BU94" s="105">
        <v>3206.4</v>
      </c>
      <c r="BV94" s="105">
        <v>4</v>
      </c>
      <c r="BW94" s="105">
        <v>3206.4</v>
      </c>
      <c r="BX94" s="105">
        <v>4</v>
      </c>
      <c r="BY94" s="105">
        <v>3206.4</v>
      </c>
      <c r="BZ94" s="105">
        <v>4</v>
      </c>
      <c r="CA94" s="105">
        <v>3206.4</v>
      </c>
      <c r="CB94" s="105">
        <v>5</v>
      </c>
      <c r="CC94" s="105">
        <v>4008</v>
      </c>
      <c r="CD94" s="105">
        <v>3</v>
      </c>
      <c r="CE94" s="105">
        <v>2404.8000000000002</v>
      </c>
      <c r="CF94" s="105">
        <v>4</v>
      </c>
      <c r="CG94" s="105">
        <v>3206.4</v>
      </c>
      <c r="CH94" s="105">
        <v>5</v>
      </c>
      <c r="CI94" s="105">
        <v>4008</v>
      </c>
      <c r="CJ94" s="105">
        <v>4</v>
      </c>
      <c r="CK94" s="105">
        <v>3206.4</v>
      </c>
      <c r="CL94" s="105">
        <v>4</v>
      </c>
      <c r="CM94" s="105">
        <v>3206.4</v>
      </c>
      <c r="CN94" s="105">
        <v>3</v>
      </c>
      <c r="CO94" s="105">
        <v>2404.8000000000002</v>
      </c>
      <c r="CP94" s="105">
        <v>4</v>
      </c>
      <c r="CQ94" s="105">
        <v>3206.4</v>
      </c>
      <c r="CR94" s="105">
        <v>4</v>
      </c>
      <c r="CS94" s="105">
        <v>3206.4</v>
      </c>
      <c r="CT94" s="105">
        <v>4</v>
      </c>
      <c r="CU94" s="105">
        <v>3206.4</v>
      </c>
    </row>
    <row r="95" spans="2:99" x14ac:dyDescent="0.2">
      <c r="B95" s="104" t="s">
        <v>132</v>
      </c>
      <c r="C95" s="104" t="s">
        <v>263</v>
      </c>
      <c r="D95" s="105">
        <v>0</v>
      </c>
      <c r="E95" s="105">
        <v>0</v>
      </c>
      <c r="F95" s="105">
        <v>5.3086817317845831</v>
      </c>
      <c r="G95" s="105">
        <v>2038.5337850052799</v>
      </c>
      <c r="H95" s="105">
        <v>5</v>
      </c>
      <c r="I95" s="105">
        <v>1920</v>
      </c>
      <c r="J95" s="105">
        <v>7</v>
      </c>
      <c r="K95" s="105">
        <v>2688</v>
      </c>
      <c r="L95" s="105">
        <v>4</v>
      </c>
      <c r="M95" s="105">
        <v>1536</v>
      </c>
      <c r="N95" s="105">
        <v>4</v>
      </c>
      <c r="O95" s="105">
        <v>1536</v>
      </c>
      <c r="P95" s="105">
        <v>6</v>
      </c>
      <c r="Q95" s="105">
        <v>2304</v>
      </c>
      <c r="R95" s="105">
        <v>6</v>
      </c>
      <c r="S95" s="105">
        <v>2304</v>
      </c>
      <c r="T95" s="105">
        <v>5</v>
      </c>
      <c r="U95" s="105">
        <v>1920</v>
      </c>
      <c r="V95" s="105">
        <v>4</v>
      </c>
      <c r="W95" s="105">
        <v>1536</v>
      </c>
      <c r="X95" s="105">
        <v>7</v>
      </c>
      <c r="Y95" s="105">
        <v>2688</v>
      </c>
      <c r="Z95" s="105">
        <v>5</v>
      </c>
      <c r="AA95" s="105">
        <v>1920</v>
      </c>
      <c r="AB95" s="105">
        <v>7</v>
      </c>
      <c r="AC95" s="105">
        <v>2688</v>
      </c>
      <c r="AD95" s="105">
        <v>5</v>
      </c>
      <c r="AE95" s="105">
        <v>1920</v>
      </c>
      <c r="AF95" s="105">
        <v>5</v>
      </c>
      <c r="AG95" s="105">
        <v>1920</v>
      </c>
      <c r="AH95" s="105">
        <v>4</v>
      </c>
      <c r="AI95" s="105">
        <v>1536</v>
      </c>
      <c r="AJ95" s="105">
        <v>7</v>
      </c>
      <c r="AK95" s="105">
        <v>2688</v>
      </c>
      <c r="AL95" s="105">
        <v>7</v>
      </c>
      <c r="AM95" s="105">
        <v>2688</v>
      </c>
      <c r="AN95" s="105">
        <v>7</v>
      </c>
      <c r="AO95" s="105">
        <v>2688</v>
      </c>
      <c r="AP95" s="105">
        <v>6</v>
      </c>
      <c r="AQ95" s="105">
        <v>2304</v>
      </c>
      <c r="AR95" s="105">
        <v>5</v>
      </c>
      <c r="AS95" s="105">
        <v>1920</v>
      </c>
      <c r="AT95" s="105">
        <v>4</v>
      </c>
      <c r="AU95" s="105">
        <v>1536</v>
      </c>
      <c r="AV95" s="105">
        <v>5</v>
      </c>
      <c r="AW95" s="105">
        <v>1920</v>
      </c>
      <c r="AX95" s="105">
        <v>7</v>
      </c>
      <c r="AY95" s="105">
        <v>2688</v>
      </c>
      <c r="AZ95" s="105">
        <v>6</v>
      </c>
      <c r="BA95" s="105">
        <v>2304</v>
      </c>
      <c r="BB95" s="105">
        <v>5</v>
      </c>
      <c r="BC95" s="105">
        <v>1920</v>
      </c>
      <c r="BD95" s="105">
        <v>7</v>
      </c>
      <c r="BE95" s="105">
        <v>2688</v>
      </c>
      <c r="BF95" s="105">
        <v>5</v>
      </c>
      <c r="BG95" s="105">
        <v>1920</v>
      </c>
      <c r="BH95" s="105">
        <v>5</v>
      </c>
      <c r="BI95" s="105">
        <v>1920</v>
      </c>
      <c r="BJ95" s="105">
        <v>5</v>
      </c>
      <c r="BK95" s="105">
        <v>1920</v>
      </c>
      <c r="BL95" s="105">
        <v>6</v>
      </c>
      <c r="BM95" s="105">
        <v>2304</v>
      </c>
      <c r="BN95" s="105">
        <v>4</v>
      </c>
      <c r="BO95" s="105">
        <v>1536</v>
      </c>
      <c r="BP95" s="105">
        <v>4</v>
      </c>
      <c r="BQ95" s="105">
        <v>1536</v>
      </c>
      <c r="BR95" s="105">
        <v>7</v>
      </c>
      <c r="BS95" s="105">
        <v>2688</v>
      </c>
      <c r="BT95" s="105">
        <v>6</v>
      </c>
      <c r="BU95" s="105">
        <v>2304</v>
      </c>
      <c r="BV95" s="105">
        <v>5</v>
      </c>
      <c r="BW95" s="105">
        <v>1920</v>
      </c>
      <c r="BX95" s="105">
        <v>5</v>
      </c>
      <c r="BY95" s="105">
        <v>1920</v>
      </c>
      <c r="BZ95" s="105">
        <v>4</v>
      </c>
      <c r="CA95" s="105">
        <v>1536</v>
      </c>
      <c r="CB95" s="105">
        <v>4</v>
      </c>
      <c r="CC95" s="105">
        <v>1536</v>
      </c>
      <c r="CD95" s="105">
        <v>6</v>
      </c>
      <c r="CE95" s="105">
        <v>2304</v>
      </c>
      <c r="CF95" s="105">
        <v>6</v>
      </c>
      <c r="CG95" s="105">
        <v>2304</v>
      </c>
      <c r="CH95" s="105">
        <v>6</v>
      </c>
      <c r="CI95" s="105">
        <v>2304</v>
      </c>
      <c r="CJ95" s="105">
        <v>5</v>
      </c>
      <c r="CK95" s="105">
        <v>1920</v>
      </c>
      <c r="CL95" s="105">
        <v>4</v>
      </c>
      <c r="CM95" s="105">
        <v>1536</v>
      </c>
      <c r="CN95" s="105">
        <v>4</v>
      </c>
      <c r="CO95" s="105">
        <v>1536</v>
      </c>
      <c r="CP95" s="105">
        <v>6</v>
      </c>
      <c r="CQ95" s="105">
        <v>2304</v>
      </c>
      <c r="CR95" s="105">
        <v>6</v>
      </c>
      <c r="CS95" s="105">
        <v>2304</v>
      </c>
      <c r="CT95" s="105">
        <v>6</v>
      </c>
      <c r="CU95" s="105">
        <v>2304</v>
      </c>
    </row>
    <row r="96" spans="2:99" x14ac:dyDescent="0.2">
      <c r="C96" s="104" t="s">
        <v>264</v>
      </c>
      <c r="D96" s="105">
        <v>0</v>
      </c>
      <c r="E96" s="105">
        <v>0</v>
      </c>
      <c r="F96" s="105">
        <v>5.5301654347060909</v>
      </c>
      <c r="G96" s="105">
        <v>4625.4303695881745</v>
      </c>
      <c r="H96" s="105">
        <v>3.0576178940361771</v>
      </c>
      <c r="I96" s="105">
        <v>2557.3916065718586</v>
      </c>
      <c r="J96" s="105">
        <v>5.1706406195001762</v>
      </c>
      <c r="K96" s="105">
        <v>4324.7238141499474</v>
      </c>
      <c r="L96" s="105">
        <v>2.5853203097500881</v>
      </c>
      <c r="M96" s="105">
        <v>2162.3619070749737</v>
      </c>
      <c r="N96" s="105">
        <v>2.8447928786401602</v>
      </c>
      <c r="O96" s="105">
        <v>2379.3847636946298</v>
      </c>
      <c r="P96" s="105">
        <v>3.9877634766465295</v>
      </c>
      <c r="Q96" s="105">
        <v>3335.3653718671571</v>
      </c>
      <c r="R96" s="105">
        <v>5.4427795994738695</v>
      </c>
      <c r="S96" s="105">
        <v>4552.3408569999447</v>
      </c>
      <c r="T96" s="105">
        <v>3.2725573541140358</v>
      </c>
      <c r="U96" s="105">
        <v>2737.1669709809794</v>
      </c>
      <c r="V96" s="105">
        <v>4</v>
      </c>
      <c r="W96" s="105">
        <v>3345.6</v>
      </c>
      <c r="X96" s="105">
        <v>4.8335782767635322</v>
      </c>
      <c r="Y96" s="105">
        <v>4042.8048706850182</v>
      </c>
      <c r="Z96" s="105">
        <v>3.4784270796667847</v>
      </c>
      <c r="AA96" s="105">
        <v>2909.3564094332987</v>
      </c>
      <c r="AB96" s="105">
        <v>6.4076288309651286</v>
      </c>
      <c r="AC96" s="105">
        <v>5359.3407542192335</v>
      </c>
      <c r="AD96" s="105">
        <v>3.6233615413195674</v>
      </c>
      <c r="AE96" s="105">
        <v>3030.5795931596863</v>
      </c>
      <c r="AF96" s="105">
        <v>3.8649189774075383</v>
      </c>
      <c r="AG96" s="105">
        <v>3232.6182327036649</v>
      </c>
      <c r="AH96" s="105">
        <v>4.0443780609418276</v>
      </c>
      <c r="AI96" s="105">
        <v>3382.7178101717445</v>
      </c>
      <c r="AJ96" s="105">
        <v>4.0652542288862827</v>
      </c>
      <c r="AK96" s="105">
        <v>3400.1786370404866</v>
      </c>
      <c r="AL96" s="105">
        <v>4.113009583693322</v>
      </c>
      <c r="AM96" s="105">
        <v>3440.1212158010944</v>
      </c>
      <c r="AN96" s="105">
        <v>4.41396150445137</v>
      </c>
      <c r="AO96" s="105">
        <v>3691.8374023231258</v>
      </c>
      <c r="AP96" s="105">
        <v>4.6586076959823011</v>
      </c>
      <c r="AQ96" s="105">
        <v>3896.4594769195965</v>
      </c>
      <c r="AR96" s="105">
        <v>3.1622064360607132</v>
      </c>
      <c r="AS96" s="105">
        <v>2644.8694631211806</v>
      </c>
      <c r="AT96" s="105">
        <v>3.0692003644118686</v>
      </c>
      <c r="AU96" s="105">
        <v>2567.0791847940868</v>
      </c>
      <c r="AV96" s="105">
        <v>3.0692003644118686</v>
      </c>
      <c r="AW96" s="105">
        <v>2567.0791847940868</v>
      </c>
      <c r="AX96" s="105">
        <v>6.2404283338795237</v>
      </c>
      <c r="AY96" s="105">
        <v>5219.4942584568334</v>
      </c>
      <c r="AZ96" s="105">
        <v>4.7005823813637964</v>
      </c>
      <c r="BA96" s="105">
        <v>3931.5671037726793</v>
      </c>
      <c r="BB96" s="105">
        <v>3.8586870294777431</v>
      </c>
      <c r="BC96" s="105">
        <v>3227.4058314551844</v>
      </c>
      <c r="BD96" s="105">
        <v>4.5623299583825085</v>
      </c>
      <c r="BE96" s="105">
        <v>3815.9327771911298</v>
      </c>
      <c r="BF96" s="105">
        <v>3.6743948024649136</v>
      </c>
      <c r="BG96" s="105">
        <v>3073.2638127816535</v>
      </c>
      <c r="BH96" s="105">
        <v>4.9223024712265824</v>
      </c>
      <c r="BI96" s="105">
        <v>4117.0137869339133</v>
      </c>
      <c r="BJ96" s="105">
        <v>3.4107907377974178</v>
      </c>
      <c r="BK96" s="105">
        <v>2852.78537309376</v>
      </c>
      <c r="BL96" s="105">
        <v>6.8935809194010078</v>
      </c>
      <c r="BM96" s="105">
        <v>5765.7910809870027</v>
      </c>
      <c r="BN96" s="105">
        <v>3.4147973961902132</v>
      </c>
      <c r="BO96" s="105">
        <v>2856.136542173494</v>
      </c>
      <c r="BP96" s="105">
        <v>3.5670235154896677</v>
      </c>
      <c r="BQ96" s="105">
        <v>2983.4584683555581</v>
      </c>
      <c r="BR96" s="105">
        <v>3.8749094952792063</v>
      </c>
      <c r="BS96" s="105">
        <v>3240.9743018515278</v>
      </c>
      <c r="BT96" s="105">
        <v>4.1860353952909044</v>
      </c>
      <c r="BU96" s="105">
        <v>3501.2000046213125</v>
      </c>
      <c r="BV96" s="105">
        <v>3.8586870294777431</v>
      </c>
      <c r="BW96" s="105">
        <v>3227.4058314551844</v>
      </c>
      <c r="BX96" s="105">
        <v>3.8019416319854238</v>
      </c>
      <c r="BY96" s="105">
        <v>3179.9439809926084</v>
      </c>
      <c r="BZ96" s="105">
        <v>3.1934722163016227</v>
      </c>
      <c r="CA96" s="105">
        <v>2671.0201617146772</v>
      </c>
      <c r="CB96" s="105">
        <v>2.7711033283357649</v>
      </c>
      <c r="CC96" s="105">
        <v>2317.7508238200335</v>
      </c>
      <c r="CD96" s="105">
        <v>4.3315005725738915</v>
      </c>
      <c r="CE96" s="105">
        <v>3622.8670789008029</v>
      </c>
      <c r="CF96" s="105">
        <v>5.1011646994411093</v>
      </c>
      <c r="CG96" s="105">
        <v>4266.6141546125436</v>
      </c>
      <c r="CH96" s="105">
        <v>3.7741913441641399</v>
      </c>
      <c r="CI96" s="105">
        <v>3156.7336402588867</v>
      </c>
      <c r="CJ96" s="105">
        <v>4.3140247973536026</v>
      </c>
      <c r="CK96" s="105">
        <v>3608.2503405065531</v>
      </c>
      <c r="CL96" s="105">
        <v>2.6914560259872431</v>
      </c>
      <c r="CM96" s="105">
        <v>2251.1338201357303</v>
      </c>
      <c r="CN96" s="105">
        <v>2.0878676956423279</v>
      </c>
      <c r="CO96" s="105">
        <v>1746.2925406352431</v>
      </c>
      <c r="CP96" s="105">
        <v>4.9872657563596832</v>
      </c>
      <c r="CQ96" s="105">
        <v>4171.3490786192388</v>
      </c>
      <c r="CR96" s="105">
        <v>3.4333132055703048</v>
      </c>
      <c r="CS96" s="105">
        <v>2871.623165139003</v>
      </c>
      <c r="CT96" s="105">
        <v>4.633592636872768</v>
      </c>
      <c r="CU96" s="105">
        <v>3875.5368814803833</v>
      </c>
    </row>
    <row r="97" spans="2:99" x14ac:dyDescent="0.2">
      <c r="C97" s="104" t="s">
        <v>265</v>
      </c>
      <c r="D97" s="105">
        <v>0</v>
      </c>
      <c r="E97" s="105">
        <v>0</v>
      </c>
      <c r="F97" s="105">
        <v>5.3086817317845831</v>
      </c>
      <c r="G97" s="105">
        <v>1337.7877964097149</v>
      </c>
      <c r="H97" s="105">
        <v>5</v>
      </c>
      <c r="I97" s="105">
        <v>1260</v>
      </c>
      <c r="J97" s="105">
        <v>7</v>
      </c>
      <c r="K97" s="105">
        <v>1764</v>
      </c>
      <c r="L97" s="105">
        <v>4</v>
      </c>
      <c r="M97" s="105">
        <v>1008</v>
      </c>
      <c r="N97" s="105">
        <v>4</v>
      </c>
      <c r="O97" s="105">
        <v>1008</v>
      </c>
      <c r="P97" s="105">
        <v>6</v>
      </c>
      <c r="Q97" s="105">
        <v>1512</v>
      </c>
      <c r="R97" s="105">
        <v>5</v>
      </c>
      <c r="S97" s="105">
        <v>1260</v>
      </c>
      <c r="T97" s="105">
        <v>6</v>
      </c>
      <c r="U97" s="105">
        <v>1512</v>
      </c>
      <c r="V97" s="105">
        <v>5</v>
      </c>
      <c r="W97" s="105">
        <v>1260</v>
      </c>
      <c r="X97" s="105">
        <v>8</v>
      </c>
      <c r="Y97" s="105">
        <v>2016</v>
      </c>
      <c r="Z97" s="105">
        <v>5</v>
      </c>
      <c r="AA97" s="105">
        <v>1260</v>
      </c>
      <c r="AB97" s="105">
        <v>7</v>
      </c>
      <c r="AC97" s="105">
        <v>1764</v>
      </c>
      <c r="AD97" s="105">
        <v>5</v>
      </c>
      <c r="AE97" s="105">
        <v>1260</v>
      </c>
      <c r="AF97" s="105">
        <v>5</v>
      </c>
      <c r="AG97" s="105">
        <v>1260</v>
      </c>
      <c r="AH97" s="105">
        <v>4</v>
      </c>
      <c r="AI97" s="105">
        <v>1008</v>
      </c>
      <c r="AJ97" s="105">
        <v>7</v>
      </c>
      <c r="AK97" s="105">
        <v>1764</v>
      </c>
      <c r="AL97" s="105">
        <v>7</v>
      </c>
      <c r="AM97" s="105">
        <v>1764</v>
      </c>
      <c r="AN97" s="105">
        <v>8</v>
      </c>
      <c r="AO97" s="105">
        <v>2016</v>
      </c>
      <c r="AP97" s="105">
        <v>5</v>
      </c>
      <c r="AQ97" s="105">
        <v>1260</v>
      </c>
      <c r="AR97" s="105">
        <v>5</v>
      </c>
      <c r="AS97" s="105">
        <v>1260</v>
      </c>
      <c r="AT97" s="105">
        <v>4</v>
      </c>
      <c r="AU97" s="105">
        <v>1008</v>
      </c>
      <c r="AV97" s="105">
        <v>6</v>
      </c>
      <c r="AW97" s="105">
        <v>1512</v>
      </c>
      <c r="AX97" s="105">
        <v>8</v>
      </c>
      <c r="AY97" s="105">
        <v>2016</v>
      </c>
      <c r="AZ97" s="105">
        <v>7</v>
      </c>
      <c r="BA97" s="105">
        <v>1764</v>
      </c>
      <c r="BB97" s="105">
        <v>5</v>
      </c>
      <c r="BC97" s="105">
        <v>1260</v>
      </c>
      <c r="BD97" s="105">
        <v>7</v>
      </c>
      <c r="BE97" s="105">
        <v>1764</v>
      </c>
      <c r="BF97" s="105">
        <v>5</v>
      </c>
      <c r="BG97" s="105">
        <v>1260</v>
      </c>
      <c r="BH97" s="105">
        <v>5</v>
      </c>
      <c r="BI97" s="105">
        <v>1260</v>
      </c>
      <c r="BJ97" s="105">
        <v>5</v>
      </c>
      <c r="BK97" s="105">
        <v>1260</v>
      </c>
      <c r="BL97" s="105">
        <v>7</v>
      </c>
      <c r="BM97" s="105">
        <v>1764</v>
      </c>
      <c r="BN97" s="105">
        <v>4</v>
      </c>
      <c r="BO97" s="105">
        <v>1008</v>
      </c>
      <c r="BP97" s="105">
        <v>5</v>
      </c>
      <c r="BQ97" s="105">
        <v>1260</v>
      </c>
      <c r="BR97" s="105">
        <v>6</v>
      </c>
      <c r="BS97" s="105">
        <v>1512</v>
      </c>
      <c r="BT97" s="105">
        <v>7</v>
      </c>
      <c r="BU97" s="105">
        <v>1764</v>
      </c>
      <c r="BV97" s="105">
        <v>5</v>
      </c>
      <c r="BW97" s="105">
        <v>1260</v>
      </c>
      <c r="BX97" s="105">
        <v>5</v>
      </c>
      <c r="BY97" s="105">
        <v>1260</v>
      </c>
      <c r="BZ97" s="105">
        <v>4</v>
      </c>
      <c r="CA97" s="105">
        <v>1008</v>
      </c>
      <c r="CB97" s="105">
        <v>5</v>
      </c>
      <c r="CC97" s="105">
        <v>1260</v>
      </c>
      <c r="CD97" s="105">
        <v>6</v>
      </c>
      <c r="CE97" s="105">
        <v>1512</v>
      </c>
      <c r="CF97" s="105">
        <v>5</v>
      </c>
      <c r="CG97" s="105">
        <v>1260</v>
      </c>
      <c r="CH97" s="105">
        <v>7</v>
      </c>
      <c r="CI97" s="105">
        <v>1764</v>
      </c>
      <c r="CJ97" s="105">
        <v>4</v>
      </c>
      <c r="CK97" s="105">
        <v>1008</v>
      </c>
      <c r="CL97" s="105">
        <v>4</v>
      </c>
      <c r="CM97" s="105">
        <v>1008</v>
      </c>
      <c r="CN97" s="105">
        <v>4</v>
      </c>
      <c r="CO97" s="105">
        <v>1008</v>
      </c>
      <c r="CP97" s="105">
        <v>6</v>
      </c>
      <c r="CQ97" s="105">
        <v>1512</v>
      </c>
      <c r="CR97" s="105">
        <v>5</v>
      </c>
      <c r="CS97" s="105">
        <v>1260</v>
      </c>
      <c r="CT97" s="105">
        <v>6</v>
      </c>
      <c r="CU97" s="105">
        <v>1512</v>
      </c>
    </row>
    <row r="98" spans="2:99" x14ac:dyDescent="0.2">
      <c r="C98" s="104" t="s">
        <v>266</v>
      </c>
      <c r="D98" s="105">
        <v>0</v>
      </c>
      <c r="E98" s="105">
        <v>0</v>
      </c>
      <c r="F98" s="105">
        <v>4.4239014431538193</v>
      </c>
      <c r="G98" s="105">
        <v>3599.2862141499477</v>
      </c>
      <c r="H98" s="105">
        <v>5</v>
      </c>
      <c r="I98" s="105">
        <v>4068</v>
      </c>
      <c r="J98" s="105">
        <v>7</v>
      </c>
      <c r="K98" s="105">
        <v>5695.2</v>
      </c>
      <c r="L98" s="105">
        <v>4</v>
      </c>
      <c r="M98" s="105">
        <v>3254.4</v>
      </c>
      <c r="N98" s="105">
        <v>4</v>
      </c>
      <c r="O98" s="105">
        <v>3254.4</v>
      </c>
      <c r="P98" s="105">
        <v>6</v>
      </c>
      <c r="Q98" s="105">
        <v>4881.6000000000004</v>
      </c>
      <c r="R98" s="105">
        <v>6</v>
      </c>
      <c r="S98" s="105">
        <v>4881.6000000000004</v>
      </c>
      <c r="T98" s="105">
        <v>5</v>
      </c>
      <c r="U98" s="105">
        <v>4068</v>
      </c>
      <c r="V98" s="105">
        <v>5</v>
      </c>
      <c r="W98" s="105">
        <v>4068</v>
      </c>
      <c r="X98" s="105">
        <v>7</v>
      </c>
      <c r="Y98" s="105">
        <v>5695.2</v>
      </c>
      <c r="Z98" s="105">
        <v>6</v>
      </c>
      <c r="AA98" s="105">
        <v>4881.6000000000004</v>
      </c>
      <c r="AB98" s="105">
        <v>7</v>
      </c>
      <c r="AC98" s="105">
        <v>5695.2</v>
      </c>
      <c r="AD98" s="105">
        <v>6</v>
      </c>
      <c r="AE98" s="105">
        <v>4881.6000000000004</v>
      </c>
      <c r="AF98" s="105">
        <v>5</v>
      </c>
      <c r="AG98" s="105">
        <v>4068</v>
      </c>
      <c r="AH98" s="105">
        <v>4</v>
      </c>
      <c r="AI98" s="105">
        <v>3254.4</v>
      </c>
      <c r="AJ98" s="105">
        <v>7</v>
      </c>
      <c r="AK98" s="105">
        <v>5695.2</v>
      </c>
      <c r="AL98" s="105">
        <v>6</v>
      </c>
      <c r="AM98" s="105">
        <v>4881.6000000000004</v>
      </c>
      <c r="AN98" s="105">
        <v>8</v>
      </c>
      <c r="AO98" s="105">
        <v>6508.8</v>
      </c>
      <c r="AP98" s="105">
        <v>5</v>
      </c>
      <c r="AQ98" s="105">
        <v>4068</v>
      </c>
      <c r="AR98" s="105">
        <v>5</v>
      </c>
      <c r="AS98" s="105">
        <v>4068</v>
      </c>
      <c r="AT98" s="105">
        <v>4</v>
      </c>
      <c r="AU98" s="105">
        <v>3254.4</v>
      </c>
      <c r="AV98" s="105">
        <v>6</v>
      </c>
      <c r="AW98" s="105">
        <v>4881.6000000000004</v>
      </c>
      <c r="AX98" s="105">
        <v>6</v>
      </c>
      <c r="AY98" s="105">
        <v>4881.6000000000004</v>
      </c>
      <c r="AZ98" s="105">
        <v>6</v>
      </c>
      <c r="BA98" s="105">
        <v>4881.6000000000004</v>
      </c>
      <c r="BB98" s="105">
        <v>5</v>
      </c>
      <c r="BC98" s="105">
        <v>4068</v>
      </c>
      <c r="BD98" s="105">
        <v>6</v>
      </c>
      <c r="BE98" s="105">
        <v>4881.6000000000004</v>
      </c>
      <c r="BF98" s="105">
        <v>5</v>
      </c>
      <c r="BG98" s="105">
        <v>4068</v>
      </c>
      <c r="BH98" s="105">
        <v>5</v>
      </c>
      <c r="BI98" s="105">
        <v>4068</v>
      </c>
      <c r="BJ98" s="105">
        <v>5</v>
      </c>
      <c r="BK98" s="105">
        <v>4068</v>
      </c>
      <c r="BL98" s="105">
        <v>6</v>
      </c>
      <c r="BM98" s="105">
        <v>4881.6000000000004</v>
      </c>
      <c r="BN98" s="105">
        <v>4</v>
      </c>
      <c r="BO98" s="105">
        <v>3254.4</v>
      </c>
      <c r="BP98" s="105">
        <v>4</v>
      </c>
      <c r="BQ98" s="105">
        <v>3254.4</v>
      </c>
      <c r="BR98" s="105">
        <v>6</v>
      </c>
      <c r="BS98" s="105">
        <v>4881.6000000000004</v>
      </c>
      <c r="BT98" s="105">
        <v>7</v>
      </c>
      <c r="BU98" s="105">
        <v>5695.2</v>
      </c>
      <c r="BV98" s="105">
        <v>5</v>
      </c>
      <c r="BW98" s="105">
        <v>4068</v>
      </c>
      <c r="BX98" s="105">
        <v>5</v>
      </c>
      <c r="BY98" s="105">
        <v>4068</v>
      </c>
      <c r="BZ98" s="105">
        <v>4</v>
      </c>
      <c r="CA98" s="105">
        <v>3254.4</v>
      </c>
      <c r="CB98" s="105">
        <v>5</v>
      </c>
      <c r="CC98" s="105">
        <v>4068</v>
      </c>
      <c r="CD98" s="105">
        <v>6</v>
      </c>
      <c r="CE98" s="105">
        <v>4881.6000000000004</v>
      </c>
      <c r="CF98" s="105">
        <v>6</v>
      </c>
      <c r="CG98" s="105">
        <v>4881.6000000000004</v>
      </c>
      <c r="CH98" s="105">
        <v>6</v>
      </c>
      <c r="CI98" s="105">
        <v>4881.6000000000004</v>
      </c>
      <c r="CJ98" s="105">
        <v>4</v>
      </c>
      <c r="CK98" s="105">
        <v>3254.4</v>
      </c>
      <c r="CL98" s="105">
        <v>4</v>
      </c>
      <c r="CM98" s="105">
        <v>3254.4</v>
      </c>
      <c r="CN98" s="105">
        <v>4</v>
      </c>
      <c r="CO98" s="105">
        <v>3254.4</v>
      </c>
      <c r="CP98" s="105">
        <v>6</v>
      </c>
      <c r="CQ98" s="105">
        <v>4881.6000000000004</v>
      </c>
      <c r="CR98" s="105">
        <v>6</v>
      </c>
      <c r="CS98" s="105">
        <v>4881.6000000000004</v>
      </c>
      <c r="CT98" s="105">
        <v>6</v>
      </c>
      <c r="CU98" s="105">
        <v>4881.6000000000004</v>
      </c>
    </row>
    <row r="99" spans="2:99" x14ac:dyDescent="0.2">
      <c r="C99" s="104" t="s">
        <v>267</v>
      </c>
      <c r="D99" s="105">
        <v>0</v>
      </c>
      <c r="E99" s="105">
        <v>0</v>
      </c>
      <c r="F99" s="105">
        <v>3.5391211545230554</v>
      </c>
      <c r="G99" s="105">
        <v>13743.115267243928</v>
      </c>
      <c r="H99" s="105">
        <v>4</v>
      </c>
      <c r="I99" s="105">
        <v>15532.8</v>
      </c>
      <c r="J99" s="105">
        <v>6</v>
      </c>
      <c r="K99" s="105">
        <v>23299.199999999997</v>
      </c>
      <c r="L99" s="105">
        <v>3</v>
      </c>
      <c r="M99" s="105">
        <v>11649.599999999999</v>
      </c>
      <c r="N99" s="105">
        <v>3</v>
      </c>
      <c r="O99" s="105">
        <v>11649.599999999999</v>
      </c>
      <c r="P99" s="105">
        <v>5</v>
      </c>
      <c r="Q99" s="105">
        <v>19416</v>
      </c>
      <c r="R99" s="105">
        <v>5</v>
      </c>
      <c r="S99" s="105">
        <v>19416</v>
      </c>
      <c r="T99" s="105">
        <v>5</v>
      </c>
      <c r="U99" s="105">
        <v>19416</v>
      </c>
      <c r="V99" s="105">
        <v>4</v>
      </c>
      <c r="W99" s="105">
        <v>15532.8</v>
      </c>
      <c r="X99" s="105">
        <v>6</v>
      </c>
      <c r="Y99" s="105">
        <v>23299.199999999997</v>
      </c>
      <c r="Z99" s="105">
        <v>5</v>
      </c>
      <c r="AA99" s="105">
        <v>19416</v>
      </c>
      <c r="AB99" s="105">
        <v>6</v>
      </c>
      <c r="AC99" s="105">
        <v>23299.199999999997</v>
      </c>
      <c r="AD99" s="105">
        <v>4</v>
      </c>
      <c r="AE99" s="105">
        <v>15532.8</v>
      </c>
      <c r="AF99" s="105">
        <v>4</v>
      </c>
      <c r="AG99" s="105">
        <v>15532.8</v>
      </c>
      <c r="AH99" s="105">
        <v>3</v>
      </c>
      <c r="AI99" s="105">
        <v>11649.599999999999</v>
      </c>
      <c r="AJ99" s="105">
        <v>6</v>
      </c>
      <c r="AK99" s="105">
        <v>23299.199999999997</v>
      </c>
      <c r="AL99" s="105">
        <v>5</v>
      </c>
      <c r="AM99" s="105">
        <v>19416</v>
      </c>
      <c r="AN99" s="105">
        <v>6</v>
      </c>
      <c r="AO99" s="105">
        <v>23299.199999999997</v>
      </c>
      <c r="AP99" s="105">
        <v>4</v>
      </c>
      <c r="AQ99" s="105">
        <v>15532.8</v>
      </c>
      <c r="AR99" s="105">
        <v>4</v>
      </c>
      <c r="AS99" s="105">
        <v>15532.8</v>
      </c>
      <c r="AT99" s="105">
        <v>3</v>
      </c>
      <c r="AU99" s="105">
        <v>11649.599999999999</v>
      </c>
      <c r="AV99" s="105">
        <v>5</v>
      </c>
      <c r="AW99" s="105">
        <v>19416</v>
      </c>
      <c r="AX99" s="105">
        <v>6</v>
      </c>
      <c r="AY99" s="105">
        <v>23299.199999999997</v>
      </c>
      <c r="AZ99" s="105">
        <v>5</v>
      </c>
      <c r="BA99" s="105">
        <v>19416</v>
      </c>
      <c r="BB99" s="105">
        <v>4</v>
      </c>
      <c r="BC99" s="105">
        <v>15532.8</v>
      </c>
      <c r="BD99" s="105">
        <v>5</v>
      </c>
      <c r="BE99" s="105">
        <v>19416</v>
      </c>
      <c r="BF99" s="105">
        <v>4</v>
      </c>
      <c r="BG99" s="105">
        <v>15532.8</v>
      </c>
      <c r="BH99" s="105">
        <v>4</v>
      </c>
      <c r="BI99" s="105">
        <v>15532.8</v>
      </c>
      <c r="BJ99" s="105">
        <v>4</v>
      </c>
      <c r="BK99" s="105">
        <v>15532.8</v>
      </c>
      <c r="BL99" s="105">
        <v>6</v>
      </c>
      <c r="BM99" s="105">
        <v>23299.199999999997</v>
      </c>
      <c r="BN99" s="105">
        <v>4</v>
      </c>
      <c r="BO99" s="105">
        <v>15532.8</v>
      </c>
      <c r="BP99" s="105">
        <v>4</v>
      </c>
      <c r="BQ99" s="105">
        <v>15532.8</v>
      </c>
      <c r="BR99" s="105">
        <v>5</v>
      </c>
      <c r="BS99" s="105">
        <v>19416</v>
      </c>
      <c r="BT99" s="105">
        <v>5</v>
      </c>
      <c r="BU99" s="105">
        <v>19416</v>
      </c>
      <c r="BV99" s="105">
        <v>4</v>
      </c>
      <c r="BW99" s="105">
        <v>15532.8</v>
      </c>
      <c r="BX99" s="105">
        <v>5</v>
      </c>
      <c r="BY99" s="105">
        <v>19416</v>
      </c>
      <c r="BZ99" s="105">
        <v>4</v>
      </c>
      <c r="CA99" s="105">
        <v>15532.8</v>
      </c>
      <c r="CB99" s="105">
        <v>4</v>
      </c>
      <c r="CC99" s="105">
        <v>15532.8</v>
      </c>
      <c r="CD99" s="105">
        <v>5</v>
      </c>
      <c r="CE99" s="105">
        <v>19416</v>
      </c>
      <c r="CF99" s="105">
        <v>4</v>
      </c>
      <c r="CG99" s="105">
        <v>15532.8</v>
      </c>
      <c r="CH99" s="105">
        <v>5</v>
      </c>
      <c r="CI99" s="105">
        <v>19416</v>
      </c>
      <c r="CJ99" s="105">
        <v>4</v>
      </c>
      <c r="CK99" s="105">
        <v>15532.8</v>
      </c>
      <c r="CL99" s="105">
        <v>3</v>
      </c>
      <c r="CM99" s="105">
        <v>11649.599999999999</v>
      </c>
      <c r="CN99" s="105">
        <v>3</v>
      </c>
      <c r="CO99" s="105">
        <v>11649.599999999999</v>
      </c>
      <c r="CP99" s="105">
        <v>6</v>
      </c>
      <c r="CQ99" s="105">
        <v>23299.199999999997</v>
      </c>
      <c r="CR99" s="105">
        <v>5</v>
      </c>
      <c r="CS99" s="105">
        <v>19416</v>
      </c>
      <c r="CT99" s="105">
        <v>5</v>
      </c>
      <c r="CU99" s="105">
        <v>19416</v>
      </c>
    </row>
    <row r="100" spans="2:99" x14ac:dyDescent="0.2">
      <c r="C100" s="104" t="s">
        <v>268</v>
      </c>
      <c r="D100" s="105">
        <v>0</v>
      </c>
      <c r="E100" s="105">
        <v>0</v>
      </c>
      <c r="F100" s="105">
        <v>5.3086817317845831</v>
      </c>
      <c r="G100" s="105">
        <v>2936.7627340232311</v>
      </c>
      <c r="H100" s="105">
        <v>5</v>
      </c>
      <c r="I100" s="105">
        <v>2765.9999999999995</v>
      </c>
      <c r="J100" s="105">
        <v>7</v>
      </c>
      <c r="K100" s="105">
        <v>3872.3999999999996</v>
      </c>
      <c r="L100" s="105">
        <v>4</v>
      </c>
      <c r="M100" s="105">
        <v>2212.7999999999997</v>
      </c>
      <c r="N100" s="105">
        <v>4</v>
      </c>
      <c r="O100" s="105">
        <v>2212.7999999999997</v>
      </c>
      <c r="P100" s="105">
        <v>6</v>
      </c>
      <c r="Q100" s="105">
        <v>3319.2</v>
      </c>
      <c r="R100" s="105">
        <v>6</v>
      </c>
      <c r="S100" s="105">
        <v>3319.2</v>
      </c>
      <c r="T100" s="105">
        <v>6</v>
      </c>
      <c r="U100" s="105">
        <v>3319.2</v>
      </c>
      <c r="V100" s="105">
        <v>4</v>
      </c>
      <c r="W100" s="105">
        <v>2212.7999999999997</v>
      </c>
      <c r="X100" s="105">
        <v>6</v>
      </c>
      <c r="Y100" s="105">
        <v>3319.2</v>
      </c>
      <c r="Z100" s="105">
        <v>6</v>
      </c>
      <c r="AA100" s="105">
        <v>3319.2</v>
      </c>
      <c r="AB100" s="105">
        <v>7</v>
      </c>
      <c r="AC100" s="105">
        <v>3872.3999999999996</v>
      </c>
      <c r="AD100" s="105">
        <v>5</v>
      </c>
      <c r="AE100" s="105">
        <v>2765.9999999999995</v>
      </c>
      <c r="AF100" s="105">
        <v>6</v>
      </c>
      <c r="AG100" s="105">
        <v>3319.2</v>
      </c>
      <c r="AH100" s="105">
        <v>4</v>
      </c>
      <c r="AI100" s="105">
        <v>2212.7999999999997</v>
      </c>
      <c r="AJ100" s="105">
        <v>7</v>
      </c>
      <c r="AK100" s="105">
        <v>3872.3999999999996</v>
      </c>
      <c r="AL100" s="105">
        <v>7</v>
      </c>
      <c r="AM100" s="105">
        <v>3872.3999999999996</v>
      </c>
      <c r="AN100" s="105">
        <v>7</v>
      </c>
      <c r="AO100" s="105">
        <v>3872.3999999999996</v>
      </c>
      <c r="AP100" s="105">
        <v>5</v>
      </c>
      <c r="AQ100" s="105">
        <v>2765.9999999999995</v>
      </c>
      <c r="AR100" s="105">
        <v>5</v>
      </c>
      <c r="AS100" s="105">
        <v>2765.9999999999995</v>
      </c>
      <c r="AT100" s="105">
        <v>4</v>
      </c>
      <c r="AU100" s="105">
        <v>2212.7999999999997</v>
      </c>
      <c r="AV100" s="105">
        <v>5</v>
      </c>
      <c r="AW100" s="105">
        <v>2765.9999999999995</v>
      </c>
      <c r="AX100" s="105">
        <v>7</v>
      </c>
      <c r="AY100" s="105">
        <v>3872.3999999999996</v>
      </c>
      <c r="AZ100" s="105">
        <v>6</v>
      </c>
      <c r="BA100" s="105">
        <v>3319.2</v>
      </c>
      <c r="BB100" s="105">
        <v>5</v>
      </c>
      <c r="BC100" s="105">
        <v>2765.9999999999995</v>
      </c>
      <c r="BD100" s="105">
        <v>6</v>
      </c>
      <c r="BE100" s="105">
        <v>3319.2</v>
      </c>
      <c r="BF100" s="105">
        <v>5</v>
      </c>
      <c r="BG100" s="105">
        <v>2765.9999999999995</v>
      </c>
      <c r="BH100" s="105">
        <v>5</v>
      </c>
      <c r="BI100" s="105">
        <v>2765.9999999999995</v>
      </c>
      <c r="BJ100" s="105">
        <v>5</v>
      </c>
      <c r="BK100" s="105">
        <v>2765.9999999999995</v>
      </c>
      <c r="BL100" s="105">
        <v>7</v>
      </c>
      <c r="BM100" s="105">
        <v>3872.3999999999996</v>
      </c>
      <c r="BN100" s="105">
        <v>4</v>
      </c>
      <c r="BO100" s="105">
        <v>2212.7999999999997</v>
      </c>
      <c r="BP100" s="105">
        <v>5</v>
      </c>
      <c r="BQ100" s="105">
        <v>2765.9999999999995</v>
      </c>
      <c r="BR100" s="105">
        <v>6</v>
      </c>
      <c r="BS100" s="105">
        <v>3319.2</v>
      </c>
      <c r="BT100" s="105">
        <v>6</v>
      </c>
      <c r="BU100" s="105">
        <v>3319.2</v>
      </c>
      <c r="BV100" s="105">
        <v>5</v>
      </c>
      <c r="BW100" s="105">
        <v>2765.9999999999995</v>
      </c>
      <c r="BX100" s="105">
        <v>5</v>
      </c>
      <c r="BY100" s="105">
        <v>2765.9999999999995</v>
      </c>
      <c r="BZ100" s="105">
        <v>5</v>
      </c>
      <c r="CA100" s="105">
        <v>2765.9999999999995</v>
      </c>
      <c r="CB100" s="105">
        <v>4</v>
      </c>
      <c r="CC100" s="105">
        <v>2212.7999999999997</v>
      </c>
      <c r="CD100" s="105">
        <v>6</v>
      </c>
      <c r="CE100" s="105">
        <v>3319.2</v>
      </c>
      <c r="CF100" s="105">
        <v>5</v>
      </c>
      <c r="CG100" s="105">
        <v>2765.9999999999995</v>
      </c>
      <c r="CH100" s="105">
        <v>7</v>
      </c>
      <c r="CI100" s="105">
        <v>3872.3999999999996</v>
      </c>
      <c r="CJ100" s="105">
        <v>4</v>
      </c>
      <c r="CK100" s="105">
        <v>2212.7999999999997</v>
      </c>
      <c r="CL100" s="105">
        <v>4</v>
      </c>
      <c r="CM100" s="105">
        <v>2212.7999999999997</v>
      </c>
      <c r="CN100" s="105">
        <v>3</v>
      </c>
      <c r="CO100" s="105">
        <v>1659.6</v>
      </c>
      <c r="CP100" s="105">
        <v>7</v>
      </c>
      <c r="CQ100" s="105">
        <v>3872.3999999999996</v>
      </c>
      <c r="CR100" s="105">
        <v>5</v>
      </c>
      <c r="CS100" s="105">
        <v>2765.9999999999995</v>
      </c>
      <c r="CT100" s="105">
        <v>6</v>
      </c>
      <c r="CU100" s="105">
        <v>3319.2</v>
      </c>
    </row>
    <row r="101" spans="2:99" x14ac:dyDescent="0.2">
      <c r="C101" s="104" t="s">
        <v>269</v>
      </c>
      <c r="D101" s="105">
        <v>0</v>
      </c>
      <c r="E101" s="105">
        <v>0</v>
      </c>
      <c r="F101" s="105">
        <v>5.5301654347060909</v>
      </c>
      <c r="G101" s="105">
        <v>4711.700950369589</v>
      </c>
      <c r="H101" s="105">
        <v>3.0576178940361771</v>
      </c>
      <c r="I101" s="105">
        <v>2605.090445718823</v>
      </c>
      <c r="J101" s="105">
        <v>4.4319776738572942</v>
      </c>
      <c r="K101" s="105">
        <v>3776.0449781264147</v>
      </c>
      <c r="L101" s="105">
        <v>2.5853203097500881</v>
      </c>
      <c r="M101" s="105">
        <v>2202.6929039070751</v>
      </c>
      <c r="N101" s="105">
        <v>2.8447928786401602</v>
      </c>
      <c r="O101" s="105">
        <v>2423.7635326014165</v>
      </c>
      <c r="P101" s="105">
        <v>3.9877634766465295</v>
      </c>
      <c r="Q101" s="105">
        <v>3397.5744821028434</v>
      </c>
      <c r="R101" s="105">
        <v>5.4427795994738695</v>
      </c>
      <c r="S101" s="105">
        <v>4637.2482187517371</v>
      </c>
      <c r="T101" s="105">
        <v>3.2725573541140358</v>
      </c>
      <c r="U101" s="105">
        <v>2788.2188657051584</v>
      </c>
      <c r="V101" s="105">
        <v>4</v>
      </c>
      <c r="W101" s="105">
        <v>3408</v>
      </c>
      <c r="X101" s="105">
        <v>4.8326731517293346</v>
      </c>
      <c r="Y101" s="105">
        <v>4117.4375252733935</v>
      </c>
      <c r="Z101" s="105">
        <v>3.4784270796667847</v>
      </c>
      <c r="AA101" s="105">
        <v>2963.6198718761007</v>
      </c>
      <c r="AB101" s="105">
        <v>5.4922532836843967</v>
      </c>
      <c r="AC101" s="105">
        <v>4679.3997976991059</v>
      </c>
      <c r="AD101" s="105">
        <v>4.34803384958348</v>
      </c>
      <c r="AE101" s="105">
        <v>3704.5248398451249</v>
      </c>
      <c r="AF101" s="105">
        <v>3.8649189774075383</v>
      </c>
      <c r="AG101" s="105">
        <v>3292.9109687512228</v>
      </c>
      <c r="AH101" s="105">
        <v>4.0554725761772845</v>
      </c>
      <c r="AI101" s="105">
        <v>3455.2626349030465</v>
      </c>
      <c r="AJ101" s="105">
        <v>4.0652542288862827</v>
      </c>
      <c r="AK101" s="105">
        <v>3463.5966030111131</v>
      </c>
      <c r="AL101" s="105">
        <v>3.5254367860228473</v>
      </c>
      <c r="AM101" s="105">
        <v>3003.6721416914661</v>
      </c>
      <c r="AN101" s="105">
        <v>4.41396150445137</v>
      </c>
      <c r="AO101" s="105">
        <v>3760.6952017925673</v>
      </c>
      <c r="AP101" s="105">
        <v>4.6586076959823011</v>
      </c>
      <c r="AQ101" s="105">
        <v>3969.1337569769207</v>
      </c>
      <c r="AR101" s="105">
        <v>3.9527580450758917</v>
      </c>
      <c r="AS101" s="105">
        <v>3367.7498544046598</v>
      </c>
      <c r="AT101" s="105">
        <v>3.0692003644118686</v>
      </c>
      <c r="AU101" s="105">
        <v>2614.9587104789121</v>
      </c>
      <c r="AV101" s="105">
        <v>3.6830404372942422</v>
      </c>
      <c r="AW101" s="105">
        <v>3137.9504525746943</v>
      </c>
      <c r="AX101" s="105">
        <v>5.3489385718967339</v>
      </c>
      <c r="AY101" s="105">
        <v>4557.2956632560172</v>
      </c>
      <c r="AZ101" s="105">
        <v>4.7005823813637964</v>
      </c>
      <c r="BA101" s="105">
        <v>4004.8961889219545</v>
      </c>
      <c r="BB101" s="105">
        <v>3.8586870294777431</v>
      </c>
      <c r="BC101" s="105">
        <v>3287.601349115037</v>
      </c>
      <c r="BD101" s="105">
        <v>4.5623299583825085</v>
      </c>
      <c r="BE101" s="105">
        <v>3887.1051245418971</v>
      </c>
      <c r="BF101" s="105">
        <v>2.9395158419719305</v>
      </c>
      <c r="BG101" s="105">
        <v>2504.467497360085</v>
      </c>
      <c r="BH101" s="105">
        <v>4.9223024712265824</v>
      </c>
      <c r="BI101" s="105">
        <v>4193.8017054850479</v>
      </c>
      <c r="BJ101" s="105">
        <v>3.4205210228799281</v>
      </c>
      <c r="BK101" s="105">
        <v>2914.2839114936987</v>
      </c>
      <c r="BL101" s="105">
        <v>5.9099229646225151</v>
      </c>
      <c r="BM101" s="105">
        <v>5035.2543658583827</v>
      </c>
      <c r="BN101" s="105">
        <v>3.4147973961902132</v>
      </c>
      <c r="BO101" s="105">
        <v>2909.4073815540614</v>
      </c>
      <c r="BP101" s="105">
        <v>3.5670235154896677</v>
      </c>
      <c r="BQ101" s="105">
        <v>3039.1040351971969</v>
      </c>
      <c r="BR101" s="105">
        <v>3.8647852027903773</v>
      </c>
      <c r="BS101" s="105">
        <v>3292.7969927774016</v>
      </c>
      <c r="BT101" s="105">
        <v>4.1705092175783216</v>
      </c>
      <c r="BU101" s="105">
        <v>3553.2738533767301</v>
      </c>
      <c r="BV101" s="105">
        <v>3.8586870294777431</v>
      </c>
      <c r="BW101" s="105">
        <v>3287.601349115037</v>
      </c>
      <c r="BX101" s="105">
        <v>3.8019416319854238</v>
      </c>
      <c r="BY101" s="105">
        <v>3239.2542704515809</v>
      </c>
      <c r="BZ101" s="105">
        <v>3.1934722163016227</v>
      </c>
      <c r="CA101" s="105">
        <v>2720.8383282889827</v>
      </c>
      <c r="CB101" s="105">
        <v>2.7711033283357649</v>
      </c>
      <c r="CC101" s="105">
        <v>2360.9800357420718</v>
      </c>
      <c r="CD101" s="105">
        <v>3.6448535354041702</v>
      </c>
      <c r="CE101" s="105">
        <v>3105.4152121643529</v>
      </c>
      <c r="CF101" s="105">
        <v>5.1268197493614558</v>
      </c>
      <c r="CG101" s="105">
        <v>4368.0504264559604</v>
      </c>
      <c r="CH101" s="105">
        <v>4.3907225103516305</v>
      </c>
      <c r="CI101" s="105">
        <v>3740.895578819589</v>
      </c>
      <c r="CJ101" s="105">
        <v>5.3140247973536026</v>
      </c>
      <c r="CK101" s="105">
        <v>4527.549127345269</v>
      </c>
      <c r="CL101" s="105">
        <v>2.6914560259872431</v>
      </c>
      <c r="CM101" s="105">
        <v>2293.120534141131</v>
      </c>
      <c r="CN101" s="105">
        <v>2.0878676956423279</v>
      </c>
      <c r="CO101" s="105">
        <v>1778.8632766872634</v>
      </c>
      <c r="CP101" s="105">
        <v>4.2708161159356504</v>
      </c>
      <c r="CQ101" s="105">
        <v>3638.7353307771741</v>
      </c>
      <c r="CR101" s="105">
        <v>3.4333132055703048</v>
      </c>
      <c r="CS101" s="105">
        <v>2925.1828511458998</v>
      </c>
      <c r="CT101" s="105">
        <v>3.8850814235573927</v>
      </c>
      <c r="CU101" s="105">
        <v>3310.0893728708984</v>
      </c>
    </row>
    <row r="102" spans="2:99" x14ac:dyDescent="0.2">
      <c r="C102" s="104" t="s">
        <v>270</v>
      </c>
      <c r="D102" s="105">
        <v>0</v>
      </c>
      <c r="E102" s="105">
        <v>0</v>
      </c>
      <c r="F102" s="105">
        <v>5.3086817317845831</v>
      </c>
      <c r="G102" s="105">
        <v>324.89132198521645</v>
      </c>
      <c r="H102" s="105">
        <v>5</v>
      </c>
      <c r="I102" s="105">
        <v>306</v>
      </c>
      <c r="J102" s="105">
        <v>6</v>
      </c>
      <c r="K102" s="105">
        <v>367.2</v>
      </c>
      <c r="L102" s="105">
        <v>4</v>
      </c>
      <c r="M102" s="105">
        <v>244.79999999999998</v>
      </c>
      <c r="N102" s="105">
        <v>4</v>
      </c>
      <c r="O102" s="105">
        <v>244.79999999999998</v>
      </c>
      <c r="P102" s="105">
        <v>6</v>
      </c>
      <c r="Q102" s="105">
        <v>367.2</v>
      </c>
      <c r="R102" s="105">
        <v>5</v>
      </c>
      <c r="S102" s="105">
        <v>306</v>
      </c>
      <c r="T102" s="105">
        <v>6</v>
      </c>
      <c r="U102" s="105">
        <v>367.2</v>
      </c>
      <c r="V102" s="105">
        <v>5</v>
      </c>
      <c r="W102" s="105">
        <v>306</v>
      </c>
      <c r="X102" s="105">
        <v>8</v>
      </c>
      <c r="Y102" s="105">
        <v>489.59999999999997</v>
      </c>
      <c r="Z102" s="105">
        <v>6</v>
      </c>
      <c r="AA102" s="105">
        <v>367.2</v>
      </c>
      <c r="AB102" s="105">
        <v>7</v>
      </c>
      <c r="AC102" s="105">
        <v>428.4</v>
      </c>
      <c r="AD102" s="105">
        <v>5</v>
      </c>
      <c r="AE102" s="105">
        <v>306</v>
      </c>
      <c r="AF102" s="105">
        <v>6</v>
      </c>
      <c r="AG102" s="105">
        <v>367.2</v>
      </c>
      <c r="AH102" s="105">
        <v>4</v>
      </c>
      <c r="AI102" s="105">
        <v>244.79999999999998</v>
      </c>
      <c r="AJ102" s="105">
        <v>7</v>
      </c>
      <c r="AK102" s="105">
        <v>428.4</v>
      </c>
      <c r="AL102" s="105">
        <v>6</v>
      </c>
      <c r="AM102" s="105">
        <v>367.2</v>
      </c>
      <c r="AN102" s="105">
        <v>8</v>
      </c>
      <c r="AO102" s="105">
        <v>489.59999999999997</v>
      </c>
      <c r="AP102" s="105">
        <v>6</v>
      </c>
      <c r="AQ102" s="105">
        <v>367.2</v>
      </c>
      <c r="AR102" s="105">
        <v>5</v>
      </c>
      <c r="AS102" s="105">
        <v>306</v>
      </c>
      <c r="AT102" s="105">
        <v>4</v>
      </c>
      <c r="AU102" s="105">
        <v>244.79999999999998</v>
      </c>
      <c r="AV102" s="105">
        <v>6</v>
      </c>
      <c r="AW102" s="105">
        <v>367.2</v>
      </c>
      <c r="AX102" s="105">
        <v>8</v>
      </c>
      <c r="AY102" s="105">
        <v>489.59999999999997</v>
      </c>
      <c r="AZ102" s="105">
        <v>6</v>
      </c>
      <c r="BA102" s="105">
        <v>367.2</v>
      </c>
      <c r="BB102" s="105">
        <v>5</v>
      </c>
      <c r="BC102" s="105">
        <v>306</v>
      </c>
      <c r="BD102" s="105">
        <v>7</v>
      </c>
      <c r="BE102" s="105">
        <v>428.4</v>
      </c>
      <c r="BF102" s="105">
        <v>5</v>
      </c>
      <c r="BG102" s="105">
        <v>306</v>
      </c>
      <c r="BH102" s="105">
        <v>5</v>
      </c>
      <c r="BI102" s="105">
        <v>306</v>
      </c>
      <c r="BJ102" s="105">
        <v>5</v>
      </c>
      <c r="BK102" s="105">
        <v>306</v>
      </c>
      <c r="BL102" s="105">
        <v>7</v>
      </c>
      <c r="BM102" s="105">
        <v>428.4</v>
      </c>
      <c r="BN102" s="105">
        <v>4</v>
      </c>
      <c r="BO102" s="105">
        <v>244.79999999999998</v>
      </c>
      <c r="BP102" s="105">
        <v>5</v>
      </c>
      <c r="BQ102" s="105">
        <v>306</v>
      </c>
      <c r="BR102" s="105">
        <v>6</v>
      </c>
      <c r="BS102" s="105">
        <v>367.2</v>
      </c>
      <c r="BT102" s="105">
        <v>7</v>
      </c>
      <c r="BU102" s="105">
        <v>428.4</v>
      </c>
      <c r="BV102" s="105">
        <v>5</v>
      </c>
      <c r="BW102" s="105">
        <v>306</v>
      </c>
      <c r="BX102" s="105">
        <v>5</v>
      </c>
      <c r="BY102" s="105">
        <v>306</v>
      </c>
      <c r="BZ102" s="105">
        <v>5</v>
      </c>
      <c r="CA102" s="105">
        <v>306</v>
      </c>
      <c r="CB102" s="105">
        <v>5</v>
      </c>
      <c r="CC102" s="105">
        <v>306</v>
      </c>
      <c r="CD102" s="105">
        <v>6</v>
      </c>
      <c r="CE102" s="105">
        <v>367.2</v>
      </c>
      <c r="CF102" s="105">
        <v>6</v>
      </c>
      <c r="CG102" s="105">
        <v>367.2</v>
      </c>
      <c r="CH102" s="105">
        <v>7</v>
      </c>
      <c r="CI102" s="105">
        <v>428.4</v>
      </c>
      <c r="CJ102" s="105">
        <v>4</v>
      </c>
      <c r="CK102" s="105">
        <v>244.79999999999998</v>
      </c>
      <c r="CL102" s="105">
        <v>4</v>
      </c>
      <c r="CM102" s="105">
        <v>244.79999999999998</v>
      </c>
      <c r="CN102" s="105">
        <v>4</v>
      </c>
      <c r="CO102" s="105">
        <v>244.79999999999998</v>
      </c>
      <c r="CP102" s="105">
        <v>7</v>
      </c>
      <c r="CQ102" s="105">
        <v>428.4</v>
      </c>
      <c r="CR102" s="105">
        <v>5</v>
      </c>
      <c r="CS102" s="105">
        <v>306</v>
      </c>
      <c r="CT102" s="105">
        <v>6</v>
      </c>
      <c r="CU102" s="105">
        <v>367.2</v>
      </c>
    </row>
    <row r="103" spans="2:99" x14ac:dyDescent="0.2">
      <c r="C103" s="104" t="s">
        <v>271</v>
      </c>
      <c r="D103" s="105">
        <v>0</v>
      </c>
      <c r="E103" s="105">
        <v>0</v>
      </c>
      <c r="F103" s="105">
        <v>5.3086817317845831</v>
      </c>
      <c r="G103" s="105">
        <v>662.52348012671598</v>
      </c>
      <c r="H103" s="105">
        <v>5</v>
      </c>
      <c r="I103" s="105">
        <v>624</v>
      </c>
      <c r="J103" s="105">
        <v>7</v>
      </c>
      <c r="K103" s="105">
        <v>873.6</v>
      </c>
      <c r="L103" s="105">
        <v>4</v>
      </c>
      <c r="M103" s="105">
        <v>499.2</v>
      </c>
      <c r="N103" s="105">
        <v>4</v>
      </c>
      <c r="O103" s="105">
        <v>499.2</v>
      </c>
      <c r="P103" s="105">
        <v>6</v>
      </c>
      <c r="Q103" s="105">
        <v>748.8</v>
      </c>
      <c r="R103" s="105">
        <v>6</v>
      </c>
      <c r="S103" s="105">
        <v>748.8</v>
      </c>
      <c r="T103" s="105">
        <v>5</v>
      </c>
      <c r="U103" s="105">
        <v>624</v>
      </c>
      <c r="V103" s="105">
        <v>5</v>
      </c>
      <c r="W103" s="105">
        <v>624</v>
      </c>
      <c r="X103" s="105">
        <v>7</v>
      </c>
      <c r="Y103" s="105">
        <v>873.6</v>
      </c>
      <c r="Z103" s="105">
        <v>5</v>
      </c>
      <c r="AA103" s="105">
        <v>624</v>
      </c>
      <c r="AB103" s="105">
        <v>7</v>
      </c>
      <c r="AC103" s="105">
        <v>873.6</v>
      </c>
      <c r="AD103" s="105">
        <v>6</v>
      </c>
      <c r="AE103" s="105">
        <v>748.8</v>
      </c>
      <c r="AF103" s="105">
        <v>6</v>
      </c>
      <c r="AG103" s="105">
        <v>748.8</v>
      </c>
      <c r="AH103" s="105">
        <v>4</v>
      </c>
      <c r="AI103" s="105">
        <v>499.2</v>
      </c>
      <c r="AJ103" s="105">
        <v>6</v>
      </c>
      <c r="AK103" s="105">
        <v>748.8</v>
      </c>
      <c r="AL103" s="105">
        <v>7</v>
      </c>
      <c r="AM103" s="105">
        <v>873.6</v>
      </c>
      <c r="AN103" s="105">
        <v>7</v>
      </c>
      <c r="AO103" s="105">
        <v>873.6</v>
      </c>
      <c r="AP103" s="105">
        <v>5</v>
      </c>
      <c r="AQ103" s="105">
        <v>624</v>
      </c>
      <c r="AR103" s="105">
        <v>5</v>
      </c>
      <c r="AS103" s="105">
        <v>624</v>
      </c>
      <c r="AT103" s="105">
        <v>4</v>
      </c>
      <c r="AU103" s="105">
        <v>499.2</v>
      </c>
      <c r="AV103" s="105">
        <v>6</v>
      </c>
      <c r="AW103" s="105">
        <v>748.8</v>
      </c>
      <c r="AX103" s="105">
        <v>8</v>
      </c>
      <c r="AY103" s="105">
        <v>998.4</v>
      </c>
      <c r="AZ103" s="105">
        <v>6</v>
      </c>
      <c r="BA103" s="105">
        <v>748.8</v>
      </c>
      <c r="BB103" s="105">
        <v>6</v>
      </c>
      <c r="BC103" s="105">
        <v>748.8</v>
      </c>
      <c r="BD103" s="105">
        <v>7</v>
      </c>
      <c r="BE103" s="105">
        <v>873.6</v>
      </c>
      <c r="BF103" s="105">
        <v>5</v>
      </c>
      <c r="BG103" s="105">
        <v>624</v>
      </c>
      <c r="BH103" s="105">
        <v>5</v>
      </c>
      <c r="BI103" s="105">
        <v>624</v>
      </c>
      <c r="BJ103" s="105">
        <v>5</v>
      </c>
      <c r="BK103" s="105">
        <v>624</v>
      </c>
      <c r="BL103" s="105">
        <v>7</v>
      </c>
      <c r="BM103" s="105">
        <v>873.6</v>
      </c>
      <c r="BN103" s="105">
        <v>4</v>
      </c>
      <c r="BO103" s="105">
        <v>499.2</v>
      </c>
      <c r="BP103" s="105">
        <v>4</v>
      </c>
      <c r="BQ103" s="105">
        <v>499.2</v>
      </c>
      <c r="BR103" s="105">
        <v>7</v>
      </c>
      <c r="BS103" s="105">
        <v>873.6</v>
      </c>
      <c r="BT103" s="105">
        <v>7</v>
      </c>
      <c r="BU103" s="105">
        <v>873.6</v>
      </c>
      <c r="BV103" s="105">
        <v>5</v>
      </c>
      <c r="BW103" s="105">
        <v>624</v>
      </c>
      <c r="BX103" s="105">
        <v>6</v>
      </c>
      <c r="BY103" s="105">
        <v>748.8</v>
      </c>
      <c r="BZ103" s="105">
        <v>4</v>
      </c>
      <c r="CA103" s="105">
        <v>499.2</v>
      </c>
      <c r="CB103" s="105">
        <v>4</v>
      </c>
      <c r="CC103" s="105">
        <v>499.2</v>
      </c>
      <c r="CD103" s="105">
        <v>6</v>
      </c>
      <c r="CE103" s="105">
        <v>748.8</v>
      </c>
      <c r="CF103" s="105">
        <v>6</v>
      </c>
      <c r="CG103" s="105">
        <v>748.8</v>
      </c>
      <c r="CH103" s="105">
        <v>7</v>
      </c>
      <c r="CI103" s="105">
        <v>873.6</v>
      </c>
      <c r="CJ103" s="105">
        <v>4</v>
      </c>
      <c r="CK103" s="105">
        <v>499.2</v>
      </c>
      <c r="CL103" s="105">
        <v>5</v>
      </c>
      <c r="CM103" s="105">
        <v>624</v>
      </c>
      <c r="CN103" s="105">
        <v>4</v>
      </c>
      <c r="CO103" s="105">
        <v>499.2</v>
      </c>
      <c r="CP103" s="105">
        <v>7</v>
      </c>
      <c r="CQ103" s="105">
        <v>873.6</v>
      </c>
      <c r="CR103" s="105">
        <v>6</v>
      </c>
      <c r="CS103" s="105">
        <v>748.8</v>
      </c>
      <c r="CT103" s="105">
        <v>6</v>
      </c>
      <c r="CU103" s="105">
        <v>748.8</v>
      </c>
    </row>
    <row r="104" spans="2:99" x14ac:dyDescent="0.2">
      <c r="C104" s="104" t="s">
        <v>272</v>
      </c>
      <c r="D104" s="105">
        <v>0</v>
      </c>
      <c r="E104" s="105">
        <v>0</v>
      </c>
      <c r="F104" s="105">
        <v>5.3086817317845831</v>
      </c>
      <c r="G104" s="105">
        <v>1261.3427794720169</v>
      </c>
      <c r="H104" s="105">
        <v>5</v>
      </c>
      <c r="I104" s="105">
        <v>1188</v>
      </c>
      <c r="J104" s="105">
        <v>6</v>
      </c>
      <c r="K104" s="105">
        <v>1425.6</v>
      </c>
      <c r="L104" s="105">
        <v>4</v>
      </c>
      <c r="M104" s="105">
        <v>950.4</v>
      </c>
      <c r="N104" s="105">
        <v>4</v>
      </c>
      <c r="O104" s="105">
        <v>950.4</v>
      </c>
      <c r="P104" s="105">
        <v>6</v>
      </c>
      <c r="Q104" s="105">
        <v>1425.6</v>
      </c>
      <c r="R104" s="105">
        <v>5</v>
      </c>
      <c r="S104" s="105">
        <v>1188</v>
      </c>
      <c r="T104" s="105">
        <v>5</v>
      </c>
      <c r="U104" s="105">
        <v>1188</v>
      </c>
      <c r="V104" s="105">
        <v>5</v>
      </c>
      <c r="W104" s="105">
        <v>1188</v>
      </c>
      <c r="X104" s="105">
        <v>7</v>
      </c>
      <c r="Y104" s="105">
        <v>1663.2</v>
      </c>
      <c r="Z104" s="105">
        <v>5</v>
      </c>
      <c r="AA104" s="105">
        <v>1188</v>
      </c>
      <c r="AB104" s="105">
        <v>7</v>
      </c>
      <c r="AC104" s="105">
        <v>1663.2</v>
      </c>
      <c r="AD104" s="105">
        <v>6</v>
      </c>
      <c r="AE104" s="105">
        <v>1425.6</v>
      </c>
      <c r="AF104" s="105">
        <v>6</v>
      </c>
      <c r="AG104" s="105">
        <v>1425.6</v>
      </c>
      <c r="AH104" s="105">
        <v>4</v>
      </c>
      <c r="AI104" s="105">
        <v>950.4</v>
      </c>
      <c r="AJ104" s="105">
        <v>7</v>
      </c>
      <c r="AK104" s="105">
        <v>1663.2</v>
      </c>
      <c r="AL104" s="105">
        <v>7</v>
      </c>
      <c r="AM104" s="105">
        <v>1663.2</v>
      </c>
      <c r="AN104" s="105">
        <v>8</v>
      </c>
      <c r="AO104" s="105">
        <v>1900.8</v>
      </c>
      <c r="AP104" s="105">
        <v>6</v>
      </c>
      <c r="AQ104" s="105">
        <v>1425.6</v>
      </c>
      <c r="AR104" s="105">
        <v>5</v>
      </c>
      <c r="AS104" s="105">
        <v>1188</v>
      </c>
      <c r="AT104" s="105">
        <v>4</v>
      </c>
      <c r="AU104" s="105">
        <v>950.4</v>
      </c>
      <c r="AV104" s="105">
        <v>6</v>
      </c>
      <c r="AW104" s="105">
        <v>1425.6</v>
      </c>
      <c r="AX104" s="105">
        <v>7</v>
      </c>
      <c r="AY104" s="105">
        <v>1663.2</v>
      </c>
      <c r="AZ104" s="105">
        <v>6</v>
      </c>
      <c r="BA104" s="105">
        <v>1425.6</v>
      </c>
      <c r="BB104" s="105">
        <v>5</v>
      </c>
      <c r="BC104" s="105">
        <v>1188</v>
      </c>
      <c r="BD104" s="105">
        <v>7</v>
      </c>
      <c r="BE104" s="105">
        <v>1663.2</v>
      </c>
      <c r="BF104" s="105">
        <v>5</v>
      </c>
      <c r="BG104" s="105">
        <v>1188</v>
      </c>
      <c r="BH104" s="105">
        <v>5</v>
      </c>
      <c r="BI104" s="105">
        <v>1188</v>
      </c>
      <c r="BJ104" s="105">
        <v>5</v>
      </c>
      <c r="BK104" s="105">
        <v>1188</v>
      </c>
      <c r="BL104" s="105">
        <v>7</v>
      </c>
      <c r="BM104" s="105">
        <v>1663.2</v>
      </c>
      <c r="BN104" s="105">
        <v>4</v>
      </c>
      <c r="BO104" s="105">
        <v>950.4</v>
      </c>
      <c r="BP104" s="105">
        <v>4</v>
      </c>
      <c r="BQ104" s="105">
        <v>950.4</v>
      </c>
      <c r="BR104" s="105">
        <v>6</v>
      </c>
      <c r="BS104" s="105">
        <v>1425.6</v>
      </c>
      <c r="BT104" s="105">
        <v>6</v>
      </c>
      <c r="BU104" s="105">
        <v>1425.6</v>
      </c>
      <c r="BV104" s="105">
        <v>5</v>
      </c>
      <c r="BW104" s="105">
        <v>1188</v>
      </c>
      <c r="BX104" s="105">
        <v>5</v>
      </c>
      <c r="BY104" s="105">
        <v>1188</v>
      </c>
      <c r="BZ104" s="105">
        <v>4</v>
      </c>
      <c r="CA104" s="105">
        <v>950.4</v>
      </c>
      <c r="CB104" s="105">
        <v>4</v>
      </c>
      <c r="CC104" s="105">
        <v>950.4</v>
      </c>
      <c r="CD104" s="105">
        <v>6</v>
      </c>
      <c r="CE104" s="105">
        <v>1425.6</v>
      </c>
      <c r="CF104" s="105">
        <v>5</v>
      </c>
      <c r="CG104" s="105">
        <v>1188</v>
      </c>
      <c r="CH104" s="105">
        <v>7</v>
      </c>
      <c r="CI104" s="105">
        <v>1663.2</v>
      </c>
      <c r="CJ104" s="105">
        <v>5</v>
      </c>
      <c r="CK104" s="105">
        <v>1188</v>
      </c>
      <c r="CL104" s="105">
        <v>4</v>
      </c>
      <c r="CM104" s="105">
        <v>950.4</v>
      </c>
      <c r="CN104" s="105">
        <v>4</v>
      </c>
      <c r="CO104" s="105">
        <v>950.4</v>
      </c>
      <c r="CP104" s="105">
        <v>7</v>
      </c>
      <c r="CQ104" s="105">
        <v>1663.2</v>
      </c>
      <c r="CR104" s="105">
        <v>6</v>
      </c>
      <c r="CS104" s="105">
        <v>1425.6</v>
      </c>
      <c r="CT104" s="105">
        <v>6</v>
      </c>
      <c r="CU104" s="105">
        <v>1425.6</v>
      </c>
    </row>
    <row r="105" spans="2:99" x14ac:dyDescent="0.2">
      <c r="C105" s="104" t="s">
        <v>273</v>
      </c>
      <c r="D105" s="105">
        <v>0</v>
      </c>
      <c r="E105" s="105">
        <v>0</v>
      </c>
      <c r="F105" s="105">
        <v>5.3086817317845831</v>
      </c>
      <c r="G105" s="105">
        <v>917.34020325237589</v>
      </c>
      <c r="H105" s="105">
        <v>5</v>
      </c>
      <c r="I105" s="105">
        <v>863.99999999999989</v>
      </c>
      <c r="J105" s="105">
        <v>8</v>
      </c>
      <c r="K105" s="105">
        <v>1382.3999999999999</v>
      </c>
      <c r="L105" s="105">
        <v>4</v>
      </c>
      <c r="M105" s="105">
        <v>691.19999999999993</v>
      </c>
      <c r="N105" s="105">
        <v>4</v>
      </c>
      <c r="O105" s="105">
        <v>691.19999999999993</v>
      </c>
      <c r="P105" s="105">
        <v>6</v>
      </c>
      <c r="Q105" s="105">
        <v>1036.8</v>
      </c>
      <c r="R105" s="105">
        <v>6</v>
      </c>
      <c r="S105" s="105">
        <v>1036.8</v>
      </c>
      <c r="T105" s="105">
        <v>5</v>
      </c>
      <c r="U105" s="105">
        <v>863.99999999999989</v>
      </c>
      <c r="V105" s="105">
        <v>5</v>
      </c>
      <c r="W105" s="105">
        <v>863.99999999999989</v>
      </c>
      <c r="X105" s="105">
        <v>6</v>
      </c>
      <c r="Y105" s="105">
        <v>1036.8</v>
      </c>
      <c r="Z105" s="105">
        <v>5</v>
      </c>
      <c r="AA105" s="105">
        <v>863.99999999999989</v>
      </c>
      <c r="AB105" s="105">
        <v>6</v>
      </c>
      <c r="AC105" s="105">
        <v>1036.8</v>
      </c>
      <c r="AD105" s="105">
        <v>6</v>
      </c>
      <c r="AE105" s="105">
        <v>1036.8</v>
      </c>
      <c r="AF105" s="105">
        <v>6</v>
      </c>
      <c r="AG105" s="105">
        <v>1036.8</v>
      </c>
      <c r="AH105" s="105">
        <v>4</v>
      </c>
      <c r="AI105" s="105">
        <v>691.19999999999993</v>
      </c>
      <c r="AJ105" s="105">
        <v>7</v>
      </c>
      <c r="AK105" s="105">
        <v>1209.5999999999999</v>
      </c>
      <c r="AL105" s="105">
        <v>6</v>
      </c>
      <c r="AM105" s="105">
        <v>1036.8</v>
      </c>
      <c r="AN105" s="105">
        <v>8</v>
      </c>
      <c r="AO105" s="105">
        <v>1382.3999999999999</v>
      </c>
      <c r="AP105" s="105">
        <v>6</v>
      </c>
      <c r="AQ105" s="105">
        <v>1036.8</v>
      </c>
      <c r="AR105" s="105">
        <v>5</v>
      </c>
      <c r="AS105" s="105">
        <v>863.99999999999989</v>
      </c>
      <c r="AT105" s="105">
        <v>4</v>
      </c>
      <c r="AU105" s="105">
        <v>691.19999999999993</v>
      </c>
      <c r="AV105" s="105">
        <v>6</v>
      </c>
      <c r="AW105" s="105">
        <v>1036.8</v>
      </c>
      <c r="AX105" s="105">
        <v>7</v>
      </c>
      <c r="AY105" s="105">
        <v>1209.5999999999999</v>
      </c>
      <c r="AZ105" s="105">
        <v>6</v>
      </c>
      <c r="BA105" s="105">
        <v>1036.8</v>
      </c>
      <c r="BB105" s="105">
        <v>5</v>
      </c>
      <c r="BC105" s="105">
        <v>863.99999999999989</v>
      </c>
      <c r="BD105" s="105">
        <v>6</v>
      </c>
      <c r="BE105" s="105">
        <v>1036.8</v>
      </c>
      <c r="BF105" s="105">
        <v>5</v>
      </c>
      <c r="BG105" s="105">
        <v>863.99999999999989</v>
      </c>
      <c r="BH105" s="105">
        <v>6</v>
      </c>
      <c r="BI105" s="105">
        <v>1036.8</v>
      </c>
      <c r="BJ105" s="105">
        <v>5</v>
      </c>
      <c r="BK105" s="105">
        <v>863.99999999999989</v>
      </c>
      <c r="BL105" s="105">
        <v>7</v>
      </c>
      <c r="BM105" s="105">
        <v>1209.5999999999999</v>
      </c>
      <c r="BN105" s="105">
        <v>4</v>
      </c>
      <c r="BO105" s="105">
        <v>691.19999999999993</v>
      </c>
      <c r="BP105" s="105">
        <v>5</v>
      </c>
      <c r="BQ105" s="105">
        <v>863.99999999999989</v>
      </c>
      <c r="BR105" s="105">
        <v>7</v>
      </c>
      <c r="BS105" s="105">
        <v>1209.5999999999999</v>
      </c>
      <c r="BT105" s="105">
        <v>6</v>
      </c>
      <c r="BU105" s="105">
        <v>1036.8</v>
      </c>
      <c r="BV105" s="105">
        <v>5</v>
      </c>
      <c r="BW105" s="105">
        <v>863.99999999999989</v>
      </c>
      <c r="BX105" s="105">
        <v>6</v>
      </c>
      <c r="BY105" s="105">
        <v>1036.8</v>
      </c>
      <c r="BZ105" s="105">
        <v>5</v>
      </c>
      <c r="CA105" s="105">
        <v>863.99999999999989</v>
      </c>
      <c r="CB105" s="105">
        <v>5</v>
      </c>
      <c r="CC105" s="105">
        <v>863.99999999999989</v>
      </c>
      <c r="CD105" s="105">
        <v>6</v>
      </c>
      <c r="CE105" s="105">
        <v>1036.8</v>
      </c>
      <c r="CF105" s="105">
        <v>6</v>
      </c>
      <c r="CG105" s="105">
        <v>1036.8</v>
      </c>
      <c r="CH105" s="105">
        <v>6</v>
      </c>
      <c r="CI105" s="105">
        <v>1036.8</v>
      </c>
      <c r="CJ105" s="105">
        <v>4</v>
      </c>
      <c r="CK105" s="105">
        <v>691.19999999999993</v>
      </c>
      <c r="CL105" s="105">
        <v>4</v>
      </c>
      <c r="CM105" s="105">
        <v>691.19999999999993</v>
      </c>
      <c r="CN105" s="105">
        <v>4</v>
      </c>
      <c r="CO105" s="105">
        <v>691.19999999999993</v>
      </c>
      <c r="CP105" s="105">
        <v>6</v>
      </c>
      <c r="CQ105" s="105">
        <v>1036.8</v>
      </c>
      <c r="CR105" s="105">
        <v>6</v>
      </c>
      <c r="CS105" s="105">
        <v>1036.8</v>
      </c>
      <c r="CT105" s="105">
        <v>6</v>
      </c>
      <c r="CU105" s="105">
        <v>1036.8</v>
      </c>
    </row>
    <row r="107" spans="2:99" x14ac:dyDescent="0.2">
      <c r="B107" s="109" t="s">
        <v>278</v>
      </c>
    </row>
    <row r="108" spans="2:99" x14ac:dyDescent="0.2">
      <c r="C108" s="104" t="s">
        <v>279</v>
      </c>
      <c r="D108" s="104" t="s">
        <v>92</v>
      </c>
      <c r="E108" s="104" t="s">
        <v>93</v>
      </c>
      <c r="F108" s="104" t="s">
        <v>94</v>
      </c>
      <c r="G108" s="104" t="s">
        <v>95</v>
      </c>
      <c r="H108" s="104" t="s">
        <v>96</v>
      </c>
      <c r="I108" s="104" t="s">
        <v>97</v>
      </c>
      <c r="J108" s="104" t="s">
        <v>98</v>
      </c>
      <c r="K108" s="104" t="s">
        <v>99</v>
      </c>
      <c r="L108" s="104" t="s">
        <v>100</v>
      </c>
      <c r="M108" s="104" t="s">
        <v>101</v>
      </c>
      <c r="N108" s="104" t="s">
        <v>102</v>
      </c>
      <c r="O108" s="104" t="s">
        <v>103</v>
      </c>
    </row>
    <row r="109" spans="2:99" x14ac:dyDescent="0.2">
      <c r="C109" s="104" t="s">
        <v>126</v>
      </c>
      <c r="D109" s="105">
        <f>SUM(D$6:D$19)+SUM(F$6:F$19)+SUM(H$6:H$19)+SUM(J$6:J$19)</f>
        <v>183.44123303086602</v>
      </c>
      <c r="E109" s="105">
        <f>SUM(L$6:L$19)+SUM(N$6:N$19)+SUM(P$6:P$19)+SUM(R$6:R$19)</f>
        <v>296.02201689928052</v>
      </c>
      <c r="F109" s="105">
        <f>SUM(T$6:T$19)+SUM(V$6:V$19)+SUM(X$6:X$19)+SUM(Z$6:Z$19)</f>
        <v>326</v>
      </c>
      <c r="G109" s="105">
        <f>SUM(AB$6:AB$19)+SUM(AD$6:AD$19)+SUM(AF$6:AF$19)+SUM(AH$6:AH$19)</f>
        <v>304</v>
      </c>
      <c r="H109" s="105">
        <f>SUM(AJ$6:AJ$19)+SUM(AL$6:AL$19)+SUM(AN$6:AN$19)+SUM(AP$6:AP$19)</f>
        <v>297</v>
      </c>
      <c r="I109" s="105">
        <f>SUM(AR$6:AR$19)+SUM(AT$6:AT$19)+SUM(AV$6:AV$19)+SUM(AX$6:AX$19)</f>
        <v>368</v>
      </c>
      <c r="J109" s="105">
        <f>SUM(AZ$6:AZ$19)+SUM(BB$6:BB$19)+SUM(BD$6:BD$19)+SUM(BF$6:BF$19)</f>
        <v>301</v>
      </c>
      <c r="K109" s="105">
        <f>SUM(BH$6:BH$19)+SUM(BJ$6:BJ$19)+SUM(BL$6:BL$19)+SUM(BN$6:BN$19)</f>
        <v>336</v>
      </c>
      <c r="L109" s="105">
        <f>SUM(BP$6:BP$19)+SUM(BR$6:BR$19)+SUM(BT$6:BT$19)+SUM(BV$6:BV$19)</f>
        <v>388</v>
      </c>
      <c r="M109" s="105">
        <f>SUM(BX$6:BX$19)+SUM(BZ$6:BZ$19)+SUM(CB$6:CB$19)+SUM(CD$6:CD$19)</f>
        <v>410</v>
      </c>
      <c r="N109" s="105">
        <f>SUM(CF$6:CF$19)+SUM(CH$6:CH$19)+SUM(CJ$6:CJ$19)+SUM(CL$6:CL$19)</f>
        <v>386</v>
      </c>
      <c r="O109" s="105">
        <f>SUM(CN$6:CN$19)+SUM(CP$6:CP$19)+SUM(CR$6:CR$19)+SUM(CT$6:CT$19)</f>
        <v>386</v>
      </c>
    </row>
    <row r="110" spans="2:99" x14ac:dyDescent="0.2">
      <c r="C110" s="104" t="s">
        <v>127</v>
      </c>
      <c r="D110" s="105">
        <f>SUM(D$20:D$36)+SUM(F$20:F$36)+SUM(H$20:H$36)+SUM(J$20:J$36)</f>
        <v>446.8384550635551</v>
      </c>
      <c r="E110" s="105">
        <f>SUM(L$20:L$36)+SUM(N$20:N$36)+SUM(P$20:P$36)+SUM(R$20:R$36)</f>
        <v>488.90738469279825</v>
      </c>
      <c r="F110" s="105">
        <f>SUM(T$20:T$36)+SUM(V$20:V$36)+SUM(X$20:X$36)+SUM(Z$20:Z$36)</f>
        <v>538.87983901516213</v>
      </c>
      <c r="G110" s="105">
        <f>SUM(AB$20:AB$36)+SUM(AD$20:AD$36)+SUM(AF$20:AF$36)+SUM(AH$20:AH$36)</f>
        <v>538</v>
      </c>
      <c r="H110" s="105">
        <f>SUM(AJ$20:AJ$36)+SUM(AL$20:AL$36)+SUM(AN$20:AN$36)+SUM(AP$20:AP$36)</f>
        <v>669</v>
      </c>
      <c r="I110" s="105">
        <f>SUM(AR$20:AR$36)+SUM(AT$20:AT$36)+SUM(AV$20:AV$36)+SUM(AX$20:AX$36)</f>
        <v>631</v>
      </c>
      <c r="J110" s="105">
        <f>SUM(AZ$20:AZ$36)+SUM(BB$20:BB$36)+SUM(BD$20:BD$36)+SUM(BF$20:BF$36)</f>
        <v>696.53573037557101</v>
      </c>
      <c r="K110" s="105">
        <f>SUM(BH$20:BH$36)+SUM(BJ$20:BJ$36)+SUM(BL$20:BL$36)+SUM(BN$20:BN$36)</f>
        <v>650</v>
      </c>
      <c r="L110" s="105">
        <f>SUM(BP$20:BP$36)+SUM(BR$20:BR$36)+SUM(BT$20:BT$36)+SUM(BV$20:BV$36)</f>
        <v>594</v>
      </c>
      <c r="M110" s="105">
        <f>SUM(BX$20:BX$36)+SUM(BZ$20:BZ$36)+SUM(CB$20:CB$36)+SUM(CD$20:CD$36)</f>
        <v>514</v>
      </c>
      <c r="N110" s="105">
        <f>SUM(CF$20:CF$36)+SUM(CH$20:CH$36)+SUM(CJ$20:CJ$36)+SUM(CL$20:CL$36)</f>
        <v>579.51344773369021</v>
      </c>
      <c r="O110" s="105">
        <f>SUM(CN$20:CN$36)+SUM(CP$20:CP$36)+SUM(CR$20:CR$36)+SUM(CT$20:CT$36)</f>
        <v>737</v>
      </c>
    </row>
    <row r="111" spans="2:99" x14ac:dyDescent="0.2">
      <c r="C111" s="104" t="s">
        <v>128</v>
      </c>
      <c r="D111" s="105">
        <f>SUM(D$37:D$48)+SUM(F$37:F$48)+SUM(H$37:H$48)+SUM(J$37:J$48)</f>
        <v>165.76314277682326</v>
      </c>
      <c r="E111" s="105">
        <f>SUM(L$37:L$48)+SUM(N$37:N$48)+SUM(P$37:P$48)+SUM(R$37:R$48)</f>
        <v>207.10799105414222</v>
      </c>
      <c r="F111" s="105">
        <f>SUM(T$37:T$48)+SUM(V$37:V$48)+SUM(X$37:X$48)+SUM(Z$37:Z$48)</f>
        <v>198</v>
      </c>
      <c r="G111" s="105">
        <f>SUM(AB$37:AB$48)+SUM(AD$37:AD$48)+SUM(AF$37:AF$48)+SUM(AH$37:AH$48)</f>
        <v>195</v>
      </c>
      <c r="H111" s="105">
        <f>SUM(AJ$37:AJ$48)+SUM(AL$37:AL$48)+SUM(AN$37:AN$48)+SUM(AP$37:AP$48)</f>
        <v>238</v>
      </c>
      <c r="I111" s="105">
        <f>SUM(AR$37:AR$48)+SUM(AT$37:AT$48)+SUM(AV$37:AV$48)+SUM(AX$37:AX$48)</f>
        <v>238</v>
      </c>
      <c r="J111" s="105">
        <f>SUM(AZ$37:AZ$48)+SUM(BB$37:BB$48)+SUM(BD$37:BD$48)+SUM(BF$37:BF$48)</f>
        <v>223</v>
      </c>
      <c r="K111" s="105">
        <f>SUM(BH$37:BH$48)+SUM(BJ$37:BJ$48)+SUM(BL$37:BL$48)+SUM(BN$37:BN$48)</f>
        <v>213</v>
      </c>
      <c r="L111" s="105">
        <f>SUM(BP$37:BP$48)+SUM(BR$37:BR$48)+SUM(BT$37:BT$48)+SUM(BV$37:BV$48)</f>
        <v>218</v>
      </c>
      <c r="M111" s="105">
        <f>SUM(BX$37:BX$48)+SUM(BZ$37:BZ$48)+SUM(CB$37:CB$48)+SUM(CD$37:CD$48)</f>
        <v>214</v>
      </c>
      <c r="N111" s="105">
        <f>SUM(CF$37:CF$48)+SUM(CH$37:CH$48)+SUM(CJ$37:CJ$48)+SUM(CL$37:CL$48)</f>
        <v>235</v>
      </c>
      <c r="O111" s="105">
        <f>SUM(CN$37:CN$48)+SUM(CP$37:CP$48)+SUM(CR$37:CR$48)+SUM(CT$37:CT$48)</f>
        <v>196</v>
      </c>
    </row>
    <row r="112" spans="2:99" x14ac:dyDescent="0.2">
      <c r="C112" s="104" t="s">
        <v>129</v>
      </c>
      <c r="D112" s="105">
        <f>SUM(D$49:D$70)+SUM(F$49:F$70)+SUM(H$49:H$70)+SUM(J$49:J$70)</f>
        <v>176.63933065613676</v>
      </c>
      <c r="E112" s="105">
        <f>SUM(L$49:L$70)+SUM(N$49:N$70)+SUM(P$49:P$70)+SUM(R$49:R$70)</f>
        <v>294.26344161432007</v>
      </c>
      <c r="F112" s="105">
        <f>SUM(T$49:T$70)+SUM(V$49:V$70)+SUM(X$49:X$70)+SUM(Z$49:Z$70)</f>
        <v>273.33477924535964</v>
      </c>
      <c r="G112" s="105">
        <f>SUM(AB$49:AB$70)+SUM(AD$49:AD$70)+SUM(AF$49:AF$70)+SUM(AH$49:AH$70)</f>
        <v>254.71264566936779</v>
      </c>
      <c r="H112" s="105">
        <f>SUM(AJ$49:AJ$70)+SUM(AL$49:AL$70)+SUM(AN$49:AN$70)+SUM(AP$49:AP$70)</f>
        <v>318.96190271153904</v>
      </c>
      <c r="I112" s="105">
        <f>SUM(AR$49:AR$70)+SUM(AT$49:AT$70)+SUM(AV$49:AV$70)+SUM(AX$49:AX$70)</f>
        <v>325.05033320897223</v>
      </c>
      <c r="J112" s="105">
        <f>SUM(AZ$49:AZ$70)+SUM(BB$49:BB$70)+SUM(BD$49:BD$70)+SUM(BF$49:BF$70)</f>
        <v>263.19148942170159</v>
      </c>
      <c r="K112" s="105">
        <f>SUM(BH$49:BH$70)+SUM(BJ$49:BJ$70)+SUM(BL$49:BL$70)+SUM(BN$49:BN$70)</f>
        <v>261.56212567194348</v>
      </c>
      <c r="L112" s="105">
        <f>SUM(BP$49:BP$70)+SUM(BR$49:BR$70)+SUM(BT$49:BT$70)+SUM(BV$49:BV$70)</f>
        <v>331.94289930782179</v>
      </c>
      <c r="M112" s="105">
        <f>SUM(BX$49:BX$70)+SUM(BZ$49:BZ$70)+SUM(CB$49:CB$70)+SUM(CD$49:CD$70)</f>
        <v>318.61234001441244</v>
      </c>
      <c r="N112" s="105">
        <f>SUM(CF$49:CF$70)+SUM(CH$49:CH$70)+SUM(CJ$49:CJ$70)+SUM(CL$49:CL$70)</f>
        <v>309.9851981669388</v>
      </c>
      <c r="O112" s="105">
        <f>SUM(CN$49:CN$70)+SUM(CP$49:CP$70)+SUM(CR$49:CR$70)+SUM(CT$49:CT$70)</f>
        <v>297.04152841980238</v>
      </c>
    </row>
    <row r="113" spans="2:15" x14ac:dyDescent="0.2">
      <c r="C113" s="104" t="s">
        <v>130</v>
      </c>
      <c r="D113" s="105">
        <f>SUM(D$71:D$86)+SUM(F$71:F$86)+SUM(H$71:H$86)+SUM(J$71:J$86)</f>
        <v>101.29228876842427</v>
      </c>
      <c r="E113" s="105">
        <f>SUM(L$71:L$86)+SUM(N$71:N$86)+SUM(P$71:P$86)+SUM(R$71:R$86)</f>
        <v>145.91507839020716</v>
      </c>
      <c r="F113" s="105">
        <f>SUM(T$71:T$86)+SUM(V$71:V$86)+SUM(X$71:X$86)+SUM(Z$71:Z$86)</f>
        <v>152.4226964094342</v>
      </c>
      <c r="G113" s="105">
        <f>SUM(AB$71:AB$86)+SUM(AD$71:AD$86)+SUM(AF$71:AF$86)+SUM(AH$71:AH$86)</f>
        <v>139.61486000374629</v>
      </c>
      <c r="H113" s="105">
        <f>SUM(AJ$71:AJ$86)+SUM(AL$71:AL$86)+SUM(AN$71:AN$86)+SUM(AP$71:AP$86)</f>
        <v>146.62678184951815</v>
      </c>
      <c r="I113" s="105">
        <f>SUM(AR$71:AR$86)+SUM(AT$71:AT$86)+SUM(AV$71:AV$86)+SUM(AX$71:AX$86)</f>
        <v>142.59031865359213</v>
      </c>
      <c r="J113" s="105">
        <f>SUM(AZ$71:AZ$86)+SUM(BB$71:BB$86)+SUM(BD$71:BD$86)+SUM(BF$71:BF$86)</f>
        <v>146.42088430461993</v>
      </c>
      <c r="K113" s="105">
        <f>SUM(BH$71:BH$86)+SUM(BJ$71:BJ$86)+SUM(BL$71:BL$86)+SUM(BN$71:BN$86)</f>
        <v>140.36448372852911</v>
      </c>
      <c r="L113" s="105">
        <f>SUM(BP$71:BP$86)+SUM(BR$71:BR$86)+SUM(BT$71:BT$86)+SUM(BV$71:BV$86)</f>
        <v>140.93506507131161</v>
      </c>
      <c r="M113" s="105">
        <f>SUM(BX$71:BX$86)+SUM(BZ$71:BZ$86)+SUM(CB$71:CB$86)+SUM(CD$71:CD$86)</f>
        <v>160.46186884924953</v>
      </c>
      <c r="N113" s="105">
        <f>SUM(CF$71:CF$86)+SUM(CH$71:CH$86)+SUM(CJ$71:CJ$86)+SUM(CL$71:CL$86)</f>
        <v>157.35209545886838</v>
      </c>
      <c r="O113" s="105">
        <f>SUM(CN$71:CN$86)+SUM(CP$71:CP$86)+SUM(CR$71:CR$86)+SUM(CT$71:CT$86)</f>
        <v>152.14096947334681</v>
      </c>
    </row>
    <row r="114" spans="2:15" x14ac:dyDescent="0.2">
      <c r="C114" s="104" t="s">
        <v>131</v>
      </c>
      <c r="D114" s="105">
        <f>SUM(D$87:D$94)+SUM(F$87:F$94)+SUM(H$87:H$94)+SUM(J$87:J$94)</f>
        <v>66.234726927138325</v>
      </c>
      <c r="E114" s="105">
        <f>SUM(L$87:L$94)+SUM(N$87:N$94)+SUM(P$87:P$94)+SUM(R$87:R$94)</f>
        <v>104</v>
      </c>
      <c r="F114" s="105">
        <f>SUM(T$87:T$94)+SUM(V$87:V$94)+SUM(X$87:X$94)+SUM(Z$87:Z$94)</f>
        <v>106</v>
      </c>
      <c r="G114" s="105">
        <f>SUM(AB$87:AB$94)+SUM(AD$87:AD$94)+SUM(AF$87:AF$94)+SUM(AH$87:AH$94)</f>
        <v>97</v>
      </c>
      <c r="H114" s="105">
        <f>SUM(AJ$87:AJ$94)+SUM(AL$87:AL$94)+SUM(AN$87:AN$94)+SUM(AP$87:AP$94)</f>
        <v>109</v>
      </c>
      <c r="I114" s="105">
        <f>SUM(AR$87:AR$94)+SUM(AT$87:AT$94)+SUM(AV$87:AV$94)+SUM(AX$87:AX$94)</f>
        <v>120</v>
      </c>
      <c r="J114" s="105">
        <f>SUM(AZ$87:AZ$94)+SUM(BB$87:BB$94)+SUM(BD$87:BD$94)+SUM(BF$87:BF$94)</f>
        <v>104</v>
      </c>
      <c r="K114" s="105">
        <f>SUM(BH$87:BH$94)+SUM(BJ$87:BJ$94)+SUM(BL$87:BL$94)+SUM(BN$87:BN$94)</f>
        <v>112</v>
      </c>
      <c r="L114" s="105">
        <f>SUM(BP$87:BP$94)+SUM(BR$87:BR$94)+SUM(BT$87:BT$94)+SUM(BV$87:BV$94)</f>
        <v>124</v>
      </c>
      <c r="M114" s="105">
        <f>SUM(BX$87:BX$94)+SUM(BZ$87:BZ$94)+SUM(CB$87:CB$94)+SUM(CD$87:CD$94)</f>
        <v>127</v>
      </c>
      <c r="N114" s="105">
        <f>SUM(CF$87:CF$94)+SUM(CH$87:CH$94)+SUM(CJ$87:CJ$94)+SUM(CL$87:CL$94)</f>
        <v>138</v>
      </c>
      <c r="O114" s="105">
        <f>SUM(CN$87:CN$94)+SUM(CP$87:CP$94)+SUM(CR$87:CR$94)+SUM(CT$87:CT$94)</f>
        <v>121</v>
      </c>
    </row>
    <row r="115" spans="2:15" x14ac:dyDescent="0.2">
      <c r="C115" s="104" t="s">
        <v>132</v>
      </c>
      <c r="D115" s="105">
        <f>SUM(D$95:D$105)+SUM(F$95:F$105)+SUM(H$95:H$105)+SUM(J$95:J$105)</f>
        <v>176.90197967101096</v>
      </c>
      <c r="E115" s="105">
        <f>SUM(L$95:L$105)+SUM(N$95:N$105)+SUM(P$95:P$105)+SUM(R$95:R$105)</f>
        <v>202.72131252902128</v>
      </c>
      <c r="F115" s="105">
        <f>SUM(T$95:T$105)+SUM(V$95:V$105)+SUM(X$95:X$105)+SUM(Z$95:Z$105)</f>
        <v>231.1682202960545</v>
      </c>
      <c r="G115" s="105">
        <f>SUM(AB$95:AB$105)+SUM(AD$95:AD$105)+SUM(AF$95:AF$105)+SUM(AH$95:AH$105)</f>
        <v>228.70096609748677</v>
      </c>
      <c r="H115" s="105">
        <f>SUM(AJ$95:AJ$105)+SUM(AL$95:AL$105)+SUM(AN$95:AN$105)+SUM(AP$95:AP$105)</f>
        <v>267.91409322835614</v>
      </c>
      <c r="I115" s="105">
        <f>SUM(AR$95:AR$105)+SUM(AT$95:AT$105)+SUM(AV$95:AV$105)+SUM(AX$95:AX$105)</f>
        <v>225.5949729174427</v>
      </c>
      <c r="J115" s="105">
        <f>SUM(AZ$95:AZ$105)+SUM(BB$95:BB$105)+SUM(BD$95:BD$105)+SUM(BF$95:BF$105)</f>
        <v>233.85710938288491</v>
      </c>
      <c r="K115" s="105">
        <f>SUM(BH$95:BH$105)+SUM(BJ$95:BJ$105)+SUM(BL$95:BL$105)+SUM(BN$95:BN$105)</f>
        <v>221.30901537953446</v>
      </c>
      <c r="L115" s="105">
        <f>SUM(BP$95:BP$105)+SUM(BR$95:BR$105)+SUM(BT$95:BT$105)+SUM(BV$95:BV$105)</f>
        <v>227.94766040087364</v>
      </c>
      <c r="M115" s="105">
        <f>SUM(BX$95:BX$105)+SUM(BZ$95:BZ$105)+SUM(CB$95:CB$105)+SUM(CD$95:CD$105)</f>
        <v>206.50938846122369</v>
      </c>
      <c r="N115" s="105">
        <f>SUM(CF$95:CF$105)+SUM(CH$95:CH$105)+SUM(CJ$95:CJ$105)+SUM(CL$95:CL$105)</f>
        <v>214.40385995000003</v>
      </c>
      <c r="O115" s="105">
        <f>SUM(CN$95:CN$105)+SUM(CP$95:CP$105)+SUM(CR$95:CR$105)+SUM(CT$95:CT$105)</f>
        <v>223.81911773515074</v>
      </c>
    </row>
    <row r="116" spans="2:15" x14ac:dyDescent="0.2">
      <c r="C116" s="104" t="s">
        <v>280</v>
      </c>
      <c r="D116" s="105">
        <f t="shared" ref="D116:O116" si="0">SUM(D$109:D$115)</f>
        <v>1317.1111568939546</v>
      </c>
      <c r="E116" s="105">
        <f t="shared" si="0"/>
        <v>1738.9372251797695</v>
      </c>
      <c r="F116" s="105">
        <f t="shared" si="0"/>
        <v>1825.8055349660103</v>
      </c>
      <c r="G116" s="105">
        <f t="shared" si="0"/>
        <v>1757.0284717706008</v>
      </c>
      <c r="H116" s="105">
        <f t="shared" si="0"/>
        <v>2046.5027777894134</v>
      </c>
      <c r="I116" s="105">
        <f t="shared" si="0"/>
        <v>2050.2356247800071</v>
      </c>
      <c r="J116" s="105">
        <f t="shared" si="0"/>
        <v>1968.0052134847774</v>
      </c>
      <c r="K116" s="105">
        <f t="shared" si="0"/>
        <v>1934.2356247800071</v>
      </c>
      <c r="L116" s="105">
        <f t="shared" si="0"/>
        <v>2024.825624780007</v>
      </c>
      <c r="M116" s="105">
        <f t="shared" si="0"/>
        <v>1950.5835973248859</v>
      </c>
      <c r="N116" s="105">
        <f t="shared" si="0"/>
        <v>2020.2546013094973</v>
      </c>
      <c r="O116" s="105">
        <f t="shared" si="0"/>
        <v>2113.0016156283</v>
      </c>
    </row>
    <row r="118" spans="2:15" x14ac:dyDescent="0.2">
      <c r="B118" s="108" t="s">
        <v>281</v>
      </c>
    </row>
    <row r="119" spans="2:15" x14ac:dyDescent="0.2">
      <c r="C119" s="104" t="s">
        <v>279</v>
      </c>
      <c r="D119" s="104" t="s">
        <v>92</v>
      </c>
      <c r="E119" s="104" t="s">
        <v>93</v>
      </c>
      <c r="F119" s="104" t="s">
        <v>94</v>
      </c>
      <c r="G119" s="104" t="s">
        <v>95</v>
      </c>
      <c r="H119" s="104" t="s">
        <v>96</v>
      </c>
      <c r="I119" s="104" t="s">
        <v>97</v>
      </c>
      <c r="J119" s="104" t="s">
        <v>98</v>
      </c>
      <c r="K119" s="104" t="s">
        <v>99</v>
      </c>
      <c r="L119" s="104" t="s">
        <v>100</v>
      </c>
      <c r="M119" s="104" t="s">
        <v>101</v>
      </c>
      <c r="N119" s="104" t="s">
        <v>102</v>
      </c>
      <c r="O119" s="104" t="s">
        <v>103</v>
      </c>
    </row>
    <row r="120" spans="2:15" x14ac:dyDescent="0.2">
      <c r="C120" s="104" t="s">
        <v>126</v>
      </c>
      <c r="D120" s="105">
        <f>D109*pricing!D24*2000</f>
        <v>1320776.8778222352</v>
      </c>
      <c r="E120" s="105">
        <f>E109*pricing!E24*2000</f>
        <v>2131358.5216748198</v>
      </c>
      <c r="F120" s="105">
        <f>F109*pricing!F24*2000</f>
        <v>2347200.0000000005</v>
      </c>
      <c r="G120" s="105">
        <f>G109*pricing!G24*2000</f>
        <v>2188800</v>
      </c>
      <c r="H120" s="105">
        <f>H109*pricing!H24*2000</f>
        <v>2138400</v>
      </c>
      <c r="I120" s="105">
        <f>I109*pricing!I24*2000</f>
        <v>2649600</v>
      </c>
      <c r="J120" s="105">
        <f>J109*pricing!J24*2000</f>
        <v>2167200.0000000005</v>
      </c>
      <c r="K120" s="105">
        <f>K109*pricing!K24*2000</f>
        <v>2419200.0000000005</v>
      </c>
      <c r="L120" s="105">
        <f>L109*pricing!L24*2000</f>
        <v>2793600</v>
      </c>
      <c r="M120" s="105">
        <f>M109*pricing!M24*2000</f>
        <v>2952000</v>
      </c>
      <c r="N120" s="105">
        <f>N109*pricing!N24*2000</f>
        <v>2779200.0000000005</v>
      </c>
      <c r="O120" s="105">
        <f>O109*pricing!O24*2000</f>
        <v>2779200.0000000005</v>
      </c>
    </row>
    <row r="121" spans="2:15" x14ac:dyDescent="0.2">
      <c r="C121" s="104" t="s">
        <v>127</v>
      </c>
      <c r="D121" s="105">
        <f>D110*pricing!D25*2000</f>
        <v>3226173.6455588676</v>
      </c>
      <c r="E121" s="105">
        <f>E110*pricing!E25*2000</f>
        <v>3529911.317482003</v>
      </c>
      <c r="F121" s="105">
        <f>F110*pricing!F25*2000</f>
        <v>3890712.4376894701</v>
      </c>
      <c r="G121" s="105">
        <f>G110*pricing!G25*2000</f>
        <v>3884359.9999999995</v>
      </c>
      <c r="H121" s="105">
        <f>H110*pricing!H25*2000</f>
        <v>4830179.9999999991</v>
      </c>
      <c r="I121" s="105">
        <f>I110*pricing!I25*2000</f>
        <v>4555820</v>
      </c>
      <c r="J121" s="105">
        <f>J110*pricing!J25*2000</f>
        <v>5028987.9733116226</v>
      </c>
      <c r="K121" s="105">
        <f>K110*pricing!K25*2000</f>
        <v>4693000</v>
      </c>
      <c r="L121" s="105">
        <f>L110*pricing!L25*2000</f>
        <v>4288680</v>
      </c>
      <c r="M121" s="105">
        <f>M110*pricing!M25*2000</f>
        <v>3711080</v>
      </c>
      <c r="N121" s="105">
        <f>N110*pricing!N25*2000</f>
        <v>4184087.0926372437</v>
      </c>
      <c r="O121" s="105">
        <f>O110*pricing!O25*2000</f>
        <v>5321139.9999999991</v>
      </c>
    </row>
    <row r="122" spans="2:15" x14ac:dyDescent="0.2">
      <c r="C122" s="104" t="s">
        <v>128</v>
      </c>
      <c r="D122" s="105">
        <f>D111*pricing!D26*2000</f>
        <v>1292952.5136592216</v>
      </c>
      <c r="E122" s="105">
        <f>E111*pricing!E26*2000</f>
        <v>1615442.3302223093</v>
      </c>
      <c r="F122" s="105">
        <f>F111*pricing!F26*2000</f>
        <v>1544399.9999999998</v>
      </c>
      <c r="G122" s="105">
        <f>G111*pricing!G26*2000</f>
        <v>1521000</v>
      </c>
      <c r="H122" s="105">
        <f>H111*pricing!H26*2000</f>
        <v>1856399.9999999998</v>
      </c>
      <c r="I122" s="105">
        <f>I111*pricing!I26*2000</f>
        <v>1856399.9999999998</v>
      </c>
      <c r="J122" s="105">
        <f>J111*pricing!J26*2000</f>
        <v>1739399.9999999998</v>
      </c>
      <c r="K122" s="105">
        <f>K111*pricing!K26*2000</f>
        <v>1661399.9999999998</v>
      </c>
      <c r="L122" s="105">
        <f>L111*pricing!L26*2000</f>
        <v>1700399.9999999998</v>
      </c>
      <c r="M122" s="105">
        <f>M111*pricing!M26*2000</f>
        <v>1669200</v>
      </c>
      <c r="N122" s="105">
        <f>N111*pricing!N26*2000</f>
        <v>1833000</v>
      </c>
      <c r="O122" s="105">
        <f>O111*pricing!O26*2000</f>
        <v>1528800</v>
      </c>
    </row>
    <row r="123" spans="2:15" x14ac:dyDescent="0.2">
      <c r="C123" s="104" t="s">
        <v>129</v>
      </c>
      <c r="D123" s="105">
        <f>D112*pricing!D27*2000</f>
        <v>1377786.7791178667</v>
      </c>
      <c r="E123" s="105">
        <f>E112*pricing!E27*2000</f>
        <v>2295254.8445916963</v>
      </c>
      <c r="F123" s="105">
        <f>F112*pricing!F27*2000</f>
        <v>2132011.2781138052</v>
      </c>
      <c r="G123" s="105">
        <f>G112*pricing!G27*2000</f>
        <v>1986758.6362210687</v>
      </c>
      <c r="H123" s="105">
        <f>H112*pricing!H27*2000</f>
        <v>2487902.8411500044</v>
      </c>
      <c r="I123" s="105">
        <f>I112*pricing!I27*2000</f>
        <v>2535392.5990299834</v>
      </c>
      <c r="J123" s="105">
        <f>J112*pricing!J27*2000</f>
        <v>2052893.6174892725</v>
      </c>
      <c r="K123" s="105">
        <f>K112*pricing!K27*2000</f>
        <v>2040184.5802411591</v>
      </c>
      <c r="L123" s="105">
        <f>L112*pricing!L27*2000</f>
        <v>2589154.61460101</v>
      </c>
      <c r="M123" s="105">
        <f>M112*pricing!M27*2000</f>
        <v>2485176.252112417</v>
      </c>
      <c r="N123" s="105">
        <f>N112*pricing!N27*2000</f>
        <v>2417884.5457021226</v>
      </c>
      <c r="O123" s="105">
        <f>O112*pricing!O27*2000</f>
        <v>2316923.9216744588</v>
      </c>
    </row>
    <row r="124" spans="2:15" x14ac:dyDescent="0.2">
      <c r="C124" s="104" t="s">
        <v>130</v>
      </c>
      <c r="D124" s="105">
        <f>D113*pricing!D28*2000</f>
        <v>790079.85239370936</v>
      </c>
      <c r="E124" s="105">
        <f>E113*pricing!E28*2000</f>
        <v>1138137.6114436158</v>
      </c>
      <c r="F124" s="105">
        <f>F113*pricing!F28*2000</f>
        <v>1188897.0319935868</v>
      </c>
      <c r="G124" s="105">
        <f>G113*pricing!G28*2000</f>
        <v>1088995.908029221</v>
      </c>
      <c r="H124" s="105">
        <f>H113*pricing!H28*2000</f>
        <v>1143688.8984262417</v>
      </c>
      <c r="I124" s="105">
        <f>I113*pricing!I28*2000</f>
        <v>1112204.4854980186</v>
      </c>
      <c r="J124" s="105">
        <f>J113*pricing!J28*2000</f>
        <v>1142082.8975760355</v>
      </c>
      <c r="K124" s="105">
        <f>K113*pricing!K28*2000</f>
        <v>1094842.9730825271</v>
      </c>
      <c r="L124" s="105">
        <f>L113*pricing!L28*2000</f>
        <v>1099293.5075562305</v>
      </c>
      <c r="M124" s="105">
        <f>M113*pricing!M28*2000</f>
        <v>1251602.5770241462</v>
      </c>
      <c r="N124" s="105">
        <f>N113*pricing!N28*2000</f>
        <v>1227346.3445791733</v>
      </c>
      <c r="O124" s="105">
        <f>O113*pricing!O28*2000</f>
        <v>1186699.561892105</v>
      </c>
    </row>
    <row r="125" spans="2:15" x14ac:dyDescent="0.2">
      <c r="C125" s="104" t="s">
        <v>131</v>
      </c>
      <c r="D125" s="105">
        <f>D114*pricing!D29*2000</f>
        <v>516630.87003167893</v>
      </c>
      <c r="E125" s="105">
        <f>E114*pricing!E29*2000</f>
        <v>811199.99999999988</v>
      </c>
      <c r="F125" s="105">
        <f>F114*pricing!F29*2000</f>
        <v>826800</v>
      </c>
      <c r="G125" s="105">
        <f>G114*pricing!G29*2000</f>
        <v>756600</v>
      </c>
      <c r="H125" s="105">
        <f>H114*pricing!H29*2000</f>
        <v>850199.99999999988</v>
      </c>
      <c r="I125" s="105">
        <f>I114*pricing!I29*2000</f>
        <v>936000</v>
      </c>
      <c r="J125" s="105">
        <f>J114*pricing!J29*2000</f>
        <v>811199.99999999988</v>
      </c>
      <c r="K125" s="105">
        <f>K114*pricing!K29*2000</f>
        <v>873600</v>
      </c>
      <c r="L125" s="105">
        <f>L114*pricing!L29*2000</f>
        <v>967199.99999999988</v>
      </c>
      <c r="M125" s="105">
        <f>M114*pricing!M29*2000</f>
        <v>990600</v>
      </c>
      <c r="N125" s="105">
        <f>N114*pricing!N29*2000</f>
        <v>1076399.9999999998</v>
      </c>
      <c r="O125" s="105">
        <f>O114*pricing!O29*2000</f>
        <v>943800</v>
      </c>
    </row>
    <row r="126" spans="2:15" x14ac:dyDescent="0.2">
      <c r="C126" s="104" t="s">
        <v>132</v>
      </c>
      <c r="D126" s="105">
        <f>D115*pricing!D30*2000</f>
        <v>1379835.4414338856</v>
      </c>
      <c r="E126" s="105">
        <f>E115*pricing!E30*2000</f>
        <v>1581226.2377263659</v>
      </c>
      <c r="F126" s="105">
        <f>F115*pricing!F30*2000</f>
        <v>1803112.118309225</v>
      </c>
      <c r="G126" s="105">
        <f>G115*pricing!G30*2000</f>
        <v>1783867.5355603967</v>
      </c>
      <c r="H126" s="105">
        <f>H115*pricing!H30*2000</f>
        <v>2089729.927181178</v>
      </c>
      <c r="I126" s="105">
        <f>I115*pricing!I30*2000</f>
        <v>1759640.7887560532</v>
      </c>
      <c r="J126" s="105">
        <f>J115*pricing!J30*2000</f>
        <v>1824085.4531865022</v>
      </c>
      <c r="K126" s="105">
        <f>K115*pricing!K30*2000</f>
        <v>1726210.3199603686</v>
      </c>
      <c r="L126" s="105">
        <f>L115*pricing!L30*2000</f>
        <v>1777991.7511268142</v>
      </c>
      <c r="M126" s="105">
        <f>M115*pricing!M30*2000</f>
        <v>1610773.2299975448</v>
      </c>
      <c r="N126" s="105">
        <f>N115*pricing!N30*2000</f>
        <v>1672350.1076100001</v>
      </c>
      <c r="O126" s="105">
        <f>O115*pricing!O30*2000</f>
        <v>1745789.1183341758</v>
      </c>
    </row>
    <row r="127" spans="2:15" x14ac:dyDescent="0.2">
      <c r="C127" s="104" t="s">
        <v>280</v>
      </c>
      <c r="D127" s="105">
        <f t="shared" ref="D127:O127" si="1">SUM(D$120:D$126)</f>
        <v>9904235.9800174646</v>
      </c>
      <c r="E127" s="105">
        <f t="shared" si="1"/>
        <v>13102530.863140812</v>
      </c>
      <c r="F127" s="105">
        <f t="shared" si="1"/>
        <v>13733132.866106085</v>
      </c>
      <c r="G127" s="105">
        <f t="shared" si="1"/>
        <v>13210382.079810686</v>
      </c>
      <c r="H127" s="105">
        <f t="shared" si="1"/>
        <v>15396501.666757423</v>
      </c>
      <c r="I127" s="105">
        <f t="shared" si="1"/>
        <v>15405057.873284057</v>
      </c>
      <c r="J127" s="105">
        <f t="shared" si="1"/>
        <v>14765849.941563435</v>
      </c>
      <c r="K127" s="105">
        <f t="shared" si="1"/>
        <v>14508437.873284055</v>
      </c>
      <c r="L127" s="105">
        <f t="shared" si="1"/>
        <v>15216319.873284055</v>
      </c>
      <c r="M127" s="105">
        <f t="shared" si="1"/>
        <v>14670432.059134109</v>
      </c>
      <c r="N127" s="105">
        <f t="shared" si="1"/>
        <v>15190268.09052854</v>
      </c>
      <c r="O127" s="105">
        <f t="shared" si="1"/>
        <v>15822352.60190074</v>
      </c>
    </row>
    <row r="129" spans="2:15" x14ac:dyDescent="0.2">
      <c r="B129" s="108" t="s">
        <v>282</v>
      </c>
    </row>
    <row r="130" spans="2:15" x14ac:dyDescent="0.2">
      <c r="C130" s="110" t="s">
        <v>279</v>
      </c>
      <c r="D130" s="110" t="s">
        <v>92</v>
      </c>
      <c r="E130" s="110" t="s">
        <v>93</v>
      </c>
      <c r="F130" s="110" t="s">
        <v>94</v>
      </c>
      <c r="G130" s="110" t="s">
        <v>95</v>
      </c>
      <c r="H130" s="110" t="s">
        <v>96</v>
      </c>
      <c r="I130" s="110" t="s">
        <v>97</v>
      </c>
      <c r="J130" s="110" t="s">
        <v>98</v>
      </c>
      <c r="K130" s="110" t="s">
        <v>99</v>
      </c>
      <c r="L130" s="110" t="s">
        <v>100</v>
      </c>
      <c r="M130" s="110" t="s">
        <v>101</v>
      </c>
      <c r="N130" s="110" t="s">
        <v>102</v>
      </c>
      <c r="O130" s="110" t="s">
        <v>103</v>
      </c>
    </row>
    <row r="131" spans="2:15" x14ac:dyDescent="0.2">
      <c r="C131" s="110" t="s">
        <v>126</v>
      </c>
      <c r="D131" s="111">
        <f>SUM(E$6:E$19)+SUM(G$6:G$19)+SUM(I$6:I$19)+SUM(K$6:K$19)</f>
        <v>105177.46147122356</v>
      </c>
      <c r="E131" s="111">
        <f>SUM(M$6:M$19)+SUM(O$6:O$19)+SUM(Q$6:Q$19)+SUM(S$6:S$19)</f>
        <v>170475.51901112398</v>
      </c>
      <c r="F131" s="111">
        <f>SUM(U$6:U$19)+SUM(W$6:W$19)+SUM(Y$6:Y$19)+SUM(AA$6:AA$19)</f>
        <v>186151.19999999998</v>
      </c>
      <c r="G131" s="111">
        <f>SUM(AC$6:AC$19)+SUM(AE$6:AE$19)+SUM(AG$6:AG$19)+SUM(AI$6:AI$19)</f>
        <v>174567.59999999998</v>
      </c>
      <c r="H131" s="111">
        <f>SUM(AK$6:AK$19)+SUM(AM$6:AM$19)+SUM(AO$6:AO$19)+SUM(AQ$6:AQ$19)</f>
        <v>169856.4</v>
      </c>
      <c r="I131" s="111">
        <f>SUM(AS$6:AS$19)+SUM(AU$6:AU$19)+SUM(AW$6:AW$19)+SUM(AY$6:AY$19)</f>
        <v>210887.99999999997</v>
      </c>
      <c r="J131" s="111">
        <f>SUM(BA$6:BA$19)+SUM(BC$6:BC$19)+SUM(BE$6:BE$19)+SUM(BG$6:BG$19)</f>
        <v>172744.8</v>
      </c>
      <c r="K131" s="111">
        <f>SUM(BI$6:BI$19)+SUM(BK$6:BK$19)+SUM(BM$6:BM$19)+SUM(BO$6:BO$19)</f>
        <v>192127.2</v>
      </c>
      <c r="L131" s="111">
        <f>SUM(BQ$6:BQ$19)+SUM(BS$6:BS$19)+SUM(BU$6:BU$19)+SUM(BW$6:BW$19)</f>
        <v>222933.6</v>
      </c>
      <c r="M131" s="111">
        <f>SUM(BY$6:BY$19)+SUM(CA$6:CA$19)+SUM(CC$6:CC$19)+SUM(CE$6:CE$19)</f>
        <v>235337.99999999997</v>
      </c>
      <c r="N131" s="111">
        <f>SUM(CG$6:CG$19)+SUM(CI$6:CI$19)+SUM(CK$6:CK$19)+SUM(CM$6:CM$19)</f>
        <v>222653.99999999997</v>
      </c>
      <c r="O131" s="111">
        <f>SUM(CO$6:CO$19)+SUM(CQ$6:CQ$19)+SUM(CS$6:CS$19)+SUM(CU$6:CU$19)</f>
        <v>220024.8</v>
      </c>
    </row>
    <row r="132" spans="2:15" x14ac:dyDescent="0.2">
      <c r="C132" s="110" t="s">
        <v>127</v>
      </c>
      <c r="D132" s="111">
        <f>SUM(E$20:E$36)+SUM(G$20:G$36)+SUM(I$20:I$36)+SUM(K$20:K$36)</f>
        <v>140511.9563276548</v>
      </c>
      <c r="E132" s="111">
        <f>SUM(M$20:M$36)+SUM(O$20:O$36)+SUM(Q$20:Q$36)+SUM(S$20:S$36)</f>
        <v>154683.09671834047</v>
      </c>
      <c r="F132" s="111">
        <f>SUM(U$20:U$36)+SUM(W$20:W$36)+SUM(Y$20:Y$36)+SUM(AA$20:AA$36)</f>
        <v>170248.86946800837</v>
      </c>
      <c r="G132" s="111">
        <f>SUM(AC$20:AC$36)+SUM(AE$20:AE$36)+SUM(AG$20:AG$36)+SUM(AI$20:AI$36)</f>
        <v>169733.99999999997</v>
      </c>
      <c r="H132" s="111">
        <f>SUM(AK$20:AK$36)+SUM(AM$20:AM$36)+SUM(AO$20:AO$36)+SUM(AQ$20:AQ$36)</f>
        <v>210258</v>
      </c>
      <c r="I132" s="111">
        <f>SUM(AS$20:AS$36)+SUM(AU$20:AU$36)+SUM(AW$20:AW$36)+SUM(AY$20:AY$36)</f>
        <v>200140.79999999999</v>
      </c>
      <c r="J132" s="111">
        <f>SUM(BA$20:BA$36)+SUM(BC$20:BC$36)+SUM(BE$20:BE$36)+SUM(BG$20:BG$36)</f>
        <v>220398.4483490696</v>
      </c>
      <c r="K132" s="111">
        <f>SUM(BI$20:BI$36)+SUM(BK$20:BK$36)+SUM(BM$20:BM$36)+SUM(BO$20:BO$36)</f>
        <v>204727.2</v>
      </c>
      <c r="L132" s="111">
        <f>SUM(BQ$20:BQ$36)+SUM(BS$20:BS$36)+SUM(BU$20:BU$36)+SUM(BW$20:BW$36)</f>
        <v>187002</v>
      </c>
      <c r="M132" s="111">
        <f>SUM(BY$20:BY$36)+SUM(CA$20:CA$36)+SUM(CC$20:CC$36)+SUM(CE$20:CE$36)</f>
        <v>163036.79999999999</v>
      </c>
      <c r="N132" s="111">
        <f>SUM(CG$20:CG$36)+SUM(CI$20:CI$36)+SUM(CK$20:CK$36)+SUM(CM$20:CM$36)</f>
        <v>182861.67743162561</v>
      </c>
      <c r="O132" s="111">
        <f>SUM(CO$20:CO$36)+SUM(CQ$20:CQ$36)+SUM(CS$20:CS$36)+SUM(CU$20:CU$36)</f>
        <v>232372.8</v>
      </c>
    </row>
    <row r="133" spans="2:15" x14ac:dyDescent="0.2">
      <c r="C133" s="110" t="s">
        <v>128</v>
      </c>
      <c r="D133" s="111">
        <f>SUM(E$37:E$48)+SUM(G$37:G$48)+SUM(I$37:I$48)+SUM(K$37:K$48)</f>
        <v>141496.78367401444</v>
      </c>
      <c r="E133" s="111">
        <f>SUM(M$37:M$48)+SUM(O$37:O$48)+SUM(Q$37:Q$48)+SUM(S$37:S$48)</f>
        <v>176878.81741590443</v>
      </c>
      <c r="F133" s="111">
        <f>SUM(U$37:U$48)+SUM(W$37:W$48)+SUM(Y$37:Y$48)+SUM(AA$37:AA$48)</f>
        <v>167763.6</v>
      </c>
      <c r="G133" s="111">
        <f>SUM(AC$37:AC$48)+SUM(AE$37:AE$48)+SUM(AG$37:AG$48)+SUM(AI$37:AI$48)</f>
        <v>165952.80000000002</v>
      </c>
      <c r="H133" s="111">
        <f>SUM(AK$37:AK$48)+SUM(AM$37:AM$48)+SUM(AO$37:AO$48)+SUM(AQ$37:AQ$48)</f>
        <v>202917.59999999998</v>
      </c>
      <c r="I133" s="111">
        <f>SUM(AS$37:AS$48)+SUM(AU$37:AU$48)+SUM(AW$37:AW$48)+SUM(AY$37:AY$48)</f>
        <v>203117.99999999997</v>
      </c>
      <c r="J133" s="111">
        <f>SUM(BA$37:BA$48)+SUM(BC$37:BC$48)+SUM(BE$37:BE$48)+SUM(BG$37:BG$48)</f>
        <v>191046.00000000003</v>
      </c>
      <c r="K133" s="111">
        <f>SUM(BI$37:BI$48)+SUM(BK$37:BK$48)+SUM(BM$37:BM$48)+SUM(BO$37:BO$48)</f>
        <v>181568.4</v>
      </c>
      <c r="L133" s="111">
        <f>SUM(BQ$37:BQ$48)+SUM(BS$37:BS$48)+SUM(BU$37:BU$48)+SUM(BW$37:BW$48)</f>
        <v>184267.2</v>
      </c>
      <c r="M133" s="111">
        <f>SUM(BY$37:BY$48)+SUM(CA$37:CA$48)+SUM(CC$37:CC$48)+SUM(CE$37:CE$48)</f>
        <v>182298</v>
      </c>
      <c r="N133" s="111">
        <f>SUM(CG$37:CG$48)+SUM(CI$37:CI$48)+SUM(CK$37:CK$48)+SUM(CM$37:CM$48)</f>
        <v>199700.40000000002</v>
      </c>
      <c r="O133" s="111">
        <f>SUM(CO$37:CO$48)+SUM(CQ$37:CQ$48)+SUM(CS$37:CS$48)+SUM(CU$37:CU$48)</f>
        <v>165552</v>
      </c>
    </row>
    <row r="134" spans="2:15" x14ac:dyDescent="0.2">
      <c r="C134" s="110" t="s">
        <v>129</v>
      </c>
      <c r="D134" s="111">
        <f>SUM(E$49:E$70)+SUM(G$49:G$70)+SUM(I$49:I$70)+SUM(K$49:K$70)</f>
        <v>69248.484036778653</v>
      </c>
      <c r="E134" s="111">
        <f>SUM(M$49:M$70)+SUM(O$49:O$70)+SUM(Q$49:Q$70)+SUM(S$49:S$70)</f>
        <v>115566.55639852284</v>
      </c>
      <c r="F134" s="111">
        <f>SUM(U$49:U$70)+SUM(W$49:W$70)+SUM(Y$49:Y$70)+SUM(AA$49:AA$70)</f>
        <v>106309.71847534824</v>
      </c>
      <c r="G134" s="111">
        <f>SUM(AC$49:AC$70)+SUM(AE$49:AE$70)+SUM(AG$49:AG$70)+SUM(AI$49:AI$70)</f>
        <v>99501.274333241119</v>
      </c>
      <c r="H134" s="111">
        <f>SUM(AK$49:AK$70)+SUM(AM$49:AM$70)+SUM(AO$49:AO$70)+SUM(AQ$49:AQ$70)</f>
        <v>124559.606012501</v>
      </c>
      <c r="I134" s="111">
        <f>SUM(AS$49:AS$70)+SUM(AU$49:AU$70)+SUM(AW$49:AW$70)+SUM(AY$49:AY$70)</f>
        <v>128235.83451538488</v>
      </c>
      <c r="J134" s="111">
        <f>SUM(BA$49:BA$70)+SUM(BC$49:BC$70)+SUM(BE$49:BE$70)+SUM(BG$49:BG$70)</f>
        <v>103186.79843373259</v>
      </c>
      <c r="K134" s="111">
        <f>SUM(BI$49:BI$70)+SUM(BK$49:BK$70)+SUM(BM$49:BM$70)+SUM(BO$49:BO$70)</f>
        <v>103798.20605345411</v>
      </c>
      <c r="L134" s="111">
        <f>SUM(BQ$49:BQ$70)+SUM(BS$49:BS$70)+SUM(BU$49:BU$70)+SUM(BW$49:BW$70)</f>
        <v>130307.96311547159</v>
      </c>
      <c r="M134" s="111">
        <f>SUM(BY$49:BY$70)+SUM(CA$49:CA$70)+SUM(CC$49:CC$70)+SUM(CE$49:CE$70)</f>
        <v>125149.01077764873</v>
      </c>
      <c r="N134" s="111">
        <f>SUM(CG$49:CG$70)+SUM(CI$49:CI$70)+SUM(CK$49:CK$70)+SUM(CM$49:CM$70)</f>
        <v>123151.09882983398</v>
      </c>
      <c r="O134" s="111">
        <f>SUM(CO$49:CO$70)+SUM(CQ$49:CQ$70)+SUM(CS$49:CS$70)+SUM(CU$49:CU$70)</f>
        <v>117131.68011724748</v>
      </c>
    </row>
    <row r="135" spans="2:15" x14ac:dyDescent="0.2">
      <c r="C135" s="110" t="s">
        <v>130</v>
      </c>
      <c r="D135" s="111">
        <f>SUM(E$71:E$86)+SUM(G$71:G$86)+SUM(I$71:I$86)+SUM(K$71:K$86)</f>
        <v>50797.125870211108</v>
      </c>
      <c r="E135" s="111">
        <f>SUM(M$71:M$86)+SUM(O$71:O$86)+SUM(Q$71:Q$86)+SUM(S$71:S$86)</f>
        <v>72651.697388662767</v>
      </c>
      <c r="F135" s="111">
        <f>SUM(U$71:U$86)+SUM(W$71:W$86)+SUM(Y$71:Y$86)+SUM(AA$71:AA$86)</f>
        <v>75128.347721584156</v>
      </c>
      <c r="G135" s="111">
        <f>SUM(AC$71:AC$86)+SUM(AE$71:AE$86)+SUM(AG$71:AG$86)+SUM(AI$71:AI$86)</f>
        <v>69414.862314767714</v>
      </c>
      <c r="H135" s="111">
        <f>SUM(AK$71:AK$86)+SUM(AM$71:AM$86)+SUM(AO$71:AO$86)+SUM(AQ$71:AQ$86)</f>
        <v>72001.911350648748</v>
      </c>
      <c r="I135" s="111">
        <f>SUM(AS$71:AS$86)+SUM(AU$71:AU$86)+SUM(AW$71:AW$86)+SUM(AY$71:AY$86)</f>
        <v>70731.927568114392</v>
      </c>
      <c r="J135" s="111">
        <f>SUM(BA$71:BA$86)+SUM(BC$71:BC$86)+SUM(BE$71:BE$86)+SUM(BG$71:BG$86)</f>
        <v>72632.079659306721</v>
      </c>
      <c r="K135" s="111">
        <f>SUM(BI$71:BI$86)+SUM(BK$71:BK$86)+SUM(BM$71:BM$86)+SUM(BO$71:BO$86)</f>
        <v>69476.539605633428</v>
      </c>
      <c r="L135" s="111">
        <f>SUM(BQ$71:BQ$86)+SUM(BS$71:BS$86)+SUM(BU$71:BU$86)+SUM(BW$71:BW$86)</f>
        <v>69556.015532367557</v>
      </c>
      <c r="M135" s="111">
        <f>SUM(BY$71:BY$86)+SUM(CA$71:CA$86)+SUM(CC$71:CC$86)+SUM(CE$71:CE$86)</f>
        <v>79013.633638074156</v>
      </c>
      <c r="N135" s="111">
        <f>SUM(CG$71:CG$86)+SUM(CI$71:CI$86)+SUM(CK$71:CK$86)+SUM(CM$71:CM$86)</f>
        <v>77525.301309032686</v>
      </c>
      <c r="O135" s="111">
        <f>SUM(CO$71:CO$86)+SUM(CQ$71:CQ$86)+SUM(CS$71:CS$86)+SUM(CU$71:CU$86)</f>
        <v>75031.126892824061</v>
      </c>
    </row>
    <row r="136" spans="2:15" x14ac:dyDescent="0.2">
      <c r="C136" s="110" t="s">
        <v>131</v>
      </c>
      <c r="D136" s="111">
        <f>SUM(E$87:E$94)+SUM(G$87:G$94)+SUM(I$87:I$94)+SUM(K$87:K$94)</f>
        <v>52163.207263020071</v>
      </c>
      <c r="E136" s="111">
        <f>SUM(M$87:M$94)+SUM(O$87:O$94)+SUM(Q$87:Q$94)+SUM(S$87:S$94)</f>
        <v>81813.600000000006</v>
      </c>
      <c r="F136" s="111">
        <f>SUM(U$87:U$94)+SUM(W$87:W$94)+SUM(Y$87:Y$94)+SUM(AA$87:AA$94)</f>
        <v>84075.6</v>
      </c>
      <c r="G136" s="111">
        <f>SUM(AC$87:AC$94)+SUM(AE$87:AE$94)+SUM(AG$87:AG$94)+SUM(AI$87:AI$94)</f>
        <v>76939.200000000012</v>
      </c>
      <c r="H136" s="111">
        <f>SUM(AK$87:AK$94)+SUM(AM$87:AM$94)+SUM(AO$87:AO$94)+SUM(AQ$87:AQ$94)</f>
        <v>86122.8</v>
      </c>
      <c r="I136" s="111">
        <f>SUM(AS$87:AS$94)+SUM(AU$87:AU$94)+SUM(AW$87:AW$94)+SUM(AY$87:AY$94)</f>
        <v>95080.800000000017</v>
      </c>
      <c r="J136" s="111">
        <f>SUM(BA$87:BA$94)+SUM(BC$87:BC$94)+SUM(BE$87:BE$94)+SUM(BG$87:BG$94)</f>
        <v>81829.2</v>
      </c>
      <c r="K136" s="111">
        <f>SUM(BI$87:BI$94)+SUM(BK$87:BK$94)+SUM(BM$87:BM$94)+SUM(BO$87:BO$94)</f>
        <v>88586.4</v>
      </c>
      <c r="L136" s="111">
        <f>SUM(BQ$87:BQ$94)+SUM(BS$87:BS$94)+SUM(BU$87:BU$94)+SUM(BW$87:BW$94)</f>
        <v>97958.399999999994</v>
      </c>
      <c r="M136" s="111">
        <f>SUM(BY$87:BY$94)+SUM(CA$87:CA$94)+SUM(CC$87:CC$94)+SUM(CE$87:CE$94)</f>
        <v>100011.59999999999</v>
      </c>
      <c r="N136" s="111">
        <f>SUM(CG$87:CG$94)+SUM(CI$87:CI$94)+SUM(CK$87:CK$94)+SUM(CM$87:CM$94)</f>
        <v>109296</v>
      </c>
      <c r="O136" s="111">
        <f>SUM(CO$87:CO$94)+SUM(CQ$87:CQ$94)+SUM(CS$87:CS$94)+SUM(CU$87:CU$94)</f>
        <v>95292</v>
      </c>
    </row>
    <row r="137" spans="2:15" x14ac:dyDescent="0.2">
      <c r="C137" s="110" t="s">
        <v>132</v>
      </c>
      <c r="D137" s="111">
        <f>SUM(E$95:E$105)+SUM(G$95:G$105)+SUM(I$95:I$105)+SUM(K$95:K$105)</f>
        <v>119318.36574619325</v>
      </c>
      <c r="E137" s="111">
        <f>SUM(M$95:M$105)+SUM(O$95:O$105)+SUM(Q$95:Q$105)+SUM(S$95:S$105)</f>
        <v>138655.1320369998</v>
      </c>
      <c r="F137" s="111">
        <f>SUM(U$95:U$105)+SUM(W$95:W$105)+SUM(Y$95:Y$105)+SUM(AA$95:AA$105)</f>
        <v>162103.00451395393</v>
      </c>
      <c r="G137" s="111">
        <f>SUM(AC$95:AC$105)+SUM(AE$95:AE$105)+SUM(AG$95:AG$105)+SUM(AI$95:AI$105)</f>
        <v>153060.55463145283</v>
      </c>
      <c r="H137" s="111">
        <f>SUM(AK$95:AK$105)+SUM(AM$95:AM$105)+SUM(AO$95:AO$105)+SUM(AQ$95:AQ$105)</f>
        <v>178972.49443555635</v>
      </c>
      <c r="I137" s="111">
        <f>SUM(AS$95:AS$105)+SUM(AU$95:AU$105)+SUM(AW$95:AW$105)+SUM(AY$95:AY$105)</f>
        <v>152443.67677188048</v>
      </c>
      <c r="J137" s="111">
        <f>SUM(BA$95:BA$105)+SUM(BC$95:BC$105)+SUM(BE$95:BE$105)+SUM(BG$95:BG$105)</f>
        <v>156248.63968513964</v>
      </c>
      <c r="K137" s="111">
        <f>SUM(BI$95:BI$105)+SUM(BK$95:BK$105)+SUM(BM$95:BM$105)+SUM(BO$95:BO$105)</f>
        <v>154100.47414757937</v>
      </c>
      <c r="L137" s="111">
        <f>SUM(BQ$95:BQ$105)+SUM(BS$95:BS$105)+SUM(BU$95:BU$105)+SUM(BW$95:BW$105)</f>
        <v>153579.01483674994</v>
      </c>
      <c r="M137" s="111">
        <f>SUM(BY$95:BY$105)+SUM(CA$95:CA$105)+SUM(CC$95:CC$105)+SUM(CE$95:CE$105)</f>
        <v>144884.86989207513</v>
      </c>
      <c r="N137" s="111">
        <f>SUM(CG$95:CG$105)+SUM(CI$95:CI$105)+SUM(CK$95:CK$105)+SUM(CM$95:CM$105)</f>
        <v>143259.94762227565</v>
      </c>
      <c r="O137" s="111">
        <f>SUM(CO$95:CO$105)+SUM(CQ$95:CQ$105)+SUM(CS$95:CS$105)+SUM(CU$95:CU$105)</f>
        <v>154838.07249735511</v>
      </c>
    </row>
    <row r="138" spans="2:15" x14ac:dyDescent="0.2">
      <c r="C138" s="110" t="s">
        <v>280</v>
      </c>
      <c r="D138" s="105">
        <f t="shared" ref="D138:O138" si="2">SUM(D$131:D$137)</f>
        <v>678713.38438909582</v>
      </c>
      <c r="E138" s="105">
        <f t="shared" si="2"/>
        <v>910724.41896955424</v>
      </c>
      <c r="F138" s="105">
        <f t="shared" si="2"/>
        <v>951780.34017889458</v>
      </c>
      <c r="G138" s="105">
        <f t="shared" si="2"/>
        <v>909170.2912794617</v>
      </c>
      <c r="H138" s="105">
        <f t="shared" si="2"/>
        <v>1044688.8117987062</v>
      </c>
      <c r="I138" s="105">
        <f t="shared" si="2"/>
        <v>1060639.0388553797</v>
      </c>
      <c r="J138" s="105">
        <f t="shared" si="2"/>
        <v>998085.96612724848</v>
      </c>
      <c r="K138" s="105">
        <f t="shared" si="2"/>
        <v>994384.41980666702</v>
      </c>
      <c r="L138" s="105">
        <f t="shared" si="2"/>
        <v>1045604.1934845892</v>
      </c>
      <c r="M138" s="105">
        <f t="shared" si="2"/>
        <v>1029731.914307798</v>
      </c>
      <c r="N138" s="105">
        <f t="shared" si="2"/>
        <v>1058448.425192768</v>
      </c>
      <c r="O138" s="105">
        <f t="shared" si="2"/>
        <v>1060242.4795074267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5"/>
  </cols>
  <sheetData>
    <row r="1" spans="1:99" x14ac:dyDescent="0.2">
      <c r="A1" s="106"/>
    </row>
    <row r="2" spans="1:99" x14ac:dyDescent="0.2">
      <c r="B2" s="107" t="s">
        <v>274</v>
      </c>
    </row>
    <row r="3" spans="1:99" x14ac:dyDescent="0.2">
      <c r="B3" s="108" t="s">
        <v>275</v>
      </c>
    </row>
    <row r="4" spans="1:99" x14ac:dyDescent="0.2">
      <c r="A4" s="106"/>
      <c r="B4" s="106"/>
      <c r="C4" s="104" t="s">
        <v>276</v>
      </c>
      <c r="D4" s="104" t="s">
        <v>92</v>
      </c>
      <c r="E4" s="106"/>
      <c r="F4" s="106"/>
      <c r="G4" s="106"/>
      <c r="H4" s="106"/>
      <c r="I4" s="106"/>
      <c r="J4" s="106"/>
      <c r="K4" s="106"/>
      <c r="L4" s="104" t="s">
        <v>93</v>
      </c>
      <c r="M4" s="106"/>
      <c r="N4" s="106"/>
      <c r="O4" s="106"/>
      <c r="P4" s="106"/>
      <c r="Q4" s="106"/>
      <c r="R4" s="106"/>
      <c r="S4" s="106"/>
      <c r="T4" s="104" t="s">
        <v>94</v>
      </c>
      <c r="U4" s="106"/>
      <c r="V4" s="106"/>
      <c r="W4" s="106"/>
      <c r="X4" s="106"/>
      <c r="Y4" s="106"/>
      <c r="Z4" s="106"/>
      <c r="AA4" s="106"/>
      <c r="AB4" s="104" t="s">
        <v>95</v>
      </c>
      <c r="AC4" s="106"/>
      <c r="AD4" s="106"/>
      <c r="AE4" s="106"/>
      <c r="AF4" s="106"/>
      <c r="AG4" s="106"/>
      <c r="AH4" s="106"/>
      <c r="AI4" s="106"/>
      <c r="AJ4" s="104" t="s">
        <v>96</v>
      </c>
      <c r="AK4" s="106"/>
      <c r="AL4" s="106"/>
      <c r="AM4" s="106"/>
      <c r="AN4" s="106"/>
      <c r="AO4" s="106"/>
      <c r="AP4" s="106"/>
      <c r="AQ4" s="106"/>
      <c r="AR4" s="104" t="s">
        <v>97</v>
      </c>
      <c r="AS4" s="106"/>
      <c r="AT4" s="106"/>
      <c r="AU4" s="106"/>
      <c r="AV4" s="106"/>
      <c r="AW4" s="106"/>
      <c r="AX4" s="106"/>
      <c r="AY4" s="106"/>
      <c r="AZ4" s="104" t="s">
        <v>98</v>
      </c>
      <c r="BA4" s="106"/>
      <c r="BB4" s="106"/>
      <c r="BC4" s="106"/>
      <c r="BD4" s="106"/>
      <c r="BE4" s="106"/>
      <c r="BF4" s="106"/>
      <c r="BG4" s="106"/>
      <c r="BH4" s="104" t="s">
        <v>99</v>
      </c>
      <c r="BI4" s="106"/>
      <c r="BJ4" s="106"/>
      <c r="BK4" s="106"/>
      <c r="BL4" s="106"/>
      <c r="BM4" s="106"/>
      <c r="BN4" s="106"/>
      <c r="BO4" s="106"/>
      <c r="BP4" s="104" t="s">
        <v>100</v>
      </c>
      <c r="BQ4" s="106"/>
      <c r="BR4" s="106"/>
      <c r="BS4" s="106"/>
      <c r="BT4" s="106"/>
      <c r="BU4" s="106"/>
      <c r="BV4" s="106"/>
      <c r="BW4" s="106"/>
      <c r="BX4" s="104" t="s">
        <v>101</v>
      </c>
      <c r="BY4" s="106"/>
      <c r="BZ4" s="106"/>
      <c r="CA4" s="106"/>
      <c r="CB4" s="106"/>
      <c r="CC4" s="106"/>
      <c r="CD4" s="106"/>
      <c r="CE4" s="106"/>
      <c r="CF4" s="104" t="s">
        <v>102</v>
      </c>
      <c r="CG4" s="106"/>
      <c r="CH4" s="106"/>
      <c r="CI4" s="106"/>
      <c r="CJ4" s="106"/>
      <c r="CK4" s="106"/>
      <c r="CL4" s="106"/>
      <c r="CM4" s="106"/>
      <c r="CN4" s="104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">
      <c r="B5" s="104" t="s">
        <v>169</v>
      </c>
      <c r="C5" s="104" t="s">
        <v>277</v>
      </c>
      <c r="D5" s="104">
        <v>1</v>
      </c>
      <c r="E5" s="104"/>
      <c r="F5" s="104">
        <v>2</v>
      </c>
      <c r="G5" s="104"/>
      <c r="H5" s="104">
        <v>3</v>
      </c>
      <c r="I5" s="104"/>
      <c r="J5" s="104">
        <v>4</v>
      </c>
      <c r="K5" s="104"/>
      <c r="L5" s="104">
        <v>1</v>
      </c>
      <c r="M5" s="104"/>
      <c r="N5" s="104">
        <v>2</v>
      </c>
      <c r="O5" s="104"/>
      <c r="P5" s="104">
        <v>3</v>
      </c>
      <c r="Q5" s="104"/>
      <c r="R5" s="104">
        <v>4</v>
      </c>
      <c r="S5" s="104"/>
      <c r="T5" s="104">
        <v>1</v>
      </c>
      <c r="U5" s="104"/>
      <c r="V5" s="104">
        <v>2</v>
      </c>
      <c r="W5" s="104"/>
      <c r="X5" s="104">
        <v>3</v>
      </c>
      <c r="Y5" s="104"/>
      <c r="Z5" s="104">
        <v>4</v>
      </c>
      <c r="AA5" s="104"/>
      <c r="AB5" s="104">
        <v>1</v>
      </c>
      <c r="AC5" s="104"/>
      <c r="AD5" s="104">
        <v>2</v>
      </c>
      <c r="AE5" s="104"/>
      <c r="AF5" s="104">
        <v>3</v>
      </c>
      <c r="AG5" s="104"/>
      <c r="AH5" s="104">
        <v>4</v>
      </c>
      <c r="AI5" s="104"/>
      <c r="AJ5" s="104">
        <v>1</v>
      </c>
      <c r="AK5" s="104"/>
      <c r="AL5" s="104">
        <v>2</v>
      </c>
      <c r="AM5" s="104"/>
      <c r="AN5" s="104">
        <v>3</v>
      </c>
      <c r="AO5" s="104"/>
      <c r="AP5" s="104">
        <v>4</v>
      </c>
      <c r="AQ5" s="104"/>
      <c r="AR5" s="104">
        <v>1</v>
      </c>
      <c r="AS5" s="104"/>
      <c r="AT5" s="104">
        <v>2</v>
      </c>
      <c r="AU5" s="104"/>
      <c r="AV5" s="104">
        <v>3</v>
      </c>
      <c r="AW5" s="104"/>
      <c r="AX5" s="104">
        <v>4</v>
      </c>
      <c r="AY5" s="104"/>
      <c r="AZ5" s="104">
        <v>1</v>
      </c>
      <c r="BA5" s="104"/>
      <c r="BB5" s="104">
        <v>2</v>
      </c>
      <c r="BC5" s="104"/>
      <c r="BD5" s="104">
        <v>3</v>
      </c>
      <c r="BE5" s="104"/>
      <c r="BF5" s="104">
        <v>4</v>
      </c>
      <c r="BG5" s="104"/>
      <c r="BH5" s="104">
        <v>1</v>
      </c>
      <c r="BI5" s="104"/>
      <c r="BJ5" s="104">
        <v>2</v>
      </c>
      <c r="BK5" s="104"/>
      <c r="BL5" s="104">
        <v>3</v>
      </c>
      <c r="BM5" s="104"/>
      <c r="BN5" s="104">
        <v>4</v>
      </c>
      <c r="BO5" s="104"/>
      <c r="BP5" s="104">
        <v>1</v>
      </c>
      <c r="BQ5" s="104"/>
      <c r="BR5" s="104">
        <v>2</v>
      </c>
      <c r="BS5" s="104"/>
      <c r="BT5" s="104">
        <v>3</v>
      </c>
      <c r="BU5" s="104"/>
      <c r="BV5" s="104">
        <v>4</v>
      </c>
      <c r="BW5" s="104"/>
      <c r="BX5" s="104">
        <v>1</v>
      </c>
      <c r="BY5" s="104"/>
      <c r="BZ5" s="104">
        <v>2</v>
      </c>
      <c r="CA5" s="104"/>
      <c r="CB5" s="104">
        <v>3</v>
      </c>
      <c r="CC5" s="104"/>
      <c r="CD5" s="104">
        <v>4</v>
      </c>
      <c r="CE5" s="104"/>
      <c r="CF5" s="104">
        <v>1</v>
      </c>
      <c r="CG5" s="104"/>
      <c r="CH5" s="104">
        <v>2</v>
      </c>
      <c r="CI5" s="104"/>
      <c r="CJ5" s="104">
        <v>3</v>
      </c>
      <c r="CK5" s="104"/>
      <c r="CL5" s="104">
        <v>4</v>
      </c>
      <c r="CM5" s="104"/>
      <c r="CN5" s="104">
        <v>1</v>
      </c>
      <c r="CO5" s="104"/>
      <c r="CP5" s="104">
        <v>2</v>
      </c>
      <c r="CQ5" s="104"/>
      <c r="CR5" s="104">
        <v>3</v>
      </c>
      <c r="CS5" s="104"/>
      <c r="CT5" s="104">
        <v>4</v>
      </c>
      <c r="CU5" s="104"/>
    </row>
    <row r="6" spans="1:99" x14ac:dyDescent="0.2">
      <c r="B6" s="104" t="s">
        <v>126</v>
      </c>
      <c r="C6" s="104" t="s">
        <v>174</v>
      </c>
      <c r="D6" s="105">
        <v>23.169634343953248</v>
      </c>
      <c r="E6" s="105">
        <v>15820.226330051277</v>
      </c>
      <c r="F6" s="105">
        <v>17.517104355397471</v>
      </c>
      <c r="G6" s="105">
        <v>11960.678853865393</v>
      </c>
      <c r="H6" s="105">
        <v>33.325229984945814</v>
      </c>
      <c r="I6" s="105">
        <v>22754.467033721001</v>
      </c>
      <c r="J6" s="105">
        <v>26.023445796206087</v>
      </c>
      <c r="K6" s="105">
        <v>17768.808789649516</v>
      </c>
      <c r="L6" s="105">
        <v>19.728975898738888</v>
      </c>
      <c r="M6" s="105">
        <v>13470.944743658913</v>
      </c>
      <c r="N6" s="105">
        <v>17</v>
      </c>
      <c r="O6" s="105">
        <v>11607.599999999999</v>
      </c>
      <c r="P6" s="105">
        <v>32</v>
      </c>
      <c r="Q6" s="105">
        <v>21849.599999999999</v>
      </c>
      <c r="R6" s="105">
        <v>23</v>
      </c>
      <c r="S6" s="105">
        <v>15704.4</v>
      </c>
      <c r="T6" s="105">
        <v>19</v>
      </c>
      <c r="U6" s="105">
        <v>12973.199999999999</v>
      </c>
      <c r="V6" s="105">
        <v>28</v>
      </c>
      <c r="W6" s="105">
        <v>19118.399999999998</v>
      </c>
      <c r="X6" s="105">
        <v>26</v>
      </c>
      <c r="Y6" s="105">
        <v>17752.8</v>
      </c>
      <c r="Z6" s="105">
        <v>33.803794641411749</v>
      </c>
      <c r="AA6" s="105">
        <v>23081.230981155939</v>
      </c>
      <c r="AB6" s="105">
        <v>27.182042696434912</v>
      </c>
      <c r="AC6" s="105">
        <v>18559.898753125755</v>
      </c>
      <c r="AD6" s="105">
        <v>26</v>
      </c>
      <c r="AE6" s="105">
        <v>17752.8</v>
      </c>
      <c r="AF6" s="105">
        <v>18</v>
      </c>
      <c r="AG6" s="105">
        <v>12290.4</v>
      </c>
      <c r="AH6" s="105">
        <v>22</v>
      </c>
      <c r="AI6" s="105">
        <v>15021.599999999999</v>
      </c>
      <c r="AJ6" s="105">
        <v>27</v>
      </c>
      <c r="AK6" s="105">
        <v>18435.599999999999</v>
      </c>
      <c r="AL6" s="105">
        <v>25</v>
      </c>
      <c r="AM6" s="105">
        <v>17070</v>
      </c>
      <c r="AN6" s="105">
        <v>31.946003080090112</v>
      </c>
      <c r="AO6" s="105">
        <v>21812.730903085529</v>
      </c>
      <c r="AP6" s="105">
        <v>21.99662137767767</v>
      </c>
      <c r="AQ6" s="105">
        <v>15019.293076678312</v>
      </c>
      <c r="AR6" s="105">
        <v>27.774660173571299</v>
      </c>
      <c r="AS6" s="105">
        <v>18964.537966514483</v>
      </c>
      <c r="AT6" s="105">
        <v>29.556274059064052</v>
      </c>
      <c r="AU6" s="105">
        <v>20181.023927528931</v>
      </c>
      <c r="AV6" s="105">
        <v>31.559677780437621</v>
      </c>
      <c r="AW6" s="105">
        <v>21548.947988482807</v>
      </c>
      <c r="AX6" s="105">
        <v>32.142923526266571</v>
      </c>
      <c r="AY6" s="105">
        <v>21947.188183734812</v>
      </c>
      <c r="AZ6" s="105">
        <v>21.035726194928522</v>
      </c>
      <c r="BA6" s="105">
        <v>14363.193845897194</v>
      </c>
      <c r="BB6" s="105">
        <v>19.270460099807714</v>
      </c>
      <c r="BC6" s="105">
        <v>13157.870156148707</v>
      </c>
      <c r="BD6" s="105">
        <v>22.381257058404</v>
      </c>
      <c r="BE6" s="105">
        <v>15281.92231947825</v>
      </c>
      <c r="BF6" s="105">
        <v>24.00651596788655</v>
      </c>
      <c r="BG6" s="105">
        <v>16391.649102872936</v>
      </c>
      <c r="BH6" s="105">
        <v>26.61158775687732</v>
      </c>
      <c r="BI6" s="105">
        <v>18170.392120395834</v>
      </c>
      <c r="BJ6" s="105">
        <v>28.340681118914535</v>
      </c>
      <c r="BK6" s="105">
        <v>19351.017067994842</v>
      </c>
      <c r="BL6" s="105">
        <v>18.592739028940922</v>
      </c>
      <c r="BM6" s="105">
        <v>12695.122208960862</v>
      </c>
      <c r="BN6" s="105">
        <v>21</v>
      </c>
      <c r="BO6" s="105">
        <v>14338.8</v>
      </c>
      <c r="BP6" s="105">
        <v>23</v>
      </c>
      <c r="BQ6" s="105">
        <v>15704.4</v>
      </c>
      <c r="BR6" s="105">
        <v>33.126795751111452</v>
      </c>
      <c r="BS6" s="105">
        <v>22618.9761388589</v>
      </c>
      <c r="BT6" s="105">
        <v>30.979663908656274</v>
      </c>
      <c r="BU6" s="105">
        <v>21152.914516830504</v>
      </c>
      <c r="BV6" s="105">
        <v>26.388304769336145</v>
      </c>
      <c r="BW6" s="105">
        <v>18017.934496502719</v>
      </c>
      <c r="BX6" s="105">
        <v>31</v>
      </c>
      <c r="BY6" s="105">
        <v>21166.799999999999</v>
      </c>
      <c r="BZ6" s="105">
        <v>39</v>
      </c>
      <c r="CA6" s="105">
        <v>26629.199999999997</v>
      </c>
      <c r="CB6" s="105">
        <v>25</v>
      </c>
      <c r="CC6" s="105">
        <v>17070</v>
      </c>
      <c r="CD6" s="105">
        <v>29</v>
      </c>
      <c r="CE6" s="105">
        <v>19801.199999999997</v>
      </c>
      <c r="CF6" s="105">
        <v>45</v>
      </c>
      <c r="CG6" s="105">
        <v>30725.999999999996</v>
      </c>
      <c r="CH6" s="105">
        <v>26</v>
      </c>
      <c r="CI6" s="105">
        <v>17752.8</v>
      </c>
      <c r="CJ6" s="105">
        <v>23</v>
      </c>
      <c r="CK6" s="105">
        <v>15704.4</v>
      </c>
      <c r="CL6" s="105">
        <v>37.964748277393163</v>
      </c>
      <c r="CM6" s="105">
        <v>25922.330123804051</v>
      </c>
      <c r="CN6" s="105">
        <v>29.327612182073711</v>
      </c>
      <c r="CO6" s="105">
        <v>20024.893597919927</v>
      </c>
      <c r="CP6" s="105">
        <v>32.48597041706627</v>
      </c>
      <c r="CQ6" s="105">
        <v>22181.420600772846</v>
      </c>
      <c r="CR6" s="105">
        <v>23.607834745637234</v>
      </c>
      <c r="CS6" s="105">
        <v>16119.429564321103</v>
      </c>
      <c r="CT6" s="105">
        <v>29.835593569524121</v>
      </c>
      <c r="CU6" s="105">
        <v>20371.743289271068</v>
      </c>
    </row>
    <row r="7" spans="1:99" x14ac:dyDescent="0.2">
      <c r="C7" s="104" t="s">
        <v>175</v>
      </c>
      <c r="D7" s="105">
        <v>23.169634343953248</v>
      </c>
      <c r="E7" s="105">
        <v>19990.760511962861</v>
      </c>
      <c r="F7" s="105">
        <v>16.720872339243041</v>
      </c>
      <c r="G7" s="105">
        <v>14426.768654298894</v>
      </c>
      <c r="H7" s="105">
        <v>30.709818948920642</v>
      </c>
      <c r="I7" s="105">
        <v>26496.431789128728</v>
      </c>
      <c r="J7" s="105">
        <v>24.01875663696487</v>
      </c>
      <c r="K7" s="105">
        <v>20723.383226373287</v>
      </c>
      <c r="L7" s="105">
        <v>22.622891755679991</v>
      </c>
      <c r="M7" s="105">
        <v>19519.031006800695</v>
      </c>
      <c r="N7" s="105">
        <v>20</v>
      </c>
      <c r="O7" s="105">
        <v>17256</v>
      </c>
      <c r="P7" s="105">
        <v>28</v>
      </c>
      <c r="Q7" s="105">
        <v>24158.399999999998</v>
      </c>
      <c r="R7" s="105">
        <v>20</v>
      </c>
      <c r="S7" s="105">
        <v>17256</v>
      </c>
      <c r="T7" s="105">
        <v>17</v>
      </c>
      <c r="U7" s="105">
        <v>14667.599999999999</v>
      </c>
      <c r="V7" s="105">
        <v>28</v>
      </c>
      <c r="W7" s="105">
        <v>24158.399999999998</v>
      </c>
      <c r="X7" s="105">
        <v>27</v>
      </c>
      <c r="Y7" s="105">
        <v>23295.599999999999</v>
      </c>
      <c r="Z7" s="105">
        <v>38.77494091220759</v>
      </c>
      <c r="AA7" s="105">
        <v>33455.019019052706</v>
      </c>
      <c r="AB7" s="105">
        <v>28.031481530698507</v>
      </c>
      <c r="AC7" s="105">
        <v>24185.562264686669</v>
      </c>
      <c r="AD7" s="105">
        <v>29</v>
      </c>
      <c r="AE7" s="105">
        <v>25021.199999999997</v>
      </c>
      <c r="AF7" s="105">
        <v>21</v>
      </c>
      <c r="AG7" s="105">
        <v>18118.8</v>
      </c>
      <c r="AH7" s="105">
        <v>25</v>
      </c>
      <c r="AI7" s="105">
        <v>21570</v>
      </c>
      <c r="AJ7" s="105">
        <v>23</v>
      </c>
      <c r="AK7" s="105">
        <v>19844.399999999998</v>
      </c>
      <c r="AL7" s="105">
        <v>24</v>
      </c>
      <c r="AM7" s="105">
        <v>20707.199999999997</v>
      </c>
      <c r="AN7" s="105">
        <v>28.187649776550096</v>
      </c>
      <c r="AO7" s="105">
        <v>24320.30422720742</v>
      </c>
      <c r="AP7" s="105">
        <v>18.171122007646773</v>
      </c>
      <c r="AQ7" s="105">
        <v>15678.044068197634</v>
      </c>
      <c r="AR7" s="105">
        <v>27.774660173571299</v>
      </c>
      <c r="AS7" s="105">
        <v>23963.976797757314</v>
      </c>
      <c r="AT7" s="105">
        <v>30.355092276876594</v>
      </c>
      <c r="AU7" s="105">
        <v>26190.373616489123</v>
      </c>
      <c r="AV7" s="105">
        <v>31.559677780437621</v>
      </c>
      <c r="AW7" s="105">
        <v>27229.689988961578</v>
      </c>
      <c r="AX7" s="105">
        <v>27.197858368379404</v>
      </c>
      <c r="AY7" s="105">
        <v>23466.312200237749</v>
      </c>
      <c r="AZ7" s="105">
        <v>20.19429714713138</v>
      </c>
      <c r="BA7" s="105">
        <v>17423.639578544953</v>
      </c>
      <c r="BB7" s="105">
        <v>18.352819142674011</v>
      </c>
      <c r="BC7" s="105">
        <v>15834.812356299137</v>
      </c>
      <c r="BD7" s="105">
        <v>21.581926449175285</v>
      </c>
      <c r="BE7" s="105">
        <v>18620.886140348433</v>
      </c>
      <c r="BF7" s="105">
        <v>27.643866872111786</v>
      </c>
      <c r="BG7" s="105">
        <v>23851.128337258047</v>
      </c>
      <c r="BH7" s="105">
        <v>26.61158775687732</v>
      </c>
      <c r="BI7" s="105">
        <v>22960.47791663375</v>
      </c>
      <c r="BJ7" s="105">
        <v>29.174230563588488</v>
      </c>
      <c r="BK7" s="105">
        <v>25171.526130264145</v>
      </c>
      <c r="BL7" s="105">
        <v>18.592739028940922</v>
      </c>
      <c r="BM7" s="105">
        <v>16041.815234170226</v>
      </c>
      <c r="BN7" s="105">
        <v>22</v>
      </c>
      <c r="BO7" s="105">
        <v>18981.599999999999</v>
      </c>
      <c r="BP7" s="105">
        <v>20</v>
      </c>
      <c r="BQ7" s="105">
        <v>17256</v>
      </c>
      <c r="BR7" s="105">
        <v>30.203843184836916</v>
      </c>
      <c r="BS7" s="105">
        <v>26059.87589987729</v>
      </c>
      <c r="BT7" s="105">
        <v>32.654240336151204</v>
      </c>
      <c r="BU7" s="105">
        <v>28174.078562031256</v>
      </c>
      <c r="BV7" s="105">
        <v>27.267914928314017</v>
      </c>
      <c r="BW7" s="105">
        <v>23526.757000149333</v>
      </c>
      <c r="BX7" s="105">
        <v>29</v>
      </c>
      <c r="BY7" s="105">
        <v>25021.199999999997</v>
      </c>
      <c r="BZ7" s="105">
        <v>38</v>
      </c>
      <c r="CA7" s="105">
        <v>32786.400000000001</v>
      </c>
      <c r="CB7" s="105">
        <v>23</v>
      </c>
      <c r="CC7" s="105">
        <v>19844.399999999998</v>
      </c>
      <c r="CD7" s="105">
        <v>29</v>
      </c>
      <c r="CE7" s="105">
        <v>25021.199999999997</v>
      </c>
      <c r="CF7" s="105">
        <v>40</v>
      </c>
      <c r="CG7" s="105">
        <v>34512</v>
      </c>
      <c r="CH7" s="105">
        <v>27</v>
      </c>
      <c r="CI7" s="105">
        <v>23295.599999999999</v>
      </c>
      <c r="CJ7" s="105">
        <v>22</v>
      </c>
      <c r="CK7" s="105">
        <v>18981.599999999999</v>
      </c>
      <c r="CL7" s="105">
        <v>37.964748277393163</v>
      </c>
      <c r="CM7" s="105">
        <v>32755.98481373482</v>
      </c>
      <c r="CN7" s="105">
        <v>27.651748628812356</v>
      </c>
      <c r="CO7" s="105">
        <v>23857.928716939299</v>
      </c>
      <c r="CP7" s="105">
        <v>30.939019444825021</v>
      </c>
      <c r="CQ7" s="105">
        <v>26694.185976995028</v>
      </c>
      <c r="CR7" s="105">
        <v>22.764697790435907</v>
      </c>
      <c r="CS7" s="105">
        <v>19641.381253588101</v>
      </c>
      <c r="CT7" s="105">
        <v>29.141742556279372</v>
      </c>
      <c r="CU7" s="105">
        <v>25143.495477557841</v>
      </c>
    </row>
    <row r="8" spans="1:99" x14ac:dyDescent="0.2">
      <c r="C8" s="104" t="s">
        <v>176</v>
      </c>
      <c r="D8" s="105">
        <v>24.532554011244617</v>
      </c>
      <c r="E8" s="105">
        <v>8036.8646940837361</v>
      </c>
      <c r="F8" s="105">
        <v>18.313336371551902</v>
      </c>
      <c r="G8" s="105">
        <v>5999.448995320402</v>
      </c>
      <c r="H8" s="105">
        <v>34.197033663620864</v>
      </c>
      <c r="I8" s="105">
        <v>11202.948228202195</v>
      </c>
      <c r="J8" s="105">
        <v>25.023445796206087</v>
      </c>
      <c r="K8" s="105">
        <v>8197.6808428371132</v>
      </c>
      <c r="L8" s="105">
        <v>23.587530374660354</v>
      </c>
      <c r="M8" s="105">
        <v>7727.2749507387307</v>
      </c>
      <c r="N8" s="105">
        <v>19</v>
      </c>
      <c r="O8" s="105">
        <v>6224.4</v>
      </c>
      <c r="P8" s="105">
        <v>33</v>
      </c>
      <c r="Q8" s="105">
        <v>10810.8</v>
      </c>
      <c r="R8" s="105">
        <v>24</v>
      </c>
      <c r="S8" s="105">
        <v>7862.4</v>
      </c>
      <c r="T8" s="105">
        <v>20</v>
      </c>
      <c r="U8" s="105">
        <v>6551.9999999999991</v>
      </c>
      <c r="V8" s="105">
        <v>33</v>
      </c>
      <c r="W8" s="105">
        <v>10810.8</v>
      </c>
      <c r="X8" s="105">
        <v>27</v>
      </c>
      <c r="Y8" s="105">
        <v>8845.1999999999989</v>
      </c>
      <c r="Z8" s="105">
        <v>36.786482403889252</v>
      </c>
      <c r="AA8" s="105">
        <v>12051.251635514118</v>
      </c>
      <c r="AB8" s="105">
        <v>28.031481530698507</v>
      </c>
      <c r="AC8" s="105">
        <v>9183.1133494568294</v>
      </c>
      <c r="AD8" s="105">
        <v>28</v>
      </c>
      <c r="AE8" s="105">
        <v>9172.7999999999993</v>
      </c>
      <c r="AF8" s="105">
        <v>19</v>
      </c>
      <c r="AG8" s="105">
        <v>6224.4</v>
      </c>
      <c r="AH8" s="105">
        <v>26</v>
      </c>
      <c r="AI8" s="105">
        <v>8517.5999999999985</v>
      </c>
      <c r="AJ8" s="105">
        <v>27</v>
      </c>
      <c r="AK8" s="105">
        <v>8845.1999999999989</v>
      </c>
      <c r="AL8" s="105">
        <v>25</v>
      </c>
      <c r="AM8" s="105">
        <v>8189.9999999999991</v>
      </c>
      <c r="AN8" s="105">
        <v>30.066826428320105</v>
      </c>
      <c r="AO8" s="105">
        <v>9849.8923379176649</v>
      </c>
      <c r="AP8" s="105">
        <v>21.040246535169949</v>
      </c>
      <c r="AQ8" s="105">
        <v>6892.7847649216747</v>
      </c>
      <c r="AR8" s="105">
        <v>29.626304185142715</v>
      </c>
      <c r="AS8" s="105">
        <v>9705.5772510527531</v>
      </c>
      <c r="AT8" s="105">
        <v>33.550365148126765</v>
      </c>
      <c r="AU8" s="105">
        <v>10991.099622526328</v>
      </c>
      <c r="AV8" s="105">
        <v>30.657972700996549</v>
      </c>
      <c r="AW8" s="105">
        <v>10043.551856846469</v>
      </c>
      <c r="AX8" s="105">
        <v>35.439633631524678</v>
      </c>
      <c r="AY8" s="105">
        <v>11610.023977687484</v>
      </c>
      <c r="AZ8" s="105">
        <v>21.87715524272566</v>
      </c>
      <c r="BA8" s="105">
        <v>7166.9560575169253</v>
      </c>
      <c r="BB8" s="105">
        <v>17.435178185540313</v>
      </c>
      <c r="BC8" s="105">
        <v>5711.7643735830061</v>
      </c>
      <c r="BD8" s="105">
        <v>23.979918276861426</v>
      </c>
      <c r="BE8" s="105">
        <v>7855.8212274998023</v>
      </c>
      <c r="BF8" s="105">
        <v>28.371337052956832</v>
      </c>
      <c r="BG8" s="105">
        <v>9294.4500185486577</v>
      </c>
      <c r="BH8" s="105">
        <v>32.117433499679521</v>
      </c>
      <c r="BI8" s="105">
        <v>10521.671214495011</v>
      </c>
      <c r="BJ8" s="105">
        <v>27.507131674240576</v>
      </c>
      <c r="BK8" s="105">
        <v>9011.3363364812121</v>
      </c>
      <c r="BL8" s="105">
        <v>19.401118986720963</v>
      </c>
      <c r="BM8" s="105">
        <v>6355.806580049787</v>
      </c>
      <c r="BN8" s="105">
        <v>26</v>
      </c>
      <c r="BO8" s="105">
        <v>8517.5999999999985</v>
      </c>
      <c r="BP8" s="105">
        <v>24</v>
      </c>
      <c r="BQ8" s="105">
        <v>7862.4</v>
      </c>
      <c r="BR8" s="105">
        <v>34.101113273202969</v>
      </c>
      <c r="BS8" s="105">
        <v>11171.524708301291</v>
      </c>
      <c r="BT8" s="105">
        <v>33.491528549898675</v>
      </c>
      <c r="BU8" s="105">
        <v>10971.824752946804</v>
      </c>
      <c r="BV8" s="105">
        <v>27.267914928314017</v>
      </c>
      <c r="BW8" s="105">
        <v>8932.9689305156717</v>
      </c>
      <c r="BX8" s="105">
        <v>32</v>
      </c>
      <c r="BY8" s="105">
        <v>10483.199999999999</v>
      </c>
      <c r="BZ8" s="105">
        <v>44</v>
      </c>
      <c r="CA8" s="105">
        <v>14414.399999999998</v>
      </c>
      <c r="CB8" s="105">
        <v>29</v>
      </c>
      <c r="CC8" s="105">
        <v>9500.4</v>
      </c>
      <c r="CD8" s="105">
        <v>34</v>
      </c>
      <c r="CE8" s="105">
        <v>11138.4</v>
      </c>
      <c r="CF8" s="105">
        <v>48</v>
      </c>
      <c r="CG8" s="105">
        <v>15724.8</v>
      </c>
      <c r="CH8" s="105">
        <v>28</v>
      </c>
      <c r="CI8" s="105">
        <v>9172.7999999999993</v>
      </c>
      <c r="CJ8" s="105">
        <v>24</v>
      </c>
      <c r="CK8" s="105">
        <v>7862.4</v>
      </c>
      <c r="CL8" s="105">
        <v>45.557697932871797</v>
      </c>
      <c r="CM8" s="105">
        <v>14924.701842808799</v>
      </c>
      <c r="CN8" s="105">
        <v>35.193134618488457</v>
      </c>
      <c r="CO8" s="105">
        <v>11529.270901016818</v>
      </c>
      <c r="CP8" s="105">
        <v>30.939019444825021</v>
      </c>
      <c r="CQ8" s="105">
        <v>10135.622770124675</v>
      </c>
      <c r="CR8" s="105">
        <v>21.078423880033245</v>
      </c>
      <c r="CS8" s="105">
        <v>6905.2916630988902</v>
      </c>
      <c r="CT8" s="105">
        <v>31.917146609258356</v>
      </c>
      <c r="CU8" s="105">
        <v>10456.057229193037</v>
      </c>
    </row>
    <row r="9" spans="1:99" x14ac:dyDescent="0.2">
      <c r="C9" s="104" t="s">
        <v>177</v>
      </c>
      <c r="D9" s="105">
        <v>24.532554011244617</v>
      </c>
      <c r="E9" s="105">
        <v>19694.734360227176</v>
      </c>
      <c r="F9" s="105">
        <v>17.517104355397471</v>
      </c>
      <c r="G9" s="105">
        <v>14062.731376513089</v>
      </c>
      <c r="H9" s="105">
        <v>32.453426306270757</v>
      </c>
      <c r="I9" s="105">
        <v>26053.610638674163</v>
      </c>
      <c r="J9" s="105">
        <v>23.01875663696487</v>
      </c>
      <c r="K9" s="105">
        <v>18479.457828155395</v>
      </c>
      <c r="L9" s="105">
        <v>19.728975898738888</v>
      </c>
      <c r="M9" s="105">
        <v>15838.421851507579</v>
      </c>
      <c r="N9" s="105">
        <v>19</v>
      </c>
      <c r="O9" s="105">
        <v>15253.199999999999</v>
      </c>
      <c r="P9" s="105">
        <v>29</v>
      </c>
      <c r="Q9" s="105">
        <v>23281.199999999997</v>
      </c>
      <c r="R9" s="105">
        <v>21</v>
      </c>
      <c r="S9" s="105">
        <v>16858.8</v>
      </c>
      <c r="T9" s="105">
        <v>18</v>
      </c>
      <c r="U9" s="105">
        <v>14450.4</v>
      </c>
      <c r="V9" s="105">
        <v>29</v>
      </c>
      <c r="W9" s="105">
        <v>23281.199999999997</v>
      </c>
      <c r="X9" s="105">
        <v>28</v>
      </c>
      <c r="Y9" s="105">
        <v>22478.399999999998</v>
      </c>
      <c r="Z9" s="105">
        <v>37.780711658048418</v>
      </c>
      <c r="AA9" s="105">
        <v>30330.355319081267</v>
      </c>
      <c r="AB9" s="105">
        <v>29.730359199225685</v>
      </c>
      <c r="AC9" s="105">
        <v>23867.532365138377</v>
      </c>
      <c r="AD9" s="105">
        <v>28</v>
      </c>
      <c r="AE9" s="105">
        <v>22478.399999999998</v>
      </c>
      <c r="AF9" s="105">
        <v>19</v>
      </c>
      <c r="AG9" s="105">
        <v>15253.199999999999</v>
      </c>
      <c r="AH9" s="105">
        <v>24</v>
      </c>
      <c r="AI9" s="105">
        <v>19267.199999999997</v>
      </c>
      <c r="AJ9" s="105">
        <v>24</v>
      </c>
      <c r="AK9" s="105">
        <v>19267.199999999997</v>
      </c>
      <c r="AL9" s="105">
        <v>24</v>
      </c>
      <c r="AM9" s="105">
        <v>19267.199999999997</v>
      </c>
      <c r="AN9" s="105">
        <v>31.006414754205107</v>
      </c>
      <c r="AO9" s="105">
        <v>24891.949764675857</v>
      </c>
      <c r="AP9" s="105">
        <v>21.040246535169949</v>
      </c>
      <c r="AQ9" s="105">
        <v>16891.109918434435</v>
      </c>
      <c r="AR9" s="105">
        <v>26.848838167785587</v>
      </c>
      <c r="AS9" s="105">
        <v>21554.247281098269</v>
      </c>
      <c r="AT9" s="105">
        <v>29.556274059064052</v>
      </c>
      <c r="AU9" s="105">
        <v>23727.77681461662</v>
      </c>
      <c r="AV9" s="105">
        <v>28.854562542114394</v>
      </c>
      <c r="AW9" s="105">
        <v>23164.442808809436</v>
      </c>
      <c r="AX9" s="105">
        <v>28.022035894693932</v>
      </c>
      <c r="AY9" s="105">
        <v>22496.090416260289</v>
      </c>
      <c r="AZ9" s="105">
        <v>18.511439051537096</v>
      </c>
      <c r="BA9" s="105">
        <v>14860.983270573979</v>
      </c>
      <c r="BB9" s="105">
        <v>17.435178185540313</v>
      </c>
      <c r="BC9" s="105">
        <v>13996.961047351762</v>
      </c>
      <c r="BD9" s="105">
        <v>22.381257058404</v>
      </c>
      <c r="BE9" s="105">
        <v>17967.673166486729</v>
      </c>
      <c r="BF9" s="105">
        <v>24.00651596788655</v>
      </c>
      <c r="BG9" s="105">
        <v>19272.431019019321</v>
      </c>
      <c r="BH9" s="105">
        <v>30.282151585412123</v>
      </c>
      <c r="BI9" s="105">
        <v>24310.51129276885</v>
      </c>
      <c r="BJ9" s="105">
        <v>29.174230563588488</v>
      </c>
      <c r="BK9" s="105">
        <v>23421.072296448838</v>
      </c>
      <c r="BL9" s="105">
        <v>20.209498944501007</v>
      </c>
      <c r="BM9" s="105">
        <v>16224.185752645408</v>
      </c>
      <c r="BN9" s="105">
        <v>24</v>
      </c>
      <c r="BO9" s="105">
        <v>19267.199999999997</v>
      </c>
      <c r="BP9" s="105">
        <v>23</v>
      </c>
      <c r="BQ9" s="105">
        <v>18464.399999999998</v>
      </c>
      <c r="BR9" s="105">
        <v>31.178160706928431</v>
      </c>
      <c r="BS9" s="105">
        <v>25029.827415522144</v>
      </c>
      <c r="BT9" s="105">
        <v>29.305087481161337</v>
      </c>
      <c r="BU9" s="105">
        <v>23526.124229876321</v>
      </c>
      <c r="BV9" s="105">
        <v>29.027135246269765</v>
      </c>
      <c r="BW9" s="105">
        <v>23302.984175705365</v>
      </c>
      <c r="BX9" s="105">
        <v>30</v>
      </c>
      <c r="BY9" s="105">
        <v>24084</v>
      </c>
      <c r="BZ9" s="105">
        <v>35</v>
      </c>
      <c r="CA9" s="105">
        <v>28098</v>
      </c>
      <c r="CB9" s="105">
        <v>27</v>
      </c>
      <c r="CC9" s="105">
        <v>21675.599999999999</v>
      </c>
      <c r="CD9" s="105">
        <v>30</v>
      </c>
      <c r="CE9" s="105">
        <v>24084</v>
      </c>
      <c r="CF9" s="105">
        <v>44</v>
      </c>
      <c r="CG9" s="105">
        <v>35323.199999999997</v>
      </c>
      <c r="CH9" s="105">
        <v>27</v>
      </c>
      <c r="CI9" s="105">
        <v>21675.599999999999</v>
      </c>
      <c r="CJ9" s="105">
        <v>20</v>
      </c>
      <c r="CK9" s="105">
        <v>16056</v>
      </c>
      <c r="CL9" s="105">
        <v>40.812104398197647</v>
      </c>
      <c r="CM9" s="105">
        <v>32763.95741087307</v>
      </c>
      <c r="CN9" s="105">
        <v>28.489680405443035</v>
      </c>
      <c r="CO9" s="105">
        <v>22871.515429489667</v>
      </c>
      <c r="CP9" s="105">
        <v>31.712494930945649</v>
      </c>
      <c r="CQ9" s="105">
        <v>25458.790930563166</v>
      </c>
      <c r="CR9" s="105">
        <v>22.764697790435907</v>
      </c>
      <c r="CS9" s="105">
        <v>18275.499386161944</v>
      </c>
      <c r="CT9" s="105">
        <v>28.447891543034626</v>
      </c>
      <c r="CU9" s="105">
        <v>22837.967330748197</v>
      </c>
    </row>
    <row r="10" spans="1:99" x14ac:dyDescent="0.2">
      <c r="C10" s="104" t="s">
        <v>178</v>
      </c>
      <c r="D10" s="105">
        <v>22.488174510307566</v>
      </c>
      <c r="E10" s="105">
        <v>12521.415567339252</v>
      </c>
      <c r="F10" s="105">
        <v>18.313336371551902</v>
      </c>
      <c r="G10" s="105">
        <v>10196.865691680097</v>
      </c>
      <c r="H10" s="105">
        <v>28.917039042747113</v>
      </c>
      <c r="I10" s="105">
        <v>16101.007339001591</v>
      </c>
      <c r="J10" s="105">
        <v>27.023445796206087</v>
      </c>
      <c r="K10" s="105">
        <v>15046.654619327548</v>
      </c>
      <c r="L10" s="105">
        <v>20.693614517719258</v>
      </c>
      <c r="M10" s="105">
        <v>11522.204563466083</v>
      </c>
      <c r="N10" s="105">
        <v>21</v>
      </c>
      <c r="O10" s="105">
        <v>11692.8</v>
      </c>
      <c r="P10" s="105">
        <v>31</v>
      </c>
      <c r="Q10" s="105">
        <v>17260.8</v>
      </c>
      <c r="R10" s="105">
        <v>22</v>
      </c>
      <c r="S10" s="105">
        <v>12249.599999999999</v>
      </c>
      <c r="T10" s="105">
        <v>18</v>
      </c>
      <c r="U10" s="105">
        <v>10022.4</v>
      </c>
      <c r="V10" s="105">
        <v>29</v>
      </c>
      <c r="W10" s="105">
        <v>16147.199999999999</v>
      </c>
      <c r="X10" s="105">
        <v>29</v>
      </c>
      <c r="Y10" s="105">
        <v>16147.199999999999</v>
      </c>
      <c r="Z10" s="105">
        <v>38.77494091220759</v>
      </c>
      <c r="AA10" s="105">
        <v>21589.887099917185</v>
      </c>
      <c r="AB10" s="105">
        <v>26.332603862171322</v>
      </c>
      <c r="AC10" s="105">
        <v>14661.993830456991</v>
      </c>
      <c r="AD10" s="105">
        <v>30</v>
      </c>
      <c r="AE10" s="105">
        <v>16704</v>
      </c>
      <c r="AF10" s="105">
        <v>21</v>
      </c>
      <c r="AG10" s="105">
        <v>11692.8</v>
      </c>
      <c r="AH10" s="105">
        <v>22</v>
      </c>
      <c r="AI10" s="105">
        <v>12249.599999999999</v>
      </c>
      <c r="AJ10" s="105">
        <v>23</v>
      </c>
      <c r="AK10" s="105">
        <v>12806.4</v>
      </c>
      <c r="AL10" s="105">
        <v>27</v>
      </c>
      <c r="AM10" s="105">
        <v>15033.599999999999</v>
      </c>
      <c r="AN10" s="105">
        <v>29.127238102435097</v>
      </c>
      <c r="AO10" s="105">
        <v>16218.04617543586</v>
      </c>
      <c r="AP10" s="105">
        <v>20.083871692662221</v>
      </c>
      <c r="AQ10" s="105">
        <v>11182.699758474324</v>
      </c>
      <c r="AR10" s="105">
        <v>31.477948196714134</v>
      </c>
      <c r="AS10" s="105">
        <v>17526.921555930428</v>
      </c>
      <c r="AT10" s="105">
        <v>35.148001583751849</v>
      </c>
      <c r="AU10" s="105">
        <v>19570.407281833028</v>
      </c>
      <c r="AV10" s="105">
        <v>33.363087939319776</v>
      </c>
      <c r="AW10" s="105">
        <v>18576.567364613249</v>
      </c>
      <c r="AX10" s="105">
        <v>33.791278578895621</v>
      </c>
      <c r="AY10" s="105">
        <v>18814.98391272908</v>
      </c>
      <c r="AZ10" s="105">
        <v>21.035726194928522</v>
      </c>
      <c r="BA10" s="105">
        <v>11712.6923453362</v>
      </c>
      <c r="BB10" s="105">
        <v>19.270460099807714</v>
      </c>
      <c r="BC10" s="105">
        <v>10729.792183572934</v>
      </c>
      <c r="BD10" s="105">
        <v>23.180587667632711</v>
      </c>
      <c r="BE10" s="105">
        <v>12906.951213337892</v>
      </c>
      <c r="BF10" s="105">
        <v>28.371337052956832</v>
      </c>
      <c r="BG10" s="105">
        <v>15797.160471086363</v>
      </c>
      <c r="BH10" s="105">
        <v>29.364510628278421</v>
      </c>
      <c r="BI10" s="105">
        <v>16350.159517825423</v>
      </c>
      <c r="BJ10" s="105">
        <v>28.340681118914535</v>
      </c>
      <c r="BK10" s="105">
        <v>15780.091247011613</v>
      </c>
      <c r="BL10" s="105">
        <v>22.634638817841125</v>
      </c>
      <c r="BM10" s="105">
        <v>12602.966893773937</v>
      </c>
      <c r="BN10" s="105">
        <v>23</v>
      </c>
      <c r="BO10" s="105">
        <v>12806.4</v>
      </c>
      <c r="BP10" s="105">
        <v>20</v>
      </c>
      <c r="BQ10" s="105">
        <v>11136</v>
      </c>
      <c r="BR10" s="105">
        <v>31.178160706928431</v>
      </c>
      <c r="BS10" s="105">
        <v>17359.99988161775</v>
      </c>
      <c r="BT10" s="105">
        <v>31.816952122403741</v>
      </c>
      <c r="BU10" s="105">
        <v>17715.678941754402</v>
      </c>
      <c r="BV10" s="105">
        <v>27.267914928314017</v>
      </c>
      <c r="BW10" s="105">
        <v>15182.775032085243</v>
      </c>
      <c r="BX10" s="105">
        <v>31</v>
      </c>
      <c r="BY10" s="105">
        <v>17260.8</v>
      </c>
      <c r="BZ10" s="105">
        <v>41</v>
      </c>
      <c r="CA10" s="105">
        <v>22828.799999999999</v>
      </c>
      <c r="CB10" s="105">
        <v>25</v>
      </c>
      <c r="CC10" s="105">
        <v>13919.999999999998</v>
      </c>
      <c r="CD10" s="105">
        <v>29</v>
      </c>
      <c r="CE10" s="105">
        <v>16147.199999999999</v>
      </c>
      <c r="CF10" s="105">
        <v>43</v>
      </c>
      <c r="CG10" s="105">
        <v>23942.399999999998</v>
      </c>
      <c r="CH10" s="105">
        <v>30</v>
      </c>
      <c r="CI10" s="105">
        <v>16704</v>
      </c>
      <c r="CJ10" s="105">
        <v>23</v>
      </c>
      <c r="CK10" s="105">
        <v>12806.4</v>
      </c>
      <c r="CL10" s="105">
        <v>44.608579225936971</v>
      </c>
      <c r="CM10" s="105">
        <v>24838.056913001703</v>
      </c>
      <c r="CN10" s="105">
        <v>32.679339288596424</v>
      </c>
      <c r="CO10" s="105">
        <v>18195.856115890489</v>
      </c>
      <c r="CP10" s="105">
        <v>29.392068472583773</v>
      </c>
      <c r="CQ10" s="105">
        <v>16365.503725534643</v>
      </c>
      <c r="CR10" s="105">
        <v>22.764697790435907</v>
      </c>
      <c r="CS10" s="105">
        <v>12675.383729714711</v>
      </c>
      <c r="CT10" s="105">
        <v>28.447891543034626</v>
      </c>
      <c r="CU10" s="105">
        <v>15839.786011161677</v>
      </c>
    </row>
    <row r="11" spans="1:99" x14ac:dyDescent="0.2">
      <c r="C11" s="104" t="s">
        <v>179</v>
      </c>
      <c r="D11" s="105">
        <v>25.2140138448903</v>
      </c>
      <c r="E11" s="105">
        <v>15098.15149032031</v>
      </c>
      <c r="F11" s="105">
        <v>19.905800403860763</v>
      </c>
      <c r="G11" s="105">
        <v>11919.593281831823</v>
      </c>
      <c r="H11" s="105">
        <v>31.581622627595699</v>
      </c>
      <c r="I11" s="105">
        <v>18911.075629404302</v>
      </c>
      <c r="J11" s="105">
        <v>26.023445796206087</v>
      </c>
      <c r="K11" s="105">
        <v>15582.839342768204</v>
      </c>
      <c r="L11" s="105">
        <v>22.622891755679991</v>
      </c>
      <c r="M11" s="105">
        <v>13546.587583301178</v>
      </c>
      <c r="N11" s="105">
        <v>19</v>
      </c>
      <c r="O11" s="105">
        <v>11377.199999999999</v>
      </c>
      <c r="P11" s="105">
        <v>31</v>
      </c>
      <c r="Q11" s="105">
        <v>18562.8</v>
      </c>
      <c r="R11" s="105">
        <v>21</v>
      </c>
      <c r="S11" s="105">
        <v>12574.8</v>
      </c>
      <c r="T11" s="105">
        <v>19</v>
      </c>
      <c r="U11" s="105">
        <v>11377.199999999999</v>
      </c>
      <c r="V11" s="105">
        <v>32</v>
      </c>
      <c r="W11" s="105">
        <v>19161.599999999999</v>
      </c>
      <c r="X11" s="105">
        <v>29</v>
      </c>
      <c r="Y11" s="105">
        <v>17365.199999999997</v>
      </c>
      <c r="Z11" s="105">
        <v>33.803794641411749</v>
      </c>
      <c r="AA11" s="105">
        <v>20241.712231277354</v>
      </c>
      <c r="AB11" s="105">
        <v>28.031481530698507</v>
      </c>
      <c r="AC11" s="105">
        <v>16785.251140582266</v>
      </c>
      <c r="AD11" s="105">
        <v>30</v>
      </c>
      <c r="AE11" s="105">
        <v>17964</v>
      </c>
      <c r="AF11" s="105">
        <v>22</v>
      </c>
      <c r="AG11" s="105">
        <v>13173.599999999999</v>
      </c>
      <c r="AH11" s="105">
        <v>23</v>
      </c>
      <c r="AI11" s="105">
        <v>13772.4</v>
      </c>
      <c r="AJ11" s="105">
        <v>26</v>
      </c>
      <c r="AK11" s="105">
        <v>15568.8</v>
      </c>
      <c r="AL11" s="105">
        <v>24</v>
      </c>
      <c r="AM11" s="105">
        <v>14371.199999999999</v>
      </c>
      <c r="AN11" s="105">
        <v>29.127238102435097</v>
      </c>
      <c r="AO11" s="105">
        <v>17441.390175738135</v>
      </c>
      <c r="AP11" s="105">
        <v>21.99662137767767</v>
      </c>
      <c r="AQ11" s="105">
        <v>13171.576880953387</v>
      </c>
      <c r="AR11" s="105">
        <v>27.774660173571299</v>
      </c>
      <c r="AS11" s="105">
        <v>16631.466511934494</v>
      </c>
      <c r="AT11" s="105">
        <v>34.349183365939304</v>
      </c>
      <c r="AU11" s="105">
        <v>20568.290999524452</v>
      </c>
      <c r="AV11" s="105">
        <v>32.461382859878697</v>
      </c>
      <c r="AW11" s="105">
        <v>19437.876056495363</v>
      </c>
      <c r="AX11" s="105">
        <v>29.670390947322986</v>
      </c>
      <c r="AY11" s="105">
        <v>17766.630099257003</v>
      </c>
      <c r="AZ11" s="105">
        <v>19.352868099334238</v>
      </c>
      <c r="BA11" s="105">
        <v>11588.497417881341</v>
      </c>
      <c r="BB11" s="105">
        <v>18.352819142674011</v>
      </c>
      <c r="BC11" s="105">
        <v>10989.668102633197</v>
      </c>
      <c r="BD11" s="105">
        <v>22.381257058404</v>
      </c>
      <c r="BE11" s="105">
        <v>13401.896726572313</v>
      </c>
      <c r="BF11" s="105">
        <v>24.733986148731599</v>
      </c>
      <c r="BG11" s="105">
        <v>14810.71090586048</v>
      </c>
      <c r="BH11" s="105">
        <v>31.199792542545822</v>
      </c>
      <c r="BI11" s="105">
        <v>18682.435774476438</v>
      </c>
      <c r="BJ11" s="105">
        <v>28.340681118914535</v>
      </c>
      <c r="BK11" s="105">
        <v>16970.399854006024</v>
      </c>
      <c r="BL11" s="105">
        <v>21.017878902281044</v>
      </c>
      <c r="BM11" s="105">
        <v>12585.505886685889</v>
      </c>
      <c r="BN11" s="105">
        <v>24</v>
      </c>
      <c r="BO11" s="105">
        <v>14371.199999999999</v>
      </c>
      <c r="BP11" s="105">
        <v>22</v>
      </c>
      <c r="BQ11" s="105">
        <v>13173.599999999999</v>
      </c>
      <c r="BR11" s="105">
        <v>29.229525662745406</v>
      </c>
      <c r="BS11" s="105">
        <v>17502.639966851948</v>
      </c>
      <c r="BT11" s="105">
        <v>35.166104977393609</v>
      </c>
      <c r="BU11" s="105">
        <v>21057.463660463291</v>
      </c>
      <c r="BV11" s="105">
        <v>29.027135246269765</v>
      </c>
      <c r="BW11" s="105">
        <v>17381.448585466333</v>
      </c>
      <c r="BX11" s="105">
        <v>31</v>
      </c>
      <c r="BY11" s="105">
        <v>18562.8</v>
      </c>
      <c r="BZ11" s="105">
        <v>36</v>
      </c>
      <c r="CA11" s="105">
        <v>21556.799999999999</v>
      </c>
      <c r="CB11" s="105">
        <v>25</v>
      </c>
      <c r="CC11" s="105">
        <v>14969.999999999998</v>
      </c>
      <c r="CD11" s="105">
        <v>33</v>
      </c>
      <c r="CE11" s="105">
        <v>19760.399999999998</v>
      </c>
      <c r="CF11" s="105">
        <v>44</v>
      </c>
      <c r="CG11" s="105">
        <v>26347.199999999997</v>
      </c>
      <c r="CH11" s="105">
        <v>29</v>
      </c>
      <c r="CI11" s="105">
        <v>17365.199999999997</v>
      </c>
      <c r="CJ11" s="105">
        <v>22</v>
      </c>
      <c r="CK11" s="105">
        <v>13173.599999999999</v>
      </c>
      <c r="CL11" s="105">
        <v>44.608579225936971</v>
      </c>
      <c r="CM11" s="105">
        <v>26711.617240491058</v>
      </c>
      <c r="CN11" s="105">
        <v>34.355202841857775</v>
      </c>
      <c r="CO11" s="105">
        <v>20571.895461704433</v>
      </c>
      <c r="CP11" s="105">
        <v>34.806396875428149</v>
      </c>
      <c r="CQ11" s="105">
        <v>20842.070449006373</v>
      </c>
      <c r="CR11" s="105">
        <v>22.764697790435907</v>
      </c>
      <c r="CS11" s="105">
        <v>13631.50103691302</v>
      </c>
      <c r="CT11" s="105">
        <v>32.610997622503106</v>
      </c>
      <c r="CU11" s="105">
        <v>19527.465376354859</v>
      </c>
    </row>
    <row r="12" spans="1:99" x14ac:dyDescent="0.2">
      <c r="C12" s="104" t="s">
        <v>180</v>
      </c>
      <c r="D12" s="105">
        <v>23.851094177598931</v>
      </c>
      <c r="E12" s="105">
        <v>14425.141758611833</v>
      </c>
      <c r="F12" s="105">
        <v>18.313336371551902</v>
      </c>
      <c r="G12" s="105">
        <v>11075.905837514589</v>
      </c>
      <c r="H12" s="105">
        <v>34.197033663620864</v>
      </c>
      <c r="I12" s="105">
        <v>20682.365959757899</v>
      </c>
      <c r="J12" s="105">
        <v>24.023445796206087</v>
      </c>
      <c r="K12" s="105">
        <v>14529.38001754544</v>
      </c>
      <c r="L12" s="105">
        <v>23.587530374660354</v>
      </c>
      <c r="M12" s="105">
        <v>14265.738370594581</v>
      </c>
      <c r="N12" s="105">
        <v>20</v>
      </c>
      <c r="O12" s="105">
        <v>12096</v>
      </c>
      <c r="P12" s="105">
        <v>31</v>
      </c>
      <c r="Q12" s="105">
        <v>18748.8</v>
      </c>
      <c r="R12" s="105">
        <v>23</v>
      </c>
      <c r="S12" s="105">
        <v>13910.4</v>
      </c>
      <c r="T12" s="105">
        <v>18</v>
      </c>
      <c r="U12" s="105">
        <v>10886.4</v>
      </c>
      <c r="V12" s="105">
        <v>31</v>
      </c>
      <c r="W12" s="105">
        <v>18748.8</v>
      </c>
      <c r="X12" s="105">
        <v>28</v>
      </c>
      <c r="Y12" s="105">
        <v>16934.399999999998</v>
      </c>
      <c r="Z12" s="105">
        <v>37.780711658048418</v>
      </c>
      <c r="AA12" s="105">
        <v>22849.774410787682</v>
      </c>
      <c r="AB12" s="105">
        <v>28.031481530698507</v>
      </c>
      <c r="AC12" s="105">
        <v>16953.440029766454</v>
      </c>
      <c r="AD12" s="105">
        <v>27</v>
      </c>
      <c r="AE12" s="105">
        <v>16329.599999999999</v>
      </c>
      <c r="AF12" s="105">
        <v>20</v>
      </c>
      <c r="AG12" s="105">
        <v>12096</v>
      </c>
      <c r="AH12" s="105">
        <v>26</v>
      </c>
      <c r="AI12" s="105">
        <v>15724.8</v>
      </c>
      <c r="AJ12" s="105">
        <v>24</v>
      </c>
      <c r="AK12" s="105">
        <v>14515.199999999999</v>
      </c>
      <c r="AL12" s="105">
        <v>25</v>
      </c>
      <c r="AM12" s="105">
        <v>15119.999999999998</v>
      </c>
      <c r="AN12" s="105">
        <v>33.825179731860111</v>
      </c>
      <c r="AO12" s="105">
        <v>20457.468701828995</v>
      </c>
      <c r="AP12" s="105">
        <v>21.99662137767767</v>
      </c>
      <c r="AQ12" s="105">
        <v>13303.556609219453</v>
      </c>
      <c r="AR12" s="105">
        <v>27.774660173571299</v>
      </c>
      <c r="AS12" s="105">
        <v>16798.114472975922</v>
      </c>
      <c r="AT12" s="105">
        <v>29.556274059064052</v>
      </c>
      <c r="AU12" s="105">
        <v>17875.634550921935</v>
      </c>
      <c r="AV12" s="105">
        <v>28.854562542114394</v>
      </c>
      <c r="AW12" s="105">
        <v>17451.239425470783</v>
      </c>
      <c r="AX12" s="105">
        <v>28.846213421008457</v>
      </c>
      <c r="AY12" s="105">
        <v>17446.189877025914</v>
      </c>
      <c r="AZ12" s="105">
        <v>19.352868099334238</v>
      </c>
      <c r="BA12" s="105">
        <v>11704.614626477347</v>
      </c>
      <c r="BB12" s="105">
        <v>20.188101056941417</v>
      </c>
      <c r="BC12" s="105">
        <v>12209.763519238168</v>
      </c>
      <c r="BD12" s="105">
        <v>25.578579495318852</v>
      </c>
      <c r="BE12" s="105">
        <v>15469.924878768841</v>
      </c>
      <c r="BF12" s="105">
        <v>27.643866872111786</v>
      </c>
      <c r="BG12" s="105">
        <v>16719.010684253208</v>
      </c>
      <c r="BH12" s="105">
        <v>27.529228714011023</v>
      </c>
      <c r="BI12" s="105">
        <v>16649.677526233867</v>
      </c>
      <c r="BJ12" s="105">
        <v>28.340681118914535</v>
      </c>
      <c r="BK12" s="105">
        <v>17140.44394071951</v>
      </c>
      <c r="BL12" s="105">
        <v>21.826258860061085</v>
      </c>
      <c r="BM12" s="105">
        <v>13200.521358564944</v>
      </c>
      <c r="BN12" s="105">
        <v>25</v>
      </c>
      <c r="BO12" s="105">
        <v>15119.999999999998</v>
      </c>
      <c r="BP12" s="105">
        <v>23</v>
      </c>
      <c r="BQ12" s="105">
        <v>13910.4</v>
      </c>
      <c r="BR12" s="105">
        <v>33.126795751111452</v>
      </c>
      <c r="BS12" s="105">
        <v>20035.086070272206</v>
      </c>
      <c r="BT12" s="105">
        <v>34.328816763646145</v>
      </c>
      <c r="BU12" s="105">
        <v>20762.068378653188</v>
      </c>
      <c r="BV12" s="105">
        <v>27.267914928314017</v>
      </c>
      <c r="BW12" s="105">
        <v>16491.634948644318</v>
      </c>
      <c r="BX12" s="105">
        <v>32</v>
      </c>
      <c r="BY12" s="105">
        <v>19353.599999999999</v>
      </c>
      <c r="BZ12" s="105">
        <v>35</v>
      </c>
      <c r="CA12" s="105">
        <v>21168</v>
      </c>
      <c r="CB12" s="105">
        <v>26</v>
      </c>
      <c r="CC12" s="105">
        <v>15724.8</v>
      </c>
      <c r="CD12" s="105">
        <v>29</v>
      </c>
      <c r="CE12" s="105">
        <v>17539.199999999997</v>
      </c>
      <c r="CF12" s="105">
        <v>45</v>
      </c>
      <c r="CG12" s="105">
        <v>27215.999999999996</v>
      </c>
      <c r="CH12" s="105">
        <v>26</v>
      </c>
      <c r="CI12" s="105">
        <v>15724.8</v>
      </c>
      <c r="CJ12" s="105">
        <v>21</v>
      </c>
      <c r="CK12" s="105">
        <v>12700.8</v>
      </c>
      <c r="CL12" s="105">
        <v>39.862985691262821</v>
      </c>
      <c r="CM12" s="105">
        <v>24109.133746075753</v>
      </c>
      <c r="CN12" s="105">
        <v>31.003475735335066</v>
      </c>
      <c r="CO12" s="105">
        <v>18750.902124730645</v>
      </c>
      <c r="CP12" s="105">
        <v>34.806396875428149</v>
      </c>
      <c r="CQ12" s="105">
        <v>21050.908830258944</v>
      </c>
      <c r="CR12" s="105">
        <v>21.078423880033245</v>
      </c>
      <c r="CS12" s="105">
        <v>12748.230762644105</v>
      </c>
      <c r="CT12" s="105">
        <v>31.22329559601361</v>
      </c>
      <c r="CU12" s="105">
        <v>18883.84917646903</v>
      </c>
    </row>
    <row r="13" spans="1:99" x14ac:dyDescent="0.2">
      <c r="C13" s="104" t="s">
        <v>181</v>
      </c>
      <c r="D13" s="105">
        <v>27.258393345827351</v>
      </c>
      <c r="E13" s="105">
        <v>4546.7000100840014</v>
      </c>
      <c r="F13" s="105">
        <v>21.498264436169627</v>
      </c>
      <c r="G13" s="105">
        <v>3585.9105079530937</v>
      </c>
      <c r="H13" s="105">
        <v>34.147861114797443</v>
      </c>
      <c r="I13" s="105">
        <v>5695.8632339482128</v>
      </c>
      <c r="J13" s="105">
        <v>25.023445796206087</v>
      </c>
      <c r="K13" s="105">
        <v>4173.9107588071747</v>
      </c>
      <c r="L13" s="105">
        <v>21.658253136699624</v>
      </c>
      <c r="M13" s="105">
        <v>3612.5966232014971</v>
      </c>
      <c r="N13" s="105">
        <v>22</v>
      </c>
      <c r="O13" s="105">
        <v>3669.5999999999995</v>
      </c>
      <c r="P13" s="105">
        <v>31</v>
      </c>
      <c r="Q13" s="105">
        <v>5170.7999999999993</v>
      </c>
      <c r="R13" s="105">
        <v>24</v>
      </c>
      <c r="S13" s="105">
        <v>4003.2</v>
      </c>
      <c r="T13" s="105">
        <v>19</v>
      </c>
      <c r="U13" s="105">
        <v>3169.2</v>
      </c>
      <c r="V13" s="105">
        <v>30</v>
      </c>
      <c r="W13" s="105">
        <v>5003.9999999999991</v>
      </c>
      <c r="X13" s="105">
        <v>28</v>
      </c>
      <c r="Y13" s="105">
        <v>4670.3999999999996</v>
      </c>
      <c r="Z13" s="105">
        <v>41.757628674685094</v>
      </c>
      <c r="AA13" s="105">
        <v>6965.172462937473</v>
      </c>
      <c r="AB13" s="105">
        <v>31.42923686775287</v>
      </c>
      <c r="AC13" s="105">
        <v>5242.3967095411781</v>
      </c>
      <c r="AD13" s="105">
        <v>32</v>
      </c>
      <c r="AE13" s="105">
        <v>5337.5999999999995</v>
      </c>
      <c r="AF13" s="105">
        <v>21</v>
      </c>
      <c r="AG13" s="105">
        <v>3502.7999999999997</v>
      </c>
      <c r="AH13" s="105">
        <v>27</v>
      </c>
      <c r="AI13" s="105">
        <v>4503.5999999999995</v>
      </c>
      <c r="AJ13" s="105">
        <v>29</v>
      </c>
      <c r="AK13" s="105">
        <v>4837.2</v>
      </c>
      <c r="AL13" s="105">
        <v>23</v>
      </c>
      <c r="AM13" s="105">
        <v>3836.3999999999996</v>
      </c>
      <c r="AN13" s="105">
        <v>33.825179731860111</v>
      </c>
      <c r="AO13" s="105">
        <v>5642.0399792742655</v>
      </c>
      <c r="AP13" s="105">
        <v>21.040246535169949</v>
      </c>
      <c r="AQ13" s="105">
        <v>3509.513122066347</v>
      </c>
      <c r="AR13" s="105">
        <v>27.774660173571299</v>
      </c>
      <c r="AS13" s="105">
        <v>4632.8133169516923</v>
      </c>
      <c r="AT13" s="105">
        <v>32.75154693031422</v>
      </c>
      <c r="AU13" s="105">
        <v>5462.9580279764114</v>
      </c>
      <c r="AV13" s="105">
        <v>32.461382859878697</v>
      </c>
      <c r="AW13" s="105">
        <v>5414.558661027766</v>
      </c>
      <c r="AX13" s="105">
        <v>35.439633631524678</v>
      </c>
      <c r="AY13" s="105">
        <v>5911.3308897383158</v>
      </c>
      <c r="AZ13" s="105">
        <v>19.352868099334238</v>
      </c>
      <c r="BA13" s="105">
        <v>3228.0583989689503</v>
      </c>
      <c r="BB13" s="105">
        <v>21.105742014075112</v>
      </c>
      <c r="BC13" s="105">
        <v>3520.4377679477284</v>
      </c>
      <c r="BD13" s="105">
        <v>26.377910104547571</v>
      </c>
      <c r="BE13" s="105">
        <v>4399.8354054385345</v>
      </c>
      <c r="BF13" s="105">
        <v>25.461456329576645</v>
      </c>
      <c r="BG13" s="105">
        <v>4246.9709157733841</v>
      </c>
      <c r="BH13" s="105">
        <v>31.199792542545822</v>
      </c>
      <c r="BI13" s="105">
        <v>5204.1253960966424</v>
      </c>
      <c r="BJ13" s="105">
        <v>28.340681118914535</v>
      </c>
      <c r="BK13" s="105">
        <v>4727.2256106349441</v>
      </c>
      <c r="BL13" s="105">
        <v>20.209498944501007</v>
      </c>
      <c r="BM13" s="105">
        <v>3370.9444239427676</v>
      </c>
      <c r="BN13" s="105">
        <v>26</v>
      </c>
      <c r="BO13" s="105">
        <v>4336.7999999999993</v>
      </c>
      <c r="BP13" s="105">
        <v>24</v>
      </c>
      <c r="BQ13" s="105">
        <v>4003.2</v>
      </c>
      <c r="BR13" s="105">
        <v>29.229525662745406</v>
      </c>
      <c r="BS13" s="105">
        <v>4875.4848805459333</v>
      </c>
      <c r="BT13" s="105">
        <v>34.328816763646145</v>
      </c>
      <c r="BU13" s="105">
        <v>5726.0466361761764</v>
      </c>
      <c r="BV13" s="105">
        <v>29.027135246269765</v>
      </c>
      <c r="BW13" s="105">
        <v>4841.7261590777962</v>
      </c>
      <c r="BX13" s="105">
        <v>34</v>
      </c>
      <c r="BY13" s="105">
        <v>5671.2</v>
      </c>
      <c r="BZ13" s="105">
        <v>38</v>
      </c>
      <c r="CA13" s="105">
        <v>6338.4</v>
      </c>
      <c r="CB13" s="105">
        <v>31</v>
      </c>
      <c r="CC13" s="105">
        <v>5170.7999999999993</v>
      </c>
      <c r="CD13" s="105">
        <v>33</v>
      </c>
      <c r="CE13" s="105">
        <v>5504.4</v>
      </c>
      <c r="CF13" s="105">
        <v>48</v>
      </c>
      <c r="CG13" s="105">
        <v>8006.4</v>
      </c>
      <c r="CH13" s="105">
        <v>28</v>
      </c>
      <c r="CI13" s="105">
        <v>4670.3999999999996</v>
      </c>
      <c r="CJ13" s="105">
        <v>22</v>
      </c>
      <c r="CK13" s="105">
        <v>3669.5999999999995</v>
      </c>
      <c r="CL13" s="105">
        <v>38.913866984327996</v>
      </c>
      <c r="CM13" s="105">
        <v>6490.8330129859087</v>
      </c>
      <c r="CN13" s="105">
        <v>32.679339288596424</v>
      </c>
      <c r="CO13" s="105">
        <v>5450.9137933378834</v>
      </c>
      <c r="CP13" s="105">
        <v>34.032921389307525</v>
      </c>
      <c r="CQ13" s="105">
        <v>5676.6912877364948</v>
      </c>
      <c r="CR13" s="105">
        <v>26.137245611241227</v>
      </c>
      <c r="CS13" s="105">
        <v>4359.6925679550359</v>
      </c>
      <c r="CT13" s="105">
        <v>31.22329559601361</v>
      </c>
      <c r="CU13" s="105">
        <v>5208.0457054150693</v>
      </c>
    </row>
    <row r="14" spans="1:99" x14ac:dyDescent="0.2">
      <c r="C14" s="104" t="s">
        <v>182</v>
      </c>
      <c r="D14" s="105">
        <v>25.895473678535982</v>
      </c>
      <c r="E14" s="105">
        <v>12927.020460325162</v>
      </c>
      <c r="F14" s="105">
        <v>19.905800403860763</v>
      </c>
      <c r="G14" s="105">
        <v>9936.9755616072925</v>
      </c>
      <c r="H14" s="105">
        <v>33.325229984945814</v>
      </c>
      <c r="I14" s="105">
        <v>16635.954808484948</v>
      </c>
      <c r="J14" s="105">
        <v>23.01875663696487</v>
      </c>
      <c r="K14" s="105">
        <v>11490.963313172862</v>
      </c>
      <c r="L14" s="105">
        <v>20.693614517719258</v>
      </c>
      <c r="M14" s="105">
        <v>10330.252367245454</v>
      </c>
      <c r="N14" s="105">
        <v>18</v>
      </c>
      <c r="O14" s="105">
        <v>8985.6</v>
      </c>
      <c r="P14" s="105">
        <v>31</v>
      </c>
      <c r="Q14" s="105">
        <v>15475.199999999999</v>
      </c>
      <c r="R14" s="105">
        <v>23</v>
      </c>
      <c r="S14" s="105">
        <v>11481.6</v>
      </c>
      <c r="T14" s="105">
        <v>18</v>
      </c>
      <c r="U14" s="105">
        <v>8985.6</v>
      </c>
      <c r="V14" s="105">
        <v>30</v>
      </c>
      <c r="W14" s="105">
        <v>14976</v>
      </c>
      <c r="X14" s="105">
        <v>26</v>
      </c>
      <c r="Y14" s="105">
        <v>12979.199999999999</v>
      </c>
      <c r="Z14" s="105">
        <v>35.79225314973008</v>
      </c>
      <c r="AA14" s="105">
        <v>17867.492772345257</v>
      </c>
      <c r="AB14" s="105">
        <v>27.182042696434912</v>
      </c>
      <c r="AC14" s="105">
        <v>13569.275714060308</v>
      </c>
      <c r="AD14" s="105">
        <v>29</v>
      </c>
      <c r="AE14" s="105">
        <v>14476.8</v>
      </c>
      <c r="AF14" s="105">
        <v>20</v>
      </c>
      <c r="AG14" s="105">
        <v>9984</v>
      </c>
      <c r="AH14" s="105">
        <v>25</v>
      </c>
      <c r="AI14" s="105">
        <v>12480</v>
      </c>
      <c r="AJ14" s="105">
        <v>28</v>
      </c>
      <c r="AK14" s="105">
        <v>13977.6</v>
      </c>
      <c r="AL14" s="105">
        <v>25</v>
      </c>
      <c r="AM14" s="105">
        <v>12480</v>
      </c>
      <c r="AN14" s="105">
        <v>32.885591405975113</v>
      </c>
      <c r="AO14" s="105">
        <v>16416.487229862774</v>
      </c>
      <c r="AP14" s="105">
        <v>19.127496850154497</v>
      </c>
      <c r="AQ14" s="105">
        <v>9548.4464275971241</v>
      </c>
      <c r="AR14" s="105">
        <v>27.774660173571299</v>
      </c>
      <c r="AS14" s="105">
        <v>13865.110358646793</v>
      </c>
      <c r="AT14" s="105">
        <v>31.153910494689139</v>
      </c>
      <c r="AU14" s="105">
        <v>15552.032118948819</v>
      </c>
      <c r="AV14" s="105">
        <v>34.264793018760848</v>
      </c>
      <c r="AW14" s="105">
        <v>17104.984674965413</v>
      </c>
      <c r="AX14" s="105">
        <v>34.61545610521015</v>
      </c>
      <c r="AY14" s="105">
        <v>17280.035687720905</v>
      </c>
      <c r="AZ14" s="105">
        <v>21.87715524272566</v>
      </c>
      <c r="BA14" s="105">
        <v>10921.07589716865</v>
      </c>
      <c r="BB14" s="105">
        <v>19.270460099807714</v>
      </c>
      <c r="BC14" s="105">
        <v>9619.8136818240109</v>
      </c>
      <c r="BD14" s="105">
        <v>24.779248886090141</v>
      </c>
      <c r="BE14" s="105">
        <v>12369.801043936199</v>
      </c>
      <c r="BF14" s="105">
        <v>26.188926510421691</v>
      </c>
      <c r="BG14" s="105">
        <v>13073.512114002508</v>
      </c>
      <c r="BH14" s="105">
        <v>32.117433499679521</v>
      </c>
      <c r="BI14" s="105">
        <v>16033.022803040016</v>
      </c>
      <c r="BJ14" s="105">
        <v>26.673582229566616</v>
      </c>
      <c r="BK14" s="105">
        <v>13315.452248999654</v>
      </c>
      <c r="BL14" s="105">
        <v>20.209498944501007</v>
      </c>
      <c r="BM14" s="105">
        <v>10088.581873094903</v>
      </c>
      <c r="BN14" s="105">
        <v>23</v>
      </c>
      <c r="BO14" s="105">
        <v>11481.6</v>
      </c>
      <c r="BP14" s="105">
        <v>21</v>
      </c>
      <c r="BQ14" s="105">
        <v>10483.199999999999</v>
      </c>
      <c r="BR14" s="105">
        <v>32.152478229019941</v>
      </c>
      <c r="BS14" s="105">
        <v>16050.517131926754</v>
      </c>
      <c r="BT14" s="105">
        <v>32.654240336151204</v>
      </c>
      <c r="BU14" s="105">
        <v>16300.996775806681</v>
      </c>
      <c r="BV14" s="105">
        <v>30.786355564225506</v>
      </c>
      <c r="BW14" s="105">
        <v>15368.548697661372</v>
      </c>
      <c r="BX14" s="105">
        <v>31</v>
      </c>
      <c r="BY14" s="105">
        <v>15475.199999999999</v>
      </c>
      <c r="BZ14" s="105">
        <v>38</v>
      </c>
      <c r="CA14" s="105">
        <v>18969.599999999999</v>
      </c>
      <c r="CB14" s="105">
        <v>28</v>
      </c>
      <c r="CC14" s="105">
        <v>13977.6</v>
      </c>
      <c r="CD14" s="105">
        <v>28</v>
      </c>
      <c r="CE14" s="105">
        <v>13977.6</v>
      </c>
      <c r="CF14" s="105">
        <v>43</v>
      </c>
      <c r="CG14" s="105">
        <v>21465.599999999999</v>
      </c>
      <c r="CH14" s="105">
        <v>31</v>
      </c>
      <c r="CI14" s="105">
        <v>15475.199999999999</v>
      </c>
      <c r="CJ14" s="105">
        <v>24</v>
      </c>
      <c r="CK14" s="105">
        <v>11980.8</v>
      </c>
      <c r="CL14" s="105">
        <v>41.76122310513248</v>
      </c>
      <c r="CM14" s="105">
        <v>20847.202574082134</v>
      </c>
      <c r="CN14" s="105">
        <v>31.003475735335066</v>
      </c>
      <c r="CO14" s="105">
        <v>15476.935087079264</v>
      </c>
      <c r="CP14" s="105">
        <v>32.48597041706627</v>
      </c>
      <c r="CQ14" s="105">
        <v>16216.996432199481</v>
      </c>
      <c r="CR14" s="105">
        <v>25.294108656039896</v>
      </c>
      <c r="CS14" s="105">
        <v>12626.819041095116</v>
      </c>
      <c r="CT14" s="105">
        <v>31.22329559601361</v>
      </c>
      <c r="CU14" s="105">
        <v>15586.669161529993</v>
      </c>
    </row>
    <row r="15" spans="1:99" x14ac:dyDescent="0.2">
      <c r="C15" s="104" t="s">
        <v>183</v>
      </c>
      <c r="D15" s="105">
        <v>21.80671467666188</v>
      </c>
      <c r="E15" s="105">
        <v>17977.455579440055</v>
      </c>
      <c r="F15" s="105">
        <v>17.517104355397471</v>
      </c>
      <c r="G15" s="105">
        <v>14441.100830589676</v>
      </c>
      <c r="H15" s="105">
        <v>28.094407912895473</v>
      </c>
      <c r="I15" s="105">
        <v>23161.029883391027</v>
      </c>
      <c r="J15" s="105">
        <v>25.01875663696487</v>
      </c>
      <c r="K15" s="105">
        <v>20625.46297151384</v>
      </c>
      <c r="L15" s="105">
        <v>22.186688236548438</v>
      </c>
      <c r="M15" s="105">
        <v>18290.705782210531</v>
      </c>
      <c r="N15" s="105">
        <v>18</v>
      </c>
      <c r="O15" s="105">
        <v>14839.199999999999</v>
      </c>
      <c r="P15" s="105">
        <v>31</v>
      </c>
      <c r="Q15" s="105">
        <v>25556.399999999998</v>
      </c>
      <c r="R15" s="105">
        <v>20</v>
      </c>
      <c r="S15" s="105">
        <v>16488</v>
      </c>
      <c r="T15" s="105">
        <v>17</v>
      </c>
      <c r="U15" s="105">
        <v>14014.8</v>
      </c>
      <c r="V15" s="105">
        <v>31</v>
      </c>
      <c r="W15" s="105">
        <v>25556.399999999998</v>
      </c>
      <c r="X15" s="105">
        <v>27</v>
      </c>
      <c r="Y15" s="105">
        <v>22258.799999999999</v>
      </c>
      <c r="Z15" s="105">
        <v>38.77494091220759</v>
      </c>
      <c r="AA15" s="105">
        <v>31966.061288023935</v>
      </c>
      <c r="AB15" s="105">
        <v>26.332603862171322</v>
      </c>
      <c r="AC15" s="105">
        <v>21708.598623974038</v>
      </c>
      <c r="AD15" s="105">
        <v>28</v>
      </c>
      <c r="AE15" s="105">
        <v>23083.200000000001</v>
      </c>
      <c r="AF15" s="105">
        <v>19</v>
      </c>
      <c r="AG15" s="105">
        <v>15663.6</v>
      </c>
      <c r="AH15" s="105">
        <v>22</v>
      </c>
      <c r="AI15" s="105">
        <v>18136.8</v>
      </c>
      <c r="AJ15" s="105">
        <v>25</v>
      </c>
      <c r="AK15" s="105">
        <v>20610</v>
      </c>
      <c r="AL15" s="105">
        <v>25</v>
      </c>
      <c r="AM15" s="105">
        <v>20610</v>
      </c>
      <c r="AN15" s="105">
        <v>27.248061450665094</v>
      </c>
      <c r="AO15" s="105">
        <v>22463.301859928302</v>
      </c>
      <c r="AP15" s="105">
        <v>19.127496850154497</v>
      </c>
      <c r="AQ15" s="105">
        <v>15768.708403267367</v>
      </c>
      <c r="AR15" s="105">
        <v>24.997194156214167</v>
      </c>
      <c r="AS15" s="105">
        <v>20607.686862382958</v>
      </c>
      <c r="AT15" s="105">
        <v>30.355092276876594</v>
      </c>
      <c r="AU15" s="105">
        <v>25024.738073057062</v>
      </c>
      <c r="AV15" s="105">
        <v>30.657972700996549</v>
      </c>
      <c r="AW15" s="105">
        <v>25274.432694701554</v>
      </c>
      <c r="AX15" s="105">
        <v>32.142923526266571</v>
      </c>
      <c r="AY15" s="105">
        <v>26498.62615505416</v>
      </c>
      <c r="AZ15" s="105">
        <v>19.352868099334238</v>
      </c>
      <c r="BA15" s="105">
        <v>15954.504461091145</v>
      </c>
      <c r="BB15" s="105">
        <v>17.435178185540313</v>
      </c>
      <c r="BC15" s="105">
        <v>14373.560896159433</v>
      </c>
      <c r="BD15" s="105">
        <v>22.381257058404</v>
      </c>
      <c r="BE15" s="105">
        <v>18451.108318948256</v>
      </c>
      <c r="BF15" s="105">
        <v>23.279045787041504</v>
      </c>
      <c r="BG15" s="105">
        <v>19191.245346837015</v>
      </c>
      <c r="BH15" s="105">
        <v>27.529228714011023</v>
      </c>
      <c r="BI15" s="105">
        <v>22695.096151830687</v>
      </c>
      <c r="BJ15" s="105">
        <v>25.006483340218708</v>
      </c>
      <c r="BK15" s="105">
        <v>20615.344865676303</v>
      </c>
      <c r="BL15" s="105">
        <v>21.017878902281044</v>
      </c>
      <c r="BM15" s="105">
        <v>17327.139367040494</v>
      </c>
      <c r="BN15" s="105">
        <v>25</v>
      </c>
      <c r="BO15" s="105">
        <v>20610</v>
      </c>
      <c r="BP15" s="105">
        <v>22</v>
      </c>
      <c r="BQ15" s="105">
        <v>18136.8</v>
      </c>
      <c r="BR15" s="105">
        <v>30.203843184836916</v>
      </c>
      <c r="BS15" s="105">
        <v>24900.048321579554</v>
      </c>
      <c r="BT15" s="105">
        <v>34.328816763646145</v>
      </c>
      <c r="BU15" s="105">
        <v>28300.67653994988</v>
      </c>
      <c r="BV15" s="105">
        <v>29.027135246269765</v>
      </c>
      <c r="BW15" s="105">
        <v>23929.970297024793</v>
      </c>
      <c r="BX15" s="105">
        <v>33</v>
      </c>
      <c r="BY15" s="105">
        <v>27205.200000000001</v>
      </c>
      <c r="BZ15" s="105">
        <v>39</v>
      </c>
      <c r="CA15" s="105">
        <v>32151.599999999999</v>
      </c>
      <c r="CB15" s="105">
        <v>28</v>
      </c>
      <c r="CC15" s="105">
        <v>23083.200000000001</v>
      </c>
      <c r="CD15" s="105">
        <v>27</v>
      </c>
      <c r="CE15" s="105">
        <v>22258.799999999999</v>
      </c>
      <c r="CF15" s="105">
        <v>38</v>
      </c>
      <c r="CG15" s="105">
        <v>31327.200000000001</v>
      </c>
      <c r="CH15" s="105">
        <v>30</v>
      </c>
      <c r="CI15" s="105">
        <v>24732</v>
      </c>
      <c r="CJ15" s="105">
        <v>22</v>
      </c>
      <c r="CK15" s="105">
        <v>18136.8</v>
      </c>
      <c r="CL15" s="105">
        <v>36.066510863523504</v>
      </c>
      <c r="CM15" s="105">
        <v>29733.231555888775</v>
      </c>
      <c r="CN15" s="105">
        <v>31.841407511965745</v>
      </c>
      <c r="CO15" s="105">
        <v>26250.056352864558</v>
      </c>
      <c r="CP15" s="105">
        <v>31.712494930945649</v>
      </c>
      <c r="CQ15" s="105">
        <v>26143.780821071592</v>
      </c>
      <c r="CR15" s="105">
        <v>19.392149969630584</v>
      </c>
      <c r="CS15" s="105">
        <v>15986.888434963454</v>
      </c>
      <c r="CT15" s="105">
        <v>30.529444582768864</v>
      </c>
      <c r="CU15" s="105">
        <v>25168.474114034652</v>
      </c>
    </row>
    <row r="16" spans="1:99" x14ac:dyDescent="0.2">
      <c r="C16" s="104" t="s">
        <v>184</v>
      </c>
      <c r="D16" s="105">
        <v>23.851094177598931</v>
      </c>
      <c r="E16" s="105">
        <v>12135.436717562334</v>
      </c>
      <c r="F16" s="105">
        <v>19.905800403860763</v>
      </c>
      <c r="G16" s="105">
        <v>10128.071245484354</v>
      </c>
      <c r="H16" s="105">
        <v>33.325229984945814</v>
      </c>
      <c r="I16" s="105">
        <v>16955.877016340426</v>
      </c>
      <c r="J16" s="105">
        <v>24.023445796206087</v>
      </c>
      <c r="K16" s="105">
        <v>12223.129221109655</v>
      </c>
      <c r="L16" s="105">
        <v>22.622891755679991</v>
      </c>
      <c r="M16" s="105">
        <v>11510.527325289977</v>
      </c>
      <c r="N16" s="105">
        <v>21</v>
      </c>
      <c r="O16" s="105">
        <v>10684.799999999997</v>
      </c>
      <c r="P16" s="105">
        <v>32</v>
      </c>
      <c r="Q16" s="105">
        <v>16281.599999999997</v>
      </c>
      <c r="R16" s="105">
        <v>23</v>
      </c>
      <c r="S16" s="105">
        <v>11702.399999999998</v>
      </c>
      <c r="T16" s="105">
        <v>19</v>
      </c>
      <c r="U16" s="105">
        <v>9667.1999999999989</v>
      </c>
      <c r="V16" s="105">
        <v>32</v>
      </c>
      <c r="W16" s="105">
        <v>16281.599999999997</v>
      </c>
      <c r="X16" s="105">
        <v>25</v>
      </c>
      <c r="Y16" s="105">
        <v>12719.999999999998</v>
      </c>
      <c r="Z16" s="105">
        <v>35.79225314973008</v>
      </c>
      <c r="AA16" s="105">
        <v>18211.098402582662</v>
      </c>
      <c r="AB16" s="105">
        <v>31.42923686775287</v>
      </c>
      <c r="AC16" s="105">
        <v>15991.195718312658</v>
      </c>
      <c r="AD16" s="105">
        <v>26</v>
      </c>
      <c r="AE16" s="105">
        <v>13228.799999999997</v>
      </c>
      <c r="AF16" s="105">
        <v>20</v>
      </c>
      <c r="AG16" s="105">
        <v>10175.999999999998</v>
      </c>
      <c r="AH16" s="105">
        <v>23</v>
      </c>
      <c r="AI16" s="105">
        <v>11702.399999999998</v>
      </c>
      <c r="AJ16" s="105">
        <v>28</v>
      </c>
      <c r="AK16" s="105">
        <v>14246.399999999998</v>
      </c>
      <c r="AL16" s="105">
        <v>26</v>
      </c>
      <c r="AM16" s="105">
        <v>13228.799999999997</v>
      </c>
      <c r="AN16" s="105">
        <v>34.764768057745123</v>
      </c>
      <c r="AO16" s="105">
        <v>17688.313987780715</v>
      </c>
      <c r="AP16" s="105">
        <v>20.083871692662221</v>
      </c>
      <c r="AQ16" s="105">
        <v>10218.673917226535</v>
      </c>
      <c r="AR16" s="105">
        <v>30.552126190928426</v>
      </c>
      <c r="AS16" s="105">
        <v>15544.921805944381</v>
      </c>
      <c r="AT16" s="105">
        <v>32.75154693031422</v>
      </c>
      <c r="AU16" s="105">
        <v>16663.987078143873</v>
      </c>
      <c r="AV16" s="105">
        <v>30.657972700996549</v>
      </c>
      <c r="AW16" s="105">
        <v>15598.77651026704</v>
      </c>
      <c r="AX16" s="105">
        <v>29.670390947322986</v>
      </c>
      <c r="AY16" s="105">
        <v>15096.294913997932</v>
      </c>
      <c r="AZ16" s="105">
        <v>18.511439051537096</v>
      </c>
      <c r="BA16" s="105">
        <v>9418.6201894220721</v>
      </c>
      <c r="BB16" s="105">
        <v>20.188101056941417</v>
      </c>
      <c r="BC16" s="105">
        <v>10271.70581777179</v>
      </c>
      <c r="BD16" s="105">
        <v>23.180587667632711</v>
      </c>
      <c r="BE16" s="105">
        <v>11794.283005291521</v>
      </c>
      <c r="BF16" s="105">
        <v>26.188926510421691</v>
      </c>
      <c r="BG16" s="105">
        <v>13324.925808502554</v>
      </c>
      <c r="BH16" s="105">
        <v>31.199792542545822</v>
      </c>
      <c r="BI16" s="105">
        <v>15874.45444564731</v>
      </c>
      <c r="BJ16" s="105">
        <v>26.673582229566616</v>
      </c>
      <c r="BK16" s="105">
        <v>13571.518638403491</v>
      </c>
      <c r="BL16" s="105">
        <v>21.826258860061085</v>
      </c>
      <c r="BM16" s="105">
        <v>11105.200507999078</v>
      </c>
      <c r="BN16" s="105">
        <v>23</v>
      </c>
      <c r="BO16" s="105">
        <v>11702.399999999998</v>
      </c>
      <c r="BP16" s="105">
        <v>20</v>
      </c>
      <c r="BQ16" s="105">
        <v>10175.999999999998</v>
      </c>
      <c r="BR16" s="105">
        <v>28.255208140653892</v>
      </c>
      <c r="BS16" s="105">
        <v>14376.249901964697</v>
      </c>
      <c r="BT16" s="105">
        <v>30.142375694908807</v>
      </c>
      <c r="BU16" s="105">
        <v>15336.440753569597</v>
      </c>
      <c r="BV16" s="105">
        <v>27.267914928314017</v>
      </c>
      <c r="BW16" s="105">
        <v>13873.91511552617</v>
      </c>
      <c r="BX16" s="105">
        <v>30</v>
      </c>
      <c r="BY16" s="105">
        <v>15263.999999999996</v>
      </c>
      <c r="BZ16" s="105">
        <v>36</v>
      </c>
      <c r="CA16" s="105">
        <v>18316.799999999996</v>
      </c>
      <c r="CB16" s="105">
        <v>25</v>
      </c>
      <c r="CC16" s="105">
        <v>12719.999999999998</v>
      </c>
      <c r="CD16" s="105">
        <v>32</v>
      </c>
      <c r="CE16" s="105">
        <v>16281.599999999997</v>
      </c>
      <c r="CF16" s="105">
        <v>44</v>
      </c>
      <c r="CG16" s="105">
        <v>22387.199999999997</v>
      </c>
      <c r="CH16" s="105">
        <v>29</v>
      </c>
      <c r="CI16" s="105">
        <v>14755.199999999997</v>
      </c>
      <c r="CJ16" s="105">
        <v>24</v>
      </c>
      <c r="CK16" s="105">
        <v>12211.199999999997</v>
      </c>
      <c r="CL16" s="105">
        <v>37.964748277393163</v>
      </c>
      <c r="CM16" s="105">
        <v>19316.463923537638</v>
      </c>
      <c r="CN16" s="105">
        <v>34.355202841857775</v>
      </c>
      <c r="CO16" s="105">
        <v>17479.927205937231</v>
      </c>
      <c r="CP16" s="105">
        <v>32.48597041706627</v>
      </c>
      <c r="CQ16" s="105">
        <v>16528.861748203315</v>
      </c>
      <c r="CR16" s="105">
        <v>21.078423880033245</v>
      </c>
      <c r="CS16" s="105">
        <v>10724.702070160913</v>
      </c>
      <c r="CT16" s="105">
        <v>29.141742556279372</v>
      </c>
      <c r="CU16" s="105">
        <v>14827.318612634941</v>
      </c>
    </row>
    <row r="17" spans="2:99" x14ac:dyDescent="0.2">
      <c r="C17" s="104" t="s">
        <v>185</v>
      </c>
      <c r="D17" s="105">
        <v>23.851094177598931</v>
      </c>
      <c r="E17" s="105">
        <v>11849.223587431148</v>
      </c>
      <c r="F17" s="105">
        <v>18.313336371551902</v>
      </c>
      <c r="G17" s="105">
        <v>9098.0655093869846</v>
      </c>
      <c r="H17" s="105">
        <v>28.966211591570531</v>
      </c>
      <c r="I17" s="105">
        <v>14390.413918692238</v>
      </c>
      <c r="J17" s="105">
        <v>23.023445796206087</v>
      </c>
      <c r="K17" s="105">
        <v>11438.047871555184</v>
      </c>
      <c r="L17" s="105">
        <v>23.587530374660354</v>
      </c>
      <c r="M17" s="105">
        <v>11718.285090131263</v>
      </c>
      <c r="N17" s="105">
        <v>22</v>
      </c>
      <c r="O17" s="105">
        <v>10929.599999999999</v>
      </c>
      <c r="P17" s="105">
        <v>29</v>
      </c>
      <c r="Q17" s="105">
        <v>14407.199999999999</v>
      </c>
      <c r="R17" s="105">
        <v>21</v>
      </c>
      <c r="S17" s="105">
        <v>10432.799999999999</v>
      </c>
      <c r="T17" s="105">
        <v>18</v>
      </c>
      <c r="U17" s="105">
        <v>8942.4</v>
      </c>
      <c r="V17" s="105">
        <v>29</v>
      </c>
      <c r="W17" s="105">
        <v>14407.199999999999</v>
      </c>
      <c r="X17" s="105">
        <v>29</v>
      </c>
      <c r="Y17" s="105">
        <v>14407.199999999999</v>
      </c>
      <c r="Z17" s="105">
        <v>36.786482403889252</v>
      </c>
      <c r="AA17" s="105">
        <v>18275.524458252177</v>
      </c>
      <c r="AB17" s="105">
        <v>28.880920364962098</v>
      </c>
      <c r="AC17" s="105">
        <v>14348.041237313169</v>
      </c>
      <c r="AD17" s="105">
        <v>29</v>
      </c>
      <c r="AE17" s="105">
        <v>14407.199999999999</v>
      </c>
      <c r="AF17" s="105">
        <v>21</v>
      </c>
      <c r="AG17" s="105">
        <v>10432.799999999999</v>
      </c>
      <c r="AH17" s="105">
        <v>24</v>
      </c>
      <c r="AI17" s="105">
        <v>11923.199999999999</v>
      </c>
      <c r="AJ17" s="105">
        <v>27</v>
      </c>
      <c r="AK17" s="105">
        <v>13413.599999999999</v>
      </c>
      <c r="AL17" s="105">
        <v>27</v>
      </c>
      <c r="AM17" s="105">
        <v>13413.599999999999</v>
      </c>
      <c r="AN17" s="105">
        <v>33.825179731860111</v>
      </c>
      <c r="AO17" s="105">
        <v>16804.349290788101</v>
      </c>
      <c r="AP17" s="105">
        <v>21.99662137767767</v>
      </c>
      <c r="AQ17" s="105">
        <v>10927.921500430266</v>
      </c>
      <c r="AR17" s="105">
        <v>28.700482179357007</v>
      </c>
      <c r="AS17" s="105">
        <v>14258.399546704559</v>
      </c>
      <c r="AT17" s="105">
        <v>30.355092276876594</v>
      </c>
      <c r="AU17" s="105">
        <v>15080.409843152291</v>
      </c>
      <c r="AV17" s="105">
        <v>33.363087939319776</v>
      </c>
      <c r="AW17" s="105">
        <v>16574.782088254062</v>
      </c>
      <c r="AX17" s="105">
        <v>34.61545610521015</v>
      </c>
      <c r="AY17" s="105">
        <v>17196.958593068401</v>
      </c>
      <c r="AZ17" s="105">
        <v>19.352868099334238</v>
      </c>
      <c r="BA17" s="105">
        <v>9614.5048717492482</v>
      </c>
      <c r="BB17" s="105">
        <v>19.270460099807714</v>
      </c>
      <c r="BC17" s="105">
        <v>9573.5645775844714</v>
      </c>
      <c r="BD17" s="105">
        <v>26.377910104547571</v>
      </c>
      <c r="BE17" s="105">
        <v>13104.545739939233</v>
      </c>
      <c r="BF17" s="105">
        <v>29.098807233801878</v>
      </c>
      <c r="BG17" s="105">
        <v>14456.287433752772</v>
      </c>
      <c r="BH17" s="105">
        <v>28.446869671144718</v>
      </c>
      <c r="BI17" s="105">
        <v>14132.404852624695</v>
      </c>
      <c r="BJ17" s="105">
        <v>29.174230563588488</v>
      </c>
      <c r="BK17" s="105">
        <v>14493.75774399076</v>
      </c>
      <c r="BL17" s="105">
        <v>21.826258860061085</v>
      </c>
      <c r="BM17" s="105">
        <v>10843.285401678346</v>
      </c>
      <c r="BN17" s="105">
        <v>26</v>
      </c>
      <c r="BO17" s="105">
        <v>12916.8</v>
      </c>
      <c r="BP17" s="105">
        <v>23</v>
      </c>
      <c r="BQ17" s="105">
        <v>11426.4</v>
      </c>
      <c r="BR17" s="105">
        <v>31.178160706928431</v>
      </c>
      <c r="BS17" s="105">
        <v>15489.310239202043</v>
      </c>
      <c r="BT17" s="105">
        <v>34.328816763646145</v>
      </c>
      <c r="BU17" s="105">
        <v>17054.556168179402</v>
      </c>
      <c r="BV17" s="105">
        <v>28.147525087291893</v>
      </c>
      <c r="BW17" s="105">
        <v>13983.690463366611</v>
      </c>
      <c r="BX17" s="105">
        <v>32</v>
      </c>
      <c r="BY17" s="105">
        <v>15897.599999999999</v>
      </c>
      <c r="BZ17" s="105">
        <v>36</v>
      </c>
      <c r="CA17" s="105">
        <v>17884.8</v>
      </c>
      <c r="CB17" s="105">
        <v>27</v>
      </c>
      <c r="CC17" s="105">
        <v>13413.599999999999</v>
      </c>
      <c r="CD17" s="105">
        <v>34</v>
      </c>
      <c r="CE17" s="105">
        <v>16891.199999999997</v>
      </c>
      <c r="CF17" s="105">
        <v>40</v>
      </c>
      <c r="CG17" s="105">
        <v>19872</v>
      </c>
      <c r="CH17" s="105">
        <v>27</v>
      </c>
      <c r="CI17" s="105">
        <v>13413.599999999999</v>
      </c>
      <c r="CJ17" s="105">
        <v>25</v>
      </c>
      <c r="CK17" s="105">
        <v>12419.999999999998</v>
      </c>
      <c r="CL17" s="105">
        <v>38.913866984327996</v>
      </c>
      <c r="CM17" s="105">
        <v>19332.409117814146</v>
      </c>
      <c r="CN17" s="105">
        <v>35.193134618488457</v>
      </c>
      <c r="CO17" s="105">
        <v>17483.949278465065</v>
      </c>
      <c r="CP17" s="105">
        <v>30.165543958704394</v>
      </c>
      <c r="CQ17" s="105">
        <v>14986.242238684341</v>
      </c>
      <c r="CR17" s="105">
        <v>21.921560835234576</v>
      </c>
      <c r="CS17" s="105">
        <v>10890.631422944536</v>
      </c>
      <c r="CT17" s="105">
        <v>27.754040529789876</v>
      </c>
      <c r="CU17" s="105">
        <v>13788.20733519961</v>
      </c>
    </row>
    <row r="18" spans="2:99" x14ac:dyDescent="0.2">
      <c r="C18" s="104" t="s">
        <v>186</v>
      </c>
      <c r="D18" s="105">
        <v>22.488174510307566</v>
      </c>
      <c r="E18" s="105">
        <v>16434.357932132767</v>
      </c>
      <c r="F18" s="105">
        <v>19.109568387706336</v>
      </c>
      <c r="G18" s="105">
        <v>13965.27257773579</v>
      </c>
      <c r="H18" s="105">
        <v>34.197033663620864</v>
      </c>
      <c r="I18" s="105">
        <v>24991.192201374128</v>
      </c>
      <c r="J18" s="105">
        <v>22.023445796206087</v>
      </c>
      <c r="K18" s="105">
        <v>16094.734187867407</v>
      </c>
      <c r="L18" s="105">
        <v>22.560576967232624</v>
      </c>
      <c r="M18" s="105">
        <v>16487.2696476536</v>
      </c>
      <c r="N18" s="105">
        <v>19</v>
      </c>
      <c r="O18" s="105">
        <v>13885.199999999999</v>
      </c>
      <c r="P18" s="105">
        <v>27</v>
      </c>
      <c r="Q18" s="105">
        <v>19731.599999999999</v>
      </c>
      <c r="R18" s="105">
        <v>22</v>
      </c>
      <c r="S18" s="105">
        <v>16077.599999999999</v>
      </c>
      <c r="T18" s="105">
        <v>20</v>
      </c>
      <c r="U18" s="105">
        <v>14616</v>
      </c>
      <c r="V18" s="105">
        <v>30</v>
      </c>
      <c r="W18" s="105">
        <v>21924</v>
      </c>
      <c r="X18" s="105">
        <v>27</v>
      </c>
      <c r="Y18" s="105">
        <v>19731.599999999999</v>
      </c>
      <c r="Z18" s="105">
        <v>37.780711658048418</v>
      </c>
      <c r="AA18" s="105">
        <v>27610.144079701782</v>
      </c>
      <c r="AB18" s="105">
        <v>29.730359199225685</v>
      </c>
      <c r="AC18" s="105">
        <v>21726.94650279413</v>
      </c>
      <c r="AD18" s="105">
        <v>28</v>
      </c>
      <c r="AE18" s="105">
        <v>20462.399999999998</v>
      </c>
      <c r="AF18" s="105">
        <v>18</v>
      </c>
      <c r="AG18" s="105">
        <v>13154.4</v>
      </c>
      <c r="AH18" s="105">
        <v>22</v>
      </c>
      <c r="AI18" s="105">
        <v>16077.599999999999</v>
      </c>
      <c r="AJ18" s="105">
        <v>24</v>
      </c>
      <c r="AK18" s="105">
        <v>17539.199999999997</v>
      </c>
      <c r="AL18" s="105">
        <v>24</v>
      </c>
      <c r="AM18" s="105">
        <v>17539.199999999997</v>
      </c>
      <c r="AN18" s="105">
        <v>32.885591405975113</v>
      </c>
      <c r="AO18" s="105">
        <v>24032.790199486612</v>
      </c>
      <c r="AP18" s="105">
        <v>19.127496850154497</v>
      </c>
      <c r="AQ18" s="105">
        <v>13978.374698092906</v>
      </c>
      <c r="AR18" s="105">
        <v>28.700482179357007</v>
      </c>
      <c r="AS18" s="105">
        <v>20974.312376674097</v>
      </c>
      <c r="AT18" s="105">
        <v>30.355092276876594</v>
      </c>
      <c r="AU18" s="105">
        <v>22183.501435941413</v>
      </c>
      <c r="AV18" s="105">
        <v>32.461382859878697</v>
      </c>
      <c r="AW18" s="105">
        <v>23722.778593999348</v>
      </c>
      <c r="AX18" s="105">
        <v>32.967101052581093</v>
      </c>
      <c r="AY18" s="105">
        <v>24092.35744922626</v>
      </c>
      <c r="AZ18" s="105">
        <v>19.352868099334238</v>
      </c>
      <c r="BA18" s="105">
        <v>14143.07600699346</v>
      </c>
      <c r="BB18" s="105">
        <v>19.270460099807714</v>
      </c>
      <c r="BC18" s="105">
        <v>14082.852240939477</v>
      </c>
      <c r="BD18" s="105">
        <v>24.779248886090141</v>
      </c>
      <c r="BE18" s="105">
        <v>18108.675085954674</v>
      </c>
      <c r="BF18" s="105">
        <v>24.00651596788655</v>
      </c>
      <c r="BG18" s="105">
        <v>17543.961869331488</v>
      </c>
      <c r="BH18" s="105">
        <v>27.529228714011023</v>
      </c>
      <c r="BI18" s="105">
        <v>20118.360344199253</v>
      </c>
      <c r="BJ18" s="105">
        <v>29.174230563588488</v>
      </c>
      <c r="BK18" s="105">
        <v>21320.527695870467</v>
      </c>
      <c r="BL18" s="105">
        <v>20.209498944501007</v>
      </c>
      <c r="BM18" s="105">
        <v>14769.101828641335</v>
      </c>
      <c r="BN18" s="105">
        <v>22</v>
      </c>
      <c r="BO18" s="105">
        <v>16077.599999999999</v>
      </c>
      <c r="BP18" s="105">
        <v>22</v>
      </c>
      <c r="BQ18" s="105">
        <v>16077.599999999999</v>
      </c>
      <c r="BR18" s="105">
        <v>31.178160706928431</v>
      </c>
      <c r="BS18" s="105">
        <v>22784.999844623297</v>
      </c>
      <c r="BT18" s="105">
        <v>32.654240336151204</v>
      </c>
      <c r="BU18" s="105">
        <v>23863.7188376593</v>
      </c>
      <c r="BV18" s="105">
        <v>29.027135246269765</v>
      </c>
      <c r="BW18" s="105">
        <v>21213.030437973943</v>
      </c>
      <c r="BX18" s="105">
        <v>34</v>
      </c>
      <c r="BY18" s="105">
        <v>24847.199999999997</v>
      </c>
      <c r="BZ18" s="105">
        <v>37</v>
      </c>
      <c r="CA18" s="105">
        <v>27039.599999999999</v>
      </c>
      <c r="CB18" s="105">
        <v>25</v>
      </c>
      <c r="CC18" s="105">
        <v>18270</v>
      </c>
      <c r="CD18" s="105">
        <v>28</v>
      </c>
      <c r="CE18" s="105">
        <v>20462.399999999998</v>
      </c>
      <c r="CF18" s="105">
        <v>47</v>
      </c>
      <c r="CG18" s="105">
        <v>34347.599999999999</v>
      </c>
      <c r="CH18" s="105">
        <v>28</v>
      </c>
      <c r="CI18" s="105">
        <v>20462.399999999998</v>
      </c>
      <c r="CJ18" s="105">
        <v>21</v>
      </c>
      <c r="CK18" s="105">
        <v>15346.8</v>
      </c>
      <c r="CL18" s="105">
        <v>37.01562957045833</v>
      </c>
      <c r="CM18" s="105">
        <v>27051.022090090944</v>
      </c>
      <c r="CN18" s="105">
        <v>28.489680405443035</v>
      </c>
      <c r="CO18" s="105">
        <v>20820.25844029777</v>
      </c>
      <c r="CP18" s="105">
        <v>30.939019444825021</v>
      </c>
      <c r="CQ18" s="105">
        <v>22610.235410278125</v>
      </c>
      <c r="CR18" s="105">
        <v>21.921560835234576</v>
      </c>
      <c r="CS18" s="105">
        <v>16020.276658389428</v>
      </c>
      <c r="CT18" s="105">
        <v>29.835593569524121</v>
      </c>
      <c r="CU18" s="105">
        <v>21803.851780608227</v>
      </c>
    </row>
    <row r="19" spans="2:99" x14ac:dyDescent="0.2">
      <c r="C19" s="104" t="s">
        <v>187</v>
      </c>
      <c r="D19" s="105">
        <v>25.2140138448903</v>
      </c>
      <c r="E19" s="105">
        <v>9742.6949496656107</v>
      </c>
      <c r="F19" s="105">
        <v>19.109568387706336</v>
      </c>
      <c r="G19" s="105">
        <v>7383.9372250097276</v>
      </c>
      <c r="H19" s="105">
        <v>31.581622627595699</v>
      </c>
      <c r="I19" s="105">
        <v>12203.138983302977</v>
      </c>
      <c r="J19" s="105">
        <v>23.023445796206087</v>
      </c>
      <c r="K19" s="105">
        <v>8896.2594556540316</v>
      </c>
      <c r="L19" s="105">
        <v>23.52521558621299</v>
      </c>
      <c r="M19" s="105">
        <v>9090.1433025126989</v>
      </c>
      <c r="N19" s="105">
        <v>20</v>
      </c>
      <c r="O19" s="105">
        <v>7728</v>
      </c>
      <c r="P19" s="105">
        <v>30</v>
      </c>
      <c r="Q19" s="105">
        <v>11592</v>
      </c>
      <c r="R19" s="105">
        <v>21</v>
      </c>
      <c r="S19" s="105">
        <v>8114.4</v>
      </c>
      <c r="T19" s="105">
        <v>20</v>
      </c>
      <c r="U19" s="105">
        <v>7728</v>
      </c>
      <c r="V19" s="105">
        <v>31</v>
      </c>
      <c r="W19" s="105">
        <v>11978.4</v>
      </c>
      <c r="X19" s="105">
        <v>27</v>
      </c>
      <c r="Y19" s="105">
        <v>10432.799999999999</v>
      </c>
      <c r="Z19" s="105">
        <v>34.798023895570914</v>
      </c>
      <c r="AA19" s="105">
        <v>13445.956433248601</v>
      </c>
      <c r="AB19" s="105">
        <v>30.579798033489276</v>
      </c>
      <c r="AC19" s="105">
        <v>11816.033960140256</v>
      </c>
      <c r="AD19" s="105">
        <v>27</v>
      </c>
      <c r="AE19" s="105">
        <v>10432.799999999999</v>
      </c>
      <c r="AF19" s="105">
        <v>21</v>
      </c>
      <c r="AG19" s="105">
        <v>8114.4</v>
      </c>
      <c r="AH19" s="105">
        <v>22</v>
      </c>
      <c r="AI19" s="105">
        <v>8500.7999999999993</v>
      </c>
      <c r="AJ19" s="105">
        <v>28</v>
      </c>
      <c r="AK19" s="105">
        <v>10819.199999999999</v>
      </c>
      <c r="AL19" s="105">
        <v>28</v>
      </c>
      <c r="AM19" s="105">
        <v>10819.199999999999</v>
      </c>
      <c r="AN19" s="105">
        <v>29.127238102435097</v>
      </c>
      <c r="AO19" s="105">
        <v>11254.764802780921</v>
      </c>
      <c r="AP19" s="105">
        <v>21.040246535169949</v>
      </c>
      <c r="AQ19" s="105">
        <v>8129.951261189668</v>
      </c>
      <c r="AR19" s="105">
        <v>31.477948196714134</v>
      </c>
      <c r="AS19" s="105">
        <v>12163.07918321034</v>
      </c>
      <c r="AT19" s="105">
        <v>33.550365148126765</v>
      </c>
      <c r="AU19" s="105">
        <v>12963.861093236181</v>
      </c>
      <c r="AV19" s="105">
        <v>35.16649809820192</v>
      </c>
      <c r="AW19" s="105">
        <v>13588.334865145222</v>
      </c>
      <c r="AX19" s="105">
        <v>33.791278578895621</v>
      </c>
      <c r="AY19" s="105">
        <v>13056.950042885268</v>
      </c>
      <c r="AZ19" s="105">
        <v>20.19429714713138</v>
      </c>
      <c r="BA19" s="105">
        <v>7803.076417651565</v>
      </c>
      <c r="BB19" s="105">
        <v>20.188101056941417</v>
      </c>
      <c r="BC19" s="105">
        <v>7800.6822484021632</v>
      </c>
      <c r="BD19" s="105">
        <v>23.979918276861426</v>
      </c>
      <c r="BE19" s="105">
        <v>9265.8404221792553</v>
      </c>
      <c r="BF19" s="105">
        <v>25.461456329576645</v>
      </c>
      <c r="BG19" s="105">
        <v>9838.3067257484145</v>
      </c>
      <c r="BH19" s="105">
        <v>31.199792542545822</v>
      </c>
      <c r="BI19" s="105">
        <v>12055.599838439704</v>
      </c>
      <c r="BJ19" s="105">
        <v>30.007780008262447</v>
      </c>
      <c r="BK19" s="105">
        <v>11595.006195192609</v>
      </c>
      <c r="BL19" s="105">
        <v>21.017878902281044</v>
      </c>
      <c r="BM19" s="105">
        <v>8121.3084078413949</v>
      </c>
      <c r="BN19" s="105">
        <v>25</v>
      </c>
      <c r="BO19" s="105">
        <v>9660</v>
      </c>
      <c r="BP19" s="105">
        <v>21</v>
      </c>
      <c r="BQ19" s="105">
        <v>8114.4</v>
      </c>
      <c r="BR19" s="105">
        <v>29.229525662745406</v>
      </c>
      <c r="BS19" s="105">
        <v>11294.288716084824</v>
      </c>
      <c r="BT19" s="105">
        <v>30.142375694908807</v>
      </c>
      <c r="BU19" s="105">
        <v>11647.013968512763</v>
      </c>
      <c r="BV19" s="105">
        <v>27.267914928314017</v>
      </c>
      <c r="BW19" s="105">
        <v>10536.322328300535</v>
      </c>
      <c r="BX19" s="105">
        <v>33</v>
      </c>
      <c r="BY19" s="105">
        <v>12751.199999999999</v>
      </c>
      <c r="BZ19" s="105">
        <v>38</v>
      </c>
      <c r="CA19" s="105">
        <v>14683.199999999999</v>
      </c>
      <c r="CB19" s="105">
        <v>27</v>
      </c>
      <c r="CC19" s="105">
        <v>10432.799999999999</v>
      </c>
      <c r="CD19" s="105">
        <v>34</v>
      </c>
      <c r="CE19" s="105">
        <v>13137.599999999999</v>
      </c>
      <c r="CF19" s="105">
        <v>46</v>
      </c>
      <c r="CG19" s="105">
        <v>17774.399999999998</v>
      </c>
      <c r="CH19" s="105">
        <v>31</v>
      </c>
      <c r="CI19" s="105">
        <v>11978.4</v>
      </c>
      <c r="CJ19" s="105">
        <v>22</v>
      </c>
      <c r="CK19" s="105">
        <v>8500.7999999999993</v>
      </c>
      <c r="CL19" s="105">
        <v>44.608579225936971</v>
      </c>
      <c r="CM19" s="105">
        <v>17236.755012902046</v>
      </c>
      <c r="CN19" s="105">
        <v>35.193134618488457</v>
      </c>
      <c r="CO19" s="105">
        <v>13598.62721658394</v>
      </c>
      <c r="CP19" s="105">
        <v>30.939019444825021</v>
      </c>
      <c r="CQ19" s="105">
        <v>11954.837113480387</v>
      </c>
      <c r="CR19" s="105">
        <v>23.607834745637234</v>
      </c>
      <c r="CS19" s="105">
        <v>9122.0673457142275</v>
      </c>
      <c r="CT19" s="105">
        <v>31.917146609258356</v>
      </c>
      <c r="CU19" s="105">
        <v>12332.785449817427</v>
      </c>
    </row>
    <row r="20" spans="2:99" x14ac:dyDescent="0.2">
      <c r="B20" s="104" t="s">
        <v>127</v>
      </c>
      <c r="C20" s="104" t="s">
        <v>188</v>
      </c>
      <c r="D20" s="105">
        <v>22.488174510307566</v>
      </c>
      <c r="E20" s="105">
        <v>2158.8647529895261</v>
      </c>
      <c r="F20" s="105">
        <v>19.109568387706336</v>
      </c>
      <c r="G20" s="105">
        <v>1834.5185652198084</v>
      </c>
      <c r="H20" s="105">
        <v>31.004854241861164</v>
      </c>
      <c r="I20" s="105">
        <v>2976.4660072186716</v>
      </c>
      <c r="J20" s="105">
        <v>20</v>
      </c>
      <c r="K20" s="105">
        <v>1920</v>
      </c>
      <c r="L20" s="105">
        <v>29.903797188391373</v>
      </c>
      <c r="M20" s="105">
        <v>2870.764530085572</v>
      </c>
      <c r="N20" s="105">
        <v>17</v>
      </c>
      <c r="O20" s="105">
        <v>1632</v>
      </c>
      <c r="P20" s="105">
        <v>21</v>
      </c>
      <c r="Q20" s="105">
        <v>2016</v>
      </c>
      <c r="R20" s="105">
        <v>18</v>
      </c>
      <c r="S20" s="105">
        <v>1728</v>
      </c>
      <c r="T20" s="105">
        <v>27</v>
      </c>
      <c r="U20" s="105">
        <v>2592</v>
      </c>
      <c r="V20" s="105">
        <v>33</v>
      </c>
      <c r="W20" s="105">
        <v>3168</v>
      </c>
      <c r="X20" s="105">
        <v>25</v>
      </c>
      <c r="Y20" s="105">
        <v>2400</v>
      </c>
      <c r="Z20" s="105">
        <v>20.878814337342547</v>
      </c>
      <c r="AA20" s="105">
        <v>2004.3661763848845</v>
      </c>
      <c r="AB20" s="105">
        <v>23.784287359380549</v>
      </c>
      <c r="AC20" s="105">
        <v>2283.2915865005325</v>
      </c>
      <c r="AD20" s="105">
        <v>28</v>
      </c>
      <c r="AE20" s="105">
        <v>2688</v>
      </c>
      <c r="AF20" s="105">
        <v>32</v>
      </c>
      <c r="AG20" s="105">
        <v>3072</v>
      </c>
      <c r="AH20" s="105">
        <v>25</v>
      </c>
      <c r="AI20" s="105">
        <v>2400</v>
      </c>
      <c r="AJ20" s="105">
        <v>24</v>
      </c>
      <c r="AK20" s="105">
        <v>2304</v>
      </c>
      <c r="AL20" s="105">
        <v>23</v>
      </c>
      <c r="AM20" s="105">
        <v>2208</v>
      </c>
      <c r="AN20" s="105">
        <v>23.489708147125082</v>
      </c>
      <c r="AO20" s="105">
        <v>2255.0119821240078</v>
      </c>
      <c r="AP20" s="105">
        <v>36.342244015293545</v>
      </c>
      <c r="AQ20" s="105">
        <v>3488.8554254681803</v>
      </c>
      <c r="AR20" s="105">
        <v>15.738974098357067</v>
      </c>
      <c r="AS20" s="105">
        <v>1510.9415134422784</v>
      </c>
      <c r="AT20" s="105">
        <v>18.372819009688467</v>
      </c>
      <c r="AU20" s="105">
        <v>1763.7906249300927</v>
      </c>
      <c r="AV20" s="105">
        <v>15.328986350498274</v>
      </c>
      <c r="AW20" s="105">
        <v>1471.5826896478343</v>
      </c>
      <c r="AX20" s="105">
        <v>19.780260631548657</v>
      </c>
      <c r="AY20" s="105">
        <v>1898.9050206286711</v>
      </c>
      <c r="AZ20" s="105">
        <v>24.401442386117079</v>
      </c>
      <c r="BA20" s="105">
        <v>2342.5384690672395</v>
      </c>
      <c r="BB20" s="105">
        <v>26.61158775687732</v>
      </c>
      <c r="BC20" s="105">
        <v>2554.7124246602225</v>
      </c>
      <c r="BD20" s="105">
        <v>29.575232541462427</v>
      </c>
      <c r="BE20" s="105">
        <v>2839.222323980393</v>
      </c>
      <c r="BF20" s="105">
        <v>25.461456329576645</v>
      </c>
      <c r="BG20" s="105">
        <v>2444.2998076393578</v>
      </c>
      <c r="BH20" s="105">
        <v>25.693946799743618</v>
      </c>
      <c r="BI20" s="105">
        <v>2466.6188927753874</v>
      </c>
      <c r="BJ20" s="105">
        <v>24.172933895544748</v>
      </c>
      <c r="BK20" s="105">
        <v>2320.6016539722959</v>
      </c>
      <c r="BL20" s="105">
        <v>27.484918564521369</v>
      </c>
      <c r="BM20" s="105">
        <v>2638.5521821940515</v>
      </c>
      <c r="BN20" s="105">
        <v>29</v>
      </c>
      <c r="BO20" s="105">
        <v>2784</v>
      </c>
      <c r="BP20" s="105">
        <v>25</v>
      </c>
      <c r="BQ20" s="105">
        <v>2400</v>
      </c>
      <c r="BR20" s="105">
        <v>25.332255574379349</v>
      </c>
      <c r="BS20" s="105">
        <v>2431.8965351404177</v>
      </c>
      <c r="BT20" s="105">
        <v>28.467799267413874</v>
      </c>
      <c r="BU20" s="105">
        <v>2732.9087296717316</v>
      </c>
      <c r="BV20" s="105">
        <v>26.388304769336145</v>
      </c>
      <c r="BW20" s="105">
        <v>2533.2772578562699</v>
      </c>
      <c r="BX20" s="105">
        <v>25</v>
      </c>
      <c r="BY20" s="105">
        <v>2400</v>
      </c>
      <c r="BZ20" s="105">
        <v>30</v>
      </c>
      <c r="CA20" s="105">
        <v>2880</v>
      </c>
      <c r="CB20" s="105">
        <v>25</v>
      </c>
      <c r="CC20" s="105">
        <v>2400</v>
      </c>
      <c r="CD20" s="105">
        <v>33</v>
      </c>
      <c r="CE20" s="105">
        <v>3168</v>
      </c>
      <c r="CF20" s="105">
        <v>18</v>
      </c>
      <c r="CG20" s="105">
        <v>1728</v>
      </c>
      <c r="CH20" s="105">
        <v>37</v>
      </c>
      <c r="CI20" s="105">
        <v>3552</v>
      </c>
      <c r="CJ20" s="105">
        <v>25</v>
      </c>
      <c r="CK20" s="105">
        <v>2400</v>
      </c>
      <c r="CL20" s="105">
        <v>33.21915474271902</v>
      </c>
      <c r="CM20" s="105">
        <v>3189.0388553010262</v>
      </c>
      <c r="CN20" s="105">
        <v>22.624157969028293</v>
      </c>
      <c r="CO20" s="105">
        <v>2171.9191650267162</v>
      </c>
      <c r="CP20" s="105">
        <v>23.204264583618766</v>
      </c>
      <c r="CQ20" s="105">
        <v>2227.6094000274015</v>
      </c>
      <c r="CR20" s="105">
        <v>26.980382566442557</v>
      </c>
      <c r="CS20" s="105">
        <v>2590.1167263784855</v>
      </c>
      <c r="CT20" s="105">
        <v>21.509381410587153</v>
      </c>
      <c r="CU20" s="105">
        <v>2064.9006154163667</v>
      </c>
    </row>
    <row r="21" spans="2:99" x14ac:dyDescent="0.2">
      <c r="C21" s="104" t="s">
        <v>189</v>
      </c>
      <c r="D21" s="105">
        <v>22.488174510307566</v>
      </c>
      <c r="E21" s="105">
        <v>5451.1335012985537</v>
      </c>
      <c r="F21" s="105">
        <v>20.702032420015193</v>
      </c>
      <c r="G21" s="105">
        <v>5018.172658611682</v>
      </c>
      <c r="H21" s="105">
        <v>28.389443205835995</v>
      </c>
      <c r="I21" s="105">
        <v>6881.6010330946447</v>
      </c>
      <c r="J21" s="105">
        <v>23</v>
      </c>
      <c r="K21" s="105">
        <v>5575.2</v>
      </c>
      <c r="L21" s="105">
        <v>30.868435807371739</v>
      </c>
      <c r="M21" s="105">
        <v>7482.5088397069085</v>
      </c>
      <c r="N21" s="105">
        <v>16</v>
      </c>
      <c r="O21" s="105">
        <v>3878.3999999999996</v>
      </c>
      <c r="P21" s="105">
        <v>20</v>
      </c>
      <c r="Q21" s="105">
        <v>4848</v>
      </c>
      <c r="R21" s="105">
        <v>18</v>
      </c>
      <c r="S21" s="105">
        <v>4363.2</v>
      </c>
      <c r="T21" s="105">
        <v>27</v>
      </c>
      <c r="U21" s="105">
        <v>6544.7999999999993</v>
      </c>
      <c r="V21" s="105">
        <v>31</v>
      </c>
      <c r="W21" s="105">
        <v>7514.4</v>
      </c>
      <c r="X21" s="105">
        <v>26</v>
      </c>
      <c r="Y21" s="105">
        <v>6302.4</v>
      </c>
      <c r="Z21" s="105">
        <v>20.878814337342547</v>
      </c>
      <c r="AA21" s="105">
        <v>5061.0245953718331</v>
      </c>
      <c r="AB21" s="105">
        <v>22.934848525116958</v>
      </c>
      <c r="AC21" s="105">
        <v>5559.4072824883506</v>
      </c>
      <c r="AD21" s="105">
        <v>30</v>
      </c>
      <c r="AE21" s="105">
        <v>7271.9999999999991</v>
      </c>
      <c r="AF21" s="105">
        <v>32</v>
      </c>
      <c r="AG21" s="105">
        <v>7756.7999999999993</v>
      </c>
      <c r="AH21" s="105">
        <v>23</v>
      </c>
      <c r="AI21" s="105">
        <v>5575.2</v>
      </c>
      <c r="AJ21" s="105">
        <v>22</v>
      </c>
      <c r="AK21" s="105">
        <v>5332.7999999999993</v>
      </c>
      <c r="AL21" s="105">
        <v>25</v>
      </c>
      <c r="AM21" s="105">
        <v>6059.9999999999991</v>
      </c>
      <c r="AN21" s="105">
        <v>26.30847312478009</v>
      </c>
      <c r="AO21" s="105">
        <v>6377.173885446693</v>
      </c>
      <c r="AP21" s="105">
        <v>33.473119487770369</v>
      </c>
      <c r="AQ21" s="105">
        <v>8113.884163835537</v>
      </c>
      <c r="AR21" s="105">
        <v>17.590618109928489</v>
      </c>
      <c r="AS21" s="105">
        <v>4263.9658298466657</v>
      </c>
      <c r="AT21" s="105">
        <v>15.976364356250839</v>
      </c>
      <c r="AU21" s="105">
        <v>3872.6707199552029</v>
      </c>
      <c r="AV21" s="105">
        <v>17.132396509380424</v>
      </c>
      <c r="AW21" s="105">
        <v>4152.892913873814</v>
      </c>
      <c r="AX21" s="105">
        <v>18.956083105234129</v>
      </c>
      <c r="AY21" s="105">
        <v>4594.9545447087521</v>
      </c>
      <c r="AZ21" s="105">
        <v>26.084300481711363</v>
      </c>
      <c r="BA21" s="105">
        <v>6322.8344367668342</v>
      </c>
      <c r="BB21" s="105">
        <v>29.364510628278421</v>
      </c>
      <c r="BC21" s="105">
        <v>7117.9573762946884</v>
      </c>
      <c r="BD21" s="105">
        <v>27.177240713776285</v>
      </c>
      <c r="BE21" s="105">
        <v>6587.7631490193708</v>
      </c>
      <c r="BF21" s="105">
        <v>26.188926510421691</v>
      </c>
      <c r="BG21" s="105">
        <v>6348.1957861262172</v>
      </c>
      <c r="BH21" s="105">
        <v>24.776305842609915</v>
      </c>
      <c r="BI21" s="105">
        <v>6005.7765362486425</v>
      </c>
      <c r="BJ21" s="105">
        <v>25.840032784892664</v>
      </c>
      <c r="BK21" s="105">
        <v>6263.6239470579812</v>
      </c>
      <c r="BL21" s="105">
        <v>26.676538606741328</v>
      </c>
      <c r="BM21" s="105">
        <v>6466.3929582740975</v>
      </c>
      <c r="BN21" s="105">
        <v>29</v>
      </c>
      <c r="BO21" s="105">
        <v>7029.5999999999995</v>
      </c>
      <c r="BP21" s="105">
        <v>25</v>
      </c>
      <c r="BQ21" s="105">
        <v>6059.9999999999991</v>
      </c>
      <c r="BR21" s="105">
        <v>25.332255574379349</v>
      </c>
      <c r="BS21" s="105">
        <v>6140.5387512295538</v>
      </c>
      <c r="BT21" s="105">
        <v>26.79322283991894</v>
      </c>
      <c r="BU21" s="105">
        <v>6494.6772163963506</v>
      </c>
      <c r="BV21" s="105">
        <v>28.147525087291893</v>
      </c>
      <c r="BW21" s="105">
        <v>6822.9600811595537</v>
      </c>
      <c r="BX21" s="105">
        <v>21</v>
      </c>
      <c r="BY21" s="105">
        <v>5090.3999999999996</v>
      </c>
      <c r="BZ21" s="105">
        <v>27</v>
      </c>
      <c r="CA21" s="105">
        <v>6544.7999999999993</v>
      </c>
      <c r="CB21" s="105">
        <v>27</v>
      </c>
      <c r="CC21" s="105">
        <v>6544.7999999999993</v>
      </c>
      <c r="CD21" s="105">
        <v>34</v>
      </c>
      <c r="CE21" s="105">
        <v>8241.5999999999985</v>
      </c>
      <c r="CF21" s="105">
        <v>18</v>
      </c>
      <c r="CG21" s="105">
        <v>4363.2</v>
      </c>
      <c r="CH21" s="105">
        <v>36</v>
      </c>
      <c r="CI21" s="105">
        <v>8726.4</v>
      </c>
      <c r="CJ21" s="105">
        <v>28</v>
      </c>
      <c r="CK21" s="105">
        <v>6787.1999999999989</v>
      </c>
      <c r="CL21" s="105">
        <v>33.21915474271902</v>
      </c>
      <c r="CM21" s="105">
        <v>8052.3231096350901</v>
      </c>
      <c r="CN21" s="105">
        <v>19.272430862505583</v>
      </c>
      <c r="CO21" s="105">
        <v>4671.6372410713529</v>
      </c>
      <c r="CP21" s="105">
        <v>20.110362639136262</v>
      </c>
      <c r="CQ21" s="105">
        <v>4874.7519037266293</v>
      </c>
      <c r="CR21" s="105">
        <v>22.764697790435907</v>
      </c>
      <c r="CS21" s="105">
        <v>5518.1627444016631</v>
      </c>
      <c r="CT21" s="105">
        <v>21.509381410587153</v>
      </c>
      <c r="CU21" s="105">
        <v>5213.8740539263254</v>
      </c>
    </row>
    <row r="22" spans="2:99" x14ac:dyDescent="0.2">
      <c r="C22" s="104" t="s">
        <v>190</v>
      </c>
      <c r="D22" s="105">
        <v>23.169634343953248</v>
      </c>
      <c r="E22" s="105">
        <v>1445.7851830626826</v>
      </c>
      <c r="F22" s="105">
        <v>20.702032420015193</v>
      </c>
      <c r="G22" s="105">
        <v>1291.806823008948</v>
      </c>
      <c r="H22" s="105">
        <v>27.566812075984352</v>
      </c>
      <c r="I22" s="105">
        <v>1720.1690735414236</v>
      </c>
      <c r="J22" s="105">
        <v>23</v>
      </c>
      <c r="K22" s="105">
        <v>1435.2</v>
      </c>
      <c r="L22" s="105">
        <v>33.762351664312838</v>
      </c>
      <c r="M22" s="105">
        <v>2106.7707438531211</v>
      </c>
      <c r="N22" s="105">
        <v>17</v>
      </c>
      <c r="O22" s="105">
        <v>1060.8</v>
      </c>
      <c r="P22" s="105">
        <v>21</v>
      </c>
      <c r="Q22" s="105">
        <v>1310.3999999999999</v>
      </c>
      <c r="R22" s="105">
        <v>18</v>
      </c>
      <c r="S22" s="105">
        <v>1123.2</v>
      </c>
      <c r="T22" s="105">
        <v>27</v>
      </c>
      <c r="U22" s="105">
        <v>1684.8</v>
      </c>
      <c r="V22" s="105">
        <v>34</v>
      </c>
      <c r="W22" s="105">
        <v>2121.6</v>
      </c>
      <c r="X22" s="105">
        <v>26</v>
      </c>
      <c r="Y22" s="105">
        <v>1622.3999999999999</v>
      </c>
      <c r="Z22" s="105">
        <v>19.884585083183378</v>
      </c>
      <c r="AA22" s="105">
        <v>1240.7981091906427</v>
      </c>
      <c r="AB22" s="105">
        <v>20.386532022326186</v>
      </c>
      <c r="AC22" s="105">
        <v>1272.1195981931539</v>
      </c>
      <c r="AD22" s="105">
        <v>32</v>
      </c>
      <c r="AE22" s="105">
        <v>1996.8</v>
      </c>
      <c r="AF22" s="105">
        <v>32</v>
      </c>
      <c r="AG22" s="105">
        <v>1996.8</v>
      </c>
      <c r="AH22" s="105">
        <v>23</v>
      </c>
      <c r="AI22" s="105">
        <v>1435.2</v>
      </c>
      <c r="AJ22" s="105">
        <v>21</v>
      </c>
      <c r="AK22" s="105">
        <v>1310.3999999999999</v>
      </c>
      <c r="AL22" s="105">
        <v>26</v>
      </c>
      <c r="AM22" s="105">
        <v>1622.3999999999999</v>
      </c>
      <c r="AN22" s="105">
        <v>23.489708147125082</v>
      </c>
      <c r="AO22" s="105">
        <v>1465.757788380605</v>
      </c>
      <c r="AP22" s="105">
        <v>32.516744645262641</v>
      </c>
      <c r="AQ22" s="105">
        <v>2029.0448658643888</v>
      </c>
      <c r="AR22" s="105">
        <v>15.738974098357067</v>
      </c>
      <c r="AS22" s="105">
        <v>982.11198373748095</v>
      </c>
      <c r="AT22" s="105">
        <v>18.372819009688467</v>
      </c>
      <c r="AU22" s="105">
        <v>1146.4639062045603</v>
      </c>
      <c r="AV22" s="105">
        <v>17.132396509380424</v>
      </c>
      <c r="AW22" s="105">
        <v>1069.0615421853383</v>
      </c>
      <c r="AX22" s="105">
        <v>18.131905578919604</v>
      </c>
      <c r="AY22" s="105">
        <v>1131.4309081245833</v>
      </c>
      <c r="AZ22" s="105">
        <v>26.925729529508505</v>
      </c>
      <c r="BA22" s="105">
        <v>1680.1655226413307</v>
      </c>
      <c r="BB22" s="105">
        <v>29.364510628278421</v>
      </c>
      <c r="BC22" s="105">
        <v>1832.3454632045734</v>
      </c>
      <c r="BD22" s="105">
        <v>27.177240713776285</v>
      </c>
      <c r="BE22" s="105">
        <v>1695.8598205396402</v>
      </c>
      <c r="BF22" s="105">
        <v>26.916396691266737</v>
      </c>
      <c r="BG22" s="105">
        <v>1679.5831535350444</v>
      </c>
      <c r="BH22" s="105">
        <v>22.941023928342517</v>
      </c>
      <c r="BI22" s="105">
        <v>1431.5198931285731</v>
      </c>
      <c r="BJ22" s="105">
        <v>25.006483340218708</v>
      </c>
      <c r="BK22" s="105">
        <v>1560.4045604296473</v>
      </c>
      <c r="BL22" s="105">
        <v>25.059778691181243</v>
      </c>
      <c r="BM22" s="105">
        <v>1563.7301903297096</v>
      </c>
      <c r="BN22" s="105">
        <v>32</v>
      </c>
      <c r="BO22" s="105">
        <v>1996.8</v>
      </c>
      <c r="BP22" s="105">
        <v>24</v>
      </c>
      <c r="BQ22" s="105">
        <v>1497.6</v>
      </c>
      <c r="BR22" s="105">
        <v>22.409303008104811</v>
      </c>
      <c r="BS22" s="105">
        <v>1398.34050770574</v>
      </c>
      <c r="BT22" s="105">
        <v>27.630511053666407</v>
      </c>
      <c r="BU22" s="105">
        <v>1724.1438897487837</v>
      </c>
      <c r="BV22" s="105">
        <v>26.388304769336145</v>
      </c>
      <c r="BW22" s="105">
        <v>1646.6302176065753</v>
      </c>
      <c r="BX22" s="105">
        <v>22</v>
      </c>
      <c r="BY22" s="105">
        <v>1372.8</v>
      </c>
      <c r="BZ22" s="105">
        <v>29</v>
      </c>
      <c r="CA22" s="105">
        <v>1809.6</v>
      </c>
      <c r="CB22" s="105">
        <v>24</v>
      </c>
      <c r="CC22" s="105">
        <v>1497.6</v>
      </c>
      <c r="CD22" s="105">
        <v>34</v>
      </c>
      <c r="CE22" s="105">
        <v>2121.6</v>
      </c>
      <c r="CF22" s="105">
        <v>20</v>
      </c>
      <c r="CG22" s="105">
        <v>1248</v>
      </c>
      <c r="CH22" s="105">
        <v>34</v>
      </c>
      <c r="CI22" s="105">
        <v>2121.6</v>
      </c>
      <c r="CJ22" s="105">
        <v>26</v>
      </c>
      <c r="CK22" s="105">
        <v>1622.3999999999999</v>
      </c>
      <c r="CL22" s="105">
        <v>34.168273449653846</v>
      </c>
      <c r="CM22" s="105">
        <v>2132.1002632584</v>
      </c>
      <c r="CN22" s="105">
        <v>22.624157969028293</v>
      </c>
      <c r="CO22" s="105">
        <v>1411.7474572673655</v>
      </c>
      <c r="CP22" s="105">
        <v>21.657313611377518</v>
      </c>
      <c r="CQ22" s="105">
        <v>1351.416369349957</v>
      </c>
      <c r="CR22" s="105">
        <v>22.764697790435907</v>
      </c>
      <c r="CS22" s="105">
        <v>1420.5171421232005</v>
      </c>
      <c r="CT22" s="105">
        <v>22.897083437076649</v>
      </c>
      <c r="CU22" s="105">
        <v>1428.7780064735828</v>
      </c>
    </row>
    <row r="23" spans="2:99" x14ac:dyDescent="0.2">
      <c r="C23" s="104" t="s">
        <v>191</v>
      </c>
      <c r="D23" s="105">
        <v>21.80671467666188</v>
      </c>
      <c r="E23" s="105">
        <v>6097.1574235946609</v>
      </c>
      <c r="F23" s="105">
        <v>18.313336371551902</v>
      </c>
      <c r="G23" s="105">
        <v>5120.4088494859107</v>
      </c>
      <c r="H23" s="105">
        <v>26.59666329966246</v>
      </c>
      <c r="I23" s="105">
        <v>7436.4270585856229</v>
      </c>
      <c r="J23" s="105">
        <v>20</v>
      </c>
      <c r="K23" s="105">
        <v>5591.9999999999991</v>
      </c>
      <c r="L23" s="105">
        <v>29.562306453884652</v>
      </c>
      <c r="M23" s="105">
        <v>8265.6208845061483</v>
      </c>
      <c r="N23" s="105">
        <v>18</v>
      </c>
      <c r="O23" s="105">
        <v>5032.7999999999993</v>
      </c>
      <c r="P23" s="105">
        <v>22</v>
      </c>
      <c r="Q23" s="105">
        <v>6151.1999999999989</v>
      </c>
      <c r="R23" s="105">
        <v>17</v>
      </c>
      <c r="S23" s="105">
        <v>4753.2</v>
      </c>
      <c r="T23" s="105">
        <v>25</v>
      </c>
      <c r="U23" s="105">
        <v>6989.9999999999991</v>
      </c>
      <c r="V23" s="105">
        <v>30</v>
      </c>
      <c r="W23" s="105">
        <v>8387.9999999999982</v>
      </c>
      <c r="X23" s="105">
        <v>23</v>
      </c>
      <c r="Y23" s="105">
        <v>6430.7999999999993</v>
      </c>
      <c r="Z23" s="105">
        <v>22.867272845660889</v>
      </c>
      <c r="AA23" s="105">
        <v>6393.6894876467841</v>
      </c>
      <c r="AB23" s="105">
        <v>20.386532022326186</v>
      </c>
      <c r="AC23" s="105">
        <v>5700.0743534424009</v>
      </c>
      <c r="AD23" s="105">
        <v>33</v>
      </c>
      <c r="AE23" s="105">
        <v>9226.7999999999993</v>
      </c>
      <c r="AF23" s="105">
        <v>33</v>
      </c>
      <c r="AG23" s="105">
        <v>9226.7999999999993</v>
      </c>
      <c r="AH23" s="105">
        <v>23</v>
      </c>
      <c r="AI23" s="105">
        <v>6430.7999999999993</v>
      </c>
      <c r="AJ23" s="105">
        <v>21</v>
      </c>
      <c r="AK23" s="105">
        <v>5871.5999999999995</v>
      </c>
      <c r="AL23" s="105">
        <v>21</v>
      </c>
      <c r="AM23" s="105">
        <v>5871.5999999999995</v>
      </c>
      <c r="AN23" s="105">
        <v>23.489708147125082</v>
      </c>
      <c r="AO23" s="105">
        <v>6567.7223979361725</v>
      </c>
      <c r="AP23" s="105">
        <v>35.385869172785817</v>
      </c>
      <c r="AQ23" s="105">
        <v>9893.8890207109125</v>
      </c>
      <c r="AR23" s="105">
        <v>14.813152092571357</v>
      </c>
      <c r="AS23" s="105">
        <v>4141.757325082951</v>
      </c>
      <c r="AT23" s="105">
        <v>17.574000791875925</v>
      </c>
      <c r="AU23" s="105">
        <v>4913.6906214085084</v>
      </c>
      <c r="AV23" s="105">
        <v>17.132396509380424</v>
      </c>
      <c r="AW23" s="105">
        <v>4790.2180640227662</v>
      </c>
      <c r="AX23" s="105">
        <v>20.604438157863186</v>
      </c>
      <c r="AY23" s="105">
        <v>5761.0009089385458</v>
      </c>
      <c r="AZ23" s="105">
        <v>25.242871433914221</v>
      </c>
      <c r="BA23" s="105">
        <v>7057.9068529224151</v>
      </c>
      <c r="BB23" s="105">
        <v>26.61158775687732</v>
      </c>
      <c r="BC23" s="105">
        <v>7440.5999368228977</v>
      </c>
      <c r="BD23" s="105">
        <v>28.775901932233712</v>
      </c>
      <c r="BE23" s="105">
        <v>8045.742180252545</v>
      </c>
      <c r="BF23" s="105">
        <v>26.916396691266737</v>
      </c>
      <c r="BG23" s="105">
        <v>7525.8245148781789</v>
      </c>
      <c r="BH23" s="105">
        <v>22.941023928342517</v>
      </c>
      <c r="BI23" s="105">
        <v>6414.3102903645668</v>
      </c>
      <c r="BJ23" s="105">
        <v>23.339384450870789</v>
      </c>
      <c r="BK23" s="105">
        <v>6525.691892463472</v>
      </c>
      <c r="BL23" s="105">
        <v>25.059778691181243</v>
      </c>
      <c r="BM23" s="105">
        <v>7006.7141220542744</v>
      </c>
      <c r="BN23" s="105">
        <v>31</v>
      </c>
      <c r="BO23" s="105">
        <v>8667.5999999999985</v>
      </c>
      <c r="BP23" s="105">
        <v>24</v>
      </c>
      <c r="BQ23" s="105">
        <v>6710.4</v>
      </c>
      <c r="BR23" s="105">
        <v>24.357938052287835</v>
      </c>
      <c r="BS23" s="105">
        <v>6810.4794794196778</v>
      </c>
      <c r="BT23" s="105">
        <v>26.79322283991894</v>
      </c>
      <c r="BU23" s="105">
        <v>7491.3851060413344</v>
      </c>
      <c r="BV23" s="105">
        <v>30.786355564225506</v>
      </c>
      <c r="BW23" s="105">
        <v>8607.8650157574502</v>
      </c>
      <c r="BX23" s="105">
        <v>25</v>
      </c>
      <c r="BY23" s="105">
        <v>6989.9999999999991</v>
      </c>
      <c r="BZ23" s="105">
        <v>28</v>
      </c>
      <c r="CA23" s="105">
        <v>7828.7999999999993</v>
      </c>
      <c r="CB23" s="105">
        <v>24</v>
      </c>
      <c r="CC23" s="105">
        <v>6710.4</v>
      </c>
      <c r="CD23" s="105">
        <v>30</v>
      </c>
      <c r="CE23" s="105">
        <v>8387.9999999999982</v>
      </c>
      <c r="CF23" s="105">
        <v>21</v>
      </c>
      <c r="CG23" s="105">
        <v>5871.5999999999995</v>
      </c>
      <c r="CH23" s="105">
        <v>34</v>
      </c>
      <c r="CI23" s="105">
        <v>9506.4</v>
      </c>
      <c r="CJ23" s="105">
        <v>25</v>
      </c>
      <c r="CK23" s="105">
        <v>6989.9999999999991</v>
      </c>
      <c r="CL23" s="105">
        <v>32.270036035784187</v>
      </c>
      <c r="CM23" s="105">
        <v>9022.7020756052571</v>
      </c>
      <c r="CN23" s="105">
        <v>20.110362639136259</v>
      </c>
      <c r="CO23" s="105">
        <v>5622.8573939024973</v>
      </c>
      <c r="CP23" s="105">
        <v>20.88383812525689</v>
      </c>
      <c r="CQ23" s="105">
        <v>5839.1211398218256</v>
      </c>
      <c r="CR23" s="105">
        <v>26.137245611241227</v>
      </c>
      <c r="CS23" s="105">
        <v>7307.973872903046</v>
      </c>
      <c r="CT23" s="105">
        <v>20.121679384097661</v>
      </c>
      <c r="CU23" s="105">
        <v>5626.0215557937054</v>
      </c>
    </row>
    <row r="24" spans="2:99" x14ac:dyDescent="0.2">
      <c r="C24" s="104" t="s">
        <v>192</v>
      </c>
      <c r="D24" s="105">
        <v>22.488174510307566</v>
      </c>
      <c r="E24" s="105">
        <v>6854.3955907417467</v>
      </c>
      <c r="F24" s="105">
        <v>18.313336371551902</v>
      </c>
      <c r="G24" s="105">
        <v>5581.9049260490201</v>
      </c>
      <c r="H24" s="105">
        <v>30.133050563186107</v>
      </c>
      <c r="I24" s="105">
        <v>9184.5538116591251</v>
      </c>
      <c r="J24" s="105">
        <v>21</v>
      </c>
      <c r="K24" s="105">
        <v>6400.8</v>
      </c>
      <c r="L24" s="105">
        <v>29.903797188391373</v>
      </c>
      <c r="M24" s="105">
        <v>9114.6773830216916</v>
      </c>
      <c r="N24" s="105">
        <v>16</v>
      </c>
      <c r="O24" s="105">
        <v>4876.8</v>
      </c>
      <c r="P24" s="105">
        <v>23</v>
      </c>
      <c r="Q24" s="105">
        <v>7010.4000000000005</v>
      </c>
      <c r="R24" s="105">
        <v>16</v>
      </c>
      <c r="S24" s="105">
        <v>4876.8</v>
      </c>
      <c r="T24" s="105">
        <v>26</v>
      </c>
      <c r="U24" s="105">
        <v>7924.8</v>
      </c>
      <c r="V24" s="105">
        <v>31</v>
      </c>
      <c r="W24" s="105">
        <v>9448.8000000000011</v>
      </c>
      <c r="X24" s="105">
        <v>25</v>
      </c>
      <c r="Y24" s="105">
        <v>7620</v>
      </c>
      <c r="Z24" s="105">
        <v>19.884585083183378</v>
      </c>
      <c r="AA24" s="105">
        <v>6060.8215333542939</v>
      </c>
      <c r="AB24" s="105">
        <v>20.386532022326186</v>
      </c>
      <c r="AC24" s="105">
        <v>6213.8149604050213</v>
      </c>
      <c r="AD24" s="105">
        <v>27</v>
      </c>
      <c r="AE24" s="105">
        <v>8229.6</v>
      </c>
      <c r="AF24" s="105">
        <v>33</v>
      </c>
      <c r="AG24" s="105">
        <v>10058.4</v>
      </c>
      <c r="AH24" s="105">
        <v>23</v>
      </c>
      <c r="AI24" s="105">
        <v>7010.4000000000005</v>
      </c>
      <c r="AJ24" s="105">
        <v>24</v>
      </c>
      <c r="AK24" s="105">
        <v>7315.2000000000007</v>
      </c>
      <c r="AL24" s="105">
        <v>21</v>
      </c>
      <c r="AM24" s="105">
        <v>6400.8</v>
      </c>
      <c r="AN24" s="105">
        <v>23.489708147125082</v>
      </c>
      <c r="AO24" s="105">
        <v>7159.663043243725</v>
      </c>
      <c r="AP24" s="105">
        <v>35.385869172785817</v>
      </c>
      <c r="AQ24" s="105">
        <v>10785.612923865117</v>
      </c>
      <c r="AR24" s="105">
        <v>16.664796104142777</v>
      </c>
      <c r="AS24" s="105">
        <v>5079.4298525427184</v>
      </c>
      <c r="AT24" s="105">
        <v>17.574000791875925</v>
      </c>
      <c r="AU24" s="105">
        <v>5356.5554413637819</v>
      </c>
      <c r="AV24" s="105">
        <v>16.230691429939348</v>
      </c>
      <c r="AW24" s="105">
        <v>4947.1147478455132</v>
      </c>
      <c r="AX24" s="105">
        <v>18.131905578919604</v>
      </c>
      <c r="AY24" s="105">
        <v>5526.6048204546951</v>
      </c>
      <c r="AZ24" s="105">
        <v>23.560013338319944</v>
      </c>
      <c r="BA24" s="105">
        <v>7181.0920655199188</v>
      </c>
      <c r="BB24" s="105">
        <v>28.446869671144718</v>
      </c>
      <c r="BC24" s="105">
        <v>8670.6058757649098</v>
      </c>
      <c r="BD24" s="105">
        <v>26.377910104547571</v>
      </c>
      <c r="BE24" s="105">
        <v>8039.9869998660997</v>
      </c>
      <c r="BF24" s="105">
        <v>22.551575606196458</v>
      </c>
      <c r="BG24" s="105">
        <v>6873.7202447686805</v>
      </c>
      <c r="BH24" s="105">
        <v>22.941023928342517</v>
      </c>
      <c r="BI24" s="105">
        <v>6992.4240933587998</v>
      </c>
      <c r="BJ24" s="105">
        <v>25.840032784892664</v>
      </c>
      <c r="BK24" s="105">
        <v>7876.041992835284</v>
      </c>
      <c r="BL24" s="105">
        <v>27.484918564521369</v>
      </c>
      <c r="BM24" s="105">
        <v>8377.4031784661129</v>
      </c>
      <c r="BN24" s="105">
        <v>30</v>
      </c>
      <c r="BO24" s="105">
        <v>9144</v>
      </c>
      <c r="BP24" s="105">
        <v>21</v>
      </c>
      <c r="BQ24" s="105">
        <v>6400.8</v>
      </c>
      <c r="BR24" s="105">
        <v>22.409303008104811</v>
      </c>
      <c r="BS24" s="105">
        <v>6830.3555568703468</v>
      </c>
      <c r="BT24" s="105">
        <v>25.11864641242401</v>
      </c>
      <c r="BU24" s="105">
        <v>7656.1634265068387</v>
      </c>
      <c r="BV24" s="105">
        <v>30.786355564225506</v>
      </c>
      <c r="BW24" s="105">
        <v>9383.6811759759348</v>
      </c>
      <c r="BX24" s="105">
        <v>21</v>
      </c>
      <c r="BY24" s="105">
        <v>6400.8</v>
      </c>
      <c r="BZ24" s="105">
        <v>27</v>
      </c>
      <c r="CA24" s="105">
        <v>8229.6</v>
      </c>
      <c r="CB24" s="105">
        <v>24</v>
      </c>
      <c r="CC24" s="105">
        <v>7315.2000000000007</v>
      </c>
      <c r="CD24" s="105">
        <v>30</v>
      </c>
      <c r="CE24" s="105">
        <v>9144</v>
      </c>
      <c r="CF24" s="105">
        <v>21</v>
      </c>
      <c r="CG24" s="105">
        <v>6400.8</v>
      </c>
      <c r="CH24" s="105">
        <v>38</v>
      </c>
      <c r="CI24" s="105">
        <v>11582.4</v>
      </c>
      <c r="CJ24" s="105">
        <v>24</v>
      </c>
      <c r="CK24" s="105">
        <v>7315.2000000000007</v>
      </c>
      <c r="CL24" s="105">
        <v>34.168273449653846</v>
      </c>
      <c r="CM24" s="105">
        <v>10414.489747454492</v>
      </c>
      <c r="CN24" s="105">
        <v>19.272430862505583</v>
      </c>
      <c r="CO24" s="105">
        <v>5874.2369268917018</v>
      </c>
      <c r="CP24" s="105">
        <v>20.110362639136262</v>
      </c>
      <c r="CQ24" s="105">
        <v>6129.6385324087332</v>
      </c>
      <c r="CR24" s="105">
        <v>21.921560835234576</v>
      </c>
      <c r="CS24" s="105">
        <v>6681.6917425794991</v>
      </c>
      <c r="CT24" s="105">
        <v>22.203232423831899</v>
      </c>
      <c r="CU24" s="105">
        <v>6767.5452427839627</v>
      </c>
    </row>
    <row r="25" spans="2:99" x14ac:dyDescent="0.2">
      <c r="C25" s="104" t="s">
        <v>193</v>
      </c>
      <c r="D25" s="105">
        <v>22.488174510307566</v>
      </c>
      <c r="E25" s="105">
        <v>7313.15435075202</v>
      </c>
      <c r="F25" s="105">
        <v>17.517104355397471</v>
      </c>
      <c r="G25" s="105">
        <v>5696.5623363752575</v>
      </c>
      <c r="H25" s="105">
        <v>26.154110360251682</v>
      </c>
      <c r="I25" s="105">
        <v>8505.3166891538458</v>
      </c>
      <c r="J25" s="105">
        <v>21</v>
      </c>
      <c r="K25" s="105">
        <v>6829.2</v>
      </c>
      <c r="L25" s="105">
        <v>29.499991665437285</v>
      </c>
      <c r="M25" s="105">
        <v>9593.3972896002051</v>
      </c>
      <c r="N25" s="105">
        <v>17</v>
      </c>
      <c r="O25" s="105">
        <v>5528.4</v>
      </c>
      <c r="P25" s="105">
        <v>21</v>
      </c>
      <c r="Q25" s="105">
        <v>6829.2</v>
      </c>
      <c r="R25" s="105">
        <v>19</v>
      </c>
      <c r="S25" s="105">
        <v>6178.8</v>
      </c>
      <c r="T25" s="105">
        <v>29</v>
      </c>
      <c r="U25" s="105">
        <v>9430.7999999999993</v>
      </c>
      <c r="V25" s="105">
        <v>31</v>
      </c>
      <c r="W25" s="105">
        <v>10081.199999999999</v>
      </c>
      <c r="X25" s="105">
        <v>27</v>
      </c>
      <c r="Y25" s="105">
        <v>8780.4</v>
      </c>
      <c r="Z25" s="105">
        <v>21.873043591501716</v>
      </c>
      <c r="AA25" s="105">
        <v>7113.113775956358</v>
      </c>
      <c r="AB25" s="105">
        <v>19.537093188062595</v>
      </c>
      <c r="AC25" s="105">
        <v>6353.4627047579561</v>
      </c>
      <c r="AD25" s="105">
        <v>27</v>
      </c>
      <c r="AE25" s="105">
        <v>8780.4</v>
      </c>
      <c r="AF25" s="105">
        <v>36</v>
      </c>
      <c r="AG25" s="105">
        <v>11707.199999999999</v>
      </c>
      <c r="AH25" s="105">
        <v>23</v>
      </c>
      <c r="AI25" s="105">
        <v>7479.5999999999995</v>
      </c>
      <c r="AJ25" s="105">
        <v>25</v>
      </c>
      <c r="AK25" s="105">
        <v>8130</v>
      </c>
      <c r="AL25" s="105">
        <v>25</v>
      </c>
      <c r="AM25" s="105">
        <v>8130</v>
      </c>
      <c r="AN25" s="105">
        <v>24.429296473010083</v>
      </c>
      <c r="AO25" s="105">
        <v>7944.4072130228788</v>
      </c>
      <c r="AP25" s="105">
        <v>29.647620117739471</v>
      </c>
      <c r="AQ25" s="105">
        <v>9641.4060622888755</v>
      </c>
      <c r="AR25" s="105">
        <v>17.590618109928489</v>
      </c>
      <c r="AS25" s="105">
        <v>5720.4690093487443</v>
      </c>
      <c r="AT25" s="105">
        <v>18.372819009688467</v>
      </c>
      <c r="AU25" s="105">
        <v>5974.8407419506893</v>
      </c>
      <c r="AV25" s="105">
        <v>14.427281271057197</v>
      </c>
      <c r="AW25" s="105">
        <v>4691.7518693478005</v>
      </c>
      <c r="AX25" s="105">
        <v>18.956083105234129</v>
      </c>
      <c r="AY25" s="105">
        <v>6164.5182258221384</v>
      </c>
      <c r="AZ25" s="105">
        <v>26.084300481711363</v>
      </c>
      <c r="BA25" s="105">
        <v>8482.6145166525348</v>
      </c>
      <c r="BB25" s="105">
        <v>25.693946799743618</v>
      </c>
      <c r="BC25" s="105">
        <v>8355.6714992766247</v>
      </c>
      <c r="BD25" s="105">
        <v>25.578579495318852</v>
      </c>
      <c r="BE25" s="105">
        <v>8318.154051877691</v>
      </c>
      <c r="BF25" s="105">
        <v>23.279045787041504</v>
      </c>
      <c r="BG25" s="105">
        <v>7570.345689945897</v>
      </c>
      <c r="BH25" s="105">
        <v>22.023382971208814</v>
      </c>
      <c r="BI25" s="105">
        <v>7162.004142237106</v>
      </c>
      <c r="BJ25" s="105">
        <v>22.505835006196836</v>
      </c>
      <c r="BK25" s="105">
        <v>7318.8975440152108</v>
      </c>
      <c r="BL25" s="105">
        <v>29.101678480081446</v>
      </c>
      <c r="BM25" s="105">
        <v>9463.8658417224851</v>
      </c>
      <c r="BN25" s="105">
        <v>30</v>
      </c>
      <c r="BO25" s="105">
        <v>9756</v>
      </c>
      <c r="BP25" s="105">
        <v>21</v>
      </c>
      <c r="BQ25" s="105">
        <v>6829.2</v>
      </c>
      <c r="BR25" s="105">
        <v>22.409303008104811</v>
      </c>
      <c r="BS25" s="105">
        <v>7287.5053382356846</v>
      </c>
      <c r="BT25" s="105">
        <v>26.79322283991894</v>
      </c>
      <c r="BU25" s="105">
        <v>8713.1560675416385</v>
      </c>
      <c r="BV25" s="105">
        <v>29.906745405247637</v>
      </c>
      <c r="BW25" s="105">
        <v>9725.673605786531</v>
      </c>
      <c r="BX25" s="105">
        <v>23</v>
      </c>
      <c r="BY25" s="105">
        <v>7479.5999999999995</v>
      </c>
      <c r="BZ25" s="105">
        <v>24</v>
      </c>
      <c r="CA25" s="105">
        <v>7804.7999999999993</v>
      </c>
      <c r="CB25" s="105">
        <v>23</v>
      </c>
      <c r="CC25" s="105">
        <v>7479.5999999999995</v>
      </c>
      <c r="CD25" s="105">
        <v>34</v>
      </c>
      <c r="CE25" s="105">
        <v>11056.8</v>
      </c>
      <c r="CF25" s="105">
        <v>19</v>
      </c>
      <c r="CG25" s="105">
        <v>6178.8</v>
      </c>
      <c r="CH25" s="105">
        <v>35</v>
      </c>
      <c r="CI25" s="105">
        <v>11382</v>
      </c>
      <c r="CJ25" s="105">
        <v>23</v>
      </c>
      <c r="CK25" s="105">
        <v>7479.5999999999995</v>
      </c>
      <c r="CL25" s="105">
        <v>29.422679914979703</v>
      </c>
      <c r="CM25" s="105">
        <v>9568.2555083513998</v>
      </c>
      <c r="CN25" s="105">
        <v>20.948294415766938</v>
      </c>
      <c r="CO25" s="105">
        <v>6812.3853440074081</v>
      </c>
      <c r="CP25" s="105">
        <v>20.110362639136262</v>
      </c>
      <c r="CQ25" s="105">
        <v>6539.8899302471127</v>
      </c>
      <c r="CR25" s="105">
        <v>22.764697790435907</v>
      </c>
      <c r="CS25" s="105">
        <v>7403.079721449757</v>
      </c>
      <c r="CT25" s="105">
        <v>24.284785463566145</v>
      </c>
      <c r="CU25" s="105">
        <v>7897.4122327517098</v>
      </c>
    </row>
    <row r="26" spans="2:99" x14ac:dyDescent="0.2">
      <c r="C26" s="104" t="s">
        <v>194</v>
      </c>
      <c r="D26" s="105">
        <v>23.169634343953248</v>
      </c>
      <c r="E26" s="105">
        <v>6645.0511298457923</v>
      </c>
      <c r="F26" s="105">
        <v>19.905800403860763</v>
      </c>
      <c r="G26" s="105">
        <v>5708.9835558272671</v>
      </c>
      <c r="H26" s="105">
        <v>28.389443205835995</v>
      </c>
      <c r="I26" s="105">
        <v>8142.0923114337638</v>
      </c>
      <c r="J26" s="105">
        <v>20</v>
      </c>
      <c r="K26" s="105">
        <v>5736</v>
      </c>
      <c r="L26" s="105">
        <v>28.535353046456915</v>
      </c>
      <c r="M26" s="105">
        <v>8183.9392537238436</v>
      </c>
      <c r="N26" s="105">
        <v>16</v>
      </c>
      <c r="O26" s="105">
        <v>4588.8</v>
      </c>
      <c r="P26" s="105">
        <v>21</v>
      </c>
      <c r="Q26" s="105">
        <v>6022.8</v>
      </c>
      <c r="R26" s="105">
        <v>18</v>
      </c>
      <c r="S26" s="105">
        <v>5162.4000000000005</v>
      </c>
      <c r="T26" s="105">
        <v>29</v>
      </c>
      <c r="U26" s="105">
        <v>8317.2000000000007</v>
      </c>
      <c r="V26" s="105">
        <v>29</v>
      </c>
      <c r="W26" s="105">
        <v>8317.2000000000007</v>
      </c>
      <c r="X26" s="105">
        <v>26</v>
      </c>
      <c r="Y26" s="105">
        <v>7456.8</v>
      </c>
      <c r="Z26" s="105">
        <v>20.878814337342547</v>
      </c>
      <c r="AA26" s="105">
        <v>5988.0439519498423</v>
      </c>
      <c r="AB26" s="105">
        <v>21.235970856589777</v>
      </c>
      <c r="AC26" s="105">
        <v>6090.4764416699481</v>
      </c>
      <c r="AD26" s="105">
        <v>29</v>
      </c>
      <c r="AE26" s="105">
        <v>8317.2000000000007</v>
      </c>
      <c r="AF26" s="105">
        <v>35</v>
      </c>
      <c r="AG26" s="105">
        <v>10038</v>
      </c>
      <c r="AH26" s="105">
        <v>24</v>
      </c>
      <c r="AI26" s="105">
        <v>6883.2000000000007</v>
      </c>
      <c r="AJ26" s="105">
        <v>25</v>
      </c>
      <c r="AK26" s="105">
        <v>7170</v>
      </c>
      <c r="AL26" s="105">
        <v>22</v>
      </c>
      <c r="AM26" s="105">
        <v>6309.6</v>
      </c>
      <c r="AN26" s="105">
        <v>22.550119821240077</v>
      </c>
      <c r="AO26" s="105">
        <v>6467.3743647316542</v>
      </c>
      <c r="AP26" s="105">
        <v>29.647620117739471</v>
      </c>
      <c r="AQ26" s="105">
        <v>8502.9374497676799</v>
      </c>
      <c r="AR26" s="105">
        <v>15.738974098357067</v>
      </c>
      <c r="AS26" s="105">
        <v>4513.9377714088068</v>
      </c>
      <c r="AT26" s="105">
        <v>18.372819009688467</v>
      </c>
      <c r="AU26" s="105">
        <v>5269.3244919786521</v>
      </c>
      <c r="AV26" s="105">
        <v>15.328986350498274</v>
      </c>
      <c r="AW26" s="105">
        <v>4396.3532853229053</v>
      </c>
      <c r="AX26" s="105">
        <v>18.131905578919604</v>
      </c>
      <c r="AY26" s="105">
        <v>5200.2305200341425</v>
      </c>
      <c r="AZ26" s="105">
        <v>26.084300481711363</v>
      </c>
      <c r="BA26" s="105">
        <v>7480.9773781548192</v>
      </c>
      <c r="BB26" s="105">
        <v>25.693946799743618</v>
      </c>
      <c r="BC26" s="105">
        <v>7369.0239421664701</v>
      </c>
      <c r="BD26" s="105">
        <v>29.575232541462427</v>
      </c>
      <c r="BE26" s="105">
        <v>8482.176692891424</v>
      </c>
      <c r="BF26" s="105">
        <v>23.279045787041504</v>
      </c>
      <c r="BG26" s="105">
        <v>6676.4303317235035</v>
      </c>
      <c r="BH26" s="105">
        <v>24.776305842609915</v>
      </c>
      <c r="BI26" s="105">
        <v>7105.8445156605239</v>
      </c>
      <c r="BJ26" s="105">
        <v>24.172933895544748</v>
      </c>
      <c r="BK26" s="105">
        <v>6932.7974412422336</v>
      </c>
      <c r="BL26" s="105">
        <v>26.676538606741328</v>
      </c>
      <c r="BM26" s="105">
        <v>7650.831272413413</v>
      </c>
      <c r="BN26" s="105">
        <v>28</v>
      </c>
      <c r="BO26" s="105">
        <v>8030.4000000000005</v>
      </c>
      <c r="BP26" s="105">
        <v>21</v>
      </c>
      <c r="BQ26" s="105">
        <v>6022.8</v>
      </c>
      <c r="BR26" s="105">
        <v>24.357938052287835</v>
      </c>
      <c r="BS26" s="105">
        <v>6985.8566333961517</v>
      </c>
      <c r="BT26" s="105">
        <v>27.630511053666407</v>
      </c>
      <c r="BU26" s="105">
        <v>7924.4305701915255</v>
      </c>
      <c r="BV26" s="105">
        <v>29.906745405247637</v>
      </c>
      <c r="BW26" s="105">
        <v>8577.2545822250231</v>
      </c>
      <c r="BX26" s="105">
        <v>21</v>
      </c>
      <c r="BY26" s="105">
        <v>6022.8</v>
      </c>
      <c r="BZ26" s="105">
        <v>29</v>
      </c>
      <c r="CA26" s="105">
        <v>8317.2000000000007</v>
      </c>
      <c r="CB26" s="105">
        <v>23</v>
      </c>
      <c r="CC26" s="105">
        <v>6596.4000000000005</v>
      </c>
      <c r="CD26" s="105">
        <v>34</v>
      </c>
      <c r="CE26" s="105">
        <v>9751.2000000000007</v>
      </c>
      <c r="CF26" s="105">
        <v>19</v>
      </c>
      <c r="CG26" s="105">
        <v>5449.2</v>
      </c>
      <c r="CH26" s="105">
        <v>39</v>
      </c>
      <c r="CI26" s="105">
        <v>11185.2</v>
      </c>
      <c r="CJ26" s="105">
        <v>24</v>
      </c>
      <c r="CK26" s="105">
        <v>6883.2000000000007</v>
      </c>
      <c r="CL26" s="105">
        <v>32.270036035784187</v>
      </c>
      <c r="CM26" s="105">
        <v>9255.0463350629052</v>
      </c>
      <c r="CN26" s="105">
        <v>20.110362639136259</v>
      </c>
      <c r="CO26" s="105">
        <v>5767.6520049042792</v>
      </c>
      <c r="CP26" s="105">
        <v>19.336887153015638</v>
      </c>
      <c r="CQ26" s="105">
        <v>5545.8192354848852</v>
      </c>
      <c r="CR26" s="105">
        <v>21.921560835234576</v>
      </c>
      <c r="CS26" s="105">
        <v>6287.1036475452765</v>
      </c>
      <c r="CT26" s="105">
        <v>22.203232423831899</v>
      </c>
      <c r="CU26" s="105">
        <v>6367.8870591549885</v>
      </c>
    </row>
    <row r="27" spans="2:99" x14ac:dyDescent="0.2">
      <c r="C27" s="104" t="s">
        <v>195</v>
      </c>
      <c r="D27" s="105">
        <v>22.488174510307566</v>
      </c>
      <c r="E27" s="105">
        <v>7097.2678754530671</v>
      </c>
      <c r="F27" s="105">
        <v>17.517104355397471</v>
      </c>
      <c r="G27" s="105">
        <v>5528.3981345634411</v>
      </c>
      <c r="H27" s="105">
        <v>31.004854241861164</v>
      </c>
      <c r="I27" s="105">
        <v>9785.1319987313818</v>
      </c>
      <c r="J27" s="105">
        <v>23</v>
      </c>
      <c r="K27" s="105">
        <v>7258.7999999999993</v>
      </c>
      <c r="L27" s="105">
        <v>29.499991665437285</v>
      </c>
      <c r="M27" s="105">
        <v>9310.1973696120058</v>
      </c>
      <c r="N27" s="105">
        <v>15</v>
      </c>
      <c r="O27" s="105">
        <v>4733.9999999999991</v>
      </c>
      <c r="P27" s="105">
        <v>22</v>
      </c>
      <c r="Q27" s="105">
        <v>6943.1999999999989</v>
      </c>
      <c r="R27" s="105">
        <v>17</v>
      </c>
      <c r="S27" s="105">
        <v>5365.2</v>
      </c>
      <c r="T27" s="105">
        <v>26</v>
      </c>
      <c r="U27" s="105">
        <v>8205.5999999999985</v>
      </c>
      <c r="V27" s="105">
        <v>32</v>
      </c>
      <c r="W27" s="105">
        <v>10099.199999999999</v>
      </c>
      <c r="X27" s="105">
        <v>23</v>
      </c>
      <c r="Y27" s="105">
        <v>7258.7999999999993</v>
      </c>
      <c r="Z27" s="105">
        <v>22.867272845660889</v>
      </c>
      <c r="AA27" s="105">
        <v>7216.9113100905761</v>
      </c>
      <c r="AB27" s="105">
        <v>19.537093188062595</v>
      </c>
      <c r="AC27" s="105">
        <v>6165.9066101525541</v>
      </c>
      <c r="AD27" s="105">
        <v>29</v>
      </c>
      <c r="AE27" s="105">
        <v>9152.4</v>
      </c>
      <c r="AF27" s="105">
        <v>31</v>
      </c>
      <c r="AG27" s="105">
        <v>9783.5999999999985</v>
      </c>
      <c r="AH27" s="105">
        <v>23</v>
      </c>
      <c r="AI27" s="105">
        <v>7258.7999999999993</v>
      </c>
      <c r="AJ27" s="105">
        <v>24</v>
      </c>
      <c r="AK27" s="105">
        <v>7574.4</v>
      </c>
      <c r="AL27" s="105">
        <v>23</v>
      </c>
      <c r="AM27" s="105">
        <v>7258.7999999999993</v>
      </c>
      <c r="AN27" s="105">
        <v>24.429296473010083</v>
      </c>
      <c r="AO27" s="105">
        <v>7709.8859668819814</v>
      </c>
      <c r="AP27" s="105">
        <v>30.603994960247196</v>
      </c>
      <c r="AQ27" s="105">
        <v>9658.6208094540143</v>
      </c>
      <c r="AR27" s="105">
        <v>17.590618109928489</v>
      </c>
      <c r="AS27" s="105">
        <v>5551.5990754934301</v>
      </c>
      <c r="AT27" s="105">
        <v>16.775182574063383</v>
      </c>
      <c r="AU27" s="105">
        <v>5294.2476203744027</v>
      </c>
      <c r="AV27" s="105">
        <v>17.132396509380424</v>
      </c>
      <c r="AW27" s="105">
        <v>5406.9843383604612</v>
      </c>
      <c r="AX27" s="105">
        <v>17.307728052605075</v>
      </c>
      <c r="AY27" s="105">
        <v>5462.3189734021607</v>
      </c>
      <c r="AZ27" s="105">
        <v>22.718584290522802</v>
      </c>
      <c r="BA27" s="105">
        <v>7169.9852020889957</v>
      </c>
      <c r="BB27" s="105">
        <v>28.446869671144718</v>
      </c>
      <c r="BC27" s="105">
        <v>8977.8320682132726</v>
      </c>
      <c r="BD27" s="105">
        <v>29.575232541462427</v>
      </c>
      <c r="BE27" s="105">
        <v>9333.9433900855402</v>
      </c>
      <c r="BF27" s="105">
        <v>24.00651596788655</v>
      </c>
      <c r="BG27" s="105">
        <v>7576.4564394649942</v>
      </c>
      <c r="BH27" s="105">
        <v>23.85866488547622</v>
      </c>
      <c r="BI27" s="105">
        <v>7529.7946378562938</v>
      </c>
      <c r="BJ27" s="105">
        <v>21.672285561522877</v>
      </c>
      <c r="BK27" s="105">
        <v>6839.7733232166192</v>
      </c>
      <c r="BL27" s="105">
        <v>29.101678480081446</v>
      </c>
      <c r="BM27" s="105">
        <v>9184.4897283137034</v>
      </c>
      <c r="BN27" s="105">
        <v>27</v>
      </c>
      <c r="BO27" s="105">
        <v>8521.1999999999989</v>
      </c>
      <c r="BP27" s="105">
        <v>23</v>
      </c>
      <c r="BQ27" s="105">
        <v>7258.7999999999993</v>
      </c>
      <c r="BR27" s="105">
        <v>25.332255574379349</v>
      </c>
      <c r="BS27" s="105">
        <v>7994.8598592741218</v>
      </c>
      <c r="BT27" s="105">
        <v>25.955934626171473</v>
      </c>
      <c r="BU27" s="105">
        <v>8191.6929680197163</v>
      </c>
      <c r="BV27" s="105">
        <v>27.267914928314017</v>
      </c>
      <c r="BW27" s="105">
        <v>8605.753951375902</v>
      </c>
      <c r="BX27" s="105">
        <v>21</v>
      </c>
      <c r="BY27" s="105">
        <v>6627.5999999999995</v>
      </c>
      <c r="BZ27" s="105">
        <v>27</v>
      </c>
      <c r="CA27" s="105">
        <v>8521.1999999999989</v>
      </c>
      <c r="CB27" s="105">
        <v>24</v>
      </c>
      <c r="CC27" s="105">
        <v>7574.4</v>
      </c>
      <c r="CD27" s="105">
        <v>34</v>
      </c>
      <c r="CE27" s="105">
        <v>10730.4</v>
      </c>
      <c r="CF27" s="105">
        <v>20</v>
      </c>
      <c r="CG27" s="105">
        <v>6311.9999999999991</v>
      </c>
      <c r="CH27" s="105">
        <v>37</v>
      </c>
      <c r="CI27" s="105">
        <v>11677.199999999999</v>
      </c>
      <c r="CJ27" s="105">
        <v>26</v>
      </c>
      <c r="CK27" s="105">
        <v>8205.5999999999985</v>
      </c>
      <c r="CL27" s="105">
        <v>32.270036035784187</v>
      </c>
      <c r="CM27" s="105">
        <v>10184.423372893489</v>
      </c>
      <c r="CN27" s="105">
        <v>21.786226192397613</v>
      </c>
      <c r="CO27" s="105">
        <v>6875.732986320686</v>
      </c>
      <c r="CP27" s="105">
        <v>21.657313611377518</v>
      </c>
      <c r="CQ27" s="105">
        <v>6835.0481757507441</v>
      </c>
      <c r="CR27" s="105">
        <v>25.294108656039896</v>
      </c>
      <c r="CS27" s="105">
        <v>7982.8206918461901</v>
      </c>
      <c r="CT27" s="105">
        <v>20.81553039734241</v>
      </c>
      <c r="CU27" s="105">
        <v>6569.3813934012642</v>
      </c>
    </row>
    <row r="28" spans="2:99" x14ac:dyDescent="0.2">
      <c r="C28" s="104" t="s">
        <v>196</v>
      </c>
      <c r="D28" s="105">
        <v>30</v>
      </c>
      <c r="E28" s="105">
        <v>17208</v>
      </c>
      <c r="F28" s="105">
        <v>23</v>
      </c>
      <c r="G28" s="105">
        <v>13192.800000000001</v>
      </c>
      <c r="H28" s="105">
        <v>34</v>
      </c>
      <c r="I28" s="105">
        <v>19502.400000000001</v>
      </c>
      <c r="J28" s="105">
        <v>19</v>
      </c>
      <c r="K28" s="105">
        <v>10898.4</v>
      </c>
      <c r="L28" s="105">
        <v>30</v>
      </c>
      <c r="M28" s="105">
        <v>17208</v>
      </c>
      <c r="N28" s="105">
        <v>15</v>
      </c>
      <c r="O28" s="105">
        <v>8604</v>
      </c>
      <c r="P28" s="105">
        <v>21</v>
      </c>
      <c r="Q28" s="105">
        <v>12045.6</v>
      </c>
      <c r="R28" s="105">
        <v>19</v>
      </c>
      <c r="S28" s="105">
        <v>10898.4</v>
      </c>
      <c r="T28" s="105">
        <v>28</v>
      </c>
      <c r="U28" s="105">
        <v>16060.800000000001</v>
      </c>
      <c r="V28" s="105">
        <v>30.593633373209084</v>
      </c>
      <c r="W28" s="105">
        <v>17548.508102872733</v>
      </c>
      <c r="X28" s="105">
        <v>27</v>
      </c>
      <c r="Y28" s="105">
        <v>15487.2</v>
      </c>
      <c r="Z28" s="105">
        <v>21</v>
      </c>
      <c r="AA28" s="105">
        <v>12045.6</v>
      </c>
      <c r="AB28" s="105">
        <v>22</v>
      </c>
      <c r="AC28" s="105">
        <v>12619.2</v>
      </c>
      <c r="AD28" s="105">
        <v>27</v>
      </c>
      <c r="AE28" s="105">
        <v>15487.2</v>
      </c>
      <c r="AF28" s="105">
        <v>30</v>
      </c>
      <c r="AG28" s="105">
        <v>17208</v>
      </c>
      <c r="AH28" s="105">
        <v>23</v>
      </c>
      <c r="AI28" s="105">
        <v>13192.800000000001</v>
      </c>
      <c r="AJ28" s="105">
        <v>20</v>
      </c>
      <c r="AK28" s="105">
        <v>11472</v>
      </c>
      <c r="AL28" s="105">
        <v>20</v>
      </c>
      <c r="AM28" s="105">
        <v>11472</v>
      </c>
      <c r="AN28" s="105">
        <v>24</v>
      </c>
      <c r="AO28" s="105">
        <v>13766.400000000001</v>
      </c>
      <c r="AP28" s="105">
        <v>31</v>
      </c>
      <c r="AQ28" s="105">
        <v>17781.600000000002</v>
      </c>
      <c r="AR28" s="105">
        <v>17</v>
      </c>
      <c r="AS28" s="105">
        <v>9751.2000000000007</v>
      </c>
      <c r="AT28" s="105">
        <v>19</v>
      </c>
      <c r="AU28" s="105">
        <v>10898.4</v>
      </c>
      <c r="AV28" s="105">
        <v>18</v>
      </c>
      <c r="AW28" s="105">
        <v>10324.800000000001</v>
      </c>
      <c r="AX28" s="105">
        <v>20</v>
      </c>
      <c r="AY28" s="105">
        <v>11472</v>
      </c>
      <c r="AZ28" s="105">
        <v>29</v>
      </c>
      <c r="BA28" s="105">
        <v>16634.400000000001</v>
      </c>
      <c r="BB28" s="105">
        <v>30</v>
      </c>
      <c r="BC28" s="105">
        <v>17208</v>
      </c>
      <c r="BD28" s="105">
        <v>35.351258122574649</v>
      </c>
      <c r="BE28" s="105">
        <v>20277.48165910882</v>
      </c>
      <c r="BF28" s="105">
        <v>31</v>
      </c>
      <c r="BG28" s="105">
        <v>17781.600000000002</v>
      </c>
      <c r="BH28" s="105">
        <v>25</v>
      </c>
      <c r="BI28" s="105">
        <v>14340</v>
      </c>
      <c r="BJ28" s="105">
        <v>26</v>
      </c>
      <c r="BK28" s="105">
        <v>14913.6</v>
      </c>
      <c r="BL28" s="105">
        <v>35</v>
      </c>
      <c r="BM28" s="105">
        <v>20076</v>
      </c>
      <c r="BN28" s="105">
        <v>25</v>
      </c>
      <c r="BO28" s="105">
        <v>14340</v>
      </c>
      <c r="BP28" s="105">
        <v>21</v>
      </c>
      <c r="BQ28" s="105">
        <v>12045.6</v>
      </c>
      <c r="BR28" s="105">
        <v>22</v>
      </c>
      <c r="BS28" s="105">
        <v>12619.2</v>
      </c>
      <c r="BT28" s="105">
        <v>30</v>
      </c>
      <c r="BU28" s="105">
        <v>17208</v>
      </c>
      <c r="BV28" s="105">
        <v>32</v>
      </c>
      <c r="BW28" s="105">
        <v>18355.2</v>
      </c>
      <c r="BX28" s="105">
        <v>20</v>
      </c>
      <c r="BY28" s="105">
        <v>11472</v>
      </c>
      <c r="BZ28" s="105">
        <v>25</v>
      </c>
      <c r="CA28" s="105">
        <v>14340</v>
      </c>
      <c r="CB28" s="105">
        <v>24</v>
      </c>
      <c r="CC28" s="105">
        <v>13766.400000000001</v>
      </c>
      <c r="CD28" s="105">
        <v>32</v>
      </c>
      <c r="CE28" s="105">
        <v>18355.2</v>
      </c>
      <c r="CF28" s="105">
        <v>18</v>
      </c>
      <c r="CG28" s="105">
        <v>10324.800000000001</v>
      </c>
      <c r="CH28" s="105">
        <v>34</v>
      </c>
      <c r="CI28" s="105">
        <v>19502.400000000001</v>
      </c>
      <c r="CJ28" s="105">
        <v>25</v>
      </c>
      <c r="CK28" s="105">
        <v>14340</v>
      </c>
      <c r="CL28" s="105">
        <v>33</v>
      </c>
      <c r="CM28" s="105">
        <v>18928.8</v>
      </c>
      <c r="CN28" s="105">
        <v>27</v>
      </c>
      <c r="CO28" s="105">
        <v>15487.2</v>
      </c>
      <c r="CP28" s="105">
        <v>23</v>
      </c>
      <c r="CQ28" s="105">
        <v>13192.800000000001</v>
      </c>
      <c r="CR28" s="105">
        <v>26</v>
      </c>
      <c r="CS28" s="105">
        <v>14913.6</v>
      </c>
      <c r="CT28" s="105">
        <v>32</v>
      </c>
      <c r="CU28" s="105">
        <v>18355.2</v>
      </c>
    </row>
    <row r="29" spans="2:99" x14ac:dyDescent="0.2">
      <c r="C29" s="104" t="s">
        <v>197</v>
      </c>
      <c r="D29" s="105">
        <v>20.443795009370515</v>
      </c>
      <c r="E29" s="105">
        <v>4808.3805862039444</v>
      </c>
      <c r="F29" s="105">
        <v>18.313336371551902</v>
      </c>
      <c r="G29" s="105">
        <v>4307.296714589007</v>
      </c>
      <c r="H29" s="105">
        <v>31.876657920536218</v>
      </c>
      <c r="I29" s="105">
        <v>7497.3899429101184</v>
      </c>
      <c r="J29" s="105">
        <v>21</v>
      </c>
      <c r="K29" s="105">
        <v>4939.2</v>
      </c>
      <c r="L29" s="105">
        <v>29.562306453884652</v>
      </c>
      <c r="M29" s="105">
        <v>6953.0544779536694</v>
      </c>
      <c r="N29" s="105">
        <v>17</v>
      </c>
      <c r="O29" s="105">
        <v>3998.3999999999996</v>
      </c>
      <c r="P29" s="105">
        <v>21</v>
      </c>
      <c r="Q29" s="105">
        <v>4939.2</v>
      </c>
      <c r="R29" s="105">
        <v>18</v>
      </c>
      <c r="S29" s="105">
        <v>4233.5999999999995</v>
      </c>
      <c r="T29" s="105">
        <v>30</v>
      </c>
      <c r="U29" s="105">
        <v>7056</v>
      </c>
      <c r="V29" s="105">
        <v>33</v>
      </c>
      <c r="W29" s="105">
        <v>7761.5999999999995</v>
      </c>
      <c r="X29" s="105">
        <v>23</v>
      </c>
      <c r="Y29" s="105">
        <v>5409.5999999999995</v>
      </c>
      <c r="Z29" s="105">
        <v>18.890355829024209</v>
      </c>
      <c r="AA29" s="105">
        <v>4443.0116909864937</v>
      </c>
      <c r="AB29" s="105">
        <v>20.386532022326186</v>
      </c>
      <c r="AC29" s="105">
        <v>4794.9123316511186</v>
      </c>
      <c r="AD29" s="105">
        <v>33</v>
      </c>
      <c r="AE29" s="105">
        <v>7761.5999999999995</v>
      </c>
      <c r="AF29" s="105">
        <v>31</v>
      </c>
      <c r="AG29" s="105">
        <v>7291.2</v>
      </c>
      <c r="AH29" s="105">
        <v>22</v>
      </c>
      <c r="AI29" s="105">
        <v>5174.3999999999996</v>
      </c>
      <c r="AJ29" s="105">
        <v>21</v>
      </c>
      <c r="AK29" s="105">
        <v>4939.2</v>
      </c>
      <c r="AL29" s="105">
        <v>24</v>
      </c>
      <c r="AM29" s="105">
        <v>5644.7999999999993</v>
      </c>
      <c r="AN29" s="105">
        <v>22.550119821240077</v>
      </c>
      <c r="AO29" s="105">
        <v>5303.788181955666</v>
      </c>
      <c r="AP29" s="105">
        <v>35.385869172785817</v>
      </c>
      <c r="AQ29" s="105">
        <v>8322.7564294392232</v>
      </c>
      <c r="AR29" s="105">
        <v>16.664796104142777</v>
      </c>
      <c r="AS29" s="105">
        <v>3919.560043694381</v>
      </c>
      <c r="AT29" s="105">
        <v>19.171637227501009</v>
      </c>
      <c r="AU29" s="105">
        <v>4509.1690759082367</v>
      </c>
      <c r="AV29" s="105">
        <v>17.132396509380424</v>
      </c>
      <c r="AW29" s="105">
        <v>4029.5396590062755</v>
      </c>
      <c r="AX29" s="105">
        <v>19.780260631548657</v>
      </c>
      <c r="AY29" s="105">
        <v>4652.3173005402441</v>
      </c>
      <c r="AZ29" s="105">
        <v>23.560013338319944</v>
      </c>
      <c r="BA29" s="105">
        <v>5541.3151371728509</v>
      </c>
      <c r="BB29" s="105">
        <v>30.282151585412123</v>
      </c>
      <c r="BC29" s="105">
        <v>7122.3620528889314</v>
      </c>
      <c r="BD29" s="105">
        <v>27.177240713776285</v>
      </c>
      <c r="BE29" s="105">
        <v>6392.0870158801818</v>
      </c>
      <c r="BF29" s="105">
        <v>27.643866872111786</v>
      </c>
      <c r="BG29" s="105">
        <v>6501.8374883206916</v>
      </c>
      <c r="BH29" s="105">
        <v>22.023382971208814</v>
      </c>
      <c r="BI29" s="105">
        <v>5179.8996748283125</v>
      </c>
      <c r="BJ29" s="105">
        <v>25.840032784892664</v>
      </c>
      <c r="BK29" s="105">
        <v>6077.5757110067543</v>
      </c>
      <c r="BL29" s="105">
        <v>27.484918564521369</v>
      </c>
      <c r="BM29" s="105">
        <v>6464.4528463754259</v>
      </c>
      <c r="BN29" s="105">
        <v>29</v>
      </c>
      <c r="BO29" s="105">
        <v>6820.7999999999993</v>
      </c>
      <c r="BP29" s="105">
        <v>22</v>
      </c>
      <c r="BQ29" s="105">
        <v>5174.3999999999996</v>
      </c>
      <c r="BR29" s="105">
        <v>25.332255574379349</v>
      </c>
      <c r="BS29" s="105">
        <v>5958.1465110940226</v>
      </c>
      <c r="BT29" s="105">
        <v>25.955934626171473</v>
      </c>
      <c r="BU29" s="105">
        <v>6104.8358240755306</v>
      </c>
      <c r="BV29" s="105">
        <v>26.388304769336145</v>
      </c>
      <c r="BW29" s="105">
        <v>6206.5292817478612</v>
      </c>
      <c r="BX29" s="105">
        <v>24</v>
      </c>
      <c r="BY29" s="105">
        <v>5644.7999999999993</v>
      </c>
      <c r="BZ29" s="105">
        <v>26</v>
      </c>
      <c r="CA29" s="105">
        <v>6115.2</v>
      </c>
      <c r="CB29" s="105">
        <v>26</v>
      </c>
      <c r="CC29" s="105">
        <v>6115.2</v>
      </c>
      <c r="CD29" s="105">
        <v>32</v>
      </c>
      <c r="CE29" s="105">
        <v>7526.4</v>
      </c>
      <c r="CF29" s="105">
        <v>18</v>
      </c>
      <c r="CG29" s="105">
        <v>4233.5999999999995</v>
      </c>
      <c r="CH29" s="105">
        <v>38</v>
      </c>
      <c r="CI29" s="105">
        <v>8937.6</v>
      </c>
      <c r="CJ29" s="105">
        <v>26</v>
      </c>
      <c r="CK29" s="105">
        <v>6115.2</v>
      </c>
      <c r="CL29" s="105">
        <v>31.320917328849358</v>
      </c>
      <c r="CM29" s="105">
        <v>7366.6797557453683</v>
      </c>
      <c r="CN29" s="105">
        <v>20.948294415766938</v>
      </c>
      <c r="CO29" s="105">
        <v>4927.0388465883834</v>
      </c>
      <c r="CP29" s="105">
        <v>20.110362639136262</v>
      </c>
      <c r="CQ29" s="105">
        <v>4729.9572927248491</v>
      </c>
      <c r="CR29" s="105">
        <v>23.607834745637234</v>
      </c>
      <c r="CS29" s="105">
        <v>5552.5627321738775</v>
      </c>
      <c r="CT29" s="105">
        <v>22.203232423831899</v>
      </c>
      <c r="CU29" s="105">
        <v>5222.2002660852622</v>
      </c>
    </row>
    <row r="30" spans="2:99" x14ac:dyDescent="0.2">
      <c r="C30" s="104" t="s">
        <v>198</v>
      </c>
      <c r="D30" s="105">
        <v>21.125254843016197</v>
      </c>
      <c r="E30" s="105">
        <v>4892.6090216425509</v>
      </c>
      <c r="F30" s="105">
        <v>19.109568387706336</v>
      </c>
      <c r="G30" s="105">
        <v>4425.7760385927877</v>
      </c>
      <c r="H30" s="105">
        <v>31.004854241861164</v>
      </c>
      <c r="I30" s="105">
        <v>7180.7242424150454</v>
      </c>
      <c r="J30" s="105">
        <v>22</v>
      </c>
      <c r="K30" s="105">
        <v>5095.2</v>
      </c>
      <c r="L30" s="105">
        <v>31.491583691845378</v>
      </c>
      <c r="M30" s="105">
        <v>7293.4507830313896</v>
      </c>
      <c r="N30" s="105">
        <v>16</v>
      </c>
      <c r="O30" s="105">
        <v>3705.6</v>
      </c>
      <c r="P30" s="105">
        <v>23</v>
      </c>
      <c r="Q30" s="105">
        <v>5326.8</v>
      </c>
      <c r="R30" s="105">
        <v>17</v>
      </c>
      <c r="S30" s="105">
        <v>3937.2</v>
      </c>
      <c r="T30" s="105">
        <v>28</v>
      </c>
      <c r="U30" s="105">
        <v>6484.8</v>
      </c>
      <c r="V30" s="105">
        <v>28</v>
      </c>
      <c r="W30" s="105">
        <v>6484.8</v>
      </c>
      <c r="X30" s="105">
        <v>26</v>
      </c>
      <c r="Y30" s="105">
        <v>6021.5999999999995</v>
      </c>
      <c r="Z30" s="105">
        <v>19.884585083183378</v>
      </c>
      <c r="AA30" s="105">
        <v>4605.2699052652706</v>
      </c>
      <c r="AB30" s="105">
        <v>22.934848525116958</v>
      </c>
      <c r="AC30" s="105">
        <v>5311.7109184170877</v>
      </c>
      <c r="AD30" s="105">
        <v>33</v>
      </c>
      <c r="AE30" s="105">
        <v>7642.8</v>
      </c>
      <c r="AF30" s="105">
        <v>35</v>
      </c>
      <c r="AG30" s="105">
        <v>8106</v>
      </c>
      <c r="AH30" s="105">
        <v>22</v>
      </c>
      <c r="AI30" s="105">
        <v>5095.2</v>
      </c>
      <c r="AJ30" s="105">
        <v>24</v>
      </c>
      <c r="AK30" s="105">
        <v>5558.4</v>
      </c>
      <c r="AL30" s="105">
        <v>23</v>
      </c>
      <c r="AM30" s="105">
        <v>5326.8</v>
      </c>
      <c r="AN30" s="105">
        <v>22.550119821240077</v>
      </c>
      <c r="AO30" s="105">
        <v>5222.6077505992016</v>
      </c>
      <c r="AP30" s="105">
        <v>29.647620117739471</v>
      </c>
      <c r="AQ30" s="105">
        <v>6866.3888192684617</v>
      </c>
      <c r="AR30" s="105">
        <v>14.813152092571357</v>
      </c>
      <c r="AS30" s="105">
        <v>3430.7260246395263</v>
      </c>
      <c r="AT30" s="105">
        <v>18.372819009688467</v>
      </c>
      <c r="AU30" s="105">
        <v>4255.1448826438491</v>
      </c>
      <c r="AV30" s="105">
        <v>16.230691429939348</v>
      </c>
      <c r="AW30" s="105">
        <v>3759.0281351739532</v>
      </c>
      <c r="AX30" s="105">
        <v>18.131905578919604</v>
      </c>
      <c r="AY30" s="105">
        <v>4199.3493320777798</v>
      </c>
      <c r="AZ30" s="105">
        <v>26.084300481711363</v>
      </c>
      <c r="BA30" s="105">
        <v>6041.1239915643519</v>
      </c>
      <c r="BB30" s="105">
        <v>27.529228714011023</v>
      </c>
      <c r="BC30" s="105">
        <v>6375.7693701649523</v>
      </c>
      <c r="BD30" s="105">
        <v>27.177240713776285</v>
      </c>
      <c r="BE30" s="105">
        <v>6294.2489493105877</v>
      </c>
      <c r="BF30" s="105">
        <v>26.916396691266737</v>
      </c>
      <c r="BG30" s="105">
        <v>6233.8374736973765</v>
      </c>
      <c r="BH30" s="105">
        <v>23.85866488547622</v>
      </c>
      <c r="BI30" s="105">
        <v>5525.6667874762925</v>
      </c>
      <c r="BJ30" s="105">
        <v>26.673582229566616</v>
      </c>
      <c r="BK30" s="105">
        <v>6177.6016443676281</v>
      </c>
      <c r="BL30" s="105">
        <v>27.484918564521369</v>
      </c>
      <c r="BM30" s="105">
        <v>6365.5071395431487</v>
      </c>
      <c r="BN30" s="105">
        <v>32</v>
      </c>
      <c r="BO30" s="105">
        <v>7411.2</v>
      </c>
      <c r="BP30" s="105">
        <v>23</v>
      </c>
      <c r="BQ30" s="105">
        <v>5326.8</v>
      </c>
      <c r="BR30" s="105">
        <v>23.383620530196321</v>
      </c>
      <c r="BS30" s="105">
        <v>5415.6465147934678</v>
      </c>
      <c r="BT30" s="105">
        <v>29.305087481161337</v>
      </c>
      <c r="BU30" s="105">
        <v>6787.0582606369653</v>
      </c>
      <c r="BV30" s="105">
        <v>25.50869461035828</v>
      </c>
      <c r="BW30" s="105">
        <v>5907.8136717589778</v>
      </c>
      <c r="BX30" s="105">
        <v>24</v>
      </c>
      <c r="BY30" s="105">
        <v>5558.4</v>
      </c>
      <c r="BZ30" s="105">
        <v>28</v>
      </c>
      <c r="CA30" s="105">
        <v>6484.8</v>
      </c>
      <c r="CB30" s="105">
        <v>25</v>
      </c>
      <c r="CC30" s="105">
        <v>5790</v>
      </c>
      <c r="CD30" s="105">
        <v>33</v>
      </c>
      <c r="CE30" s="105">
        <v>7642.8</v>
      </c>
      <c r="CF30" s="105">
        <v>19</v>
      </c>
      <c r="CG30" s="105">
        <v>4400.3999999999996</v>
      </c>
      <c r="CH30" s="105">
        <v>38</v>
      </c>
      <c r="CI30" s="105">
        <v>8800.7999999999993</v>
      </c>
      <c r="CJ30" s="105">
        <v>26</v>
      </c>
      <c r="CK30" s="105">
        <v>6021.5999999999995</v>
      </c>
      <c r="CL30" s="105">
        <v>35.117392156588679</v>
      </c>
      <c r="CM30" s="105">
        <v>8133.1880234659375</v>
      </c>
      <c r="CN30" s="105">
        <v>20.110362639136259</v>
      </c>
      <c r="CO30" s="105">
        <v>4657.5599872239573</v>
      </c>
      <c r="CP30" s="105">
        <v>18.563411666895014</v>
      </c>
      <c r="CQ30" s="105">
        <v>4299.2861420528852</v>
      </c>
      <c r="CR30" s="105">
        <v>21.921560835234576</v>
      </c>
      <c r="CS30" s="105">
        <v>5077.0334894403277</v>
      </c>
      <c r="CT30" s="105">
        <v>22.203232423831899</v>
      </c>
      <c r="CU30" s="105">
        <v>5142.2686293594679</v>
      </c>
    </row>
    <row r="31" spans="2:99" x14ac:dyDescent="0.2">
      <c r="C31" s="104" t="s">
        <v>199</v>
      </c>
      <c r="D31" s="105">
        <v>23.169634343953248</v>
      </c>
      <c r="E31" s="105">
        <v>4114.9270594860964</v>
      </c>
      <c r="F31" s="105">
        <v>19.109568387706336</v>
      </c>
      <c r="G31" s="105">
        <v>3393.859345656645</v>
      </c>
      <c r="H31" s="105">
        <v>31.876657920536218</v>
      </c>
      <c r="I31" s="105">
        <v>5661.2944466872323</v>
      </c>
      <c r="J31" s="105">
        <v>21</v>
      </c>
      <c r="K31" s="105">
        <v>3729.6</v>
      </c>
      <c r="L31" s="105">
        <v>28.535353046456915</v>
      </c>
      <c r="M31" s="105">
        <v>5067.8787010507476</v>
      </c>
      <c r="N31" s="105">
        <v>17</v>
      </c>
      <c r="O31" s="105">
        <v>3019.2</v>
      </c>
      <c r="P31" s="105">
        <v>20</v>
      </c>
      <c r="Q31" s="105">
        <v>3552</v>
      </c>
      <c r="R31" s="105">
        <v>19</v>
      </c>
      <c r="S31" s="105">
        <v>3374.4</v>
      </c>
      <c r="T31" s="105">
        <v>29</v>
      </c>
      <c r="U31" s="105">
        <v>5150.3999999999996</v>
      </c>
      <c r="V31" s="105">
        <v>31</v>
      </c>
      <c r="W31" s="105">
        <v>5505.5999999999995</v>
      </c>
      <c r="X31" s="105">
        <v>28</v>
      </c>
      <c r="Y31" s="105">
        <v>4972.8</v>
      </c>
      <c r="Z31" s="105">
        <v>19.884585083183378</v>
      </c>
      <c r="AA31" s="105">
        <v>3531.5023107733678</v>
      </c>
      <c r="AB31" s="105">
        <v>22.085409690853364</v>
      </c>
      <c r="AC31" s="105">
        <v>3922.3687610955571</v>
      </c>
      <c r="AD31" s="105">
        <v>27</v>
      </c>
      <c r="AE31" s="105">
        <v>4795.2</v>
      </c>
      <c r="AF31" s="105">
        <v>31</v>
      </c>
      <c r="AG31" s="105">
        <v>5505.5999999999995</v>
      </c>
      <c r="AH31" s="105">
        <v>22</v>
      </c>
      <c r="AI31" s="105">
        <v>3907.2</v>
      </c>
      <c r="AJ31" s="105">
        <v>25</v>
      </c>
      <c r="AK31" s="105">
        <v>4440</v>
      </c>
      <c r="AL31" s="105">
        <v>24</v>
      </c>
      <c r="AM31" s="105">
        <v>4262.3999999999996</v>
      </c>
      <c r="AN31" s="105">
        <v>24.429296473010083</v>
      </c>
      <c r="AO31" s="105">
        <v>4338.6430536065909</v>
      </c>
      <c r="AP31" s="105">
        <v>31.56036980275492</v>
      </c>
      <c r="AQ31" s="105">
        <v>5605.1216769692737</v>
      </c>
      <c r="AR31" s="105">
        <v>18.516440115714197</v>
      </c>
      <c r="AS31" s="105">
        <v>3288.519764550841</v>
      </c>
      <c r="AT31" s="105">
        <v>19.171637227501009</v>
      </c>
      <c r="AU31" s="105">
        <v>3404.8827716041792</v>
      </c>
      <c r="AV31" s="105">
        <v>16.230691429939348</v>
      </c>
      <c r="AW31" s="105">
        <v>2882.570797957228</v>
      </c>
      <c r="AX31" s="105">
        <v>21.428615684177711</v>
      </c>
      <c r="AY31" s="105">
        <v>3805.7221455099611</v>
      </c>
      <c r="AZ31" s="105">
        <v>22.718584290522802</v>
      </c>
      <c r="BA31" s="105">
        <v>4034.8205699968494</v>
      </c>
      <c r="BB31" s="105">
        <v>28.446869671144718</v>
      </c>
      <c r="BC31" s="105">
        <v>5052.164053595302</v>
      </c>
      <c r="BD31" s="105">
        <v>25.578579495318852</v>
      </c>
      <c r="BE31" s="105">
        <v>4542.7557183686276</v>
      </c>
      <c r="BF31" s="105">
        <v>24.00651596788655</v>
      </c>
      <c r="BG31" s="105">
        <v>4263.557235896651</v>
      </c>
      <c r="BH31" s="105">
        <v>23.85866488547622</v>
      </c>
      <c r="BI31" s="105">
        <v>4237.2988836605764</v>
      </c>
      <c r="BJ31" s="105">
        <v>25.006483340218708</v>
      </c>
      <c r="BK31" s="105">
        <v>4441.1514412228425</v>
      </c>
      <c r="BL31" s="105">
        <v>25.059778691181243</v>
      </c>
      <c r="BM31" s="105">
        <v>4450.6166955537883</v>
      </c>
      <c r="BN31" s="105">
        <v>29</v>
      </c>
      <c r="BO31" s="105">
        <v>5150.3999999999996</v>
      </c>
      <c r="BP31" s="105">
        <v>22</v>
      </c>
      <c r="BQ31" s="105">
        <v>3907.2</v>
      </c>
      <c r="BR31" s="105">
        <v>22.409303008104811</v>
      </c>
      <c r="BS31" s="105">
        <v>3979.8922142394144</v>
      </c>
      <c r="BT31" s="105">
        <v>25.955934626171473</v>
      </c>
      <c r="BU31" s="105">
        <v>4609.7739896080539</v>
      </c>
      <c r="BV31" s="105">
        <v>29.906745405247637</v>
      </c>
      <c r="BW31" s="105">
        <v>5311.4379839719804</v>
      </c>
      <c r="BX31" s="105">
        <v>25</v>
      </c>
      <c r="BY31" s="105">
        <v>4440</v>
      </c>
      <c r="BZ31" s="105">
        <v>29</v>
      </c>
      <c r="CA31" s="105">
        <v>5150.3999999999996</v>
      </c>
      <c r="CB31" s="105">
        <v>27</v>
      </c>
      <c r="CC31" s="105">
        <v>4795.2</v>
      </c>
      <c r="CD31" s="105">
        <v>30</v>
      </c>
      <c r="CE31" s="105">
        <v>5328</v>
      </c>
      <c r="CF31" s="105">
        <v>20</v>
      </c>
      <c r="CG31" s="105">
        <v>3552</v>
      </c>
      <c r="CH31" s="105">
        <v>38</v>
      </c>
      <c r="CI31" s="105">
        <v>6748.8</v>
      </c>
      <c r="CJ31" s="105">
        <v>26</v>
      </c>
      <c r="CK31" s="105">
        <v>4617.5999999999995</v>
      </c>
      <c r="CL31" s="105">
        <v>34.168273449653846</v>
      </c>
      <c r="CM31" s="105">
        <v>6068.2853646585227</v>
      </c>
      <c r="CN31" s="105">
        <v>20.948294415766938</v>
      </c>
      <c r="CO31" s="105">
        <v>3720.4170882402082</v>
      </c>
      <c r="CP31" s="105">
        <v>19.336887153015638</v>
      </c>
      <c r="CQ31" s="105">
        <v>3434.2311583755773</v>
      </c>
      <c r="CR31" s="105">
        <v>25.294108656039896</v>
      </c>
      <c r="CS31" s="105">
        <v>4492.2336973126858</v>
      </c>
      <c r="CT31" s="105">
        <v>21.509381410587153</v>
      </c>
      <c r="CU31" s="105">
        <v>3820.0661385202784</v>
      </c>
    </row>
    <row r="32" spans="2:99" x14ac:dyDescent="0.2">
      <c r="C32" s="104" t="s">
        <v>200</v>
      </c>
      <c r="D32" s="105">
        <v>29</v>
      </c>
      <c r="E32" s="105">
        <v>19244.400000000001</v>
      </c>
      <c r="F32" s="105">
        <v>23</v>
      </c>
      <c r="G32" s="105">
        <v>15262.800000000001</v>
      </c>
      <c r="H32" s="105">
        <v>34</v>
      </c>
      <c r="I32" s="105">
        <v>22562.400000000001</v>
      </c>
      <c r="J32" s="105">
        <v>18</v>
      </c>
      <c r="K32" s="105">
        <v>11944.800000000001</v>
      </c>
      <c r="L32" s="105">
        <v>31</v>
      </c>
      <c r="M32" s="105">
        <v>20571.600000000002</v>
      </c>
      <c r="N32" s="105">
        <v>17</v>
      </c>
      <c r="O32" s="105">
        <v>11281.2</v>
      </c>
      <c r="P32" s="105">
        <v>22</v>
      </c>
      <c r="Q32" s="105">
        <v>14599.2</v>
      </c>
      <c r="R32" s="105">
        <v>17</v>
      </c>
      <c r="S32" s="105">
        <v>11281.2</v>
      </c>
      <c r="T32" s="105">
        <v>27</v>
      </c>
      <c r="U32" s="105">
        <v>17917.2</v>
      </c>
      <c r="V32" s="105">
        <v>28.643102820976509</v>
      </c>
      <c r="W32" s="105">
        <v>19007.563032000013</v>
      </c>
      <c r="X32" s="105">
        <v>25</v>
      </c>
      <c r="Y32" s="105">
        <v>16590</v>
      </c>
      <c r="Z32" s="105">
        <v>21</v>
      </c>
      <c r="AA32" s="105">
        <v>13935.6</v>
      </c>
      <c r="AB32" s="105">
        <v>24</v>
      </c>
      <c r="AC32" s="105">
        <v>15926.400000000001</v>
      </c>
      <c r="AD32" s="105">
        <v>26</v>
      </c>
      <c r="AE32" s="105">
        <v>17253.600000000002</v>
      </c>
      <c r="AF32" s="105">
        <v>32</v>
      </c>
      <c r="AG32" s="105">
        <v>21235.200000000001</v>
      </c>
      <c r="AH32" s="105">
        <v>21</v>
      </c>
      <c r="AI32" s="105">
        <v>13935.6</v>
      </c>
      <c r="AJ32" s="105">
        <v>23</v>
      </c>
      <c r="AK32" s="105">
        <v>15262.800000000001</v>
      </c>
      <c r="AL32" s="105">
        <v>22</v>
      </c>
      <c r="AM32" s="105">
        <v>14599.2</v>
      </c>
      <c r="AN32" s="105">
        <v>24</v>
      </c>
      <c r="AO32" s="105">
        <v>15926.400000000001</v>
      </c>
      <c r="AP32" s="105">
        <v>30</v>
      </c>
      <c r="AQ32" s="105">
        <v>19908</v>
      </c>
      <c r="AR32" s="105">
        <v>15</v>
      </c>
      <c r="AS32" s="105">
        <v>9954</v>
      </c>
      <c r="AT32" s="105">
        <v>21</v>
      </c>
      <c r="AU32" s="105">
        <v>13935.6</v>
      </c>
      <c r="AV32" s="105">
        <v>15</v>
      </c>
      <c r="AW32" s="105">
        <v>9954</v>
      </c>
      <c r="AX32" s="105">
        <v>22</v>
      </c>
      <c r="AY32" s="105">
        <v>14599.2</v>
      </c>
      <c r="AZ32" s="105">
        <v>28</v>
      </c>
      <c r="BA32" s="105">
        <v>18580.8</v>
      </c>
      <c r="BB32" s="105">
        <v>28</v>
      </c>
      <c r="BC32" s="105">
        <v>18580.8</v>
      </c>
      <c r="BD32" s="105">
        <v>33.351258122574649</v>
      </c>
      <c r="BE32" s="105">
        <v>22131.894890140538</v>
      </c>
      <c r="BF32" s="105">
        <v>35</v>
      </c>
      <c r="BG32" s="105">
        <v>23226</v>
      </c>
      <c r="BH32" s="105">
        <v>26</v>
      </c>
      <c r="BI32" s="105">
        <v>17253.600000000002</v>
      </c>
      <c r="BJ32" s="105">
        <v>25</v>
      </c>
      <c r="BK32" s="105">
        <v>16590</v>
      </c>
      <c r="BL32" s="105">
        <v>33</v>
      </c>
      <c r="BM32" s="105">
        <v>21898.799999999999</v>
      </c>
      <c r="BN32" s="105">
        <v>27</v>
      </c>
      <c r="BO32" s="105">
        <v>17917.2</v>
      </c>
      <c r="BP32" s="105">
        <v>21</v>
      </c>
      <c r="BQ32" s="105">
        <v>13935.6</v>
      </c>
      <c r="BR32" s="105">
        <v>22</v>
      </c>
      <c r="BS32" s="105">
        <v>14599.2</v>
      </c>
      <c r="BT32" s="105">
        <v>31</v>
      </c>
      <c r="BU32" s="105">
        <v>20571.600000000002</v>
      </c>
      <c r="BV32" s="105">
        <v>33</v>
      </c>
      <c r="BW32" s="105">
        <v>21898.799999999999</v>
      </c>
      <c r="BX32" s="105">
        <v>22</v>
      </c>
      <c r="BY32" s="105">
        <v>14599.2</v>
      </c>
      <c r="BZ32" s="105">
        <v>23</v>
      </c>
      <c r="CA32" s="105">
        <v>15262.800000000001</v>
      </c>
      <c r="CB32" s="105">
        <v>26</v>
      </c>
      <c r="CC32" s="105">
        <v>17253.600000000002</v>
      </c>
      <c r="CD32" s="105">
        <v>29</v>
      </c>
      <c r="CE32" s="105">
        <v>19244.400000000001</v>
      </c>
      <c r="CF32" s="105">
        <v>19</v>
      </c>
      <c r="CG32" s="105">
        <v>12608.4</v>
      </c>
      <c r="CH32" s="105">
        <v>36</v>
      </c>
      <c r="CI32" s="105">
        <v>23889.600000000002</v>
      </c>
      <c r="CJ32" s="105">
        <v>22</v>
      </c>
      <c r="CK32" s="105">
        <v>14599.2</v>
      </c>
      <c r="CL32" s="105">
        <v>32</v>
      </c>
      <c r="CM32" s="105">
        <v>21235.200000000001</v>
      </c>
      <c r="CN32" s="105">
        <v>26</v>
      </c>
      <c r="CO32" s="105">
        <v>17253.600000000002</v>
      </c>
      <c r="CP32" s="105">
        <v>24</v>
      </c>
      <c r="CQ32" s="105">
        <v>15926.400000000001</v>
      </c>
      <c r="CR32" s="105">
        <v>26</v>
      </c>
      <c r="CS32" s="105">
        <v>17253.600000000002</v>
      </c>
      <c r="CT32" s="105">
        <v>34</v>
      </c>
      <c r="CU32" s="105">
        <v>22562.400000000001</v>
      </c>
    </row>
    <row r="33" spans="2:99" x14ac:dyDescent="0.2">
      <c r="C33" s="104" t="s">
        <v>201</v>
      </c>
      <c r="D33" s="105">
        <v>21.80671467666188</v>
      </c>
      <c r="E33" s="105">
        <v>7300.8880737463978</v>
      </c>
      <c r="F33" s="105">
        <v>20.702032420015193</v>
      </c>
      <c r="G33" s="105">
        <v>6931.0404542210872</v>
      </c>
      <c r="H33" s="105">
        <v>31.004854241861164</v>
      </c>
      <c r="I33" s="105">
        <v>10380.425200175117</v>
      </c>
      <c r="J33" s="105">
        <v>21</v>
      </c>
      <c r="K33" s="105">
        <v>7030.8</v>
      </c>
      <c r="L33" s="105">
        <v>29.499991665437285</v>
      </c>
      <c r="M33" s="105">
        <v>9876.5972095884026</v>
      </c>
      <c r="N33" s="105">
        <v>16</v>
      </c>
      <c r="O33" s="105">
        <v>5356.8</v>
      </c>
      <c r="P33" s="105">
        <v>20</v>
      </c>
      <c r="Q33" s="105">
        <v>6696</v>
      </c>
      <c r="R33" s="105">
        <v>17</v>
      </c>
      <c r="S33" s="105">
        <v>5691.6</v>
      </c>
      <c r="T33" s="105">
        <v>27</v>
      </c>
      <c r="U33" s="105">
        <v>9039.6</v>
      </c>
      <c r="V33" s="105">
        <v>28</v>
      </c>
      <c r="W33" s="105">
        <v>9374.4</v>
      </c>
      <c r="X33" s="105">
        <v>26</v>
      </c>
      <c r="Y33" s="105">
        <v>8704.8000000000011</v>
      </c>
      <c r="Z33" s="105">
        <v>20.878814337342547</v>
      </c>
      <c r="AA33" s="105">
        <v>6990.2270401422847</v>
      </c>
      <c r="AB33" s="105">
        <v>22.934848525116958</v>
      </c>
      <c r="AC33" s="105">
        <v>7678.5872862091583</v>
      </c>
      <c r="AD33" s="105">
        <v>28</v>
      </c>
      <c r="AE33" s="105">
        <v>9374.4</v>
      </c>
      <c r="AF33" s="105">
        <v>34</v>
      </c>
      <c r="AG33" s="105">
        <v>11383.2</v>
      </c>
      <c r="AH33" s="105">
        <v>25</v>
      </c>
      <c r="AI33" s="105">
        <v>8370</v>
      </c>
      <c r="AJ33" s="105">
        <v>25</v>
      </c>
      <c r="AK33" s="105">
        <v>8370</v>
      </c>
      <c r="AL33" s="105">
        <v>23</v>
      </c>
      <c r="AM33" s="105">
        <v>7700.4000000000005</v>
      </c>
      <c r="AN33" s="105">
        <v>24.429296473010083</v>
      </c>
      <c r="AO33" s="105">
        <v>8178.9284591637761</v>
      </c>
      <c r="AP33" s="105">
        <v>29.647620117739471</v>
      </c>
      <c r="AQ33" s="105">
        <v>9926.0232154191744</v>
      </c>
      <c r="AR33" s="105">
        <v>14.813152092571357</v>
      </c>
      <c r="AS33" s="105">
        <v>4959.4433205928908</v>
      </c>
      <c r="AT33" s="105">
        <v>15.976364356250839</v>
      </c>
      <c r="AU33" s="105">
        <v>5348.8867864727808</v>
      </c>
      <c r="AV33" s="105">
        <v>16.230691429939348</v>
      </c>
      <c r="AW33" s="105">
        <v>5434.035490743694</v>
      </c>
      <c r="AX33" s="105">
        <v>19.780260631548657</v>
      </c>
      <c r="AY33" s="105">
        <v>6622.431259442491</v>
      </c>
      <c r="AZ33" s="105">
        <v>22.718584290522802</v>
      </c>
      <c r="BA33" s="105">
        <v>7606.1820204670348</v>
      </c>
      <c r="BB33" s="105">
        <v>29.364510628278421</v>
      </c>
      <c r="BC33" s="105">
        <v>9831.2381583476163</v>
      </c>
      <c r="BD33" s="105">
        <v>26.377910104547571</v>
      </c>
      <c r="BE33" s="105">
        <v>8831.3243030025278</v>
      </c>
      <c r="BF33" s="105">
        <v>23.279045787041504</v>
      </c>
      <c r="BG33" s="105">
        <v>7793.8245295014958</v>
      </c>
      <c r="BH33" s="105">
        <v>21.105742014075112</v>
      </c>
      <c r="BI33" s="105">
        <v>7066.2024263123476</v>
      </c>
      <c r="BJ33" s="105">
        <v>21.672285561522877</v>
      </c>
      <c r="BK33" s="105">
        <v>7255.8812059978591</v>
      </c>
      <c r="BL33" s="105">
        <v>26.676538606741328</v>
      </c>
      <c r="BM33" s="105">
        <v>8931.3051255369974</v>
      </c>
      <c r="BN33" s="105">
        <v>32</v>
      </c>
      <c r="BO33" s="105">
        <v>10713.6</v>
      </c>
      <c r="BP33" s="105">
        <v>21</v>
      </c>
      <c r="BQ33" s="105">
        <v>7030.8</v>
      </c>
      <c r="BR33" s="105">
        <v>21.434985486013296</v>
      </c>
      <c r="BS33" s="105">
        <v>7176.4331407172522</v>
      </c>
      <c r="BT33" s="105">
        <v>25.11864641242401</v>
      </c>
      <c r="BU33" s="105">
        <v>8409.722818879558</v>
      </c>
      <c r="BV33" s="105">
        <v>26.388304769336145</v>
      </c>
      <c r="BW33" s="105">
        <v>8834.8044367737421</v>
      </c>
      <c r="BX33" s="105">
        <v>23</v>
      </c>
      <c r="BY33" s="105">
        <v>7700.4000000000005</v>
      </c>
      <c r="BZ33" s="105">
        <v>25</v>
      </c>
      <c r="CA33" s="105">
        <v>8370</v>
      </c>
      <c r="CB33" s="105">
        <v>27</v>
      </c>
      <c r="CC33" s="105">
        <v>9039.6</v>
      </c>
      <c r="CD33" s="105">
        <v>30</v>
      </c>
      <c r="CE33" s="105">
        <v>10044</v>
      </c>
      <c r="CF33" s="105">
        <v>18</v>
      </c>
      <c r="CG33" s="105">
        <v>6026.4000000000005</v>
      </c>
      <c r="CH33" s="105">
        <v>36</v>
      </c>
      <c r="CI33" s="105">
        <v>12052.800000000001</v>
      </c>
      <c r="CJ33" s="105">
        <v>27</v>
      </c>
      <c r="CK33" s="105">
        <v>9039.6</v>
      </c>
      <c r="CL33" s="105">
        <v>28.47356120804487</v>
      </c>
      <c r="CM33" s="105">
        <v>9532.9482924534223</v>
      </c>
      <c r="CN33" s="105">
        <v>20.948294415766938</v>
      </c>
      <c r="CO33" s="105">
        <v>7013.488970398771</v>
      </c>
      <c r="CP33" s="105">
        <v>20.88383812525689</v>
      </c>
      <c r="CQ33" s="105">
        <v>6991.9090043360075</v>
      </c>
      <c r="CR33" s="105">
        <v>24.450971700838565</v>
      </c>
      <c r="CS33" s="105">
        <v>8186.1853254407515</v>
      </c>
      <c r="CT33" s="105">
        <v>22.897083437076649</v>
      </c>
      <c r="CU33" s="105">
        <v>7665.9435347332619</v>
      </c>
    </row>
    <row r="34" spans="2:99" x14ac:dyDescent="0.2">
      <c r="C34" s="104" t="s">
        <v>202</v>
      </c>
      <c r="D34" s="105">
        <v>21.80671467666188</v>
      </c>
      <c r="E34" s="105">
        <v>8295.2742630021785</v>
      </c>
      <c r="F34" s="105">
        <v>18.313336371551902</v>
      </c>
      <c r="G34" s="105">
        <v>6966.393155738343</v>
      </c>
      <c r="H34" s="105">
        <v>28.340270657012574</v>
      </c>
      <c r="I34" s="105">
        <v>10780.638957927582</v>
      </c>
      <c r="J34" s="105">
        <v>22</v>
      </c>
      <c r="K34" s="105">
        <v>8368.7999999999993</v>
      </c>
      <c r="L34" s="105">
        <v>30.526945072865018</v>
      </c>
      <c r="M34" s="105">
        <v>11612.449905717853</v>
      </c>
      <c r="N34" s="105">
        <v>17</v>
      </c>
      <c r="O34" s="105">
        <v>6466.7999999999993</v>
      </c>
      <c r="P34" s="105">
        <v>22</v>
      </c>
      <c r="Q34" s="105">
        <v>8368.7999999999993</v>
      </c>
      <c r="R34" s="105">
        <v>19</v>
      </c>
      <c r="S34" s="105">
        <v>7227.5999999999995</v>
      </c>
      <c r="T34" s="105">
        <v>28</v>
      </c>
      <c r="U34" s="105">
        <v>10651.199999999999</v>
      </c>
      <c r="V34" s="105">
        <v>32</v>
      </c>
      <c r="W34" s="105">
        <v>12172.8</v>
      </c>
      <c r="X34" s="105">
        <v>27</v>
      </c>
      <c r="Y34" s="105">
        <v>10270.799999999999</v>
      </c>
      <c r="Z34" s="105">
        <v>20.878814337342547</v>
      </c>
      <c r="AA34" s="105">
        <v>7942.3009739251047</v>
      </c>
      <c r="AB34" s="105">
        <v>19.537093188062595</v>
      </c>
      <c r="AC34" s="105">
        <v>7431.910248739011</v>
      </c>
      <c r="AD34" s="105">
        <v>32</v>
      </c>
      <c r="AE34" s="105">
        <v>12172.8</v>
      </c>
      <c r="AF34" s="105">
        <v>30</v>
      </c>
      <c r="AG34" s="105">
        <v>11412</v>
      </c>
      <c r="AH34" s="105">
        <v>24</v>
      </c>
      <c r="AI34" s="105">
        <v>9129.5999999999985</v>
      </c>
      <c r="AJ34" s="105">
        <v>21</v>
      </c>
      <c r="AK34" s="105">
        <v>7988.4</v>
      </c>
      <c r="AL34" s="105">
        <v>23</v>
      </c>
      <c r="AM34" s="105">
        <v>8749.1999999999989</v>
      </c>
      <c r="AN34" s="105">
        <v>25.368884798895088</v>
      </c>
      <c r="AO34" s="105">
        <v>9650.3237774996906</v>
      </c>
      <c r="AP34" s="105">
        <v>34.429494330278096</v>
      </c>
      <c r="AQ34" s="105">
        <v>13096.979643237788</v>
      </c>
      <c r="AR34" s="105">
        <v>15.738974098357067</v>
      </c>
      <c r="AS34" s="105">
        <v>5987.1057470150281</v>
      </c>
      <c r="AT34" s="105">
        <v>15.976364356250839</v>
      </c>
      <c r="AU34" s="105">
        <v>6077.4090011178187</v>
      </c>
      <c r="AV34" s="105">
        <v>15.328986350498274</v>
      </c>
      <c r="AW34" s="105">
        <v>5831.1464077295432</v>
      </c>
      <c r="AX34" s="105">
        <v>19.780260631548657</v>
      </c>
      <c r="AY34" s="105">
        <v>7524.4111442411086</v>
      </c>
      <c r="AZ34" s="105">
        <v>23.560013338319944</v>
      </c>
      <c r="BA34" s="105">
        <v>8962.2290738969059</v>
      </c>
      <c r="BB34" s="105">
        <v>29.364510628278421</v>
      </c>
      <c r="BC34" s="105">
        <v>11170.259842997111</v>
      </c>
      <c r="BD34" s="105">
        <v>27.177240713776285</v>
      </c>
      <c r="BE34" s="105">
        <v>10338.222367520499</v>
      </c>
      <c r="BF34" s="105">
        <v>23.279045787041504</v>
      </c>
      <c r="BG34" s="105">
        <v>8855.3490173905884</v>
      </c>
      <c r="BH34" s="105">
        <v>21.105742014075112</v>
      </c>
      <c r="BI34" s="105">
        <v>8028.6242621541724</v>
      </c>
      <c r="BJ34" s="105">
        <v>21.672285561522877</v>
      </c>
      <c r="BK34" s="105">
        <v>8244.1374276033021</v>
      </c>
      <c r="BL34" s="105">
        <v>29.101678480081446</v>
      </c>
      <c r="BM34" s="105">
        <v>11070.278493822982</v>
      </c>
      <c r="BN34" s="105">
        <v>27</v>
      </c>
      <c r="BO34" s="105">
        <v>10270.799999999999</v>
      </c>
      <c r="BP34" s="105">
        <v>23</v>
      </c>
      <c r="BQ34" s="105">
        <v>8749.1999999999989</v>
      </c>
      <c r="BR34" s="105">
        <v>23.383620530196321</v>
      </c>
      <c r="BS34" s="105">
        <v>8895.1292496866809</v>
      </c>
      <c r="BT34" s="105">
        <v>26.79322283991894</v>
      </c>
      <c r="BU34" s="105">
        <v>10192.141968305164</v>
      </c>
      <c r="BV34" s="105">
        <v>29.906745405247637</v>
      </c>
      <c r="BW34" s="105">
        <v>11376.5259521562</v>
      </c>
      <c r="BX34" s="105">
        <v>24</v>
      </c>
      <c r="BY34" s="105">
        <v>9129.5999999999985</v>
      </c>
      <c r="BZ34" s="105">
        <v>27</v>
      </c>
      <c r="CA34" s="105">
        <v>10270.799999999999</v>
      </c>
      <c r="CB34" s="105">
        <v>27</v>
      </c>
      <c r="CC34" s="105">
        <v>10270.799999999999</v>
      </c>
      <c r="CD34" s="105">
        <v>34</v>
      </c>
      <c r="CE34" s="105">
        <v>12933.599999999999</v>
      </c>
      <c r="CF34" s="105">
        <v>19</v>
      </c>
      <c r="CG34" s="105">
        <v>7227.5999999999995</v>
      </c>
      <c r="CH34" s="105">
        <v>36</v>
      </c>
      <c r="CI34" s="105">
        <v>13694.4</v>
      </c>
      <c r="CJ34" s="105">
        <v>25</v>
      </c>
      <c r="CK34" s="105">
        <v>9510</v>
      </c>
      <c r="CL34" s="105">
        <v>29.422679914979703</v>
      </c>
      <c r="CM34" s="105">
        <v>11192.387439658278</v>
      </c>
      <c r="CN34" s="105">
        <v>21.786226192397613</v>
      </c>
      <c r="CO34" s="105">
        <v>8287.4804435880524</v>
      </c>
      <c r="CP34" s="105">
        <v>20.88383812525689</v>
      </c>
      <c r="CQ34" s="105">
        <v>7944.2120228477206</v>
      </c>
      <c r="CR34" s="105">
        <v>25.294108656039896</v>
      </c>
      <c r="CS34" s="105">
        <v>9621.878932757576</v>
      </c>
      <c r="CT34" s="105">
        <v>20.81553039734241</v>
      </c>
      <c r="CU34" s="105">
        <v>7918.2277631490524</v>
      </c>
    </row>
    <row r="35" spans="2:99" x14ac:dyDescent="0.2">
      <c r="C35" s="104" t="s">
        <v>203</v>
      </c>
      <c r="D35" s="105">
        <v>22.488174510307566</v>
      </c>
      <c r="E35" s="105">
        <v>9229.1468190302239</v>
      </c>
      <c r="F35" s="105">
        <v>19.109568387706336</v>
      </c>
      <c r="G35" s="105">
        <v>7842.5668663146798</v>
      </c>
      <c r="H35" s="105">
        <v>29.261246884511049</v>
      </c>
      <c r="I35" s="105">
        <v>12008.815721403334</v>
      </c>
      <c r="J35" s="105">
        <v>22</v>
      </c>
      <c r="K35" s="105">
        <v>9028.7999999999993</v>
      </c>
      <c r="L35" s="105">
        <v>27.633029215923916</v>
      </c>
      <c r="M35" s="105">
        <v>11340.595190215174</v>
      </c>
      <c r="N35" s="105">
        <v>17</v>
      </c>
      <c r="O35" s="105">
        <v>6976.7999999999993</v>
      </c>
      <c r="P35" s="105">
        <v>20</v>
      </c>
      <c r="Q35" s="105">
        <v>8208</v>
      </c>
      <c r="R35" s="105">
        <v>18</v>
      </c>
      <c r="S35" s="105">
        <v>7387.2</v>
      </c>
      <c r="T35" s="105">
        <v>25</v>
      </c>
      <c r="U35" s="105">
        <v>10260</v>
      </c>
      <c r="V35" s="105">
        <v>32</v>
      </c>
      <c r="W35" s="105">
        <v>13132.8</v>
      </c>
      <c r="X35" s="105">
        <v>26</v>
      </c>
      <c r="Y35" s="105">
        <v>10670.4</v>
      </c>
      <c r="Z35" s="105">
        <v>21.873043591501716</v>
      </c>
      <c r="AA35" s="105">
        <v>8976.6970899523039</v>
      </c>
      <c r="AB35" s="105">
        <v>21.235970856589777</v>
      </c>
      <c r="AC35" s="105">
        <v>8715.2424395444432</v>
      </c>
      <c r="AD35" s="105">
        <v>26</v>
      </c>
      <c r="AE35" s="105">
        <v>10670.4</v>
      </c>
      <c r="AF35" s="105">
        <v>33</v>
      </c>
      <c r="AG35" s="105">
        <v>13543.199999999999</v>
      </c>
      <c r="AH35" s="105">
        <v>23</v>
      </c>
      <c r="AI35" s="105">
        <v>9439.1999999999989</v>
      </c>
      <c r="AJ35" s="105">
        <v>24</v>
      </c>
      <c r="AK35" s="105">
        <v>9849.5999999999985</v>
      </c>
      <c r="AL35" s="105">
        <v>23</v>
      </c>
      <c r="AM35" s="105">
        <v>9439.1999999999989</v>
      </c>
      <c r="AN35" s="105">
        <v>24.429296473010083</v>
      </c>
      <c r="AO35" s="105">
        <v>10025.783272523338</v>
      </c>
      <c r="AP35" s="105">
        <v>34.429494330278096</v>
      </c>
      <c r="AQ35" s="105">
        <v>14129.86447314613</v>
      </c>
      <c r="AR35" s="105">
        <v>14.813152092571357</v>
      </c>
      <c r="AS35" s="105">
        <v>6079.317618791285</v>
      </c>
      <c r="AT35" s="105">
        <v>17.574000791875925</v>
      </c>
      <c r="AU35" s="105">
        <v>7212.3699249858792</v>
      </c>
      <c r="AV35" s="105">
        <v>16.230691429939348</v>
      </c>
      <c r="AW35" s="105">
        <v>6661.0757628471083</v>
      </c>
      <c r="AX35" s="105">
        <v>19.780260631548657</v>
      </c>
      <c r="AY35" s="105">
        <v>8117.8189631875684</v>
      </c>
      <c r="AZ35" s="105">
        <v>24.401442386117079</v>
      </c>
      <c r="BA35" s="105">
        <v>10014.351955262449</v>
      </c>
      <c r="BB35" s="105">
        <v>28.446869671144718</v>
      </c>
      <c r="BC35" s="105">
        <v>11674.595313037791</v>
      </c>
      <c r="BD35" s="105">
        <v>26.377910104547571</v>
      </c>
      <c r="BE35" s="105">
        <v>10825.494306906323</v>
      </c>
      <c r="BF35" s="105">
        <v>23.279045787041504</v>
      </c>
      <c r="BG35" s="105">
        <v>9553.7203910018325</v>
      </c>
      <c r="BH35" s="105">
        <v>22.023382971208814</v>
      </c>
      <c r="BI35" s="105">
        <v>9038.3963713840967</v>
      </c>
      <c r="BJ35" s="105">
        <v>25.006483340218708</v>
      </c>
      <c r="BK35" s="105">
        <v>10262.660762825757</v>
      </c>
      <c r="BL35" s="105">
        <v>27.484918564521369</v>
      </c>
      <c r="BM35" s="105">
        <v>11279.810578879569</v>
      </c>
      <c r="BN35" s="105">
        <v>30</v>
      </c>
      <c r="BO35" s="105">
        <v>12312</v>
      </c>
      <c r="BP35" s="105">
        <v>24</v>
      </c>
      <c r="BQ35" s="105">
        <v>9849.5999999999985</v>
      </c>
      <c r="BR35" s="105">
        <v>24.357938052287835</v>
      </c>
      <c r="BS35" s="105">
        <v>9996.4977766589273</v>
      </c>
      <c r="BT35" s="105">
        <v>25.11864641242401</v>
      </c>
      <c r="BU35" s="105">
        <v>10308.692487658813</v>
      </c>
      <c r="BV35" s="105">
        <v>29.906745405247637</v>
      </c>
      <c r="BW35" s="105">
        <v>12273.72831431363</v>
      </c>
      <c r="BX35" s="105">
        <v>24</v>
      </c>
      <c r="BY35" s="105">
        <v>9849.5999999999985</v>
      </c>
      <c r="BZ35" s="105">
        <v>24</v>
      </c>
      <c r="CA35" s="105">
        <v>9849.5999999999985</v>
      </c>
      <c r="CB35" s="105">
        <v>25</v>
      </c>
      <c r="CC35" s="105">
        <v>10260</v>
      </c>
      <c r="CD35" s="105">
        <v>30</v>
      </c>
      <c r="CE35" s="105">
        <v>12312</v>
      </c>
      <c r="CF35" s="105">
        <v>19</v>
      </c>
      <c r="CG35" s="105">
        <v>7797.5999999999995</v>
      </c>
      <c r="CH35" s="105">
        <v>33</v>
      </c>
      <c r="CI35" s="105">
        <v>13543.199999999999</v>
      </c>
      <c r="CJ35" s="105">
        <v>26</v>
      </c>
      <c r="CK35" s="105">
        <v>10670.4</v>
      </c>
      <c r="CL35" s="105">
        <v>31.320917328849358</v>
      </c>
      <c r="CM35" s="105">
        <v>12854.104471759776</v>
      </c>
      <c r="CN35" s="105">
        <v>21.786226192397613</v>
      </c>
      <c r="CO35" s="105">
        <v>8941.06722935998</v>
      </c>
      <c r="CP35" s="105">
        <v>20.110362639136262</v>
      </c>
      <c r="CQ35" s="105">
        <v>8253.2928271015207</v>
      </c>
      <c r="CR35" s="105">
        <v>22.764697790435907</v>
      </c>
      <c r="CS35" s="105">
        <v>9342.6319731948952</v>
      </c>
      <c r="CT35" s="105">
        <v>22.897083437076649</v>
      </c>
      <c r="CU35" s="105">
        <v>9396.9630425762571</v>
      </c>
    </row>
    <row r="36" spans="2:99" x14ac:dyDescent="0.2">
      <c r="C36" s="104" t="s">
        <v>204</v>
      </c>
      <c r="D36" s="105">
        <v>30</v>
      </c>
      <c r="E36" s="105">
        <v>13752</v>
      </c>
      <c r="F36" s="105">
        <v>24</v>
      </c>
      <c r="G36" s="105">
        <v>11001.599999999999</v>
      </c>
      <c r="H36" s="105">
        <v>31</v>
      </c>
      <c r="I36" s="105">
        <v>14210.4</v>
      </c>
      <c r="J36" s="105">
        <v>21</v>
      </c>
      <c r="K36" s="105">
        <v>9626.4</v>
      </c>
      <c r="L36" s="105">
        <v>30</v>
      </c>
      <c r="M36" s="105">
        <v>13752</v>
      </c>
      <c r="N36" s="105">
        <v>18</v>
      </c>
      <c r="O36" s="105">
        <v>8251.1999999999989</v>
      </c>
      <c r="P36" s="105">
        <v>22</v>
      </c>
      <c r="Q36" s="105">
        <v>10084.799999999999</v>
      </c>
      <c r="R36" s="105">
        <v>19</v>
      </c>
      <c r="S36" s="105">
        <v>8709.6</v>
      </c>
      <c r="T36" s="105">
        <v>28</v>
      </c>
      <c r="U36" s="105">
        <v>12835.199999999999</v>
      </c>
      <c r="V36" s="105">
        <v>32.643102820976509</v>
      </c>
      <c r="W36" s="105">
        <v>14963.598333135631</v>
      </c>
      <c r="X36" s="105">
        <v>25</v>
      </c>
      <c r="Y36" s="105">
        <v>11460</v>
      </c>
      <c r="Z36" s="105">
        <v>23</v>
      </c>
      <c r="AA36" s="105">
        <v>10543.199999999999</v>
      </c>
      <c r="AB36" s="105">
        <v>26</v>
      </c>
      <c r="AC36" s="105">
        <v>11918.4</v>
      </c>
      <c r="AD36" s="105">
        <v>27</v>
      </c>
      <c r="AE36" s="105">
        <v>12376.8</v>
      </c>
      <c r="AF36" s="105">
        <v>29</v>
      </c>
      <c r="AG36" s="105">
        <v>13293.599999999999</v>
      </c>
      <c r="AH36" s="105">
        <v>24</v>
      </c>
      <c r="AI36" s="105">
        <v>11001.599999999999</v>
      </c>
      <c r="AJ36" s="105">
        <v>21</v>
      </c>
      <c r="AK36" s="105">
        <v>9626.4</v>
      </c>
      <c r="AL36" s="105">
        <v>24</v>
      </c>
      <c r="AM36" s="105">
        <v>11001.599999999999</v>
      </c>
      <c r="AN36" s="105">
        <v>27</v>
      </c>
      <c r="AO36" s="105">
        <v>12376.8</v>
      </c>
      <c r="AP36" s="105">
        <v>31</v>
      </c>
      <c r="AQ36" s="105">
        <v>14210.4</v>
      </c>
      <c r="AR36" s="105">
        <v>16</v>
      </c>
      <c r="AS36" s="105">
        <v>7334.4</v>
      </c>
      <c r="AT36" s="105">
        <v>22</v>
      </c>
      <c r="AU36" s="105">
        <v>10084.799999999999</v>
      </c>
      <c r="AV36" s="105">
        <v>17</v>
      </c>
      <c r="AW36" s="105">
        <v>7792.7999999999993</v>
      </c>
      <c r="AX36" s="105">
        <v>21</v>
      </c>
      <c r="AY36" s="105">
        <v>9626.4</v>
      </c>
      <c r="AZ36" s="105">
        <v>29</v>
      </c>
      <c r="BA36" s="105">
        <v>13293.599999999999</v>
      </c>
      <c r="BB36" s="105">
        <v>28</v>
      </c>
      <c r="BC36" s="105">
        <v>12835.199999999999</v>
      </c>
      <c r="BD36" s="105">
        <v>34.326168256676461</v>
      </c>
      <c r="BE36" s="105">
        <v>15735.11552886049</v>
      </c>
      <c r="BF36" s="105">
        <v>36</v>
      </c>
      <c r="BG36" s="105">
        <v>16502.399999999998</v>
      </c>
      <c r="BH36" s="105">
        <v>24</v>
      </c>
      <c r="BI36" s="105">
        <v>11001.599999999999</v>
      </c>
      <c r="BJ36" s="105">
        <v>29</v>
      </c>
      <c r="BK36" s="105">
        <v>13293.599999999999</v>
      </c>
      <c r="BL36" s="105">
        <v>35</v>
      </c>
      <c r="BM36" s="105">
        <v>16044</v>
      </c>
      <c r="BN36" s="105">
        <v>30</v>
      </c>
      <c r="BO36" s="105">
        <v>13752</v>
      </c>
      <c r="BP36" s="105">
        <v>21</v>
      </c>
      <c r="BQ36" s="105">
        <v>9626.4</v>
      </c>
      <c r="BR36" s="105">
        <v>24</v>
      </c>
      <c r="BS36" s="105">
        <v>11001.599999999999</v>
      </c>
      <c r="BT36" s="105">
        <v>34</v>
      </c>
      <c r="BU36" s="105">
        <v>15585.599999999999</v>
      </c>
      <c r="BV36" s="105">
        <v>33</v>
      </c>
      <c r="BW36" s="105">
        <v>15127.199999999999</v>
      </c>
      <c r="BX36" s="105">
        <v>24</v>
      </c>
      <c r="BY36" s="105">
        <v>11001.599999999999</v>
      </c>
      <c r="BZ36" s="105">
        <v>23</v>
      </c>
      <c r="CA36" s="105">
        <v>10543.199999999999</v>
      </c>
      <c r="CB36" s="105">
        <v>26</v>
      </c>
      <c r="CC36" s="105">
        <v>11918.4</v>
      </c>
      <c r="CD36" s="105">
        <v>32</v>
      </c>
      <c r="CE36" s="105">
        <v>14668.8</v>
      </c>
      <c r="CF36" s="105">
        <v>20</v>
      </c>
      <c r="CG36" s="105">
        <v>9168</v>
      </c>
      <c r="CH36" s="105">
        <v>32</v>
      </c>
      <c r="CI36" s="105">
        <v>14668.8</v>
      </c>
      <c r="CJ36" s="105">
        <v>26</v>
      </c>
      <c r="CK36" s="105">
        <v>11918.4</v>
      </c>
      <c r="CL36" s="105">
        <v>33</v>
      </c>
      <c r="CM36" s="105">
        <v>15127.199999999999</v>
      </c>
      <c r="CN36" s="105">
        <v>24</v>
      </c>
      <c r="CO36" s="105">
        <v>11001.599999999999</v>
      </c>
      <c r="CP36" s="105">
        <v>27</v>
      </c>
      <c r="CQ36" s="105">
        <v>12376.8</v>
      </c>
      <c r="CR36" s="105">
        <v>27</v>
      </c>
      <c r="CS36" s="105">
        <v>12376.8</v>
      </c>
      <c r="CT36" s="105">
        <v>30</v>
      </c>
      <c r="CU36" s="105">
        <v>13752</v>
      </c>
    </row>
    <row r="37" spans="2:99" x14ac:dyDescent="0.2">
      <c r="B37" s="104" t="s">
        <v>128</v>
      </c>
      <c r="C37" s="104" t="s">
        <v>205</v>
      </c>
      <c r="D37" s="105">
        <v>28.621313013118719</v>
      </c>
      <c r="E37" s="105">
        <v>18649.647559348159</v>
      </c>
      <c r="F37" s="105">
        <v>35.034208710794942</v>
      </c>
      <c r="G37" s="105">
        <v>22828.290395953984</v>
      </c>
      <c r="H37" s="105">
        <v>26.350800555545362</v>
      </c>
      <c r="I37" s="105">
        <v>17170.18164199336</v>
      </c>
      <c r="J37" s="105">
        <v>43.018756636964866</v>
      </c>
      <c r="K37" s="105">
        <v>28031.021824646308</v>
      </c>
      <c r="L37" s="105">
        <v>37.030156251938124</v>
      </c>
      <c r="M37" s="105">
        <v>24128.849813762881</v>
      </c>
      <c r="N37" s="105">
        <v>35</v>
      </c>
      <c r="O37" s="105">
        <v>22806</v>
      </c>
      <c r="P37" s="105">
        <v>38</v>
      </c>
      <c r="Q37" s="105">
        <v>24760.799999999999</v>
      </c>
      <c r="R37" s="105">
        <v>33</v>
      </c>
      <c r="S37" s="105">
        <v>21502.799999999999</v>
      </c>
      <c r="T37" s="105">
        <v>39</v>
      </c>
      <c r="U37" s="105">
        <v>25412.400000000001</v>
      </c>
      <c r="V37" s="105">
        <v>41</v>
      </c>
      <c r="W37" s="105">
        <v>26715.600000000002</v>
      </c>
      <c r="X37" s="105">
        <v>45</v>
      </c>
      <c r="Y37" s="105">
        <v>29322</v>
      </c>
      <c r="Z37" s="105">
        <v>40.763399420525928</v>
      </c>
      <c r="AA37" s="105">
        <v>26561.431062414696</v>
      </c>
      <c r="AB37" s="105">
        <v>48.418013553024693</v>
      </c>
      <c r="AC37" s="105">
        <v>31549.177631150891</v>
      </c>
      <c r="AD37" s="105">
        <v>28</v>
      </c>
      <c r="AE37" s="105">
        <v>18244.8</v>
      </c>
      <c r="AF37" s="105">
        <v>33</v>
      </c>
      <c r="AG37" s="105">
        <v>21502.799999999999</v>
      </c>
      <c r="AH37" s="105">
        <v>29</v>
      </c>
      <c r="AI37" s="105">
        <v>18896.400000000001</v>
      </c>
      <c r="AJ37" s="105">
        <v>28</v>
      </c>
      <c r="AK37" s="105">
        <v>18244.8</v>
      </c>
      <c r="AL37" s="105">
        <v>44</v>
      </c>
      <c r="AM37" s="105">
        <v>28670.400000000001</v>
      </c>
      <c r="AN37" s="105">
        <v>39.462709687170133</v>
      </c>
      <c r="AO37" s="105">
        <v>25713.901632160057</v>
      </c>
      <c r="AP37" s="105">
        <v>30.603994960247196</v>
      </c>
      <c r="AQ37" s="105">
        <v>19941.563116097073</v>
      </c>
      <c r="AR37" s="105">
        <v>44.439456277714072</v>
      </c>
      <c r="AS37" s="105">
        <v>28956.749710558492</v>
      </c>
      <c r="AT37" s="105">
        <v>39.142092672814556</v>
      </c>
      <c r="AU37" s="105">
        <v>25504.987585605966</v>
      </c>
      <c r="AV37" s="105">
        <v>40.576728574848367</v>
      </c>
      <c r="AW37" s="105">
        <v>26439.796339371198</v>
      </c>
      <c r="AX37" s="105">
        <v>39.560521263097314</v>
      </c>
      <c r="AY37" s="105">
        <v>25777.63565503421</v>
      </c>
      <c r="AZ37" s="105">
        <v>44.595739533248462</v>
      </c>
      <c r="BA37" s="105">
        <v>29058.583879864698</v>
      </c>
      <c r="BB37" s="105">
        <v>44.964406899551328</v>
      </c>
      <c r="BC37" s="105">
        <v>29298.807535747645</v>
      </c>
      <c r="BD37" s="105">
        <v>36.769208024520857</v>
      </c>
      <c r="BE37" s="105">
        <v>23958.815948777792</v>
      </c>
      <c r="BF37" s="105">
        <v>39.283389765632535</v>
      </c>
      <c r="BG37" s="105">
        <v>25597.056771286159</v>
      </c>
      <c r="BH37" s="105">
        <v>33.952715413946926</v>
      </c>
      <c r="BI37" s="105">
        <v>22123.589363727817</v>
      </c>
      <c r="BJ37" s="105">
        <v>35.842626120980142</v>
      </c>
      <c r="BK37" s="105">
        <v>23355.055180430663</v>
      </c>
      <c r="BL37" s="105">
        <v>42.035757804562088</v>
      </c>
      <c r="BM37" s="105">
        <v>27390.499785452659</v>
      </c>
      <c r="BN37" s="105">
        <v>33</v>
      </c>
      <c r="BO37" s="105">
        <v>21502.799999999999</v>
      </c>
      <c r="BP37" s="105">
        <v>35</v>
      </c>
      <c r="BQ37" s="105">
        <v>22806</v>
      </c>
      <c r="BR37" s="105">
        <v>47.74155858248416</v>
      </c>
      <c r="BS37" s="105">
        <v>31108.39957234668</v>
      </c>
      <c r="BT37" s="105">
        <v>35.166104977393609</v>
      </c>
      <c r="BU37" s="105">
        <v>22914.234003269677</v>
      </c>
      <c r="BV37" s="105">
        <v>34.304796200136991</v>
      </c>
      <c r="BW37" s="105">
        <v>22353.005204009263</v>
      </c>
      <c r="BX37" s="105">
        <v>34</v>
      </c>
      <c r="BY37" s="105">
        <v>22154.400000000001</v>
      </c>
      <c r="BZ37" s="105">
        <v>32</v>
      </c>
      <c r="CA37" s="105">
        <v>20851.2</v>
      </c>
      <c r="CB37" s="105">
        <v>33</v>
      </c>
      <c r="CC37" s="105">
        <v>21502.799999999999</v>
      </c>
      <c r="CD37" s="105">
        <v>36</v>
      </c>
      <c r="CE37" s="105">
        <v>23457.600000000002</v>
      </c>
      <c r="CF37" s="105">
        <v>35</v>
      </c>
      <c r="CG37" s="105">
        <v>22806</v>
      </c>
      <c r="CH37" s="105">
        <v>34</v>
      </c>
      <c r="CI37" s="105">
        <v>22154.400000000001</v>
      </c>
      <c r="CJ37" s="105">
        <v>45</v>
      </c>
      <c r="CK37" s="105">
        <v>29322</v>
      </c>
      <c r="CL37" s="105">
        <v>37.01562957045833</v>
      </c>
      <c r="CM37" s="105">
        <v>24119.384228110648</v>
      </c>
      <c r="CN37" s="105">
        <v>38.544861725011167</v>
      </c>
      <c r="CO37" s="105">
        <v>25115.831900017278</v>
      </c>
      <c r="CP37" s="105">
        <v>43.314627222755036</v>
      </c>
      <c r="CQ37" s="105">
        <v>28223.811098347182</v>
      </c>
      <c r="CR37" s="105">
        <v>44.686258625670476</v>
      </c>
      <c r="CS37" s="105">
        <v>29117.566120486885</v>
      </c>
      <c r="CT37" s="105">
        <v>34.692550662237352</v>
      </c>
      <c r="CU37" s="105">
        <v>22605.666011513858</v>
      </c>
    </row>
    <row r="38" spans="2:99" x14ac:dyDescent="0.2">
      <c r="C38" s="104" t="s">
        <v>206</v>
      </c>
      <c r="D38" s="105">
        <v>29.984232680410088</v>
      </c>
      <c r="E38" s="105">
        <v>30943.72812618321</v>
      </c>
      <c r="F38" s="105">
        <v>39.811600807721526</v>
      </c>
      <c r="G38" s="105">
        <v>41085.572033568613</v>
      </c>
      <c r="H38" s="105">
        <v>24.607193198195251</v>
      </c>
      <c r="I38" s="105">
        <v>25394.623380537498</v>
      </c>
      <c r="J38" s="105">
        <v>44.018756636964866</v>
      </c>
      <c r="K38" s="105">
        <v>45427.356849347743</v>
      </c>
      <c r="L38" s="105">
        <v>36.967841463490764</v>
      </c>
      <c r="M38" s="105">
        <v>38150.81239032247</v>
      </c>
      <c r="N38" s="105">
        <v>29</v>
      </c>
      <c r="O38" s="105">
        <v>29928</v>
      </c>
      <c r="P38" s="105">
        <v>41</v>
      </c>
      <c r="Q38" s="105">
        <v>42312</v>
      </c>
      <c r="R38" s="105">
        <v>36</v>
      </c>
      <c r="S38" s="105">
        <v>37152</v>
      </c>
      <c r="T38" s="105">
        <v>33</v>
      </c>
      <c r="U38" s="105">
        <v>34056</v>
      </c>
      <c r="V38" s="105">
        <v>32</v>
      </c>
      <c r="W38" s="105">
        <v>33024</v>
      </c>
      <c r="X38" s="105">
        <v>40</v>
      </c>
      <c r="Y38" s="105">
        <v>41280</v>
      </c>
      <c r="Z38" s="105">
        <v>34.798023895570914</v>
      </c>
      <c r="AA38" s="105">
        <v>35911.560660229181</v>
      </c>
      <c r="AB38" s="105">
        <v>45.020258215970323</v>
      </c>
      <c r="AC38" s="105">
        <v>46460.90647888137</v>
      </c>
      <c r="AD38" s="105">
        <v>28</v>
      </c>
      <c r="AE38" s="105">
        <v>28896</v>
      </c>
      <c r="AF38" s="105">
        <v>36</v>
      </c>
      <c r="AG38" s="105">
        <v>37152</v>
      </c>
      <c r="AH38" s="105">
        <v>31</v>
      </c>
      <c r="AI38" s="105">
        <v>31992</v>
      </c>
      <c r="AJ38" s="105">
        <v>27</v>
      </c>
      <c r="AK38" s="105">
        <v>27864</v>
      </c>
      <c r="AL38" s="105">
        <v>46</v>
      </c>
      <c r="AM38" s="105">
        <v>47472</v>
      </c>
      <c r="AN38" s="105">
        <v>35.70435638363012</v>
      </c>
      <c r="AO38" s="105">
        <v>36846.895787906287</v>
      </c>
      <c r="AP38" s="105">
        <v>33.473119487770369</v>
      </c>
      <c r="AQ38" s="105">
        <v>34544.259311379021</v>
      </c>
      <c r="AR38" s="105">
        <v>44.439456277714072</v>
      </c>
      <c r="AS38" s="105">
        <v>45861.518878600924</v>
      </c>
      <c r="AT38" s="105">
        <v>38.343274455002017</v>
      </c>
      <c r="AU38" s="105">
        <v>39570.259237562081</v>
      </c>
      <c r="AV38" s="105">
        <v>34.264793018760848</v>
      </c>
      <c r="AW38" s="105">
        <v>35361.266395361192</v>
      </c>
      <c r="AX38" s="105">
        <v>32.967101052581093</v>
      </c>
      <c r="AY38" s="105">
        <v>34022.048286263685</v>
      </c>
      <c r="AZ38" s="105">
        <v>42.071452389857043</v>
      </c>
      <c r="BA38" s="105">
        <v>43417.738866332467</v>
      </c>
      <c r="BB38" s="105">
        <v>38.540920199615428</v>
      </c>
      <c r="BC38" s="105">
        <v>39774.229646003121</v>
      </c>
      <c r="BD38" s="105">
        <v>34.371216196834716</v>
      </c>
      <c r="BE38" s="105">
        <v>35471.09511513343</v>
      </c>
      <c r="BF38" s="105">
        <v>36.373509042252351</v>
      </c>
      <c r="BG38" s="105">
        <v>37537.461331604427</v>
      </c>
      <c r="BH38" s="105">
        <v>34.870356371080625</v>
      </c>
      <c r="BI38" s="105">
        <v>35986.207774955205</v>
      </c>
      <c r="BJ38" s="105">
        <v>35.842626120980142</v>
      </c>
      <c r="BK38" s="105">
        <v>36989.590156851504</v>
      </c>
      <c r="BL38" s="105">
        <v>41.227377846782048</v>
      </c>
      <c r="BM38" s="105">
        <v>42546.653937879077</v>
      </c>
      <c r="BN38" s="105">
        <v>33</v>
      </c>
      <c r="BO38" s="105">
        <v>34056</v>
      </c>
      <c r="BP38" s="105">
        <v>34</v>
      </c>
      <c r="BQ38" s="105">
        <v>35088</v>
      </c>
      <c r="BR38" s="105">
        <v>50.664511148758699</v>
      </c>
      <c r="BS38" s="105">
        <v>52285.775505518977</v>
      </c>
      <c r="BT38" s="105">
        <v>30.979663908656274</v>
      </c>
      <c r="BU38" s="105">
        <v>31971.013153733275</v>
      </c>
      <c r="BV38" s="105">
        <v>32.545575882181247</v>
      </c>
      <c r="BW38" s="105">
        <v>33587.034310411043</v>
      </c>
      <c r="BX38" s="105">
        <v>34</v>
      </c>
      <c r="BY38" s="105">
        <v>35088</v>
      </c>
      <c r="BZ38" s="105">
        <v>29</v>
      </c>
      <c r="CA38" s="105">
        <v>29928</v>
      </c>
      <c r="CB38" s="105">
        <v>36</v>
      </c>
      <c r="CC38" s="105">
        <v>37152</v>
      </c>
      <c r="CD38" s="105">
        <v>34</v>
      </c>
      <c r="CE38" s="105">
        <v>35088</v>
      </c>
      <c r="CF38" s="105">
        <v>34</v>
      </c>
      <c r="CG38" s="105">
        <v>35088</v>
      </c>
      <c r="CH38" s="105">
        <v>34</v>
      </c>
      <c r="CI38" s="105">
        <v>35088</v>
      </c>
      <c r="CJ38" s="105">
        <v>40</v>
      </c>
      <c r="CK38" s="105">
        <v>41280</v>
      </c>
      <c r="CL38" s="105">
        <v>36.066510863523504</v>
      </c>
      <c r="CM38" s="105">
        <v>37220.63921115626</v>
      </c>
      <c r="CN38" s="105">
        <v>38.544861725011167</v>
      </c>
      <c r="CO38" s="105">
        <v>39778.297300211525</v>
      </c>
      <c r="CP38" s="105">
        <v>34.032921389307525</v>
      </c>
      <c r="CQ38" s="105">
        <v>35121.974873765364</v>
      </c>
      <c r="CR38" s="105">
        <v>46.372532536073138</v>
      </c>
      <c r="CS38" s="105">
        <v>47856.453577227476</v>
      </c>
      <c r="CT38" s="105">
        <v>36.774103701971583</v>
      </c>
      <c r="CU38" s="105">
        <v>37950.875020434672</v>
      </c>
    </row>
    <row r="39" spans="2:99" x14ac:dyDescent="0.2">
      <c r="C39" s="104" t="s">
        <v>207</v>
      </c>
      <c r="D39" s="105">
        <v>29.984232680410088</v>
      </c>
      <c r="E39" s="105">
        <v>36340.890008657028</v>
      </c>
      <c r="F39" s="105">
        <v>32.645512662331654</v>
      </c>
      <c r="G39" s="105">
        <v>39566.361346745965</v>
      </c>
      <c r="H39" s="105">
        <v>24.607193198195251</v>
      </c>
      <c r="I39" s="105">
        <v>29823.918156212643</v>
      </c>
      <c r="J39" s="105">
        <v>44</v>
      </c>
      <c r="K39" s="105">
        <v>53328</v>
      </c>
      <c r="L39" s="105">
        <v>33.109286987569291</v>
      </c>
      <c r="M39" s="105">
        <v>40128.455828933984</v>
      </c>
      <c r="N39" s="105">
        <v>28</v>
      </c>
      <c r="O39" s="105">
        <v>33936</v>
      </c>
      <c r="P39" s="105">
        <v>36</v>
      </c>
      <c r="Q39" s="105">
        <v>43632</v>
      </c>
      <c r="R39" s="105">
        <v>35</v>
      </c>
      <c r="S39" s="105">
        <v>42420</v>
      </c>
      <c r="T39" s="105">
        <v>35</v>
      </c>
      <c r="U39" s="105">
        <v>42420</v>
      </c>
      <c r="V39" s="105">
        <v>36</v>
      </c>
      <c r="W39" s="105">
        <v>43632</v>
      </c>
      <c r="X39" s="105">
        <v>41</v>
      </c>
      <c r="Y39" s="105">
        <v>49692</v>
      </c>
      <c r="Z39" s="105">
        <v>32.809565387252576</v>
      </c>
      <c r="AA39" s="105">
        <v>39765.193249350123</v>
      </c>
      <c r="AB39" s="105">
        <v>43.321380547443148</v>
      </c>
      <c r="AC39" s="105">
        <v>52505.513223501097</v>
      </c>
      <c r="AD39" s="105">
        <v>25</v>
      </c>
      <c r="AE39" s="105">
        <v>30300</v>
      </c>
      <c r="AF39" s="105">
        <v>35</v>
      </c>
      <c r="AG39" s="105">
        <v>42420</v>
      </c>
      <c r="AH39" s="105">
        <v>28</v>
      </c>
      <c r="AI39" s="105">
        <v>33936</v>
      </c>
      <c r="AJ39" s="105">
        <v>23</v>
      </c>
      <c r="AK39" s="105">
        <v>27876</v>
      </c>
      <c r="AL39" s="105">
        <v>47</v>
      </c>
      <c r="AM39" s="105">
        <v>56964</v>
      </c>
      <c r="AN39" s="105">
        <v>38.523121361285128</v>
      </c>
      <c r="AO39" s="105">
        <v>46690.023089877577</v>
      </c>
      <c r="AP39" s="105">
        <v>31.56036980275492</v>
      </c>
      <c r="AQ39" s="105">
        <v>38251.168200938962</v>
      </c>
      <c r="AR39" s="105">
        <v>37.032880231428393</v>
      </c>
      <c r="AS39" s="105">
        <v>44883.850840491214</v>
      </c>
      <c r="AT39" s="105">
        <v>33.550365148126765</v>
      </c>
      <c r="AU39" s="105">
        <v>40663.04255952964</v>
      </c>
      <c r="AV39" s="105">
        <v>35.16649809820192</v>
      </c>
      <c r="AW39" s="105">
        <v>42621.79569502073</v>
      </c>
      <c r="AX39" s="105">
        <v>36.263811157839207</v>
      </c>
      <c r="AY39" s="105">
        <v>43951.739123301122</v>
      </c>
      <c r="AZ39" s="105">
        <v>43.75431048545132</v>
      </c>
      <c r="BA39" s="105">
        <v>53030.224308367004</v>
      </c>
      <c r="BB39" s="105">
        <v>39.458561156749127</v>
      </c>
      <c r="BC39" s="105">
        <v>47823.776121979943</v>
      </c>
      <c r="BD39" s="105">
        <v>32.772554978377279</v>
      </c>
      <c r="BE39" s="105">
        <v>39720.33663379326</v>
      </c>
      <c r="BF39" s="105">
        <v>34.918568680562252</v>
      </c>
      <c r="BG39" s="105">
        <v>42321.305240841451</v>
      </c>
      <c r="BH39" s="105">
        <v>34.870356371080625</v>
      </c>
      <c r="BI39" s="105">
        <v>42262.87192174972</v>
      </c>
      <c r="BJ39" s="105">
        <v>29.174230563588488</v>
      </c>
      <c r="BK39" s="105">
        <v>35359.167443069244</v>
      </c>
      <c r="BL39" s="105">
        <v>39.610617931221967</v>
      </c>
      <c r="BM39" s="105">
        <v>48008.068932641021</v>
      </c>
      <c r="BN39" s="105">
        <v>32</v>
      </c>
      <c r="BO39" s="105">
        <v>38784</v>
      </c>
      <c r="BP39" s="105">
        <v>30</v>
      </c>
      <c r="BQ39" s="105">
        <v>36360</v>
      </c>
      <c r="BR39" s="105">
        <v>43.844288494118103</v>
      </c>
      <c r="BS39" s="105">
        <v>53139.277654871141</v>
      </c>
      <c r="BT39" s="105">
        <v>30.979663908656274</v>
      </c>
      <c r="BU39" s="105">
        <v>37547.352657291405</v>
      </c>
      <c r="BV39" s="105">
        <v>29.027135246269765</v>
      </c>
      <c r="BW39" s="105">
        <v>35180.887918478955</v>
      </c>
      <c r="BX39" s="105">
        <v>30</v>
      </c>
      <c r="BY39" s="105">
        <v>36360</v>
      </c>
      <c r="BZ39" s="105">
        <v>28</v>
      </c>
      <c r="CA39" s="105">
        <v>33936</v>
      </c>
      <c r="CB39" s="105">
        <v>31</v>
      </c>
      <c r="CC39" s="105">
        <v>37572</v>
      </c>
      <c r="CD39" s="105">
        <v>29</v>
      </c>
      <c r="CE39" s="105">
        <v>35148</v>
      </c>
      <c r="CF39" s="105">
        <v>38</v>
      </c>
      <c r="CG39" s="105">
        <v>46056</v>
      </c>
      <c r="CH39" s="105">
        <v>33</v>
      </c>
      <c r="CI39" s="105">
        <v>39996</v>
      </c>
      <c r="CJ39" s="105">
        <v>37</v>
      </c>
      <c r="CK39" s="105">
        <v>44844</v>
      </c>
      <c r="CL39" s="105">
        <v>31.320917328849358</v>
      </c>
      <c r="CM39" s="105">
        <v>37960.951802565425</v>
      </c>
      <c r="CN39" s="105">
        <v>37.706929948380484</v>
      </c>
      <c r="CO39" s="105">
        <v>45700.79909743715</v>
      </c>
      <c r="CP39" s="105">
        <v>39.447249792151901</v>
      </c>
      <c r="CQ39" s="105">
        <v>47810.066748088102</v>
      </c>
      <c r="CR39" s="105">
        <v>42.999984715267829</v>
      </c>
      <c r="CS39" s="105">
        <v>52115.981474904605</v>
      </c>
      <c r="CT39" s="105">
        <v>36.080252688726837</v>
      </c>
      <c r="CU39" s="105">
        <v>43729.266258736927</v>
      </c>
    </row>
    <row r="40" spans="2:99" x14ac:dyDescent="0.2">
      <c r="C40" s="104" t="s">
        <v>208</v>
      </c>
      <c r="D40" s="105">
        <v>27.939853179473037</v>
      </c>
      <c r="E40" s="105">
        <v>14450.492064423453</v>
      </c>
      <c r="F40" s="105">
        <v>42.200296856184821</v>
      </c>
      <c r="G40" s="105">
        <v>21825.993534018788</v>
      </c>
      <c r="H40" s="105">
        <v>24.656365747018668</v>
      </c>
      <c r="I40" s="105">
        <v>12752.272364358054</v>
      </c>
      <c r="J40" s="105">
        <v>42.018756636964866</v>
      </c>
      <c r="K40" s="105">
        <v>21732.100932638226</v>
      </c>
      <c r="L40" s="105">
        <v>36.065517632957757</v>
      </c>
      <c r="M40" s="105">
        <v>18653.08571976575</v>
      </c>
      <c r="N40" s="105">
        <v>36</v>
      </c>
      <c r="O40" s="105">
        <v>18619.199999999997</v>
      </c>
      <c r="P40" s="105">
        <v>42</v>
      </c>
      <c r="Q40" s="105">
        <v>21722.399999999998</v>
      </c>
      <c r="R40" s="105">
        <v>34</v>
      </c>
      <c r="S40" s="105">
        <v>17584.8</v>
      </c>
      <c r="T40" s="105">
        <v>36</v>
      </c>
      <c r="U40" s="105">
        <v>18619.199999999997</v>
      </c>
      <c r="V40" s="105">
        <v>39</v>
      </c>
      <c r="W40" s="105">
        <v>20170.799999999996</v>
      </c>
      <c r="X40" s="105">
        <v>49</v>
      </c>
      <c r="Y40" s="105">
        <v>25342.799999999996</v>
      </c>
      <c r="Z40" s="105">
        <v>39.769170166366756</v>
      </c>
      <c r="AA40" s="105">
        <v>20568.614810044885</v>
      </c>
      <c r="AB40" s="105">
        <v>48.418013553024693</v>
      </c>
      <c r="AC40" s="105">
        <v>25041.796609624369</v>
      </c>
      <c r="AD40" s="105">
        <v>29</v>
      </c>
      <c r="AE40" s="105">
        <v>14998.799999999997</v>
      </c>
      <c r="AF40" s="105">
        <v>39</v>
      </c>
      <c r="AG40" s="105">
        <v>20170.799999999996</v>
      </c>
      <c r="AH40" s="105">
        <v>35</v>
      </c>
      <c r="AI40" s="105">
        <v>18101.999999999996</v>
      </c>
      <c r="AJ40" s="105">
        <v>25</v>
      </c>
      <c r="AK40" s="105">
        <v>12929.999999999998</v>
      </c>
      <c r="AL40" s="105">
        <v>46</v>
      </c>
      <c r="AM40" s="105">
        <v>23791.199999999997</v>
      </c>
      <c r="AN40" s="105">
        <v>38.523121361285128</v>
      </c>
      <c r="AO40" s="105">
        <v>19924.158368056665</v>
      </c>
      <c r="AP40" s="105">
        <v>31.56036980275492</v>
      </c>
      <c r="AQ40" s="105">
        <v>16323.023261984843</v>
      </c>
      <c r="AR40" s="105">
        <v>41.661990260356944</v>
      </c>
      <c r="AS40" s="105">
        <v>21547.581362656609</v>
      </c>
      <c r="AT40" s="105">
        <v>39.940910890627094</v>
      </c>
      <c r="AU40" s="105">
        <v>20657.439112632332</v>
      </c>
      <c r="AV40" s="105">
        <v>38.773318415966216</v>
      </c>
      <c r="AW40" s="105">
        <v>20053.560284737723</v>
      </c>
      <c r="AX40" s="105">
        <v>40.384698789411843</v>
      </c>
      <c r="AY40" s="105">
        <v>20886.966213883803</v>
      </c>
      <c r="AZ40" s="105">
        <v>43.75431048545132</v>
      </c>
      <c r="BA40" s="105">
        <v>22629.729383075421</v>
      </c>
      <c r="BB40" s="105">
        <v>45.882047856685034</v>
      </c>
      <c r="BC40" s="105">
        <v>23730.195151477496</v>
      </c>
      <c r="BD40" s="105">
        <v>35.170546806063427</v>
      </c>
      <c r="BE40" s="105">
        <v>18190.206808096002</v>
      </c>
      <c r="BF40" s="105">
        <v>35.646038861407305</v>
      </c>
      <c r="BG40" s="105">
        <v>18436.131299119857</v>
      </c>
      <c r="BH40" s="105">
        <v>33.952715413946926</v>
      </c>
      <c r="BI40" s="105">
        <v>17560.344412093349</v>
      </c>
      <c r="BJ40" s="105">
        <v>35.009076676306186</v>
      </c>
      <c r="BK40" s="105">
        <v>18106.694456985559</v>
      </c>
      <c r="BL40" s="105">
        <v>47.694417509022365</v>
      </c>
      <c r="BM40" s="105">
        <v>24667.552735666362</v>
      </c>
      <c r="BN40" s="105">
        <v>32</v>
      </c>
      <c r="BO40" s="105">
        <v>16550.399999999998</v>
      </c>
      <c r="BP40" s="105">
        <v>35</v>
      </c>
      <c r="BQ40" s="105">
        <v>18101.999999999996</v>
      </c>
      <c r="BR40" s="105">
        <v>53.587463715033238</v>
      </c>
      <c r="BS40" s="105">
        <v>27715.436233415188</v>
      </c>
      <c r="BT40" s="105">
        <v>36.003393191141072</v>
      </c>
      <c r="BU40" s="105">
        <v>18620.954958458158</v>
      </c>
      <c r="BV40" s="105">
        <v>36.064016518092735</v>
      </c>
      <c r="BW40" s="105">
        <v>18652.309343157562</v>
      </c>
      <c r="BX40" s="105">
        <v>33</v>
      </c>
      <c r="BY40" s="105">
        <v>17067.599999999999</v>
      </c>
      <c r="BZ40" s="105">
        <v>32</v>
      </c>
      <c r="CA40" s="105">
        <v>16550.399999999998</v>
      </c>
      <c r="CB40" s="105">
        <v>36</v>
      </c>
      <c r="CC40" s="105">
        <v>18619.199999999997</v>
      </c>
      <c r="CD40" s="105">
        <v>32</v>
      </c>
      <c r="CE40" s="105">
        <v>16550.399999999998</v>
      </c>
      <c r="CF40" s="105">
        <v>38</v>
      </c>
      <c r="CG40" s="105">
        <v>19653.599999999999</v>
      </c>
      <c r="CH40" s="105">
        <v>36</v>
      </c>
      <c r="CI40" s="105">
        <v>18619.199999999997</v>
      </c>
      <c r="CJ40" s="105">
        <v>45</v>
      </c>
      <c r="CK40" s="105">
        <v>23273.999999999996</v>
      </c>
      <c r="CL40" s="105">
        <v>40.812104398197647</v>
      </c>
      <c r="CM40" s="105">
        <v>21108.020394747819</v>
      </c>
      <c r="CN40" s="105">
        <v>40.220725278272518</v>
      </c>
      <c r="CO40" s="105">
        <v>20802.159113922542</v>
      </c>
      <c r="CP40" s="105">
        <v>37.126823333790028</v>
      </c>
      <c r="CQ40" s="105">
        <v>19201.9930282362</v>
      </c>
      <c r="CR40" s="105">
        <v>42.999984715267829</v>
      </c>
      <c r="CS40" s="105">
        <v>22239.592094736519</v>
      </c>
      <c r="CT40" s="105">
        <v>34.692550662237352</v>
      </c>
      <c r="CU40" s="105">
        <v>17942.987202509157</v>
      </c>
    </row>
    <row r="41" spans="2:99" x14ac:dyDescent="0.2">
      <c r="C41" s="104" t="s">
        <v>209</v>
      </c>
      <c r="D41" s="105">
        <v>31.347152347701456</v>
      </c>
      <c r="E41" s="105">
        <v>14256.684887734622</v>
      </c>
      <c r="F41" s="105">
        <v>38.219136775412672</v>
      </c>
      <c r="G41" s="105">
        <v>17382.063405457684</v>
      </c>
      <c r="H41" s="105">
        <v>23.735389519520194</v>
      </c>
      <c r="I41" s="105">
        <v>10794.855153477783</v>
      </c>
      <c r="J41" s="105">
        <v>48</v>
      </c>
      <c r="K41" s="105">
        <v>21830.400000000001</v>
      </c>
      <c r="L41" s="105">
        <v>42.755673177372962</v>
      </c>
      <c r="M41" s="105">
        <v>19445.280161069222</v>
      </c>
      <c r="N41" s="105">
        <v>37</v>
      </c>
      <c r="O41" s="105">
        <v>16827.600000000002</v>
      </c>
      <c r="P41" s="105">
        <v>40</v>
      </c>
      <c r="Q41" s="105">
        <v>18192</v>
      </c>
      <c r="R41" s="105">
        <v>39</v>
      </c>
      <c r="S41" s="105">
        <v>17737.2</v>
      </c>
      <c r="T41" s="105">
        <v>37</v>
      </c>
      <c r="U41" s="105">
        <v>16827.600000000002</v>
      </c>
      <c r="V41" s="105">
        <v>35</v>
      </c>
      <c r="W41" s="105">
        <v>15918</v>
      </c>
      <c r="X41" s="105">
        <v>49</v>
      </c>
      <c r="Y41" s="105">
        <v>22285.200000000001</v>
      </c>
      <c r="Z41" s="105">
        <v>37.780711658048418</v>
      </c>
      <c r="AA41" s="105">
        <v>17182.667662080421</v>
      </c>
      <c r="AB41" s="105">
        <v>46.719135884497504</v>
      </c>
      <c r="AC41" s="105">
        <v>21247.863000269466</v>
      </c>
      <c r="AD41" s="105">
        <v>34</v>
      </c>
      <c r="AE41" s="105">
        <v>15463.2</v>
      </c>
      <c r="AF41" s="105">
        <v>39</v>
      </c>
      <c r="AG41" s="105">
        <v>17737.2</v>
      </c>
      <c r="AH41" s="105">
        <v>35</v>
      </c>
      <c r="AI41" s="105">
        <v>15918</v>
      </c>
      <c r="AJ41" s="105">
        <v>29</v>
      </c>
      <c r="AK41" s="105">
        <v>13189.2</v>
      </c>
      <c r="AL41" s="105">
        <v>51</v>
      </c>
      <c r="AM41" s="105">
        <v>23194.799999999999</v>
      </c>
      <c r="AN41" s="105">
        <v>40.402298013055137</v>
      </c>
      <c r="AO41" s="105">
        <v>18374.965136337476</v>
      </c>
      <c r="AP41" s="105">
        <v>30.603994960247196</v>
      </c>
      <c r="AQ41" s="105">
        <v>13918.696907920425</v>
      </c>
      <c r="AR41" s="105">
        <v>47.2169222950712</v>
      </c>
      <c r="AS41" s="105">
        <v>21474.256259798382</v>
      </c>
      <c r="AT41" s="105">
        <v>40.73972910843964</v>
      </c>
      <c r="AU41" s="105">
        <v>18528.428798518347</v>
      </c>
      <c r="AV41" s="105">
        <v>41.478433654289447</v>
      </c>
      <c r="AW41" s="105">
        <v>18864.391625970842</v>
      </c>
      <c r="AX41" s="105">
        <v>42.0330538420409</v>
      </c>
      <c r="AY41" s="105">
        <v>19116.632887360203</v>
      </c>
      <c r="AZ41" s="105">
        <v>49.6443138200313</v>
      </c>
      <c r="BA41" s="105">
        <v>22578.233925350236</v>
      </c>
      <c r="BB41" s="105">
        <v>44.046765942417629</v>
      </c>
      <c r="BC41" s="105">
        <v>20032.469150611538</v>
      </c>
      <c r="BD41" s="105">
        <v>39.167199852206998</v>
      </c>
      <c r="BE41" s="105">
        <v>17813.242492783742</v>
      </c>
      <c r="BF41" s="105">
        <v>41.46580030816768</v>
      </c>
      <c r="BG41" s="105">
        <v>18858.645980154663</v>
      </c>
      <c r="BH41" s="105">
        <v>41.293843071016532</v>
      </c>
      <c r="BI41" s="105">
        <v>18780.43982869832</v>
      </c>
      <c r="BJ41" s="105">
        <v>35.842626120980142</v>
      </c>
      <c r="BK41" s="105">
        <v>16301.226359821769</v>
      </c>
      <c r="BL41" s="105">
        <v>41.227377846782048</v>
      </c>
      <c r="BM41" s="105">
        <v>18750.211444716475</v>
      </c>
      <c r="BN41" s="105">
        <v>35</v>
      </c>
      <c r="BO41" s="105">
        <v>15918</v>
      </c>
      <c r="BP41" s="105">
        <v>40</v>
      </c>
      <c r="BQ41" s="105">
        <v>18192</v>
      </c>
      <c r="BR41" s="105">
        <v>50.664511148758699</v>
      </c>
      <c r="BS41" s="105">
        <v>23042.219670455455</v>
      </c>
      <c r="BT41" s="105">
        <v>34.328816763646145</v>
      </c>
      <c r="BU41" s="105">
        <v>15612.745864106268</v>
      </c>
      <c r="BV41" s="105">
        <v>33.425186041159122</v>
      </c>
      <c r="BW41" s="105">
        <v>15201.774611519169</v>
      </c>
      <c r="BX41" s="105">
        <v>34</v>
      </c>
      <c r="BY41" s="105">
        <v>15463.2</v>
      </c>
      <c r="BZ41" s="105">
        <v>31</v>
      </c>
      <c r="CA41" s="105">
        <v>14098.800000000001</v>
      </c>
      <c r="CB41" s="105">
        <v>36</v>
      </c>
      <c r="CC41" s="105">
        <v>16372.800000000001</v>
      </c>
      <c r="CD41" s="105">
        <v>32</v>
      </c>
      <c r="CE41" s="105">
        <v>14553.6</v>
      </c>
      <c r="CF41" s="105">
        <v>35</v>
      </c>
      <c r="CG41" s="105">
        <v>15918</v>
      </c>
      <c r="CH41" s="105">
        <v>36</v>
      </c>
      <c r="CI41" s="105">
        <v>16372.800000000001</v>
      </c>
      <c r="CJ41" s="105">
        <v>40</v>
      </c>
      <c r="CK41" s="105">
        <v>18192</v>
      </c>
      <c r="CL41" s="105">
        <v>36.066510863523504</v>
      </c>
      <c r="CM41" s="105">
        <v>16403.049140730491</v>
      </c>
      <c r="CN41" s="105">
        <v>36.868998171749809</v>
      </c>
      <c r="CO41" s="105">
        <v>16768.020368511814</v>
      </c>
      <c r="CP41" s="105">
        <v>39.447249792151901</v>
      </c>
      <c r="CQ41" s="105">
        <v>17940.609205470686</v>
      </c>
      <c r="CR41" s="105">
        <v>45.529395580871814</v>
      </c>
      <c r="CS41" s="105">
        <v>20706.769110180503</v>
      </c>
      <c r="CT41" s="105">
        <v>36.080252688726837</v>
      </c>
      <c r="CU41" s="105">
        <v>16409.298922832964</v>
      </c>
    </row>
    <row r="42" spans="2:99" x14ac:dyDescent="0.2">
      <c r="C42" s="104" t="s">
        <v>210</v>
      </c>
      <c r="D42" s="105">
        <v>28.621313013118719</v>
      </c>
      <c r="E42" s="105">
        <v>19920.433857130629</v>
      </c>
      <c r="F42" s="105">
        <v>40.60783282387596</v>
      </c>
      <c r="G42" s="105">
        <v>28263.051645417669</v>
      </c>
      <c r="H42" s="105">
        <v>23.735389519520194</v>
      </c>
      <c r="I42" s="105">
        <v>16519.831105586054</v>
      </c>
      <c r="J42" s="105">
        <v>41.018756636964866</v>
      </c>
      <c r="K42" s="105">
        <v>28549.054619327548</v>
      </c>
      <c r="L42" s="105">
        <v>40.888710727859596</v>
      </c>
      <c r="M42" s="105">
        <v>28458.542666590278</v>
      </c>
      <c r="N42" s="105">
        <v>34</v>
      </c>
      <c r="O42" s="105">
        <v>23664</v>
      </c>
      <c r="P42" s="105">
        <v>42</v>
      </c>
      <c r="Q42" s="105">
        <v>29232</v>
      </c>
      <c r="R42" s="105">
        <v>36</v>
      </c>
      <c r="S42" s="105">
        <v>25056</v>
      </c>
      <c r="T42" s="105">
        <v>38</v>
      </c>
      <c r="U42" s="105">
        <v>26448</v>
      </c>
      <c r="V42" s="105">
        <v>39</v>
      </c>
      <c r="W42" s="105">
        <v>27144</v>
      </c>
      <c r="X42" s="105">
        <v>43</v>
      </c>
      <c r="Y42" s="105">
        <v>29928</v>
      </c>
      <c r="Z42" s="105">
        <v>36.786482403889252</v>
      </c>
      <c r="AA42" s="105">
        <v>25603.39175310692</v>
      </c>
      <c r="AB42" s="105">
        <v>44.170819381706728</v>
      </c>
      <c r="AC42" s="105">
        <v>30742.890289667885</v>
      </c>
      <c r="AD42" s="105">
        <v>28</v>
      </c>
      <c r="AE42" s="105">
        <v>19488</v>
      </c>
      <c r="AF42" s="105">
        <v>36</v>
      </c>
      <c r="AG42" s="105">
        <v>25056</v>
      </c>
      <c r="AH42" s="105">
        <v>31</v>
      </c>
      <c r="AI42" s="105">
        <v>21576</v>
      </c>
      <c r="AJ42" s="105">
        <v>26</v>
      </c>
      <c r="AK42" s="105">
        <v>18096</v>
      </c>
      <c r="AL42" s="105">
        <v>45</v>
      </c>
      <c r="AM42" s="105">
        <v>31320</v>
      </c>
      <c r="AN42" s="105">
        <v>42.281474664825147</v>
      </c>
      <c r="AO42" s="105">
        <v>29427.906366718304</v>
      </c>
      <c r="AP42" s="105">
        <v>31.56036980275492</v>
      </c>
      <c r="AQ42" s="105">
        <v>21966.017382717426</v>
      </c>
      <c r="AR42" s="105">
        <v>45.365278283499784</v>
      </c>
      <c r="AS42" s="105">
        <v>31574.233685315849</v>
      </c>
      <c r="AT42" s="105">
        <v>39.142092672814556</v>
      </c>
      <c r="AU42" s="105">
        <v>27242.89650027893</v>
      </c>
      <c r="AV42" s="105">
        <v>41.478433654289447</v>
      </c>
      <c r="AW42" s="105">
        <v>28868.989823385455</v>
      </c>
      <c r="AX42" s="105">
        <v>39.560521263097314</v>
      </c>
      <c r="AY42" s="105">
        <v>27534.122799115732</v>
      </c>
      <c r="AZ42" s="105">
        <v>47.96145572443703</v>
      </c>
      <c r="BA42" s="105">
        <v>33381.173184208172</v>
      </c>
      <c r="BB42" s="105">
        <v>45.882047856685034</v>
      </c>
      <c r="BC42" s="105">
        <v>31933.905308252783</v>
      </c>
      <c r="BD42" s="105">
        <v>36.769208024520857</v>
      </c>
      <c r="BE42" s="105">
        <v>25591.368785066516</v>
      </c>
      <c r="BF42" s="105">
        <v>37.100979223097397</v>
      </c>
      <c r="BG42" s="105">
        <v>25822.281539275788</v>
      </c>
      <c r="BH42" s="105">
        <v>33.952715413946926</v>
      </c>
      <c r="BI42" s="105">
        <v>23631.08992810706</v>
      </c>
      <c r="BJ42" s="105">
        <v>31.674878897610363</v>
      </c>
      <c r="BK42" s="105">
        <v>22045.715712736812</v>
      </c>
      <c r="BL42" s="105">
        <v>45.269277635682251</v>
      </c>
      <c r="BM42" s="105">
        <v>31507.417234434848</v>
      </c>
      <c r="BN42" s="105">
        <v>34</v>
      </c>
      <c r="BO42" s="105">
        <v>23664</v>
      </c>
      <c r="BP42" s="105">
        <v>34</v>
      </c>
      <c r="BQ42" s="105">
        <v>23664</v>
      </c>
      <c r="BR42" s="105">
        <v>48.715876104575671</v>
      </c>
      <c r="BS42" s="105">
        <v>33906.24976878467</v>
      </c>
      <c r="BT42" s="105">
        <v>33.491528549898675</v>
      </c>
      <c r="BU42" s="105">
        <v>23310.103870729479</v>
      </c>
      <c r="BV42" s="105">
        <v>34.304796200136991</v>
      </c>
      <c r="BW42" s="105">
        <v>23876.138155295346</v>
      </c>
      <c r="BX42" s="105">
        <v>35</v>
      </c>
      <c r="BY42" s="105">
        <v>24360</v>
      </c>
      <c r="BZ42" s="105">
        <v>35</v>
      </c>
      <c r="CA42" s="105">
        <v>24360</v>
      </c>
      <c r="CB42" s="105">
        <v>36</v>
      </c>
      <c r="CC42" s="105">
        <v>25056</v>
      </c>
      <c r="CD42" s="105">
        <v>33</v>
      </c>
      <c r="CE42" s="105">
        <v>22968</v>
      </c>
      <c r="CF42" s="105">
        <v>38</v>
      </c>
      <c r="CG42" s="105">
        <v>26448</v>
      </c>
      <c r="CH42" s="105">
        <v>34</v>
      </c>
      <c r="CI42" s="105">
        <v>23664</v>
      </c>
      <c r="CJ42" s="105">
        <v>46</v>
      </c>
      <c r="CK42" s="105">
        <v>32016</v>
      </c>
      <c r="CL42" s="105">
        <v>34.168273449653846</v>
      </c>
      <c r="CM42" s="105">
        <v>23781.118320959078</v>
      </c>
      <c r="CN42" s="105">
        <v>34.355202841857775</v>
      </c>
      <c r="CO42" s="105">
        <v>23911.22117793301</v>
      </c>
      <c r="CP42" s="105">
        <v>35.579872361548773</v>
      </c>
      <c r="CQ42" s="105">
        <v>24763.591163637946</v>
      </c>
      <c r="CR42" s="105">
        <v>42.999984715267829</v>
      </c>
      <c r="CS42" s="105">
        <v>29927.98936182641</v>
      </c>
      <c r="CT42" s="105">
        <v>33.304848635747852</v>
      </c>
      <c r="CU42" s="105">
        <v>23180.174650480505</v>
      </c>
    </row>
    <row r="43" spans="2:99" x14ac:dyDescent="0.2">
      <c r="C43" s="104" t="s">
        <v>211</v>
      </c>
      <c r="D43" s="105">
        <v>26.576933512181665</v>
      </c>
      <c r="E43" s="105">
        <v>21654.885425725621</v>
      </c>
      <c r="F43" s="105">
        <v>37.422904759258238</v>
      </c>
      <c r="G43" s="105">
        <v>30492.182797843609</v>
      </c>
      <c r="H43" s="105">
        <v>24.607193198195251</v>
      </c>
      <c r="I43" s="105">
        <v>20049.94101788949</v>
      </c>
      <c r="J43" s="105">
        <v>40.018756636964866</v>
      </c>
      <c r="K43" s="105">
        <v>32607.28290779897</v>
      </c>
      <c r="L43" s="105">
        <v>38.897118701451497</v>
      </c>
      <c r="M43" s="105">
        <v>31693.372317942678</v>
      </c>
      <c r="N43" s="105">
        <v>31</v>
      </c>
      <c r="O43" s="105">
        <v>25258.799999999999</v>
      </c>
      <c r="P43" s="105">
        <v>37</v>
      </c>
      <c r="Q43" s="105">
        <v>30147.599999999999</v>
      </c>
      <c r="R43" s="105">
        <v>36</v>
      </c>
      <c r="S43" s="105">
        <v>29332.799999999999</v>
      </c>
      <c r="T43" s="105">
        <v>39</v>
      </c>
      <c r="U43" s="105">
        <v>31777.199999999997</v>
      </c>
      <c r="V43" s="105">
        <v>39</v>
      </c>
      <c r="W43" s="105">
        <v>31777.199999999997</v>
      </c>
      <c r="X43" s="105">
        <v>48</v>
      </c>
      <c r="Y43" s="105">
        <v>39110.399999999994</v>
      </c>
      <c r="Z43" s="105">
        <v>40.763399420525928</v>
      </c>
      <c r="AA43" s="105">
        <v>33214.017847844523</v>
      </c>
      <c r="AB43" s="105">
        <v>40.773064044652372</v>
      </c>
      <c r="AC43" s="105">
        <v>33221.892583582754</v>
      </c>
      <c r="AD43" s="105">
        <v>31</v>
      </c>
      <c r="AE43" s="105">
        <v>25258.799999999999</v>
      </c>
      <c r="AF43" s="105">
        <v>36</v>
      </c>
      <c r="AG43" s="105">
        <v>29332.799999999999</v>
      </c>
      <c r="AH43" s="105">
        <v>29</v>
      </c>
      <c r="AI43" s="105">
        <v>23629.199999999997</v>
      </c>
      <c r="AJ43" s="105">
        <v>27</v>
      </c>
      <c r="AK43" s="105">
        <v>21999.599999999999</v>
      </c>
      <c r="AL43" s="105">
        <v>48</v>
      </c>
      <c r="AM43" s="105">
        <v>39110.399999999994</v>
      </c>
      <c r="AN43" s="105">
        <v>38.523121361285128</v>
      </c>
      <c r="AO43" s="105">
        <v>31388.639285175119</v>
      </c>
      <c r="AP43" s="105">
        <v>34.429494330278096</v>
      </c>
      <c r="AQ43" s="105">
        <v>28053.151980310591</v>
      </c>
      <c r="AR43" s="105">
        <v>42.587812266142649</v>
      </c>
      <c r="AS43" s="105">
        <v>34700.549434453031</v>
      </c>
      <c r="AT43" s="105">
        <v>41.538547326252186</v>
      </c>
      <c r="AU43" s="105">
        <v>33845.608361430277</v>
      </c>
      <c r="AV43" s="105">
        <v>40.576728574848367</v>
      </c>
      <c r="AW43" s="105">
        <v>33061.918442786446</v>
      </c>
      <c r="AX43" s="105">
        <v>37.087988684153736</v>
      </c>
      <c r="AY43" s="105">
        <v>30219.293179848461</v>
      </c>
      <c r="AZ43" s="105">
        <v>43.75431048545132</v>
      </c>
      <c r="BA43" s="105">
        <v>35651.012183545732</v>
      </c>
      <c r="BB43" s="105">
        <v>43.12912498528393</v>
      </c>
      <c r="BC43" s="105">
        <v>35141.611038009345</v>
      </c>
      <c r="BD43" s="105">
        <v>33.571885587605998</v>
      </c>
      <c r="BE43" s="105">
        <v>27354.372376781364</v>
      </c>
      <c r="BF43" s="105">
        <v>40.010859946477588</v>
      </c>
      <c r="BG43" s="105">
        <v>32600.848684389937</v>
      </c>
      <c r="BH43" s="105">
        <v>36.705638285348023</v>
      </c>
      <c r="BI43" s="105">
        <v>29907.754074901568</v>
      </c>
      <c r="BJ43" s="105">
        <v>32.508428342284319</v>
      </c>
      <c r="BK43" s="105">
        <v>26487.867413293261</v>
      </c>
      <c r="BL43" s="105">
        <v>39.610617931221967</v>
      </c>
      <c r="BM43" s="105">
        <v>32274.731490359656</v>
      </c>
      <c r="BN43" s="105">
        <v>31</v>
      </c>
      <c r="BO43" s="105">
        <v>25258.799999999999</v>
      </c>
      <c r="BP43" s="105">
        <v>32</v>
      </c>
      <c r="BQ43" s="105">
        <v>26073.599999999999</v>
      </c>
      <c r="BR43" s="105">
        <v>52.61314619294172</v>
      </c>
      <c r="BS43" s="105">
        <v>42869.191518008913</v>
      </c>
      <c r="BT43" s="105">
        <v>30.979663908656274</v>
      </c>
      <c r="BU43" s="105">
        <v>25242.230152773132</v>
      </c>
      <c r="BV43" s="105">
        <v>31.665965723203378</v>
      </c>
      <c r="BW43" s="105">
        <v>25801.428871266111</v>
      </c>
      <c r="BX43" s="105">
        <v>31</v>
      </c>
      <c r="BY43" s="105">
        <v>25258.799999999999</v>
      </c>
      <c r="BZ43" s="105">
        <v>35</v>
      </c>
      <c r="CA43" s="105">
        <v>28518</v>
      </c>
      <c r="CB43" s="105">
        <v>34</v>
      </c>
      <c r="CC43" s="105">
        <v>27703.199999999997</v>
      </c>
      <c r="CD43" s="105">
        <v>36</v>
      </c>
      <c r="CE43" s="105">
        <v>29332.799999999999</v>
      </c>
      <c r="CF43" s="105">
        <v>39</v>
      </c>
      <c r="CG43" s="105">
        <v>31777.199999999997</v>
      </c>
      <c r="CH43" s="105">
        <v>38</v>
      </c>
      <c r="CI43" s="105">
        <v>30962.399999999998</v>
      </c>
      <c r="CJ43" s="105">
        <v>41</v>
      </c>
      <c r="CK43" s="105">
        <v>33406.799999999996</v>
      </c>
      <c r="CL43" s="105">
        <v>35.117392156588679</v>
      </c>
      <c r="CM43" s="105">
        <v>28613.651129188453</v>
      </c>
      <c r="CN43" s="105">
        <v>35.193134618488457</v>
      </c>
      <c r="CO43" s="105">
        <v>28675.366087144394</v>
      </c>
      <c r="CP43" s="105">
        <v>40.220725278272525</v>
      </c>
      <c r="CQ43" s="105">
        <v>32771.846956736452</v>
      </c>
      <c r="CR43" s="105">
        <v>45.529395580871814</v>
      </c>
      <c r="CS43" s="105">
        <v>37097.351519294352</v>
      </c>
      <c r="CT43" s="105">
        <v>36.774103701971583</v>
      </c>
      <c r="CU43" s="105">
        <v>29963.539696366446</v>
      </c>
    </row>
    <row r="44" spans="2:99" x14ac:dyDescent="0.2">
      <c r="C44" s="104" t="s">
        <v>212</v>
      </c>
      <c r="D44" s="105">
        <v>28.621313013118719</v>
      </c>
      <c r="E44" s="105">
        <v>24144.939657866951</v>
      </c>
      <c r="F44" s="105">
        <v>36.626672743103803</v>
      </c>
      <c r="G44" s="105">
        <v>30898.261126082369</v>
      </c>
      <c r="H44" s="105">
        <v>24.607193198195251</v>
      </c>
      <c r="I44" s="105">
        <v>20758.628181997516</v>
      </c>
      <c r="J44" s="105">
        <v>41.018756636964866</v>
      </c>
      <c r="K44" s="105">
        <v>34603.42309894356</v>
      </c>
      <c r="L44" s="105">
        <v>40.888710727859596</v>
      </c>
      <c r="M44" s="105">
        <v>34493.716370022354</v>
      </c>
      <c r="N44" s="105">
        <v>32</v>
      </c>
      <c r="O44" s="105">
        <v>26995.200000000001</v>
      </c>
      <c r="P44" s="105">
        <v>44</v>
      </c>
      <c r="Q44" s="105">
        <v>37118.400000000001</v>
      </c>
      <c r="R44" s="105">
        <v>33</v>
      </c>
      <c r="S44" s="105">
        <v>27838.799999999999</v>
      </c>
      <c r="T44" s="105">
        <v>36</v>
      </c>
      <c r="U44" s="105">
        <v>30369.600000000002</v>
      </c>
      <c r="V44" s="105">
        <v>36</v>
      </c>
      <c r="W44" s="105">
        <v>30369.600000000002</v>
      </c>
      <c r="X44" s="105">
        <v>41</v>
      </c>
      <c r="Y44" s="105">
        <v>34587.599999999999</v>
      </c>
      <c r="Z44" s="105">
        <v>34.798023895570914</v>
      </c>
      <c r="AA44" s="105">
        <v>29355.612958303624</v>
      </c>
      <c r="AB44" s="105">
        <v>40.773064044652372</v>
      </c>
      <c r="AC44" s="105">
        <v>34396.156828068742</v>
      </c>
      <c r="AD44" s="105">
        <v>27</v>
      </c>
      <c r="AE44" s="105">
        <v>22777.200000000001</v>
      </c>
      <c r="AF44" s="105">
        <v>32</v>
      </c>
      <c r="AG44" s="105">
        <v>26995.200000000001</v>
      </c>
      <c r="AH44" s="105">
        <v>32</v>
      </c>
      <c r="AI44" s="105">
        <v>26995.200000000001</v>
      </c>
      <c r="AJ44" s="105">
        <v>26</v>
      </c>
      <c r="AK44" s="105">
        <v>21933.600000000002</v>
      </c>
      <c r="AL44" s="105">
        <v>46</v>
      </c>
      <c r="AM44" s="105">
        <v>38805.599999999999</v>
      </c>
      <c r="AN44" s="105">
        <v>38.523121361285128</v>
      </c>
      <c r="AO44" s="105">
        <v>32498.105180380135</v>
      </c>
      <c r="AP44" s="105">
        <v>32.516744645262641</v>
      </c>
      <c r="AQ44" s="105">
        <v>27431.125782743566</v>
      </c>
      <c r="AR44" s="105">
        <v>38.884524242999817</v>
      </c>
      <c r="AS44" s="105">
        <v>32802.984651394647</v>
      </c>
      <c r="AT44" s="105">
        <v>35.148001583751849</v>
      </c>
      <c r="AU44" s="105">
        <v>29650.854136053062</v>
      </c>
      <c r="AV44" s="105">
        <v>39.675023495407288</v>
      </c>
      <c r="AW44" s="105">
        <v>33469.849820725591</v>
      </c>
      <c r="AX44" s="105">
        <v>32.142923526266571</v>
      </c>
      <c r="AY44" s="105">
        <v>27115.770286758481</v>
      </c>
      <c r="AZ44" s="105">
        <v>39.547165246465617</v>
      </c>
      <c r="BA44" s="105">
        <v>33361.988601918398</v>
      </c>
      <c r="BB44" s="105">
        <v>40.376202113882833</v>
      </c>
      <c r="BC44" s="105">
        <v>34061.36410327156</v>
      </c>
      <c r="BD44" s="105">
        <v>35.170546806063427</v>
      </c>
      <c r="BE44" s="105">
        <v>29669.873285595109</v>
      </c>
      <c r="BF44" s="105">
        <v>38.555919584787489</v>
      </c>
      <c r="BG44" s="105">
        <v>32525.773761726727</v>
      </c>
      <c r="BH44" s="105">
        <v>38.540920199615428</v>
      </c>
      <c r="BI44" s="105">
        <v>32513.120280395575</v>
      </c>
      <c r="BJ44" s="105">
        <v>36.676175565654098</v>
      </c>
      <c r="BK44" s="105">
        <v>30940.021707185799</v>
      </c>
      <c r="BL44" s="105">
        <v>42.844137762342129</v>
      </c>
      <c r="BM44" s="105">
        <v>36143.314616311822</v>
      </c>
      <c r="BN44" s="105">
        <v>31</v>
      </c>
      <c r="BO44" s="105">
        <v>26151.600000000002</v>
      </c>
      <c r="BP44" s="105">
        <v>35</v>
      </c>
      <c r="BQ44" s="105">
        <v>29526</v>
      </c>
      <c r="BR44" s="105">
        <v>47.74155858248416</v>
      </c>
      <c r="BS44" s="105">
        <v>40274.778820183637</v>
      </c>
      <c r="BT44" s="105">
        <v>30.979663908656274</v>
      </c>
      <c r="BU44" s="105">
        <v>26134.444473342435</v>
      </c>
      <c r="BV44" s="105">
        <v>30.786355564225506</v>
      </c>
      <c r="BW44" s="105">
        <v>25971.369553980636</v>
      </c>
      <c r="BX44" s="105">
        <v>30</v>
      </c>
      <c r="BY44" s="105">
        <v>25308</v>
      </c>
      <c r="BZ44" s="105">
        <v>32</v>
      </c>
      <c r="CA44" s="105">
        <v>26995.200000000001</v>
      </c>
      <c r="CB44" s="105">
        <v>36</v>
      </c>
      <c r="CC44" s="105">
        <v>30369.600000000002</v>
      </c>
      <c r="CD44" s="105">
        <v>32</v>
      </c>
      <c r="CE44" s="105">
        <v>26995.200000000001</v>
      </c>
      <c r="CF44" s="105">
        <v>39</v>
      </c>
      <c r="CG44" s="105">
        <v>32900.400000000001</v>
      </c>
      <c r="CH44" s="105">
        <v>35</v>
      </c>
      <c r="CI44" s="105">
        <v>29526</v>
      </c>
      <c r="CJ44" s="105">
        <v>42</v>
      </c>
      <c r="CK44" s="105">
        <v>35431.200000000004</v>
      </c>
      <c r="CL44" s="105">
        <v>37.01562957045833</v>
      </c>
      <c r="CM44" s="105">
        <v>31226.385105638648</v>
      </c>
      <c r="CN44" s="105">
        <v>36.868998171749809</v>
      </c>
      <c r="CO44" s="105">
        <v>31102.686857688139</v>
      </c>
      <c r="CP44" s="105">
        <v>35.579872361548773</v>
      </c>
      <c r="CQ44" s="105">
        <v>30015.180324202545</v>
      </c>
      <c r="CR44" s="105">
        <v>40.470573849663829</v>
      </c>
      <c r="CS44" s="105">
        <v>34140.976099576408</v>
      </c>
      <c r="CT44" s="105">
        <v>33.998699648992599</v>
      </c>
      <c r="CU44" s="105">
        <v>28681.303023890156</v>
      </c>
    </row>
    <row r="45" spans="2:99" x14ac:dyDescent="0.2">
      <c r="C45" s="104" t="s">
        <v>213</v>
      </c>
      <c r="D45" s="105">
        <v>31.347152347701456</v>
      </c>
      <c r="E45" s="105">
        <v>32613.577302548591</v>
      </c>
      <c r="F45" s="105">
        <v>37.422904759258238</v>
      </c>
      <c r="G45" s="105">
        <v>38934.790111532267</v>
      </c>
      <c r="H45" s="105">
        <v>24.656365747018668</v>
      </c>
      <c r="I45" s="105">
        <v>25652.482923198218</v>
      </c>
      <c r="J45" s="105">
        <v>40.018756636964866</v>
      </c>
      <c r="K45" s="105">
        <v>41635.514405098242</v>
      </c>
      <c r="L45" s="105">
        <v>34.136240394997024</v>
      </c>
      <c r="M45" s="105">
        <v>35515.344506954898</v>
      </c>
      <c r="N45" s="105">
        <v>33</v>
      </c>
      <c r="O45" s="105">
        <v>34333.199999999997</v>
      </c>
      <c r="P45" s="105">
        <v>35</v>
      </c>
      <c r="Q45" s="105">
        <v>36413.999999999993</v>
      </c>
      <c r="R45" s="105">
        <v>32</v>
      </c>
      <c r="S45" s="105">
        <v>33292.799999999996</v>
      </c>
      <c r="T45" s="105">
        <v>33</v>
      </c>
      <c r="U45" s="105">
        <v>34333.199999999997</v>
      </c>
      <c r="V45" s="105">
        <v>36</v>
      </c>
      <c r="W45" s="105">
        <v>37454.399999999994</v>
      </c>
      <c r="X45" s="105">
        <v>45</v>
      </c>
      <c r="Y45" s="105">
        <v>46817.999999999993</v>
      </c>
      <c r="Z45" s="105">
        <v>39.769170166366756</v>
      </c>
      <c r="AA45" s="105">
        <v>41375.84464108797</v>
      </c>
      <c r="AB45" s="105">
        <v>44.170819381706728</v>
      </c>
      <c r="AC45" s="105">
        <v>45955.320484727672</v>
      </c>
      <c r="AD45" s="105">
        <v>26</v>
      </c>
      <c r="AE45" s="105">
        <v>27050.399999999998</v>
      </c>
      <c r="AF45" s="105">
        <v>32</v>
      </c>
      <c r="AG45" s="105">
        <v>33292.799999999996</v>
      </c>
      <c r="AH45" s="105">
        <v>30</v>
      </c>
      <c r="AI45" s="105">
        <v>31211.999999999996</v>
      </c>
      <c r="AJ45" s="105">
        <v>28</v>
      </c>
      <c r="AK45" s="105">
        <v>29131.199999999997</v>
      </c>
      <c r="AL45" s="105">
        <v>50</v>
      </c>
      <c r="AM45" s="105">
        <v>52019.999999999993</v>
      </c>
      <c r="AN45" s="105">
        <v>40.402298013055137</v>
      </c>
      <c r="AO45" s="105">
        <v>42034.550852782559</v>
      </c>
      <c r="AP45" s="105">
        <v>30.603994960247196</v>
      </c>
      <c r="AQ45" s="105">
        <v>31840.396356641177</v>
      </c>
      <c r="AR45" s="105">
        <v>38.884524242999817</v>
      </c>
      <c r="AS45" s="105">
        <v>40455.459022417002</v>
      </c>
      <c r="AT45" s="105">
        <v>39.142092672814556</v>
      </c>
      <c r="AU45" s="105">
        <v>40723.433216796257</v>
      </c>
      <c r="AV45" s="105">
        <v>38.773318415966216</v>
      </c>
      <c r="AW45" s="105">
        <v>40339.760479971243</v>
      </c>
      <c r="AX45" s="105">
        <v>36.263811157839207</v>
      </c>
      <c r="AY45" s="105">
        <v>37728.869128615908</v>
      </c>
      <c r="AZ45" s="105">
        <v>45.437168581045604</v>
      </c>
      <c r="BA45" s="105">
        <v>47272.830191719841</v>
      </c>
      <c r="BB45" s="105">
        <v>40.376202113882833</v>
      </c>
      <c r="BC45" s="105">
        <v>42007.400679283695</v>
      </c>
      <c r="BD45" s="105">
        <v>32.772554978377279</v>
      </c>
      <c r="BE45" s="105">
        <v>34096.566199503715</v>
      </c>
      <c r="BF45" s="105">
        <v>37.828449403942443</v>
      </c>
      <c r="BG45" s="105">
        <v>39356.718759861709</v>
      </c>
      <c r="BH45" s="105">
        <v>36.705638285348023</v>
      </c>
      <c r="BI45" s="105">
        <v>38188.546072076075</v>
      </c>
      <c r="BJ45" s="105">
        <v>31.674878897610363</v>
      </c>
      <c r="BK45" s="105">
        <v>32954.544005073818</v>
      </c>
      <c r="BL45" s="105">
        <v>42.035757804562088</v>
      </c>
      <c r="BM45" s="105">
        <v>43734.002419866389</v>
      </c>
      <c r="BN45" s="105">
        <v>32</v>
      </c>
      <c r="BO45" s="105">
        <v>33292.799999999996</v>
      </c>
      <c r="BP45" s="105">
        <v>36</v>
      </c>
      <c r="BQ45" s="105">
        <v>37454.399999999994</v>
      </c>
      <c r="BR45" s="105">
        <v>46.767241060392642</v>
      </c>
      <c r="BS45" s="105">
        <v>48656.637599232497</v>
      </c>
      <c r="BT45" s="105">
        <v>34.328816763646145</v>
      </c>
      <c r="BU45" s="105">
        <v>35715.700960897448</v>
      </c>
      <c r="BV45" s="105">
        <v>29.027135246269765</v>
      </c>
      <c r="BW45" s="105">
        <v>30199.831510219061</v>
      </c>
      <c r="BX45" s="105">
        <v>32</v>
      </c>
      <c r="BY45" s="105">
        <v>33292.799999999996</v>
      </c>
      <c r="BZ45" s="105">
        <v>32</v>
      </c>
      <c r="CA45" s="105">
        <v>33292.799999999996</v>
      </c>
      <c r="CB45" s="105">
        <v>31</v>
      </c>
      <c r="CC45" s="105">
        <v>32252.399999999994</v>
      </c>
      <c r="CD45" s="105">
        <v>33</v>
      </c>
      <c r="CE45" s="105">
        <v>34333.199999999997</v>
      </c>
      <c r="CF45" s="105">
        <v>39</v>
      </c>
      <c r="CG45" s="105">
        <v>40575.599999999991</v>
      </c>
      <c r="CH45" s="105">
        <v>36</v>
      </c>
      <c r="CI45" s="105">
        <v>37454.399999999994</v>
      </c>
      <c r="CJ45" s="105">
        <v>44</v>
      </c>
      <c r="CK45" s="105">
        <v>45777.599999999991</v>
      </c>
      <c r="CL45" s="105">
        <v>32.270036035784187</v>
      </c>
      <c r="CM45" s="105">
        <v>33573.745491629867</v>
      </c>
      <c r="CN45" s="105">
        <v>39.382793501641842</v>
      </c>
      <c r="CO45" s="105">
        <v>40973.85835910817</v>
      </c>
      <c r="CP45" s="105">
        <v>40.220725278272525</v>
      </c>
      <c r="CQ45" s="105">
        <v>41845.64257951473</v>
      </c>
      <c r="CR45" s="105">
        <v>41.313710804865167</v>
      </c>
      <c r="CS45" s="105">
        <v>42982.784721381715</v>
      </c>
      <c r="CT45" s="105">
        <v>36.080252688726837</v>
      </c>
      <c r="CU45" s="105">
        <v>37537.894897351398</v>
      </c>
    </row>
    <row r="46" spans="2:99" x14ac:dyDescent="0.2">
      <c r="C46" s="104" t="s">
        <v>214</v>
      </c>
      <c r="D46" s="105">
        <v>29.302772846764405</v>
      </c>
      <c r="E46" s="105">
        <v>29818.501648867452</v>
      </c>
      <c r="F46" s="105">
        <v>34.237976694640516</v>
      </c>
      <c r="G46" s="105">
        <v>34840.56508446618</v>
      </c>
      <c r="H46" s="105">
        <v>24.656365747018668</v>
      </c>
      <c r="I46" s="105">
        <v>25090.317784166193</v>
      </c>
      <c r="J46" s="105">
        <v>44</v>
      </c>
      <c r="K46" s="105">
        <v>44774.399999999994</v>
      </c>
      <c r="L46" s="105">
        <v>34.136240394997024</v>
      </c>
      <c r="M46" s="105">
        <v>34737.038225948963</v>
      </c>
      <c r="N46" s="105">
        <v>31</v>
      </c>
      <c r="O46" s="105">
        <v>31545.599999999995</v>
      </c>
      <c r="P46" s="105">
        <v>37</v>
      </c>
      <c r="Q46" s="105">
        <v>37651.19999999999</v>
      </c>
      <c r="R46" s="105">
        <v>37</v>
      </c>
      <c r="S46" s="105">
        <v>37651.19999999999</v>
      </c>
      <c r="T46" s="105">
        <v>40</v>
      </c>
      <c r="U46" s="105">
        <v>40703.999999999993</v>
      </c>
      <c r="V46" s="105">
        <v>37</v>
      </c>
      <c r="W46" s="105">
        <v>37651.19999999999</v>
      </c>
      <c r="X46" s="105">
        <v>46</v>
      </c>
      <c r="Y46" s="105">
        <v>46809.599999999991</v>
      </c>
      <c r="Z46" s="105">
        <v>39.769170166366756</v>
      </c>
      <c r="AA46" s="105">
        <v>40469.107561294804</v>
      </c>
      <c r="AB46" s="105">
        <v>41.622502878915959</v>
      </c>
      <c r="AC46" s="105">
        <v>42355.058929584869</v>
      </c>
      <c r="AD46" s="105">
        <v>30</v>
      </c>
      <c r="AE46" s="105">
        <v>30527.999999999993</v>
      </c>
      <c r="AF46" s="105">
        <v>35</v>
      </c>
      <c r="AG46" s="105">
        <v>35615.999999999993</v>
      </c>
      <c r="AH46" s="105">
        <v>31</v>
      </c>
      <c r="AI46" s="105">
        <v>31545.599999999995</v>
      </c>
      <c r="AJ46" s="105">
        <v>25</v>
      </c>
      <c r="AK46" s="105">
        <v>25439.999999999996</v>
      </c>
      <c r="AL46" s="105">
        <v>48</v>
      </c>
      <c r="AM46" s="105">
        <v>48844.799999999988</v>
      </c>
      <c r="AN46" s="105">
        <v>39.462709687170133</v>
      </c>
      <c r="AO46" s="105">
        <v>40157.253377664318</v>
      </c>
      <c r="AP46" s="105">
        <v>31.56036980275492</v>
      </c>
      <c r="AQ46" s="105">
        <v>32115.8323112834</v>
      </c>
      <c r="AR46" s="105">
        <v>41.661990260356944</v>
      </c>
      <c r="AS46" s="105">
        <v>42395.241288939214</v>
      </c>
      <c r="AT46" s="105">
        <v>35.946819801564388</v>
      </c>
      <c r="AU46" s="105">
        <v>36579.483830071913</v>
      </c>
      <c r="AV46" s="105">
        <v>38.773318415966216</v>
      </c>
      <c r="AW46" s="105">
        <v>39455.728820087214</v>
      </c>
      <c r="AX46" s="105">
        <v>37.912166210468257</v>
      </c>
      <c r="AY46" s="105">
        <v>38579.420335772491</v>
      </c>
      <c r="AZ46" s="105">
        <v>42.071452389857043</v>
      </c>
      <c r="BA46" s="105">
        <v>42811.909951918518</v>
      </c>
      <c r="BB46" s="105">
        <v>42.211484028150224</v>
      </c>
      <c r="BC46" s="105">
        <v>42954.406147045658</v>
      </c>
      <c r="BD46" s="105">
        <v>35.969877415292139</v>
      </c>
      <c r="BE46" s="105">
        <v>36602.947257801272</v>
      </c>
      <c r="BF46" s="105">
        <v>38.555919584787489</v>
      </c>
      <c r="BG46" s="105">
        <v>39234.503769479743</v>
      </c>
      <c r="BH46" s="105">
        <v>36.705638285348023</v>
      </c>
      <c r="BI46" s="105">
        <v>37351.657519170141</v>
      </c>
      <c r="BJ46" s="105">
        <v>33.341977786958275</v>
      </c>
      <c r="BK46" s="105">
        <v>33928.796596008731</v>
      </c>
      <c r="BL46" s="105">
        <v>39.610617931221967</v>
      </c>
      <c r="BM46" s="105">
        <v>40307.764806811465</v>
      </c>
      <c r="BN46" s="105">
        <v>31</v>
      </c>
      <c r="BO46" s="105">
        <v>31545.599999999995</v>
      </c>
      <c r="BP46" s="105">
        <v>33</v>
      </c>
      <c r="BQ46" s="105">
        <v>33580.799999999996</v>
      </c>
      <c r="BR46" s="105">
        <v>44.818606016209621</v>
      </c>
      <c r="BS46" s="105">
        <v>45607.413482094904</v>
      </c>
      <c r="BT46" s="105">
        <v>31.816952122403741</v>
      </c>
      <c r="BU46" s="105">
        <v>32376.930479758041</v>
      </c>
      <c r="BV46" s="105">
        <v>31.665965723203378</v>
      </c>
      <c r="BW46" s="105">
        <v>32223.286719931752</v>
      </c>
      <c r="BX46" s="105">
        <v>30</v>
      </c>
      <c r="BY46" s="105">
        <v>30527.999999999993</v>
      </c>
      <c r="BZ46" s="105">
        <v>31</v>
      </c>
      <c r="CA46" s="105">
        <v>31545.599999999995</v>
      </c>
      <c r="CB46" s="105">
        <v>36</v>
      </c>
      <c r="CC46" s="105">
        <v>36633.599999999991</v>
      </c>
      <c r="CD46" s="105">
        <v>32</v>
      </c>
      <c r="CE46" s="105">
        <v>32563.199999999993</v>
      </c>
      <c r="CF46" s="105">
        <v>35</v>
      </c>
      <c r="CG46" s="105">
        <v>35615.999999999993</v>
      </c>
      <c r="CH46" s="105">
        <v>31</v>
      </c>
      <c r="CI46" s="105">
        <v>31545.599999999995</v>
      </c>
      <c r="CJ46" s="105">
        <v>39</v>
      </c>
      <c r="CK46" s="105">
        <v>39686.399999999994</v>
      </c>
      <c r="CL46" s="105">
        <v>35.117392156588679</v>
      </c>
      <c r="CM46" s="105">
        <v>35735.458258544633</v>
      </c>
      <c r="CN46" s="105">
        <v>40.220725278272518</v>
      </c>
      <c r="CO46" s="105">
        <v>40928.610043170105</v>
      </c>
      <c r="CP46" s="105">
        <v>37.126823333790028</v>
      </c>
      <c r="CQ46" s="105">
        <v>37780.255424464725</v>
      </c>
      <c r="CR46" s="105">
        <v>39.627436894462505</v>
      </c>
      <c r="CS46" s="105">
        <v>40324.879783805038</v>
      </c>
      <c r="CT46" s="105">
        <v>31.917146609258356</v>
      </c>
      <c r="CU46" s="105">
        <v>32478.888389581298</v>
      </c>
    </row>
    <row r="47" spans="2:99" x14ac:dyDescent="0.2">
      <c r="C47" s="104" t="s">
        <v>215</v>
      </c>
      <c r="D47" s="105">
        <v>29.984232680410088</v>
      </c>
      <c r="E47" s="105">
        <v>39507.224979708328</v>
      </c>
      <c r="F47" s="105">
        <v>38.219136775412672</v>
      </c>
      <c r="G47" s="105">
        <v>50357.53461528373</v>
      </c>
      <c r="H47" s="105">
        <v>23.735389519520194</v>
      </c>
      <c r="I47" s="105">
        <v>31273.749230919806</v>
      </c>
      <c r="J47" s="105">
        <v>43</v>
      </c>
      <c r="K47" s="105">
        <v>56656.799999999996</v>
      </c>
      <c r="L47" s="105">
        <v>37.994794870918497</v>
      </c>
      <c r="M47" s="105">
        <v>50061.941721922209</v>
      </c>
      <c r="N47" s="105">
        <v>33</v>
      </c>
      <c r="O47" s="105">
        <v>43480.799999999996</v>
      </c>
      <c r="P47" s="105">
        <v>34</v>
      </c>
      <c r="Q47" s="105">
        <v>44798.399999999994</v>
      </c>
      <c r="R47" s="105">
        <v>31</v>
      </c>
      <c r="S47" s="105">
        <v>40845.599999999999</v>
      </c>
      <c r="T47" s="105">
        <v>32</v>
      </c>
      <c r="U47" s="105">
        <v>42163.199999999997</v>
      </c>
      <c r="V47" s="105">
        <v>32</v>
      </c>
      <c r="W47" s="105">
        <v>42163.199999999997</v>
      </c>
      <c r="X47" s="105">
        <v>41</v>
      </c>
      <c r="Y47" s="105">
        <v>54021.599999999999</v>
      </c>
      <c r="Z47" s="105">
        <v>34.798023895570914</v>
      </c>
      <c r="AA47" s="105">
        <v>45849.876284804232</v>
      </c>
      <c r="AB47" s="105">
        <v>38.224747541861596</v>
      </c>
      <c r="AC47" s="105">
        <v>50364.927361156835</v>
      </c>
      <c r="AD47" s="105">
        <v>26</v>
      </c>
      <c r="AE47" s="105">
        <v>34257.599999999999</v>
      </c>
      <c r="AF47" s="105">
        <v>30</v>
      </c>
      <c r="AG47" s="105">
        <v>39528</v>
      </c>
      <c r="AH47" s="105">
        <v>31</v>
      </c>
      <c r="AI47" s="105">
        <v>40845.599999999999</v>
      </c>
      <c r="AJ47" s="105">
        <v>25</v>
      </c>
      <c r="AK47" s="105">
        <v>32940</v>
      </c>
      <c r="AL47" s="105">
        <v>48</v>
      </c>
      <c r="AM47" s="105">
        <v>63244.799999999996</v>
      </c>
      <c r="AN47" s="105">
        <v>38.523121361285128</v>
      </c>
      <c r="AO47" s="105">
        <v>50758.06470562928</v>
      </c>
      <c r="AP47" s="105">
        <v>30.603994960247196</v>
      </c>
      <c r="AQ47" s="105">
        <v>40323.8237596217</v>
      </c>
      <c r="AR47" s="105">
        <v>37.958702237214105</v>
      </c>
      <c r="AS47" s="105">
        <v>50014.386067753301</v>
      </c>
      <c r="AT47" s="105">
        <v>34.349183365939304</v>
      </c>
      <c r="AU47" s="105">
        <v>45258.484002961624</v>
      </c>
      <c r="AV47" s="105">
        <v>38.773318415966216</v>
      </c>
      <c r="AW47" s="105">
        <v>51087.724344877082</v>
      </c>
      <c r="AX47" s="105">
        <v>34.61545610521015</v>
      </c>
      <c r="AY47" s="105">
        <v>45609.324964224892</v>
      </c>
      <c r="AZ47" s="105">
        <v>38.705736198668475</v>
      </c>
      <c r="BA47" s="105">
        <v>50998.678015365578</v>
      </c>
      <c r="BB47" s="105">
        <v>41.293843071016532</v>
      </c>
      <c r="BC47" s="105">
        <v>54408.767630371382</v>
      </c>
      <c r="BD47" s="105">
        <v>31.173893759919853</v>
      </c>
      <c r="BE47" s="105">
        <v>41074.722418070392</v>
      </c>
      <c r="BF47" s="105">
        <v>34.918568680562252</v>
      </c>
      <c r="BG47" s="105">
        <v>46008.706093508823</v>
      </c>
      <c r="BH47" s="105">
        <v>33.03507445681322</v>
      </c>
      <c r="BI47" s="105">
        <v>43527.014104297094</v>
      </c>
      <c r="BJ47" s="105">
        <v>31.674878897610363</v>
      </c>
      <c r="BK47" s="105">
        <v>41734.820435491412</v>
      </c>
      <c r="BL47" s="105">
        <v>40.418997889002014</v>
      </c>
      <c r="BM47" s="105">
        <v>53256.071618549053</v>
      </c>
      <c r="BN47" s="105">
        <v>31</v>
      </c>
      <c r="BO47" s="105">
        <v>40845.599999999999</v>
      </c>
      <c r="BP47" s="105">
        <v>35</v>
      </c>
      <c r="BQ47" s="105">
        <v>46116</v>
      </c>
      <c r="BR47" s="105">
        <v>49.690193626667181</v>
      </c>
      <c r="BS47" s="105">
        <v>65471.799122496675</v>
      </c>
      <c r="BT47" s="105">
        <v>28.467799267413874</v>
      </c>
      <c r="BU47" s="105">
        <v>37509.172314744515</v>
      </c>
      <c r="BV47" s="105">
        <v>28.147525087291893</v>
      </c>
      <c r="BW47" s="105">
        <v>37087.179055015797</v>
      </c>
      <c r="BX47" s="105">
        <v>28</v>
      </c>
      <c r="BY47" s="105">
        <v>36892.799999999996</v>
      </c>
      <c r="BZ47" s="105">
        <v>28</v>
      </c>
      <c r="CA47" s="105">
        <v>36892.799999999996</v>
      </c>
      <c r="CB47" s="105">
        <v>33</v>
      </c>
      <c r="CC47" s="105">
        <v>43480.799999999996</v>
      </c>
      <c r="CD47" s="105">
        <v>34</v>
      </c>
      <c r="CE47" s="105">
        <v>44798.399999999994</v>
      </c>
      <c r="CF47" s="105">
        <v>37</v>
      </c>
      <c r="CG47" s="105">
        <v>48751.199999999997</v>
      </c>
      <c r="CH47" s="105">
        <v>32</v>
      </c>
      <c r="CI47" s="105">
        <v>42163.199999999997</v>
      </c>
      <c r="CJ47" s="105">
        <v>40</v>
      </c>
      <c r="CK47" s="105">
        <v>52704</v>
      </c>
      <c r="CL47" s="105">
        <v>35.117392156588679</v>
      </c>
      <c r="CM47" s="105">
        <v>46270.675905521239</v>
      </c>
      <c r="CN47" s="105">
        <v>36.031066395119133</v>
      </c>
      <c r="CO47" s="105">
        <v>47474.533082208967</v>
      </c>
      <c r="CP47" s="105">
        <v>37.126823333790028</v>
      </c>
      <c r="CQ47" s="105">
        <v>48918.302424601738</v>
      </c>
      <c r="CR47" s="105">
        <v>43.843121670469152</v>
      </c>
      <c r="CS47" s="105">
        <v>57767.697113010152</v>
      </c>
      <c r="CT47" s="105">
        <v>33.304848635747852</v>
      </c>
      <c r="CU47" s="105">
        <v>43882.46856246137</v>
      </c>
    </row>
    <row r="48" spans="2:99" x14ac:dyDescent="0.2">
      <c r="C48" s="104" t="s">
        <v>216</v>
      </c>
      <c r="D48" s="105">
        <v>32.710072014992825</v>
      </c>
      <c r="E48" s="105">
        <v>21510.143357059282</v>
      </c>
      <c r="F48" s="105">
        <v>40.60783282387596</v>
      </c>
      <c r="G48" s="105">
        <v>26703.710864980832</v>
      </c>
      <c r="H48" s="105">
        <v>24.656365747018668</v>
      </c>
      <c r="I48" s="105">
        <v>16214.026115239476</v>
      </c>
      <c r="J48" s="105">
        <v>46</v>
      </c>
      <c r="K48" s="105">
        <v>30249.600000000002</v>
      </c>
      <c r="L48" s="105">
        <v>36.967841463490764</v>
      </c>
      <c r="M48" s="105">
        <v>24310.052546391526</v>
      </c>
      <c r="N48" s="105">
        <v>32</v>
      </c>
      <c r="O48" s="105">
        <v>21043.200000000001</v>
      </c>
      <c r="P48" s="105">
        <v>43</v>
      </c>
      <c r="Q48" s="105">
        <v>28276.799999999999</v>
      </c>
      <c r="R48" s="105">
        <v>32</v>
      </c>
      <c r="S48" s="105">
        <v>21043.200000000001</v>
      </c>
      <c r="T48" s="105">
        <v>38</v>
      </c>
      <c r="U48" s="105">
        <v>24988.799999999999</v>
      </c>
      <c r="V48" s="105">
        <v>35</v>
      </c>
      <c r="W48" s="105">
        <v>23016</v>
      </c>
      <c r="X48" s="105">
        <v>49</v>
      </c>
      <c r="Y48" s="105">
        <v>32222.400000000001</v>
      </c>
      <c r="Z48" s="105">
        <v>35.79225314973008</v>
      </c>
      <c r="AA48" s="105">
        <v>23536.985671262501</v>
      </c>
      <c r="AB48" s="105">
        <v>47.568574718761099</v>
      </c>
      <c r="AC48" s="105">
        <v>31281.094735057301</v>
      </c>
      <c r="AD48" s="105">
        <v>31</v>
      </c>
      <c r="AE48" s="105">
        <v>20385.600000000002</v>
      </c>
      <c r="AF48" s="105">
        <v>35</v>
      </c>
      <c r="AG48" s="105">
        <v>23016</v>
      </c>
      <c r="AH48" s="105">
        <v>30</v>
      </c>
      <c r="AI48" s="105">
        <v>19728</v>
      </c>
      <c r="AJ48" s="105">
        <v>25</v>
      </c>
      <c r="AK48" s="105">
        <v>16440</v>
      </c>
      <c r="AL48" s="105">
        <v>49</v>
      </c>
      <c r="AM48" s="105">
        <v>32222.400000000001</v>
      </c>
      <c r="AN48" s="105">
        <v>43.221062990710145</v>
      </c>
      <c r="AO48" s="105">
        <v>28422.171022690993</v>
      </c>
      <c r="AP48" s="105">
        <v>32.516744645262641</v>
      </c>
      <c r="AQ48" s="105">
        <v>21383.011278724713</v>
      </c>
      <c r="AR48" s="105">
        <v>45.365278283499784</v>
      </c>
      <c r="AS48" s="105">
        <v>29832.20699922946</v>
      </c>
      <c r="AT48" s="105">
        <v>37.544456237189472</v>
      </c>
      <c r="AU48" s="105">
        <v>24689.234421575798</v>
      </c>
      <c r="AV48" s="105">
        <v>38.773318415966216</v>
      </c>
      <c r="AW48" s="105">
        <v>25497.334190339385</v>
      </c>
      <c r="AX48" s="105">
        <v>38.736343736782786</v>
      </c>
      <c r="AY48" s="105">
        <v>25473.019641308361</v>
      </c>
      <c r="AZ48" s="105">
        <v>41.230023342059901</v>
      </c>
      <c r="BA48" s="105">
        <v>27112.863349738593</v>
      </c>
      <c r="BB48" s="105">
        <v>41.293843071016532</v>
      </c>
      <c r="BC48" s="105">
        <v>27154.831203500471</v>
      </c>
      <c r="BD48" s="105">
        <v>36.769208024520857</v>
      </c>
      <c r="BE48" s="105">
        <v>24179.431196924917</v>
      </c>
      <c r="BF48" s="105">
        <v>37.100979223097397</v>
      </c>
      <c r="BG48" s="105">
        <v>24397.603937108848</v>
      </c>
      <c r="BH48" s="105">
        <v>39.458561156749127</v>
      </c>
      <c r="BI48" s="105">
        <v>25947.949816678225</v>
      </c>
      <c r="BJ48" s="105">
        <v>33.341977786958275</v>
      </c>
      <c r="BK48" s="105">
        <v>21925.684592703761</v>
      </c>
      <c r="BL48" s="105">
        <v>46.077657593462291</v>
      </c>
      <c r="BM48" s="105">
        <v>30300.667633460806</v>
      </c>
      <c r="BN48" s="105">
        <v>31</v>
      </c>
      <c r="BO48" s="105">
        <v>20385.600000000002</v>
      </c>
      <c r="BP48" s="105">
        <v>37</v>
      </c>
      <c r="BQ48" s="105">
        <v>24331.200000000001</v>
      </c>
      <c r="BR48" s="105">
        <v>46.767241060392642</v>
      </c>
      <c r="BS48" s="105">
        <v>30754.137721314204</v>
      </c>
      <c r="BT48" s="105">
        <v>36.840681404888542</v>
      </c>
      <c r="BU48" s="105">
        <v>24226.432091854706</v>
      </c>
      <c r="BV48" s="105">
        <v>30.786355564225506</v>
      </c>
      <c r="BW48" s="105">
        <v>20245.107419034692</v>
      </c>
      <c r="BX48" s="105">
        <v>31</v>
      </c>
      <c r="BY48" s="105">
        <v>20385.600000000002</v>
      </c>
      <c r="BZ48" s="105">
        <v>34</v>
      </c>
      <c r="CA48" s="105">
        <v>22358.400000000001</v>
      </c>
      <c r="CB48" s="105">
        <v>37</v>
      </c>
      <c r="CC48" s="105">
        <v>24331.200000000001</v>
      </c>
      <c r="CD48" s="105">
        <v>34</v>
      </c>
      <c r="CE48" s="105">
        <v>22358.400000000001</v>
      </c>
      <c r="CF48" s="105">
        <v>35</v>
      </c>
      <c r="CG48" s="105">
        <v>23016</v>
      </c>
      <c r="CH48" s="105">
        <v>34</v>
      </c>
      <c r="CI48" s="105">
        <v>22358.400000000001</v>
      </c>
      <c r="CJ48" s="105">
        <v>44</v>
      </c>
      <c r="CK48" s="105">
        <v>28934.400000000001</v>
      </c>
      <c r="CL48" s="105">
        <v>37.01562957045833</v>
      </c>
      <c r="CM48" s="105">
        <v>24341.478005533398</v>
      </c>
      <c r="CN48" s="105">
        <v>37.706929948380484</v>
      </c>
      <c r="CO48" s="105">
        <v>24796.077134055005</v>
      </c>
      <c r="CP48" s="105">
        <v>37.126823333790028</v>
      </c>
      <c r="CQ48" s="105">
        <v>24414.599024300325</v>
      </c>
      <c r="CR48" s="105">
        <v>40.470573849663829</v>
      </c>
      <c r="CS48" s="105">
        <v>26613.449363538934</v>
      </c>
      <c r="CT48" s="105">
        <v>36.080252688726837</v>
      </c>
      <c r="CU48" s="105">
        <v>23726.37416810677</v>
      </c>
    </row>
    <row r="49" spans="2:99" x14ac:dyDescent="0.2">
      <c r="B49" s="104" t="s">
        <v>129</v>
      </c>
      <c r="C49" s="104" t="s">
        <v>217</v>
      </c>
      <c r="D49" s="105">
        <v>21.234554149865662</v>
      </c>
      <c r="E49" s="105">
        <v>12562.362235060526</v>
      </c>
      <c r="F49" s="105">
        <v>29.767383027538433</v>
      </c>
      <c r="G49" s="105">
        <v>17610.383799091738</v>
      </c>
      <c r="H49" s="105">
        <v>27.935678440754192</v>
      </c>
      <c r="I49" s="105">
        <v>16526.747365550182</v>
      </c>
      <c r="J49" s="105">
        <v>26.967739474181538</v>
      </c>
      <c r="K49" s="105">
        <v>15954.114672925798</v>
      </c>
      <c r="L49" s="105">
        <v>27.016020241317872</v>
      </c>
      <c r="M49" s="105">
        <v>15982.677574763653</v>
      </c>
      <c r="N49" s="105">
        <v>33.241175533038017</v>
      </c>
      <c r="O49" s="105">
        <v>19665.479445345292</v>
      </c>
      <c r="P49" s="105">
        <v>27.132451495139968</v>
      </c>
      <c r="Q49" s="105">
        <v>16051.558304524806</v>
      </c>
      <c r="R49" s="105">
        <v>25</v>
      </c>
      <c r="S49" s="105">
        <v>14790</v>
      </c>
      <c r="T49" s="105">
        <v>26.78380539350761</v>
      </c>
      <c r="U49" s="105">
        <v>15845.299270799103</v>
      </c>
      <c r="V49" s="105">
        <v>25.057719925270085</v>
      </c>
      <c r="W49" s="105">
        <v>14824.147107789782</v>
      </c>
      <c r="X49" s="105">
        <v>21.657008286770136</v>
      </c>
      <c r="Y49" s="105">
        <v>12812.286102453212</v>
      </c>
      <c r="Z49" s="105">
        <v>24.228624589332192</v>
      </c>
      <c r="AA49" s="105">
        <v>14333.654307048926</v>
      </c>
      <c r="AB49" s="105">
        <v>21.154975174064731</v>
      </c>
      <c r="AC49" s="105">
        <v>12515.283312976695</v>
      </c>
      <c r="AD49" s="105">
        <v>27.395150729852489</v>
      </c>
      <c r="AE49" s="105">
        <v>16206.971171780733</v>
      </c>
      <c r="AF49" s="105">
        <v>18.188916206665247</v>
      </c>
      <c r="AG49" s="105">
        <v>10760.562827863161</v>
      </c>
      <c r="AH49" s="105">
        <v>22.297556978743856</v>
      </c>
      <c r="AI49" s="105">
        <v>13191.234708624866</v>
      </c>
      <c r="AJ49" s="105">
        <v>34.554734641286274</v>
      </c>
      <c r="AK49" s="105">
        <v>20442.581013784962</v>
      </c>
      <c r="AL49" s="105">
        <v>33.472660809955244</v>
      </c>
      <c r="AM49" s="105">
        <v>19802.426135169524</v>
      </c>
      <c r="AN49" s="105">
        <v>34.736252953588206</v>
      </c>
      <c r="AO49" s="105">
        <v>20549.967247342782</v>
      </c>
      <c r="AP49" s="105">
        <v>37.673715323277698</v>
      </c>
      <c r="AQ49" s="105">
        <v>22287.769985251085</v>
      </c>
      <c r="AR49" s="105">
        <v>35.697410118106568</v>
      </c>
      <c r="AS49" s="105">
        <v>21118.587825871848</v>
      </c>
      <c r="AT49" s="105">
        <v>23.621104138221703</v>
      </c>
      <c r="AU49" s="105">
        <v>13974.24520817196</v>
      </c>
      <c r="AV49" s="105">
        <v>34.983298796524991</v>
      </c>
      <c r="AW49" s="105">
        <v>20696.119568024187</v>
      </c>
      <c r="AX49" s="105">
        <v>19.706774445110906</v>
      </c>
      <c r="AY49" s="105">
        <v>11658.527761727612</v>
      </c>
      <c r="AZ49" s="105">
        <v>31.197188028314169</v>
      </c>
      <c r="BA49" s="105">
        <v>18456.256437550663</v>
      </c>
      <c r="BB49" s="105">
        <v>19.314296833152</v>
      </c>
      <c r="BC49" s="105">
        <v>11426.338006492724</v>
      </c>
      <c r="BD49" s="105">
        <v>27.203008035410509</v>
      </c>
      <c r="BE49" s="105">
        <v>16093.299553748857</v>
      </c>
      <c r="BF49" s="105">
        <v>27.007961202669527</v>
      </c>
      <c r="BG49" s="105">
        <v>15977.909847499293</v>
      </c>
      <c r="BH49" s="105">
        <v>26.867755931214166</v>
      </c>
      <c r="BI49" s="105">
        <v>15894.9644089063</v>
      </c>
      <c r="BJ49" s="105">
        <v>37.259411977250778</v>
      </c>
      <c r="BK49" s="105">
        <v>22042.668125741562</v>
      </c>
      <c r="BL49" s="105">
        <v>34.841319309752627</v>
      </c>
      <c r="BM49" s="105">
        <v>20612.124503649655</v>
      </c>
      <c r="BN49" s="105">
        <v>23.813839862442389</v>
      </c>
      <c r="BO49" s="105">
        <v>14088.267662620918</v>
      </c>
      <c r="BP49" s="105">
        <v>25.187974274560233</v>
      </c>
      <c r="BQ49" s="105">
        <v>14901.205580829834</v>
      </c>
      <c r="BR49" s="105">
        <v>18.197833229243507</v>
      </c>
      <c r="BS49" s="105">
        <v>10765.838138420459</v>
      </c>
      <c r="BT49" s="105">
        <v>25.41033223188672</v>
      </c>
      <c r="BU49" s="105">
        <v>15032.752548384184</v>
      </c>
      <c r="BV49" s="105">
        <v>31.625613206833798</v>
      </c>
      <c r="BW49" s="105">
        <v>18709.712773162875</v>
      </c>
      <c r="BX49" s="105">
        <v>34.141976224720658</v>
      </c>
      <c r="BY49" s="105">
        <v>20198.393134544742</v>
      </c>
      <c r="BZ49" s="105">
        <v>27.880055067514274</v>
      </c>
      <c r="CA49" s="105">
        <v>16493.840577941446</v>
      </c>
      <c r="CB49" s="105">
        <v>21.778737485502948</v>
      </c>
      <c r="CC49" s="105">
        <v>12884.301096423544</v>
      </c>
      <c r="CD49" s="105">
        <v>33.110534608118634</v>
      </c>
      <c r="CE49" s="105">
        <v>19588.192274162986</v>
      </c>
      <c r="CF49" s="105">
        <v>24.514522900650505</v>
      </c>
      <c r="CG49" s="105">
        <v>14502.79174802484</v>
      </c>
      <c r="CH49" s="105">
        <v>18.110630644192057</v>
      </c>
      <c r="CI49" s="105">
        <v>10714.249089104022</v>
      </c>
      <c r="CJ49" s="105">
        <v>23.927071376065417</v>
      </c>
      <c r="CK49" s="105">
        <v>14155.255426080301</v>
      </c>
      <c r="CL49" s="105">
        <v>26.01004709765515</v>
      </c>
      <c r="CM49" s="105">
        <v>15387.543862972787</v>
      </c>
      <c r="CN49" s="105">
        <v>25.967171863111695</v>
      </c>
      <c r="CO49" s="105">
        <v>15362.178874216879</v>
      </c>
      <c r="CP49" s="105">
        <v>20.193100376659125</v>
      </c>
      <c r="CQ49" s="105">
        <v>11946.238182831539</v>
      </c>
      <c r="CR49" s="105">
        <v>21.320312876467007</v>
      </c>
      <c r="CS49" s="105">
        <v>12613.097097717882</v>
      </c>
      <c r="CT49" s="105">
        <v>31.480394433186397</v>
      </c>
      <c r="CU49" s="105">
        <v>18623.801346673074</v>
      </c>
    </row>
    <row r="50" spans="2:99" x14ac:dyDescent="0.2">
      <c r="C50" s="104" t="s">
        <v>218</v>
      </c>
      <c r="D50" s="105">
        <v>19.080875342079146</v>
      </c>
      <c r="E50" s="105">
        <v>7372.8502321793812</v>
      </c>
      <c r="F50" s="105">
        <v>23.090728468478485</v>
      </c>
      <c r="G50" s="105">
        <v>8922.2574802200852</v>
      </c>
      <c r="H50" s="105">
        <v>38.359361861702467</v>
      </c>
      <c r="I50" s="105">
        <v>14822.057423361832</v>
      </c>
      <c r="J50" s="105">
        <v>38.01406747772365</v>
      </c>
      <c r="K50" s="105">
        <v>14688.635673392417</v>
      </c>
      <c r="L50" s="105">
        <v>31.055380172713832</v>
      </c>
      <c r="M50" s="105">
        <v>11999.798898736624</v>
      </c>
      <c r="N50" s="105">
        <v>43</v>
      </c>
      <c r="O50" s="105">
        <v>16615.2</v>
      </c>
      <c r="P50" s="105">
        <v>33</v>
      </c>
      <c r="Q50" s="105">
        <v>12751.199999999999</v>
      </c>
      <c r="R50" s="105">
        <v>27</v>
      </c>
      <c r="S50" s="105">
        <v>10432.799999999999</v>
      </c>
      <c r="T50" s="105">
        <v>42</v>
      </c>
      <c r="U50" s="105">
        <v>16228.8</v>
      </c>
      <c r="V50" s="105">
        <v>31</v>
      </c>
      <c r="W50" s="105">
        <v>11978.4</v>
      </c>
      <c r="X50" s="105">
        <v>30</v>
      </c>
      <c r="Y50" s="105">
        <v>11592</v>
      </c>
      <c r="Z50" s="105">
        <v>42.751857928844267</v>
      </c>
      <c r="AA50" s="105">
        <v>16519.317903705425</v>
      </c>
      <c r="AB50" s="105">
        <v>18.687654353799005</v>
      </c>
      <c r="AC50" s="105">
        <v>7220.9096423079345</v>
      </c>
      <c r="AD50" s="105">
        <v>37</v>
      </c>
      <c r="AE50" s="105">
        <v>14296.8</v>
      </c>
      <c r="AF50" s="105">
        <v>28</v>
      </c>
      <c r="AG50" s="105">
        <v>10819.199999999999</v>
      </c>
      <c r="AH50" s="105">
        <v>29</v>
      </c>
      <c r="AI50" s="105">
        <v>11205.599999999999</v>
      </c>
      <c r="AJ50" s="105">
        <v>44</v>
      </c>
      <c r="AK50" s="105">
        <v>17001.599999999999</v>
      </c>
      <c r="AL50" s="105">
        <v>38</v>
      </c>
      <c r="AM50" s="105">
        <v>14683.199999999999</v>
      </c>
      <c r="AN50" s="105">
        <v>40.402298013055137</v>
      </c>
      <c r="AO50" s="105">
        <v>15611.447952244504</v>
      </c>
      <c r="AP50" s="105">
        <v>40.167743385324442</v>
      </c>
      <c r="AQ50" s="105">
        <v>15520.816044089364</v>
      </c>
      <c r="AR50" s="105">
        <v>40.73616825457124</v>
      </c>
      <c r="AS50" s="105">
        <v>15740.455413566326</v>
      </c>
      <c r="AT50" s="105">
        <v>35.148001583751849</v>
      </c>
      <c r="AU50" s="105">
        <v>13581.187811961714</v>
      </c>
      <c r="AV50" s="105">
        <v>33.363087939319776</v>
      </c>
      <c r="AW50" s="105">
        <v>12891.49717975316</v>
      </c>
      <c r="AX50" s="105">
        <v>28.022035894693932</v>
      </c>
      <c r="AY50" s="105">
        <v>10827.714669709734</v>
      </c>
      <c r="AZ50" s="105">
        <v>33.65716191188563</v>
      </c>
      <c r="BA50" s="105">
        <v>13005.127362752606</v>
      </c>
      <c r="BB50" s="105">
        <v>27.529228714011023</v>
      </c>
      <c r="BC50" s="105">
        <v>10637.293975093859</v>
      </c>
      <c r="BD50" s="105">
        <v>35.170546806063427</v>
      </c>
      <c r="BE50" s="105">
        <v>13589.899285862908</v>
      </c>
      <c r="BF50" s="105">
        <v>25.461456329576645</v>
      </c>
      <c r="BG50" s="105">
        <v>9838.3067257484145</v>
      </c>
      <c r="BH50" s="105">
        <v>25.693946799743618</v>
      </c>
      <c r="BI50" s="105">
        <v>9928.1410434209338</v>
      </c>
      <c r="BJ50" s="105">
        <v>35.009076676306186</v>
      </c>
      <c r="BK50" s="105">
        <v>13527.507227724709</v>
      </c>
      <c r="BL50" s="105">
        <v>38.802237973441926</v>
      </c>
      <c r="BM50" s="105">
        <v>14993.184752937959</v>
      </c>
      <c r="BN50" s="105">
        <v>33</v>
      </c>
      <c r="BO50" s="105">
        <v>12751.199999999999</v>
      </c>
      <c r="BP50" s="105">
        <v>39</v>
      </c>
      <c r="BQ50" s="105">
        <v>15069.599999999999</v>
      </c>
      <c r="BR50" s="105">
        <v>27.280890618562374</v>
      </c>
      <c r="BS50" s="105">
        <v>10541.336135012501</v>
      </c>
      <c r="BT50" s="105">
        <v>19.257628916191738</v>
      </c>
      <c r="BU50" s="105">
        <v>7441.1478132164875</v>
      </c>
      <c r="BV50" s="105">
        <v>38.702846995026349</v>
      </c>
      <c r="BW50" s="105">
        <v>14954.780078878181</v>
      </c>
      <c r="BX50" s="105">
        <v>44</v>
      </c>
      <c r="BY50" s="105">
        <v>17001.599999999999</v>
      </c>
      <c r="BZ50" s="105">
        <v>33</v>
      </c>
      <c r="CA50" s="105">
        <v>12751.199999999999</v>
      </c>
      <c r="CB50" s="105">
        <v>30</v>
      </c>
      <c r="CC50" s="105">
        <v>11592</v>
      </c>
      <c r="CD50" s="105">
        <v>41</v>
      </c>
      <c r="CE50" s="105">
        <v>15842.4</v>
      </c>
      <c r="CF50" s="105">
        <v>33</v>
      </c>
      <c r="CG50" s="105">
        <v>12751.199999999999</v>
      </c>
      <c r="CH50" s="105">
        <v>27</v>
      </c>
      <c r="CI50" s="105">
        <v>10432.799999999999</v>
      </c>
      <c r="CJ50" s="105">
        <v>26</v>
      </c>
      <c r="CK50" s="105">
        <v>10046.4</v>
      </c>
      <c r="CL50" s="105">
        <v>29.422679914979703</v>
      </c>
      <c r="CM50" s="105">
        <v>11368.923519148157</v>
      </c>
      <c r="CN50" s="105">
        <v>23.462089745658968</v>
      </c>
      <c r="CO50" s="105">
        <v>9065.7514777226243</v>
      </c>
      <c r="CP50" s="105">
        <v>27.845117500342521</v>
      </c>
      <c r="CQ50" s="105">
        <v>10759.35340213235</v>
      </c>
      <c r="CR50" s="105">
        <v>26.137245611241227</v>
      </c>
      <c r="CS50" s="105">
        <v>10099.431704183609</v>
      </c>
      <c r="CT50" s="105">
        <v>32.610997622503106</v>
      </c>
      <c r="CU50" s="105">
        <v>12600.8894813352</v>
      </c>
    </row>
    <row r="51" spans="2:99" x14ac:dyDescent="0.2">
      <c r="C51" s="104" t="s">
        <v>219</v>
      </c>
      <c r="D51" s="105">
        <v>30</v>
      </c>
      <c r="E51" s="105">
        <v>4068</v>
      </c>
      <c r="F51" s="105">
        <v>32</v>
      </c>
      <c r="G51" s="105">
        <v>4339.2</v>
      </c>
      <c r="H51" s="105">
        <v>39</v>
      </c>
      <c r="I51" s="105">
        <v>5288.4</v>
      </c>
      <c r="J51" s="105">
        <v>35</v>
      </c>
      <c r="K51" s="105">
        <v>4746</v>
      </c>
      <c r="L51" s="105">
        <v>28</v>
      </c>
      <c r="M51" s="105">
        <v>3796.7999999999997</v>
      </c>
      <c r="N51" s="105">
        <v>43</v>
      </c>
      <c r="O51" s="105">
        <v>5830.8</v>
      </c>
      <c r="P51" s="105">
        <v>33</v>
      </c>
      <c r="Q51" s="105">
        <v>4474.8</v>
      </c>
      <c r="R51" s="105">
        <v>29</v>
      </c>
      <c r="S51" s="105">
        <v>3932.3999999999996</v>
      </c>
      <c r="T51" s="105">
        <v>42</v>
      </c>
      <c r="U51" s="105">
        <v>5695.2</v>
      </c>
      <c r="V51" s="105">
        <v>31.247347238837119</v>
      </c>
      <c r="W51" s="105">
        <v>4237.1402855863134</v>
      </c>
      <c r="X51" s="105">
        <v>31</v>
      </c>
      <c r="Y51" s="105">
        <v>4203.5999999999995</v>
      </c>
      <c r="Z51" s="105">
        <v>44</v>
      </c>
      <c r="AA51" s="105">
        <v>5966.4</v>
      </c>
      <c r="AB51" s="105">
        <v>25</v>
      </c>
      <c r="AC51" s="105">
        <v>3390</v>
      </c>
      <c r="AD51" s="105">
        <v>37</v>
      </c>
      <c r="AE51" s="105">
        <v>5017.2</v>
      </c>
      <c r="AF51" s="105">
        <v>30</v>
      </c>
      <c r="AG51" s="105">
        <v>4068</v>
      </c>
      <c r="AH51" s="105">
        <v>30</v>
      </c>
      <c r="AI51" s="105">
        <v>4068</v>
      </c>
      <c r="AJ51" s="105">
        <v>40</v>
      </c>
      <c r="AK51" s="105">
        <v>5424</v>
      </c>
      <c r="AL51" s="105">
        <v>42</v>
      </c>
      <c r="AM51" s="105">
        <v>5695.2</v>
      </c>
      <c r="AN51" s="105">
        <v>47</v>
      </c>
      <c r="AO51" s="105">
        <v>6373.2</v>
      </c>
      <c r="AP51" s="105">
        <v>47</v>
      </c>
      <c r="AQ51" s="105">
        <v>6373.2</v>
      </c>
      <c r="AR51" s="105">
        <v>46</v>
      </c>
      <c r="AS51" s="105">
        <v>6237.5999999999995</v>
      </c>
      <c r="AT51" s="105">
        <v>39</v>
      </c>
      <c r="AU51" s="105">
        <v>5288.4</v>
      </c>
      <c r="AV51" s="105">
        <v>40</v>
      </c>
      <c r="AW51" s="105">
        <v>5424</v>
      </c>
      <c r="AX51" s="105">
        <v>36</v>
      </c>
      <c r="AY51" s="105">
        <v>4881.5999999999995</v>
      </c>
      <c r="AZ51" s="105">
        <v>42</v>
      </c>
      <c r="BA51" s="105">
        <v>5695.2</v>
      </c>
      <c r="BB51" s="105">
        <v>27</v>
      </c>
      <c r="BC51" s="105">
        <v>3661.2</v>
      </c>
      <c r="BD51" s="105">
        <v>44</v>
      </c>
      <c r="BE51" s="105">
        <v>5966.4</v>
      </c>
      <c r="BF51" s="105">
        <v>44.107646133838948</v>
      </c>
      <c r="BG51" s="105">
        <v>5980.9968157485609</v>
      </c>
      <c r="BH51" s="105">
        <v>31</v>
      </c>
      <c r="BI51" s="105">
        <v>4203.5999999999995</v>
      </c>
      <c r="BJ51" s="105">
        <v>49</v>
      </c>
      <c r="BK51" s="105">
        <v>6644.4</v>
      </c>
      <c r="BL51" s="105">
        <v>48</v>
      </c>
      <c r="BM51" s="105">
        <v>6508.7999999999993</v>
      </c>
      <c r="BN51" s="105">
        <v>35</v>
      </c>
      <c r="BO51" s="105">
        <v>4746</v>
      </c>
      <c r="BP51" s="105">
        <v>44</v>
      </c>
      <c r="BQ51" s="105">
        <v>5966.4</v>
      </c>
      <c r="BR51" s="105">
        <v>28</v>
      </c>
      <c r="BS51" s="105">
        <v>3796.7999999999997</v>
      </c>
      <c r="BT51" s="105">
        <v>26</v>
      </c>
      <c r="BU51" s="105">
        <v>3525.6</v>
      </c>
      <c r="BV51" s="105">
        <v>46</v>
      </c>
      <c r="BW51" s="105">
        <v>6237.5999999999995</v>
      </c>
      <c r="BX51" s="105">
        <v>43</v>
      </c>
      <c r="BY51" s="105">
        <v>5830.8</v>
      </c>
      <c r="BZ51" s="105">
        <v>32</v>
      </c>
      <c r="CA51" s="105">
        <v>4339.2</v>
      </c>
      <c r="CB51" s="105">
        <v>31</v>
      </c>
      <c r="CC51" s="105">
        <v>4203.5999999999995</v>
      </c>
      <c r="CD51" s="105">
        <v>46</v>
      </c>
      <c r="CE51" s="105">
        <v>6237.5999999999995</v>
      </c>
      <c r="CF51" s="105">
        <v>37</v>
      </c>
      <c r="CG51" s="105">
        <v>5017.2</v>
      </c>
      <c r="CH51" s="105">
        <v>25</v>
      </c>
      <c r="CI51" s="105">
        <v>3390</v>
      </c>
      <c r="CJ51" s="105">
        <v>27</v>
      </c>
      <c r="CK51" s="105">
        <v>3661.2</v>
      </c>
      <c r="CL51" s="105">
        <v>31</v>
      </c>
      <c r="CM51" s="105">
        <v>4203.5999999999995</v>
      </c>
      <c r="CN51" s="105">
        <v>31</v>
      </c>
      <c r="CO51" s="105">
        <v>4203.5999999999995</v>
      </c>
      <c r="CP51" s="105">
        <v>39</v>
      </c>
      <c r="CQ51" s="105">
        <v>5288.4</v>
      </c>
      <c r="CR51" s="105">
        <v>31</v>
      </c>
      <c r="CS51" s="105">
        <v>4203.5999999999995</v>
      </c>
      <c r="CT51" s="105">
        <v>47</v>
      </c>
      <c r="CU51" s="105">
        <v>6373.2</v>
      </c>
    </row>
    <row r="52" spans="2:99" x14ac:dyDescent="0.2">
      <c r="C52" s="104" t="s">
        <v>220</v>
      </c>
      <c r="D52" s="105">
        <v>30</v>
      </c>
      <c r="E52" s="105">
        <v>7991.9999999999991</v>
      </c>
      <c r="F52" s="105">
        <v>32</v>
      </c>
      <c r="G52" s="105">
        <v>8524.7999999999993</v>
      </c>
      <c r="H52" s="105">
        <v>39</v>
      </c>
      <c r="I52" s="105">
        <v>10389.599999999999</v>
      </c>
      <c r="J52" s="105">
        <v>34</v>
      </c>
      <c r="K52" s="105">
        <v>9057.5999999999985</v>
      </c>
      <c r="L52" s="105">
        <v>30</v>
      </c>
      <c r="M52" s="105">
        <v>7991.9999999999991</v>
      </c>
      <c r="N52" s="105">
        <v>46</v>
      </c>
      <c r="O52" s="105">
        <v>12254.4</v>
      </c>
      <c r="P52" s="105">
        <v>31</v>
      </c>
      <c r="Q52" s="105">
        <v>8258.4</v>
      </c>
      <c r="R52" s="105">
        <v>25</v>
      </c>
      <c r="S52" s="105">
        <v>6659.9999999999991</v>
      </c>
      <c r="T52" s="105">
        <v>43</v>
      </c>
      <c r="U52" s="105">
        <v>11455.199999999999</v>
      </c>
      <c r="V52" s="105">
        <v>31.247347238837119</v>
      </c>
      <c r="W52" s="105">
        <v>8324.2933044262081</v>
      </c>
      <c r="X52" s="105">
        <v>30</v>
      </c>
      <c r="Y52" s="105">
        <v>7991.9999999999991</v>
      </c>
      <c r="Z52" s="105">
        <v>46</v>
      </c>
      <c r="AA52" s="105">
        <v>12254.4</v>
      </c>
      <c r="AB52" s="105">
        <v>27</v>
      </c>
      <c r="AC52" s="105">
        <v>7192.7999999999993</v>
      </c>
      <c r="AD52" s="105">
        <v>37</v>
      </c>
      <c r="AE52" s="105">
        <v>9856.7999999999993</v>
      </c>
      <c r="AF52" s="105">
        <v>27</v>
      </c>
      <c r="AG52" s="105">
        <v>7192.7999999999993</v>
      </c>
      <c r="AH52" s="105">
        <v>30</v>
      </c>
      <c r="AI52" s="105">
        <v>7991.9999999999991</v>
      </c>
      <c r="AJ52" s="105">
        <v>40</v>
      </c>
      <c r="AK52" s="105">
        <v>10656</v>
      </c>
      <c r="AL52" s="105">
        <v>43</v>
      </c>
      <c r="AM52" s="105">
        <v>11455.199999999999</v>
      </c>
      <c r="AN52" s="105">
        <v>40</v>
      </c>
      <c r="AO52" s="105">
        <v>10656</v>
      </c>
      <c r="AP52" s="105">
        <v>43</v>
      </c>
      <c r="AQ52" s="105">
        <v>11455.199999999999</v>
      </c>
      <c r="AR52" s="105">
        <v>39</v>
      </c>
      <c r="AS52" s="105">
        <v>10389.599999999999</v>
      </c>
      <c r="AT52" s="105">
        <v>38</v>
      </c>
      <c r="AU52" s="105">
        <v>10123.199999999999</v>
      </c>
      <c r="AV52" s="105">
        <v>41</v>
      </c>
      <c r="AW52" s="105">
        <v>10922.4</v>
      </c>
      <c r="AX52" s="105">
        <v>34</v>
      </c>
      <c r="AY52" s="105">
        <v>9057.5999999999985</v>
      </c>
      <c r="AZ52" s="105">
        <v>43</v>
      </c>
      <c r="BA52" s="105">
        <v>11455.199999999999</v>
      </c>
      <c r="BB52" s="105">
        <v>26</v>
      </c>
      <c r="BC52" s="105">
        <v>6926.4</v>
      </c>
      <c r="BD52" s="105">
        <v>48</v>
      </c>
      <c r="BE52" s="105">
        <v>12787.199999999999</v>
      </c>
      <c r="BF52" s="105">
        <v>41.107646133838948</v>
      </c>
      <c r="BG52" s="105">
        <v>10951.076930054694</v>
      </c>
      <c r="BH52" s="105">
        <v>26</v>
      </c>
      <c r="BI52" s="105">
        <v>6926.4</v>
      </c>
      <c r="BJ52" s="105">
        <v>46</v>
      </c>
      <c r="BK52" s="105">
        <v>12254.4</v>
      </c>
      <c r="BL52" s="105">
        <v>50</v>
      </c>
      <c r="BM52" s="105">
        <v>13319.999999999998</v>
      </c>
      <c r="BN52" s="105">
        <v>36</v>
      </c>
      <c r="BO52" s="105">
        <v>9590.4</v>
      </c>
      <c r="BP52" s="105">
        <v>41</v>
      </c>
      <c r="BQ52" s="105">
        <v>10922.4</v>
      </c>
      <c r="BR52" s="105">
        <v>31</v>
      </c>
      <c r="BS52" s="105">
        <v>8258.4</v>
      </c>
      <c r="BT52" s="105">
        <v>23</v>
      </c>
      <c r="BU52" s="105">
        <v>6127.2</v>
      </c>
      <c r="BV52" s="105">
        <v>42</v>
      </c>
      <c r="BW52" s="105">
        <v>11188.8</v>
      </c>
      <c r="BX52" s="105">
        <v>41</v>
      </c>
      <c r="BY52" s="105">
        <v>10922.4</v>
      </c>
      <c r="BZ52" s="105">
        <v>32</v>
      </c>
      <c r="CA52" s="105">
        <v>8524.7999999999993</v>
      </c>
      <c r="CB52" s="105">
        <v>26</v>
      </c>
      <c r="CC52" s="105">
        <v>6926.4</v>
      </c>
      <c r="CD52" s="105">
        <v>42</v>
      </c>
      <c r="CE52" s="105">
        <v>11188.8</v>
      </c>
      <c r="CF52" s="105">
        <v>34</v>
      </c>
      <c r="CG52" s="105">
        <v>9057.5999999999985</v>
      </c>
      <c r="CH52" s="105">
        <v>27</v>
      </c>
      <c r="CI52" s="105">
        <v>7192.7999999999993</v>
      </c>
      <c r="CJ52" s="105">
        <v>30</v>
      </c>
      <c r="CK52" s="105">
        <v>7991.9999999999991</v>
      </c>
      <c r="CL52" s="105">
        <v>34</v>
      </c>
      <c r="CM52" s="105">
        <v>9057.5999999999985</v>
      </c>
      <c r="CN52" s="105">
        <v>30</v>
      </c>
      <c r="CO52" s="105">
        <v>7991.9999999999991</v>
      </c>
      <c r="CP52" s="105">
        <v>31</v>
      </c>
      <c r="CQ52" s="105">
        <v>8258.4</v>
      </c>
      <c r="CR52" s="105">
        <v>34</v>
      </c>
      <c r="CS52" s="105">
        <v>9057.5999999999985</v>
      </c>
      <c r="CT52" s="105">
        <v>41</v>
      </c>
      <c r="CU52" s="105">
        <v>10922.4</v>
      </c>
    </row>
    <row r="53" spans="2:99" x14ac:dyDescent="0.2">
      <c r="C53" s="104" t="s">
        <v>221</v>
      </c>
      <c r="D53" s="105">
        <v>30</v>
      </c>
      <c r="E53" s="105">
        <v>11772</v>
      </c>
      <c r="F53" s="105">
        <v>33</v>
      </c>
      <c r="G53" s="105">
        <v>12949.199999999999</v>
      </c>
      <c r="H53" s="105">
        <v>40</v>
      </c>
      <c r="I53" s="105">
        <v>15696</v>
      </c>
      <c r="J53" s="105">
        <v>37</v>
      </c>
      <c r="K53" s="105">
        <v>14518.8</v>
      </c>
      <c r="L53" s="105">
        <v>29</v>
      </c>
      <c r="M53" s="105">
        <v>11379.599999999999</v>
      </c>
      <c r="N53" s="105">
        <v>45</v>
      </c>
      <c r="O53" s="105">
        <v>17658</v>
      </c>
      <c r="P53" s="105">
        <v>37</v>
      </c>
      <c r="Q53" s="105">
        <v>14518.8</v>
      </c>
      <c r="R53" s="105">
        <v>25</v>
      </c>
      <c r="S53" s="105">
        <v>9810</v>
      </c>
      <c r="T53" s="105">
        <v>37</v>
      </c>
      <c r="U53" s="105">
        <v>14518.8</v>
      </c>
      <c r="V53" s="105">
        <v>30.247347238837119</v>
      </c>
      <c r="W53" s="105">
        <v>11869.059056519685</v>
      </c>
      <c r="X53" s="105">
        <v>32</v>
      </c>
      <c r="Y53" s="105">
        <v>12556.8</v>
      </c>
      <c r="Z53" s="105">
        <v>46</v>
      </c>
      <c r="AA53" s="105">
        <v>18050.399999999998</v>
      </c>
      <c r="AB53" s="105">
        <v>25</v>
      </c>
      <c r="AC53" s="105">
        <v>9810</v>
      </c>
      <c r="AD53" s="105">
        <v>35</v>
      </c>
      <c r="AE53" s="105">
        <v>13734</v>
      </c>
      <c r="AF53" s="105">
        <v>27</v>
      </c>
      <c r="AG53" s="105">
        <v>10594.8</v>
      </c>
      <c r="AH53" s="105">
        <v>29</v>
      </c>
      <c r="AI53" s="105">
        <v>11379.599999999999</v>
      </c>
      <c r="AJ53" s="105">
        <v>41</v>
      </c>
      <c r="AK53" s="105">
        <v>16088.4</v>
      </c>
      <c r="AL53" s="105">
        <v>37</v>
      </c>
      <c r="AM53" s="105">
        <v>14518.8</v>
      </c>
      <c r="AN53" s="105">
        <v>42</v>
      </c>
      <c r="AO53" s="105">
        <v>16480.8</v>
      </c>
      <c r="AP53" s="105">
        <v>43</v>
      </c>
      <c r="AQ53" s="105">
        <v>16873.2</v>
      </c>
      <c r="AR53" s="105">
        <v>41</v>
      </c>
      <c r="AS53" s="105">
        <v>16088.4</v>
      </c>
      <c r="AT53" s="105">
        <v>39</v>
      </c>
      <c r="AU53" s="105">
        <v>15303.599999999999</v>
      </c>
      <c r="AV53" s="105">
        <v>42</v>
      </c>
      <c r="AW53" s="105">
        <v>16480.8</v>
      </c>
      <c r="AX53" s="105">
        <v>31</v>
      </c>
      <c r="AY53" s="105">
        <v>12164.4</v>
      </c>
      <c r="AZ53" s="105">
        <v>40</v>
      </c>
      <c r="BA53" s="105">
        <v>15696</v>
      </c>
      <c r="BB53" s="105">
        <v>30</v>
      </c>
      <c r="BC53" s="105">
        <v>11772</v>
      </c>
      <c r="BD53" s="105">
        <v>44</v>
      </c>
      <c r="BE53" s="105">
        <v>17265.599999999999</v>
      </c>
      <c r="BF53" s="105">
        <v>36.107646133838948</v>
      </c>
      <c r="BG53" s="105">
        <v>14168.640342918403</v>
      </c>
      <c r="BH53" s="105">
        <v>29</v>
      </c>
      <c r="BI53" s="105">
        <v>11379.599999999999</v>
      </c>
      <c r="BJ53" s="105">
        <v>43</v>
      </c>
      <c r="BK53" s="105">
        <v>16873.2</v>
      </c>
      <c r="BL53" s="105">
        <v>44</v>
      </c>
      <c r="BM53" s="105">
        <v>17265.599999999999</v>
      </c>
      <c r="BN53" s="105">
        <v>34</v>
      </c>
      <c r="BO53" s="105">
        <v>13341.599999999999</v>
      </c>
      <c r="BP53" s="105">
        <v>38</v>
      </c>
      <c r="BQ53" s="105">
        <v>14911.199999999999</v>
      </c>
      <c r="BR53" s="105">
        <v>28</v>
      </c>
      <c r="BS53" s="105">
        <v>10987.199999999999</v>
      </c>
      <c r="BT53" s="105">
        <v>25</v>
      </c>
      <c r="BU53" s="105">
        <v>9810</v>
      </c>
      <c r="BV53" s="105">
        <v>42</v>
      </c>
      <c r="BW53" s="105">
        <v>16480.8</v>
      </c>
      <c r="BX53" s="105">
        <v>42</v>
      </c>
      <c r="BY53" s="105">
        <v>16480.8</v>
      </c>
      <c r="BZ53" s="105">
        <v>32</v>
      </c>
      <c r="CA53" s="105">
        <v>12556.8</v>
      </c>
      <c r="CB53" s="105">
        <v>28</v>
      </c>
      <c r="CC53" s="105">
        <v>10987.199999999999</v>
      </c>
      <c r="CD53" s="105">
        <v>38</v>
      </c>
      <c r="CE53" s="105">
        <v>14911.199999999999</v>
      </c>
      <c r="CF53" s="105">
        <v>31</v>
      </c>
      <c r="CG53" s="105">
        <v>12164.4</v>
      </c>
      <c r="CH53" s="105">
        <v>25</v>
      </c>
      <c r="CI53" s="105">
        <v>9810</v>
      </c>
      <c r="CJ53" s="105">
        <v>26</v>
      </c>
      <c r="CK53" s="105">
        <v>10202.4</v>
      </c>
      <c r="CL53" s="105">
        <v>34</v>
      </c>
      <c r="CM53" s="105">
        <v>13341.599999999999</v>
      </c>
      <c r="CN53" s="105">
        <v>29</v>
      </c>
      <c r="CO53" s="105">
        <v>11379.599999999999</v>
      </c>
      <c r="CP53" s="105">
        <v>37</v>
      </c>
      <c r="CQ53" s="105">
        <v>14518.8</v>
      </c>
      <c r="CR53" s="105">
        <v>28</v>
      </c>
      <c r="CS53" s="105">
        <v>10987.199999999999</v>
      </c>
      <c r="CT53" s="105">
        <v>44</v>
      </c>
      <c r="CU53" s="105">
        <v>17265.599999999999</v>
      </c>
    </row>
    <row r="54" spans="2:99" x14ac:dyDescent="0.2">
      <c r="C54" s="104" t="s">
        <v>222</v>
      </c>
      <c r="D54" s="105">
        <v>19.080875342079146</v>
      </c>
      <c r="E54" s="105">
        <v>7784.9971395682915</v>
      </c>
      <c r="F54" s="105">
        <v>26.275656533096207</v>
      </c>
      <c r="G54" s="105">
        <v>10720.467865503253</v>
      </c>
      <c r="H54" s="105">
        <v>35.743950825677295</v>
      </c>
      <c r="I54" s="105">
        <v>14583.531936876336</v>
      </c>
      <c r="J54" s="105">
        <v>37.01406747772365</v>
      </c>
      <c r="K54" s="105">
        <v>15101.739530911249</v>
      </c>
      <c r="L54" s="105">
        <v>29.126102934753099</v>
      </c>
      <c r="M54" s="105">
        <v>11883.449997379264</v>
      </c>
      <c r="N54" s="105">
        <v>39</v>
      </c>
      <c r="O54" s="105">
        <v>15912</v>
      </c>
      <c r="P54" s="105">
        <v>35</v>
      </c>
      <c r="Q54" s="105">
        <v>14280</v>
      </c>
      <c r="R54" s="105">
        <v>24</v>
      </c>
      <c r="S54" s="105">
        <v>9792</v>
      </c>
      <c r="T54" s="105">
        <v>36</v>
      </c>
      <c r="U54" s="105">
        <v>14688</v>
      </c>
      <c r="V54" s="105">
        <v>28</v>
      </c>
      <c r="W54" s="105">
        <v>11424</v>
      </c>
      <c r="X54" s="105">
        <v>28</v>
      </c>
      <c r="Y54" s="105">
        <v>11424</v>
      </c>
      <c r="Z54" s="105">
        <v>46.728774945480943</v>
      </c>
      <c r="AA54" s="105">
        <v>19065.340177756225</v>
      </c>
      <c r="AB54" s="105">
        <v>20.386532022326186</v>
      </c>
      <c r="AC54" s="105">
        <v>8317.7050651090831</v>
      </c>
      <c r="AD54" s="105">
        <v>33</v>
      </c>
      <c r="AE54" s="105">
        <v>13464</v>
      </c>
      <c r="AF54" s="105">
        <v>28</v>
      </c>
      <c r="AG54" s="105">
        <v>11424</v>
      </c>
      <c r="AH54" s="105">
        <v>30</v>
      </c>
      <c r="AI54" s="105">
        <v>12240</v>
      </c>
      <c r="AJ54" s="105">
        <v>39</v>
      </c>
      <c r="AK54" s="105">
        <v>15912</v>
      </c>
      <c r="AL54" s="105">
        <v>41</v>
      </c>
      <c r="AM54" s="105">
        <v>16728</v>
      </c>
      <c r="AN54" s="105">
        <v>36.643944709515125</v>
      </c>
      <c r="AO54" s="105">
        <v>14950.729441482172</v>
      </c>
      <c r="AP54" s="105">
        <v>39.211368542816722</v>
      </c>
      <c r="AQ54" s="105">
        <v>15998.238365469222</v>
      </c>
      <c r="AR54" s="105">
        <v>37.032880231428393</v>
      </c>
      <c r="AS54" s="105">
        <v>15109.415134422785</v>
      </c>
      <c r="AT54" s="105">
        <v>31.153910494689139</v>
      </c>
      <c r="AU54" s="105">
        <v>12710.795481833169</v>
      </c>
      <c r="AV54" s="105">
        <v>36.068203177642992</v>
      </c>
      <c r="AW54" s="105">
        <v>14715.82689647834</v>
      </c>
      <c r="AX54" s="105">
        <v>26.373680842064875</v>
      </c>
      <c r="AY54" s="105">
        <v>10760.461783562469</v>
      </c>
      <c r="AZ54" s="105">
        <v>34.498590959682772</v>
      </c>
      <c r="BA54" s="105">
        <v>14075.42511155057</v>
      </c>
      <c r="BB54" s="105">
        <v>26.61158775687732</v>
      </c>
      <c r="BC54" s="105">
        <v>10857.527804805946</v>
      </c>
      <c r="BD54" s="105">
        <v>35.969877415292139</v>
      </c>
      <c r="BE54" s="105">
        <v>14675.709985439193</v>
      </c>
      <c r="BF54" s="105">
        <v>30.553747595491973</v>
      </c>
      <c r="BG54" s="105">
        <v>12465.929018960725</v>
      </c>
      <c r="BH54" s="105">
        <v>26.61158775687732</v>
      </c>
      <c r="BI54" s="105">
        <v>10857.527804805946</v>
      </c>
      <c r="BJ54" s="105">
        <v>37.509725010328062</v>
      </c>
      <c r="BK54" s="105">
        <v>15303.967804213849</v>
      </c>
      <c r="BL54" s="105">
        <v>37.185478057881845</v>
      </c>
      <c r="BM54" s="105">
        <v>15171.675047615792</v>
      </c>
      <c r="BN54" s="105">
        <v>32</v>
      </c>
      <c r="BO54" s="105">
        <v>13056</v>
      </c>
      <c r="BP54" s="105">
        <v>38</v>
      </c>
      <c r="BQ54" s="105">
        <v>15504</v>
      </c>
      <c r="BR54" s="105">
        <v>25.332255574379349</v>
      </c>
      <c r="BS54" s="105">
        <v>10335.560274346775</v>
      </c>
      <c r="BT54" s="105">
        <v>22.606781771181605</v>
      </c>
      <c r="BU54" s="105">
        <v>9223.5669626420949</v>
      </c>
      <c r="BV54" s="105">
        <v>37.82323683604848</v>
      </c>
      <c r="BW54" s="105">
        <v>15431.88062910778</v>
      </c>
      <c r="BX54" s="105">
        <v>41</v>
      </c>
      <c r="BY54" s="105">
        <v>16728</v>
      </c>
      <c r="BZ54" s="105">
        <v>28</v>
      </c>
      <c r="CA54" s="105">
        <v>11424</v>
      </c>
      <c r="CB54" s="105">
        <v>29</v>
      </c>
      <c r="CC54" s="105">
        <v>11832</v>
      </c>
      <c r="CD54" s="105">
        <v>42</v>
      </c>
      <c r="CE54" s="105">
        <v>17136</v>
      </c>
      <c r="CF54" s="105">
        <v>33</v>
      </c>
      <c r="CG54" s="105">
        <v>13464</v>
      </c>
      <c r="CH54" s="105">
        <v>27</v>
      </c>
      <c r="CI54" s="105">
        <v>11016</v>
      </c>
      <c r="CJ54" s="105">
        <v>27</v>
      </c>
      <c r="CK54" s="105">
        <v>11016</v>
      </c>
      <c r="CL54" s="105">
        <v>28.47356120804487</v>
      </c>
      <c r="CM54" s="105">
        <v>11617.212972882307</v>
      </c>
      <c r="CN54" s="105">
        <v>26.813816852181681</v>
      </c>
      <c r="CO54" s="105">
        <v>10940.037275690125</v>
      </c>
      <c r="CP54" s="105">
        <v>23.97774006973939</v>
      </c>
      <c r="CQ54" s="105">
        <v>9782.9179484536708</v>
      </c>
      <c r="CR54" s="105">
        <v>26.137245611241227</v>
      </c>
      <c r="CS54" s="105">
        <v>10663.99620938642</v>
      </c>
      <c r="CT54" s="105">
        <v>31.22329559601361</v>
      </c>
      <c r="CU54" s="105">
        <v>12739.104603173553</v>
      </c>
    </row>
    <row r="55" spans="2:99" x14ac:dyDescent="0.2">
      <c r="C55" s="104" t="s">
        <v>223</v>
      </c>
      <c r="D55" s="105">
        <v>26</v>
      </c>
      <c r="E55" s="105">
        <v>6614.3999999999987</v>
      </c>
      <c r="F55" s="105">
        <v>34</v>
      </c>
      <c r="G55" s="105">
        <v>8649.5999999999985</v>
      </c>
      <c r="H55" s="105">
        <v>43</v>
      </c>
      <c r="I55" s="105">
        <v>10939.199999999997</v>
      </c>
      <c r="J55" s="105">
        <v>36</v>
      </c>
      <c r="K55" s="105">
        <v>9158.3999999999978</v>
      </c>
      <c r="L55" s="105">
        <v>29</v>
      </c>
      <c r="M55" s="105">
        <v>7377.5999999999985</v>
      </c>
      <c r="N55" s="105">
        <v>47</v>
      </c>
      <c r="O55" s="105">
        <v>11956.799999999997</v>
      </c>
      <c r="P55" s="105">
        <v>37</v>
      </c>
      <c r="Q55" s="105">
        <v>9412.7999999999975</v>
      </c>
      <c r="R55" s="105">
        <v>25</v>
      </c>
      <c r="S55" s="105">
        <v>6359.9999999999991</v>
      </c>
      <c r="T55" s="105">
        <v>42</v>
      </c>
      <c r="U55" s="105">
        <v>10684.799999999997</v>
      </c>
      <c r="V55" s="105">
        <v>32.247347238837122</v>
      </c>
      <c r="W55" s="105">
        <v>8203.7251375601627</v>
      </c>
      <c r="X55" s="105">
        <v>31</v>
      </c>
      <c r="Y55" s="105">
        <v>7886.3999999999987</v>
      </c>
      <c r="Z55" s="105">
        <v>47</v>
      </c>
      <c r="AA55" s="105">
        <v>11956.799999999997</v>
      </c>
      <c r="AB55" s="105">
        <v>27</v>
      </c>
      <c r="AC55" s="105">
        <v>6868.7999999999984</v>
      </c>
      <c r="AD55" s="105">
        <v>36</v>
      </c>
      <c r="AE55" s="105">
        <v>9158.3999999999978</v>
      </c>
      <c r="AF55" s="105">
        <v>30</v>
      </c>
      <c r="AG55" s="105">
        <v>7631.9999999999982</v>
      </c>
      <c r="AH55" s="105">
        <v>30</v>
      </c>
      <c r="AI55" s="105">
        <v>7631.9999999999982</v>
      </c>
      <c r="AJ55" s="105">
        <v>40</v>
      </c>
      <c r="AK55" s="105">
        <v>10175.999999999998</v>
      </c>
      <c r="AL55" s="105">
        <v>46</v>
      </c>
      <c r="AM55" s="105">
        <v>11702.399999999998</v>
      </c>
      <c r="AN55" s="105">
        <v>44</v>
      </c>
      <c r="AO55" s="105">
        <v>11193.599999999999</v>
      </c>
      <c r="AP55" s="105">
        <v>43</v>
      </c>
      <c r="AQ55" s="105">
        <v>10939.199999999997</v>
      </c>
      <c r="AR55" s="105">
        <v>44</v>
      </c>
      <c r="AS55" s="105">
        <v>11193.599999999999</v>
      </c>
      <c r="AT55" s="105">
        <v>40</v>
      </c>
      <c r="AU55" s="105">
        <v>10175.999999999998</v>
      </c>
      <c r="AV55" s="105">
        <v>38</v>
      </c>
      <c r="AW55" s="105">
        <v>9667.1999999999989</v>
      </c>
      <c r="AX55" s="105">
        <v>37</v>
      </c>
      <c r="AY55" s="105">
        <v>9412.7999999999975</v>
      </c>
      <c r="AZ55" s="105">
        <v>40</v>
      </c>
      <c r="BA55" s="105">
        <v>10175.999999999998</v>
      </c>
      <c r="BB55" s="105">
        <v>29</v>
      </c>
      <c r="BC55" s="105">
        <v>7377.5999999999985</v>
      </c>
      <c r="BD55" s="105">
        <v>46</v>
      </c>
      <c r="BE55" s="105">
        <v>11702.399999999998</v>
      </c>
      <c r="BF55" s="105">
        <v>43.107646133838948</v>
      </c>
      <c r="BG55" s="105">
        <v>10966.585176448627</v>
      </c>
      <c r="BH55" s="105">
        <v>27</v>
      </c>
      <c r="BI55" s="105">
        <v>6868.7999999999984</v>
      </c>
      <c r="BJ55" s="105">
        <v>46</v>
      </c>
      <c r="BK55" s="105">
        <v>11702.399999999998</v>
      </c>
      <c r="BL55" s="105">
        <v>47</v>
      </c>
      <c r="BM55" s="105">
        <v>11956.799999999997</v>
      </c>
      <c r="BN55" s="105">
        <v>36</v>
      </c>
      <c r="BO55" s="105">
        <v>9158.3999999999978</v>
      </c>
      <c r="BP55" s="105">
        <v>45</v>
      </c>
      <c r="BQ55" s="105">
        <v>11447.999999999998</v>
      </c>
      <c r="BR55" s="105">
        <v>30</v>
      </c>
      <c r="BS55" s="105">
        <v>7631.9999999999982</v>
      </c>
      <c r="BT55" s="105">
        <v>24</v>
      </c>
      <c r="BU55" s="105">
        <v>6105.5999999999985</v>
      </c>
      <c r="BV55" s="105">
        <v>47</v>
      </c>
      <c r="BW55" s="105">
        <v>11956.799999999997</v>
      </c>
      <c r="BX55" s="105">
        <v>38</v>
      </c>
      <c r="BY55" s="105">
        <v>9667.1999999999989</v>
      </c>
      <c r="BZ55" s="105">
        <v>30</v>
      </c>
      <c r="CA55" s="105">
        <v>7631.9999999999982</v>
      </c>
      <c r="CB55" s="105">
        <v>28</v>
      </c>
      <c r="CC55" s="105">
        <v>7123.1999999999989</v>
      </c>
      <c r="CD55" s="105">
        <v>42</v>
      </c>
      <c r="CE55" s="105">
        <v>10684.799999999997</v>
      </c>
      <c r="CF55" s="105">
        <v>31</v>
      </c>
      <c r="CG55" s="105">
        <v>7886.3999999999987</v>
      </c>
      <c r="CH55" s="105">
        <v>26</v>
      </c>
      <c r="CI55" s="105">
        <v>6614.3999999999987</v>
      </c>
      <c r="CJ55" s="105">
        <v>28</v>
      </c>
      <c r="CK55" s="105">
        <v>7123.1999999999989</v>
      </c>
      <c r="CL55" s="105">
        <v>35</v>
      </c>
      <c r="CM55" s="105">
        <v>8903.9999999999982</v>
      </c>
      <c r="CN55" s="105">
        <v>28</v>
      </c>
      <c r="CO55" s="105">
        <v>7123.1999999999989</v>
      </c>
      <c r="CP55" s="105">
        <v>34</v>
      </c>
      <c r="CQ55" s="105">
        <v>8649.5999999999985</v>
      </c>
      <c r="CR55" s="105">
        <v>30</v>
      </c>
      <c r="CS55" s="105">
        <v>7631.9999999999982</v>
      </c>
      <c r="CT55" s="105">
        <v>48</v>
      </c>
      <c r="CU55" s="105">
        <v>12211.199999999997</v>
      </c>
    </row>
    <row r="56" spans="2:99" x14ac:dyDescent="0.2">
      <c r="C56" s="104" t="s">
        <v>224</v>
      </c>
      <c r="D56" s="105">
        <v>19.601126907568304</v>
      </c>
      <c r="E56" s="105">
        <v>14865.494646699801</v>
      </c>
      <c r="F56" s="105">
        <v>27.963299207687619</v>
      </c>
      <c r="G56" s="105">
        <v>21207.366119110291</v>
      </c>
      <c r="H56" s="105">
        <v>30.229076667395073</v>
      </c>
      <c r="I56" s="105">
        <v>22925.731744552424</v>
      </c>
      <c r="J56" s="105">
        <v>26.967739474181538</v>
      </c>
      <c r="K56" s="105">
        <v>20452.333617219279</v>
      </c>
      <c r="L56" s="105">
        <v>27.932437788671624</v>
      </c>
      <c r="M56" s="105">
        <v>21183.960818928561</v>
      </c>
      <c r="N56" s="105">
        <v>32.419809851256424</v>
      </c>
      <c r="O56" s="105">
        <v>24587.183791192871</v>
      </c>
      <c r="P56" s="105">
        <v>28.901890740914919</v>
      </c>
      <c r="Q56" s="105">
        <v>21919.193937909873</v>
      </c>
      <c r="R56" s="105">
        <v>23</v>
      </c>
      <c r="S56" s="105">
        <v>17443.2</v>
      </c>
      <c r="T56" s="105">
        <v>26.140476622510839</v>
      </c>
      <c r="U56" s="105">
        <v>19824.937470512221</v>
      </c>
      <c r="V56" s="105">
        <v>27.742475631549024</v>
      </c>
      <c r="W56" s="105">
        <v>21039.893518966779</v>
      </c>
      <c r="X56" s="105">
        <v>18.304617334623401</v>
      </c>
      <c r="Y56" s="105">
        <v>13882.221786578388</v>
      </c>
      <c r="Z56" s="105">
        <v>26.025894899029442</v>
      </c>
      <c r="AA56" s="105">
        <v>19738.038691423928</v>
      </c>
      <c r="AB56" s="105">
        <v>19.473518240661054</v>
      </c>
      <c r="AC56" s="105">
        <v>14768.716233717343</v>
      </c>
      <c r="AD56" s="105">
        <v>24.304907390884463</v>
      </c>
      <c r="AE56" s="105">
        <v>18432.841765246776</v>
      </c>
      <c r="AF56" s="105">
        <v>18.85466700572028</v>
      </c>
      <c r="AG56" s="105">
        <v>14299.37945713826</v>
      </c>
      <c r="AH56" s="105">
        <v>23.123392422401036</v>
      </c>
      <c r="AI56" s="105">
        <v>17536.780813148944</v>
      </c>
      <c r="AJ56" s="105">
        <v>31.151311461693354</v>
      </c>
      <c r="AK56" s="105">
        <v>23625.154612548238</v>
      </c>
      <c r="AL56" s="105">
        <v>32.56006524745019</v>
      </c>
      <c r="AM56" s="105">
        <v>24693.553483666223</v>
      </c>
      <c r="AN56" s="105">
        <v>28.46703880491809</v>
      </c>
      <c r="AO56" s="105">
        <v>21589.402229649881</v>
      </c>
      <c r="AP56" s="105">
        <v>39.511457534169296</v>
      </c>
      <c r="AQ56" s="105">
        <v>29965.489393913991</v>
      </c>
      <c r="AR56" s="105">
        <v>30.639653210610167</v>
      </c>
      <c r="AS56" s="105">
        <v>23237.112994926749</v>
      </c>
      <c r="AT56" s="105">
        <v>26.140692486564184</v>
      </c>
      <c r="AU56" s="105">
        <v>19825.101181810278</v>
      </c>
      <c r="AV56" s="105">
        <v>37.86020758868839</v>
      </c>
      <c r="AW56" s="105">
        <v>28713.181435261275</v>
      </c>
      <c r="AX56" s="105">
        <v>17.30545472563621</v>
      </c>
      <c r="AY56" s="105">
        <v>13124.456863922502</v>
      </c>
      <c r="AZ56" s="105">
        <v>32.710236211897481</v>
      </c>
      <c r="BA56" s="105">
        <v>24807.44314310305</v>
      </c>
      <c r="BB56" s="105">
        <v>21.598216522193717</v>
      </c>
      <c r="BC56" s="105">
        <v>16380.087410431714</v>
      </c>
      <c r="BD56" s="105">
        <v>24.782241922036743</v>
      </c>
      <c r="BE56" s="105">
        <v>18794.852273672666</v>
      </c>
      <c r="BF56" s="105">
        <v>24.08818161319174</v>
      </c>
      <c r="BG56" s="105">
        <v>18268.476935444614</v>
      </c>
      <c r="BH56" s="105">
        <v>28.866238357070369</v>
      </c>
      <c r="BI56" s="105">
        <v>21892.155170002166</v>
      </c>
      <c r="BJ56" s="105">
        <v>34.839658842388218</v>
      </c>
      <c r="BK56" s="105">
        <v>26422.397266067223</v>
      </c>
      <c r="BL56" s="105">
        <v>31.73792794026382</v>
      </c>
      <c r="BM56" s="105">
        <v>24070.04454989608</v>
      </c>
      <c r="BN56" s="105">
        <v>26.172106948438405</v>
      </c>
      <c r="BO56" s="105">
        <v>19848.925909695685</v>
      </c>
      <c r="BP56" s="105">
        <v>26.443335743123903</v>
      </c>
      <c r="BQ56" s="105">
        <v>20054.625827585169</v>
      </c>
      <c r="BR56" s="105">
        <v>20.157975649925373</v>
      </c>
      <c r="BS56" s="105">
        <v>15287.808732903402</v>
      </c>
      <c r="BT56" s="105">
        <v>22.435031400532644</v>
      </c>
      <c r="BU56" s="105">
        <v>17014.727814163958</v>
      </c>
      <c r="BV56" s="105">
        <v>30.290352170628612</v>
      </c>
      <c r="BW56" s="105">
        <v>22972.20308620474</v>
      </c>
      <c r="BX56" s="105">
        <v>31.65175283100703</v>
      </c>
      <c r="BY56" s="105">
        <v>24004.689347035732</v>
      </c>
      <c r="BZ56" s="105">
        <v>29.771361404040196</v>
      </c>
      <c r="CA56" s="105">
        <v>22578.600488824082</v>
      </c>
      <c r="CB56" s="105">
        <v>20.247234110419122</v>
      </c>
      <c r="CC56" s="105">
        <v>15355.502349341861</v>
      </c>
      <c r="CD56" s="105">
        <v>30.084862458657049</v>
      </c>
      <c r="CE56" s="105">
        <v>22816.359688645505</v>
      </c>
      <c r="CF56" s="105">
        <v>20.204695481938842</v>
      </c>
      <c r="CG56" s="105">
        <v>15323.241053502417</v>
      </c>
      <c r="CH56" s="105">
        <v>18.844839935850278</v>
      </c>
      <c r="CI56" s="105">
        <v>14291.926607348851</v>
      </c>
      <c r="CJ56" s="105">
        <v>23.006799400062899</v>
      </c>
      <c r="CK56" s="105">
        <v>17448.356665007701</v>
      </c>
      <c r="CL56" s="105">
        <v>29.618066994164398</v>
      </c>
      <c r="CM56" s="105">
        <v>22462.342008374279</v>
      </c>
      <c r="CN56" s="105">
        <v>28.709219681496108</v>
      </c>
      <c r="CO56" s="105">
        <v>21773.072206446646</v>
      </c>
      <c r="CP56" s="105">
        <v>19.029479350361779</v>
      </c>
      <c r="CQ56" s="105">
        <v>14431.957139314372</v>
      </c>
      <c r="CR56" s="105">
        <v>23.47437783633184</v>
      </c>
      <c r="CS56" s="105">
        <v>17802.968151074067</v>
      </c>
      <c r="CT56" s="105">
        <v>34.12874574853727</v>
      </c>
      <c r="CU56" s="105">
        <v>25883.240775690665</v>
      </c>
    </row>
    <row r="57" spans="2:99" x14ac:dyDescent="0.2">
      <c r="C57" s="104" t="s">
        <v>225</v>
      </c>
      <c r="D57" s="105">
        <v>27</v>
      </c>
      <c r="E57" s="105">
        <v>18889.2</v>
      </c>
      <c r="F57" s="105">
        <v>32</v>
      </c>
      <c r="G57" s="105">
        <v>22387.200000000001</v>
      </c>
      <c r="H57" s="105">
        <v>38</v>
      </c>
      <c r="I57" s="105">
        <v>26584.799999999999</v>
      </c>
      <c r="J57" s="105">
        <v>36</v>
      </c>
      <c r="K57" s="105">
        <v>25185.600000000002</v>
      </c>
      <c r="L57" s="105">
        <v>30</v>
      </c>
      <c r="M57" s="105">
        <v>20988</v>
      </c>
      <c r="N57" s="105">
        <v>43</v>
      </c>
      <c r="O57" s="105">
        <v>30082.799999999999</v>
      </c>
      <c r="P57" s="105">
        <v>34</v>
      </c>
      <c r="Q57" s="105">
        <v>23786.400000000001</v>
      </c>
      <c r="R57" s="105">
        <v>23</v>
      </c>
      <c r="S57" s="105">
        <v>16090.800000000001</v>
      </c>
      <c r="T57" s="105">
        <v>39</v>
      </c>
      <c r="U57" s="105">
        <v>27284.400000000001</v>
      </c>
      <c r="V57" s="105">
        <v>31.247347238837119</v>
      </c>
      <c r="W57" s="105">
        <v>21860.644128290449</v>
      </c>
      <c r="X57" s="105">
        <v>27</v>
      </c>
      <c r="Y57" s="105">
        <v>18889.2</v>
      </c>
      <c r="Z57" s="105">
        <v>38</v>
      </c>
      <c r="AA57" s="105">
        <v>26584.799999999999</v>
      </c>
      <c r="AB57" s="105">
        <v>23</v>
      </c>
      <c r="AC57" s="105">
        <v>16090.800000000001</v>
      </c>
      <c r="AD57" s="105">
        <v>33</v>
      </c>
      <c r="AE57" s="105">
        <v>23086.799999999999</v>
      </c>
      <c r="AF57" s="105">
        <v>25</v>
      </c>
      <c r="AG57" s="105">
        <v>17490</v>
      </c>
      <c r="AH57" s="105">
        <v>25</v>
      </c>
      <c r="AI57" s="105">
        <v>17490</v>
      </c>
      <c r="AJ57" s="105">
        <v>43</v>
      </c>
      <c r="AK57" s="105">
        <v>30082.799999999999</v>
      </c>
      <c r="AL57" s="105">
        <v>38</v>
      </c>
      <c r="AM57" s="105">
        <v>26584.799999999999</v>
      </c>
      <c r="AN57" s="105">
        <v>44</v>
      </c>
      <c r="AO57" s="105">
        <v>30782.400000000001</v>
      </c>
      <c r="AP57" s="105">
        <v>37</v>
      </c>
      <c r="AQ57" s="105">
        <v>25885.200000000001</v>
      </c>
      <c r="AR57" s="105">
        <v>39</v>
      </c>
      <c r="AS57" s="105">
        <v>27284.400000000001</v>
      </c>
      <c r="AT57" s="105">
        <v>38</v>
      </c>
      <c r="AU57" s="105">
        <v>26584.799999999999</v>
      </c>
      <c r="AV57" s="105">
        <v>36</v>
      </c>
      <c r="AW57" s="105">
        <v>25185.600000000002</v>
      </c>
      <c r="AX57" s="105">
        <v>29</v>
      </c>
      <c r="AY57" s="105">
        <v>20288.400000000001</v>
      </c>
      <c r="AZ57" s="105">
        <v>37</v>
      </c>
      <c r="BA57" s="105">
        <v>25885.200000000001</v>
      </c>
      <c r="BB57" s="105">
        <v>25</v>
      </c>
      <c r="BC57" s="105">
        <v>17490</v>
      </c>
      <c r="BD57" s="105">
        <v>44</v>
      </c>
      <c r="BE57" s="105">
        <v>30782.400000000001</v>
      </c>
      <c r="BF57" s="105">
        <v>35.107646133838948</v>
      </c>
      <c r="BG57" s="105">
        <v>24561.30923523373</v>
      </c>
      <c r="BH57" s="105">
        <v>28</v>
      </c>
      <c r="BI57" s="105">
        <v>19588.8</v>
      </c>
      <c r="BJ57" s="105">
        <v>39</v>
      </c>
      <c r="BK57" s="105">
        <v>27284.400000000001</v>
      </c>
      <c r="BL57" s="105">
        <v>41</v>
      </c>
      <c r="BM57" s="105">
        <v>28683.600000000002</v>
      </c>
      <c r="BN57" s="105">
        <v>34</v>
      </c>
      <c r="BO57" s="105">
        <v>23786.400000000001</v>
      </c>
      <c r="BP57" s="105">
        <v>40</v>
      </c>
      <c r="BQ57" s="105">
        <v>27984</v>
      </c>
      <c r="BR57" s="105">
        <v>29</v>
      </c>
      <c r="BS57" s="105">
        <v>20288.400000000001</v>
      </c>
      <c r="BT57" s="105">
        <v>24</v>
      </c>
      <c r="BU57" s="105">
        <v>16790.400000000001</v>
      </c>
      <c r="BV57" s="105">
        <v>47</v>
      </c>
      <c r="BW57" s="105">
        <v>32881.200000000004</v>
      </c>
      <c r="BX57" s="105">
        <v>40</v>
      </c>
      <c r="BY57" s="105">
        <v>27984</v>
      </c>
      <c r="BZ57" s="105">
        <v>29</v>
      </c>
      <c r="CA57" s="105">
        <v>20288.400000000001</v>
      </c>
      <c r="CB57" s="105">
        <v>26</v>
      </c>
      <c r="CC57" s="105">
        <v>18189.600000000002</v>
      </c>
      <c r="CD57" s="105">
        <v>41</v>
      </c>
      <c r="CE57" s="105">
        <v>28683.600000000002</v>
      </c>
      <c r="CF57" s="105">
        <v>34</v>
      </c>
      <c r="CG57" s="105">
        <v>23786.400000000001</v>
      </c>
      <c r="CH57" s="105">
        <v>23</v>
      </c>
      <c r="CI57" s="105">
        <v>16090.800000000001</v>
      </c>
      <c r="CJ57" s="105">
        <v>28</v>
      </c>
      <c r="CK57" s="105">
        <v>19588.8</v>
      </c>
      <c r="CL57" s="105">
        <v>29</v>
      </c>
      <c r="CM57" s="105">
        <v>20288.400000000001</v>
      </c>
      <c r="CN57" s="105">
        <v>30</v>
      </c>
      <c r="CO57" s="105">
        <v>20988</v>
      </c>
      <c r="CP57" s="105">
        <v>35</v>
      </c>
      <c r="CQ57" s="105">
        <v>24486</v>
      </c>
      <c r="CR57" s="105">
        <v>32</v>
      </c>
      <c r="CS57" s="105">
        <v>22387.200000000001</v>
      </c>
      <c r="CT57" s="105">
        <v>39</v>
      </c>
      <c r="CU57" s="105">
        <v>27284.400000000001</v>
      </c>
    </row>
    <row r="58" spans="2:99" x14ac:dyDescent="0.2">
      <c r="C58" s="104" t="s">
        <v>226</v>
      </c>
      <c r="D58" s="105">
        <v>22.867981392163024</v>
      </c>
      <c r="E58" s="105">
        <v>17288.193932475246</v>
      </c>
      <c r="F58" s="105">
        <v>27.061257297762211</v>
      </c>
      <c r="G58" s="105">
        <v>20458.310517108232</v>
      </c>
      <c r="H58" s="105">
        <v>31.758008818488992</v>
      </c>
      <c r="I58" s="105">
        <v>24009.05466677768</v>
      </c>
      <c r="J58" s="105">
        <v>23.048623286312086</v>
      </c>
      <c r="K58" s="105">
        <v>17424.759204451937</v>
      </c>
      <c r="L58" s="105">
        <v>26.099602693964126</v>
      </c>
      <c r="M58" s="105">
        <v>19731.299636636879</v>
      </c>
      <c r="N58" s="105">
        <v>32.419809851256424</v>
      </c>
      <c r="O58" s="105">
        <v>24509.376247549855</v>
      </c>
      <c r="P58" s="105">
        <v>30.671329986689873</v>
      </c>
      <c r="Q58" s="105">
        <v>23187.525469937544</v>
      </c>
      <c r="R58" s="105">
        <v>26</v>
      </c>
      <c r="S58" s="105">
        <v>19656</v>
      </c>
      <c r="T58" s="105">
        <v>22.923832767526971</v>
      </c>
      <c r="U58" s="105">
        <v>17330.41757225039</v>
      </c>
      <c r="V58" s="105">
        <v>26.847557062789377</v>
      </c>
      <c r="W58" s="105">
        <v>20296.753139468768</v>
      </c>
      <c r="X58" s="105">
        <v>20.98653009634079</v>
      </c>
      <c r="Y58" s="105">
        <v>15865.816752833636</v>
      </c>
      <c r="Z58" s="105">
        <v>25.489068653945974</v>
      </c>
      <c r="AA58" s="105">
        <v>19269.735902383156</v>
      </c>
      <c r="AB58" s="105">
        <v>17.655297800738577</v>
      </c>
      <c r="AC58" s="105">
        <v>13347.405137358364</v>
      </c>
      <c r="AD58" s="105">
        <v>24.304907390884463</v>
      </c>
      <c r="AE58" s="105">
        <v>18374.509987508653</v>
      </c>
      <c r="AF58" s="105">
        <v>18.188916206665247</v>
      </c>
      <c r="AG58" s="105">
        <v>13750.820652238926</v>
      </c>
      <c r="AH58" s="105">
        <v>23.949227866058219</v>
      </c>
      <c r="AI58" s="105">
        <v>18105.616266740013</v>
      </c>
      <c r="AJ58" s="105">
        <v>32.722897340150553</v>
      </c>
      <c r="AK58" s="105">
        <v>24738.510389153817</v>
      </c>
      <c r="AL58" s="105">
        <v>35.297851934965344</v>
      </c>
      <c r="AM58" s="105">
        <v>26685.176062833802</v>
      </c>
      <c r="AN58" s="105">
        <v>30.945781678620669</v>
      </c>
      <c r="AO58" s="105">
        <v>23395.010949037227</v>
      </c>
      <c r="AP58" s="105">
        <v>36.918519268536684</v>
      </c>
      <c r="AQ58" s="105">
        <v>27910.400567013734</v>
      </c>
      <c r="AR58" s="105">
        <v>34.854450633523832</v>
      </c>
      <c r="AS58" s="105">
        <v>26349.964678944016</v>
      </c>
      <c r="AT58" s="105">
        <v>24.251001225307323</v>
      </c>
      <c r="AU58" s="105">
        <v>18333.756926332335</v>
      </c>
      <c r="AV58" s="105">
        <v>34.983298796524991</v>
      </c>
      <c r="AW58" s="105">
        <v>26447.373890172894</v>
      </c>
      <c r="AX58" s="105">
        <v>17.874771112422803</v>
      </c>
      <c r="AY58" s="105">
        <v>13513.326960991639</v>
      </c>
      <c r="AZ58" s="105">
        <v>28.171091661147553</v>
      </c>
      <c r="BA58" s="105">
        <v>21297.345295827552</v>
      </c>
      <c r="BB58" s="105">
        <v>20.075603396165906</v>
      </c>
      <c r="BC58" s="105">
        <v>15177.156167501425</v>
      </c>
      <c r="BD58" s="105">
        <v>23.684059265653595</v>
      </c>
      <c r="BE58" s="105">
        <v>17905.148804834116</v>
      </c>
      <c r="BF58" s="105">
        <v>28.13611239023027</v>
      </c>
      <c r="BG58" s="105">
        <v>21270.900967014084</v>
      </c>
      <c r="BH58" s="105">
        <v>27.872318897372963</v>
      </c>
      <c r="BI58" s="105">
        <v>21071.47308641396</v>
      </c>
      <c r="BJ58" s="105">
        <v>31.613321329238151</v>
      </c>
      <c r="BK58" s="105">
        <v>23899.670924904043</v>
      </c>
      <c r="BL58" s="105">
        <v>30.972982885217672</v>
      </c>
      <c r="BM58" s="105">
        <v>23415.575061224561</v>
      </c>
      <c r="BN58" s="105">
        <v>23.813839862442389</v>
      </c>
      <c r="BO58" s="105">
        <v>18003.262936006446</v>
      </c>
      <c r="BP58" s="105">
        <v>26.470250710886184</v>
      </c>
      <c r="BQ58" s="105">
        <v>20011.509537429956</v>
      </c>
      <c r="BR58" s="105">
        <v>19.395034102485663</v>
      </c>
      <c r="BS58" s="105">
        <v>14662.645781479161</v>
      </c>
      <c r="BT58" s="105">
        <v>23.429167169759666</v>
      </c>
      <c r="BU58" s="105">
        <v>17712.450380338309</v>
      </c>
      <c r="BV58" s="105">
        <v>30.957982688731203</v>
      </c>
      <c r="BW58" s="105">
        <v>23404.234912680789</v>
      </c>
      <c r="BX58" s="105">
        <v>35.008906358176105</v>
      </c>
      <c r="BY58" s="105">
        <v>26466.733206781137</v>
      </c>
      <c r="BZ58" s="105">
        <v>28.825708235777235</v>
      </c>
      <c r="CA58" s="105">
        <v>21792.235426247589</v>
      </c>
      <c r="CB58" s="105">
        <v>22.537447797286198</v>
      </c>
      <c r="CC58" s="105">
        <v>17038.310534748365</v>
      </c>
      <c r="CD58" s="105">
        <v>35.216446921066733</v>
      </c>
      <c r="CE58" s="105">
        <v>26623.633872326449</v>
      </c>
      <c r="CF58" s="105">
        <v>21.641304621509395</v>
      </c>
      <c r="CG58" s="105">
        <v>16360.826293861102</v>
      </c>
      <c r="CH58" s="105">
        <v>19.579049227508502</v>
      </c>
      <c r="CI58" s="105">
        <v>14801.761215996428</v>
      </c>
      <c r="CJ58" s="105">
        <v>22.086527424060385</v>
      </c>
      <c r="CK58" s="105">
        <v>16697.414732589652</v>
      </c>
      <c r="CL58" s="105">
        <v>26.01004709765515</v>
      </c>
      <c r="CM58" s="105">
        <v>19663.595605827293</v>
      </c>
      <c r="CN58" s="105">
        <v>27.048397134403388</v>
      </c>
      <c r="CO58" s="105">
        <v>20448.58823360896</v>
      </c>
      <c r="CP58" s="105">
        <v>20.677916454968962</v>
      </c>
      <c r="CQ58" s="105">
        <v>15632.504839956535</v>
      </c>
      <c r="CR58" s="105">
        <v>22.987874895772066</v>
      </c>
      <c r="CS58" s="105">
        <v>17378.833421203683</v>
      </c>
      <c r="CT58" s="105">
        <v>33.089536036143443</v>
      </c>
      <c r="CU58" s="105">
        <v>25015.689243324443</v>
      </c>
    </row>
    <row r="59" spans="2:99" x14ac:dyDescent="0.2">
      <c r="C59" s="104" t="s">
        <v>227</v>
      </c>
      <c r="D59" s="105">
        <v>17.036495841142095</v>
      </c>
      <c r="E59" s="105">
        <v>7482.428973429608</v>
      </c>
      <c r="F59" s="105">
        <v>27.868120565405068</v>
      </c>
      <c r="G59" s="105">
        <v>12239.678552325906</v>
      </c>
      <c r="H59" s="105">
        <v>36.615754504352353</v>
      </c>
      <c r="I59" s="105">
        <v>16081.639378311553</v>
      </c>
      <c r="J59" s="105">
        <v>35.01406747772365</v>
      </c>
      <c r="K59" s="105">
        <v>15378.178436216227</v>
      </c>
      <c r="L59" s="105">
        <v>29.126102934753099</v>
      </c>
      <c r="M59" s="105">
        <v>12792.184408943562</v>
      </c>
      <c r="N59" s="105">
        <v>44</v>
      </c>
      <c r="O59" s="105">
        <v>19324.8</v>
      </c>
      <c r="P59" s="105">
        <v>36</v>
      </c>
      <c r="Q59" s="105">
        <v>15811.199999999999</v>
      </c>
      <c r="R59" s="105">
        <v>27</v>
      </c>
      <c r="S59" s="105">
        <v>11858.4</v>
      </c>
      <c r="T59" s="105">
        <v>35</v>
      </c>
      <c r="U59" s="105">
        <v>15372</v>
      </c>
      <c r="V59" s="105">
        <v>28</v>
      </c>
      <c r="W59" s="105">
        <v>12297.6</v>
      </c>
      <c r="X59" s="105">
        <v>32</v>
      </c>
      <c r="Y59" s="105">
        <v>14054.4</v>
      </c>
      <c r="Z59" s="105">
        <v>41.757628674685094</v>
      </c>
      <c r="AA59" s="105">
        <v>18339.950513921693</v>
      </c>
      <c r="AB59" s="105">
        <v>21.235970856589777</v>
      </c>
      <c r="AC59" s="105">
        <v>9326.8384002142302</v>
      </c>
      <c r="AD59" s="105">
        <v>37</v>
      </c>
      <c r="AE59" s="105">
        <v>16250.4</v>
      </c>
      <c r="AF59" s="105">
        <v>29</v>
      </c>
      <c r="AG59" s="105">
        <v>12736.8</v>
      </c>
      <c r="AH59" s="105">
        <v>27</v>
      </c>
      <c r="AI59" s="105">
        <v>11858.4</v>
      </c>
      <c r="AJ59" s="105">
        <v>41</v>
      </c>
      <c r="AK59" s="105">
        <v>18007.2</v>
      </c>
      <c r="AL59" s="105">
        <v>44</v>
      </c>
      <c r="AM59" s="105">
        <v>19324.8</v>
      </c>
      <c r="AN59" s="105">
        <v>37.58353303540013</v>
      </c>
      <c r="AO59" s="105">
        <v>16506.687709147736</v>
      </c>
      <c r="AP59" s="105">
        <v>39.211368542816722</v>
      </c>
      <c r="AQ59" s="105">
        <v>17221.633064005102</v>
      </c>
      <c r="AR59" s="105">
        <v>37.032880231428393</v>
      </c>
      <c r="AS59" s="105">
        <v>16264.84099764335</v>
      </c>
      <c r="AT59" s="105">
        <v>34.349183365939304</v>
      </c>
      <c r="AU59" s="105">
        <v>15086.161334320543</v>
      </c>
      <c r="AV59" s="105">
        <v>36.068203177642992</v>
      </c>
      <c r="AW59" s="105">
        <v>15841.154835620802</v>
      </c>
      <c r="AX59" s="105">
        <v>27.197858368379404</v>
      </c>
      <c r="AY59" s="105">
        <v>11945.299395392234</v>
      </c>
      <c r="AZ59" s="105">
        <v>31.97430381629135</v>
      </c>
      <c r="BA59" s="105">
        <v>14043.11423611516</v>
      </c>
      <c r="BB59" s="105">
        <v>23.85866488547622</v>
      </c>
      <c r="BC59" s="105">
        <v>10478.725617701155</v>
      </c>
      <c r="BD59" s="105">
        <v>37.568538633749569</v>
      </c>
      <c r="BE59" s="105">
        <v>16500.102167942809</v>
      </c>
      <c r="BF59" s="105">
        <v>26.916396691266737</v>
      </c>
      <c r="BG59" s="105">
        <v>11821.681426804351</v>
      </c>
      <c r="BH59" s="105">
        <v>22.941023928342517</v>
      </c>
      <c r="BI59" s="105">
        <v>10075.697709328033</v>
      </c>
      <c r="BJ59" s="105">
        <v>38.343274455002017</v>
      </c>
      <c r="BK59" s="105">
        <v>16840.366140636885</v>
      </c>
      <c r="BL59" s="105">
        <v>35.568718142321771</v>
      </c>
      <c r="BM59" s="105">
        <v>15621.78100810772</v>
      </c>
      <c r="BN59" s="105">
        <v>31</v>
      </c>
      <c r="BO59" s="105">
        <v>13615.199999999999</v>
      </c>
      <c r="BP59" s="105">
        <v>42</v>
      </c>
      <c r="BQ59" s="105">
        <v>18446.399999999998</v>
      </c>
      <c r="BR59" s="105">
        <v>26.30657309647086</v>
      </c>
      <c r="BS59" s="105">
        <v>11553.846903970001</v>
      </c>
      <c r="BT59" s="105">
        <v>21.769493557434139</v>
      </c>
      <c r="BU59" s="105">
        <v>9561.1615704250726</v>
      </c>
      <c r="BV59" s="105">
        <v>37.82323683604848</v>
      </c>
      <c r="BW59" s="105">
        <v>16611.965618392493</v>
      </c>
      <c r="BX59" s="105">
        <v>38</v>
      </c>
      <c r="BY59" s="105">
        <v>16689.599999999999</v>
      </c>
      <c r="BZ59" s="105">
        <v>30</v>
      </c>
      <c r="CA59" s="105">
        <v>13176</v>
      </c>
      <c r="CB59" s="105">
        <v>31</v>
      </c>
      <c r="CC59" s="105">
        <v>13615.199999999999</v>
      </c>
      <c r="CD59" s="105">
        <v>37</v>
      </c>
      <c r="CE59" s="105">
        <v>16250.4</v>
      </c>
      <c r="CF59" s="105">
        <v>34</v>
      </c>
      <c r="CG59" s="105">
        <v>14932.8</v>
      </c>
      <c r="CH59" s="105">
        <v>29</v>
      </c>
      <c r="CI59" s="105">
        <v>12736.8</v>
      </c>
      <c r="CJ59" s="105">
        <v>26</v>
      </c>
      <c r="CK59" s="105">
        <v>11419.199999999999</v>
      </c>
      <c r="CL59" s="105">
        <v>27.524442501110045</v>
      </c>
      <c r="CM59" s="105">
        <v>12088.735146487532</v>
      </c>
      <c r="CN59" s="105">
        <v>24.300021522289647</v>
      </c>
      <c r="CO59" s="105">
        <v>10672.569452589612</v>
      </c>
      <c r="CP59" s="105">
        <v>23.97774006973939</v>
      </c>
      <c r="CQ59" s="105">
        <v>10531.02343862954</v>
      </c>
      <c r="CR59" s="105">
        <v>26.980382566442557</v>
      </c>
      <c r="CS59" s="105">
        <v>11849.784023181572</v>
      </c>
      <c r="CT59" s="105">
        <v>31.22329559601361</v>
      </c>
      <c r="CU59" s="105">
        <v>13713.271425769177</v>
      </c>
    </row>
    <row r="60" spans="2:99" x14ac:dyDescent="0.2">
      <c r="C60" s="104" t="s">
        <v>228</v>
      </c>
      <c r="D60" s="105">
        <v>30</v>
      </c>
      <c r="E60" s="105">
        <v>6300</v>
      </c>
      <c r="F60" s="105">
        <v>35</v>
      </c>
      <c r="G60" s="105">
        <v>7350</v>
      </c>
      <c r="H60" s="105">
        <v>39</v>
      </c>
      <c r="I60" s="105">
        <v>8190</v>
      </c>
      <c r="J60" s="105">
        <v>39</v>
      </c>
      <c r="K60" s="105">
        <v>8190</v>
      </c>
      <c r="L60" s="105">
        <v>33</v>
      </c>
      <c r="M60" s="105">
        <v>6930</v>
      </c>
      <c r="N60" s="105">
        <v>44</v>
      </c>
      <c r="O60" s="105">
        <v>9240</v>
      </c>
      <c r="P60" s="105">
        <v>36</v>
      </c>
      <c r="Q60" s="105">
        <v>7560</v>
      </c>
      <c r="R60" s="105">
        <v>25</v>
      </c>
      <c r="S60" s="105">
        <v>5250</v>
      </c>
      <c r="T60" s="105">
        <v>41</v>
      </c>
      <c r="U60" s="105">
        <v>8610</v>
      </c>
      <c r="V60" s="105">
        <v>35.247347238837122</v>
      </c>
      <c r="W60" s="105">
        <v>7401.9429201557959</v>
      </c>
      <c r="X60" s="105">
        <v>34</v>
      </c>
      <c r="Y60" s="105">
        <v>7140</v>
      </c>
      <c r="Z60" s="105">
        <v>46</v>
      </c>
      <c r="AA60" s="105">
        <v>9660</v>
      </c>
      <c r="AB60" s="105">
        <v>27</v>
      </c>
      <c r="AC60" s="105">
        <v>5670</v>
      </c>
      <c r="AD60" s="105">
        <v>35</v>
      </c>
      <c r="AE60" s="105">
        <v>7350</v>
      </c>
      <c r="AF60" s="105">
        <v>29</v>
      </c>
      <c r="AG60" s="105">
        <v>6090</v>
      </c>
      <c r="AH60" s="105">
        <v>31</v>
      </c>
      <c r="AI60" s="105">
        <v>6510</v>
      </c>
      <c r="AJ60" s="105">
        <v>46</v>
      </c>
      <c r="AK60" s="105">
        <v>9660</v>
      </c>
      <c r="AL60" s="105">
        <v>46</v>
      </c>
      <c r="AM60" s="105">
        <v>9660</v>
      </c>
      <c r="AN60" s="105">
        <v>41</v>
      </c>
      <c r="AO60" s="105">
        <v>8610</v>
      </c>
      <c r="AP60" s="105">
        <v>45</v>
      </c>
      <c r="AQ60" s="105">
        <v>9450</v>
      </c>
      <c r="AR60" s="105">
        <v>41</v>
      </c>
      <c r="AS60" s="105">
        <v>8610</v>
      </c>
      <c r="AT60" s="105">
        <v>45</v>
      </c>
      <c r="AU60" s="105">
        <v>9450</v>
      </c>
      <c r="AV60" s="105">
        <v>43</v>
      </c>
      <c r="AW60" s="105">
        <v>9030</v>
      </c>
      <c r="AX60" s="105">
        <v>34</v>
      </c>
      <c r="AY60" s="105">
        <v>7140</v>
      </c>
      <c r="AZ60" s="105">
        <v>45</v>
      </c>
      <c r="BA60" s="105">
        <v>9450</v>
      </c>
      <c r="BB60" s="105">
        <v>26</v>
      </c>
      <c r="BC60" s="105">
        <v>5460</v>
      </c>
      <c r="BD60" s="105">
        <v>46</v>
      </c>
      <c r="BE60" s="105">
        <v>9660</v>
      </c>
      <c r="BF60" s="105">
        <v>37.080734600379209</v>
      </c>
      <c r="BG60" s="105">
        <v>7786.9542660796342</v>
      </c>
      <c r="BH60" s="105">
        <v>29</v>
      </c>
      <c r="BI60" s="105">
        <v>6090</v>
      </c>
      <c r="BJ60" s="105">
        <v>44</v>
      </c>
      <c r="BK60" s="105">
        <v>9240</v>
      </c>
      <c r="BL60" s="105">
        <v>49</v>
      </c>
      <c r="BM60" s="105">
        <v>10290</v>
      </c>
      <c r="BN60" s="105">
        <v>31</v>
      </c>
      <c r="BO60" s="105">
        <v>6510</v>
      </c>
      <c r="BP60" s="105">
        <v>40</v>
      </c>
      <c r="BQ60" s="105">
        <v>8400</v>
      </c>
      <c r="BR60" s="105">
        <v>29</v>
      </c>
      <c r="BS60" s="105">
        <v>6090</v>
      </c>
      <c r="BT60" s="105">
        <v>26</v>
      </c>
      <c r="BU60" s="105">
        <v>5460</v>
      </c>
      <c r="BV60" s="105">
        <v>47</v>
      </c>
      <c r="BW60" s="105">
        <v>9870</v>
      </c>
      <c r="BX60" s="105">
        <v>40</v>
      </c>
      <c r="BY60" s="105">
        <v>8400</v>
      </c>
      <c r="BZ60" s="105">
        <v>32</v>
      </c>
      <c r="CA60" s="105">
        <v>6720</v>
      </c>
      <c r="CB60" s="105">
        <v>30</v>
      </c>
      <c r="CC60" s="105">
        <v>6300</v>
      </c>
      <c r="CD60" s="105">
        <v>41</v>
      </c>
      <c r="CE60" s="105">
        <v>8610</v>
      </c>
      <c r="CF60" s="105">
        <v>36</v>
      </c>
      <c r="CG60" s="105">
        <v>7560</v>
      </c>
      <c r="CH60" s="105">
        <v>26</v>
      </c>
      <c r="CI60" s="105">
        <v>5460</v>
      </c>
      <c r="CJ60" s="105">
        <v>30</v>
      </c>
      <c r="CK60" s="105">
        <v>6300</v>
      </c>
      <c r="CL60" s="105">
        <v>30</v>
      </c>
      <c r="CM60" s="105">
        <v>6300</v>
      </c>
      <c r="CN60" s="105">
        <v>29</v>
      </c>
      <c r="CO60" s="105">
        <v>6090</v>
      </c>
      <c r="CP60" s="105">
        <v>32</v>
      </c>
      <c r="CQ60" s="105">
        <v>6720</v>
      </c>
      <c r="CR60" s="105">
        <v>29</v>
      </c>
      <c r="CS60" s="105">
        <v>6090</v>
      </c>
      <c r="CT60" s="105">
        <v>40</v>
      </c>
      <c r="CU60" s="105">
        <v>8400</v>
      </c>
    </row>
    <row r="61" spans="2:99" x14ac:dyDescent="0.2">
      <c r="C61" s="104" t="s">
        <v>229</v>
      </c>
      <c r="D61" s="105">
        <v>30</v>
      </c>
      <c r="E61" s="105">
        <v>5940</v>
      </c>
      <c r="F61" s="105">
        <v>30</v>
      </c>
      <c r="G61" s="105">
        <v>5940</v>
      </c>
      <c r="H61" s="105">
        <v>44</v>
      </c>
      <c r="I61" s="105">
        <v>8712</v>
      </c>
      <c r="J61" s="105">
        <v>35</v>
      </c>
      <c r="K61" s="105">
        <v>6930</v>
      </c>
      <c r="L61" s="105">
        <v>33</v>
      </c>
      <c r="M61" s="105">
        <v>6534</v>
      </c>
      <c r="N61" s="105">
        <v>40</v>
      </c>
      <c r="O61" s="105">
        <v>7920</v>
      </c>
      <c r="P61" s="105">
        <v>35</v>
      </c>
      <c r="Q61" s="105">
        <v>6930</v>
      </c>
      <c r="R61" s="105">
        <v>29</v>
      </c>
      <c r="S61" s="105">
        <v>5742</v>
      </c>
      <c r="T61" s="105">
        <v>40</v>
      </c>
      <c r="U61" s="105">
        <v>7920</v>
      </c>
      <c r="V61" s="105">
        <v>30.197877791069693</v>
      </c>
      <c r="W61" s="105">
        <v>5979.1798026317992</v>
      </c>
      <c r="X61" s="105">
        <v>33</v>
      </c>
      <c r="Y61" s="105">
        <v>6534</v>
      </c>
      <c r="Z61" s="105">
        <v>49</v>
      </c>
      <c r="AA61" s="105">
        <v>9702</v>
      </c>
      <c r="AB61" s="105">
        <v>23</v>
      </c>
      <c r="AC61" s="105">
        <v>4554</v>
      </c>
      <c r="AD61" s="105">
        <v>34</v>
      </c>
      <c r="AE61" s="105">
        <v>6732</v>
      </c>
      <c r="AF61" s="105">
        <v>31</v>
      </c>
      <c r="AG61" s="105">
        <v>6138</v>
      </c>
      <c r="AH61" s="105">
        <v>31</v>
      </c>
      <c r="AI61" s="105">
        <v>6138</v>
      </c>
      <c r="AJ61" s="105">
        <v>45</v>
      </c>
      <c r="AK61" s="105">
        <v>8910</v>
      </c>
      <c r="AL61" s="105">
        <v>38</v>
      </c>
      <c r="AM61" s="105">
        <v>7524</v>
      </c>
      <c r="AN61" s="105">
        <v>42</v>
      </c>
      <c r="AO61" s="105">
        <v>8316</v>
      </c>
      <c r="AP61" s="105">
        <v>46</v>
      </c>
      <c r="AQ61" s="105">
        <v>9108</v>
      </c>
      <c r="AR61" s="105">
        <v>44</v>
      </c>
      <c r="AS61" s="105">
        <v>8712</v>
      </c>
      <c r="AT61" s="105">
        <v>38</v>
      </c>
      <c r="AU61" s="105">
        <v>7524</v>
      </c>
      <c r="AV61" s="105">
        <v>38</v>
      </c>
      <c r="AW61" s="105">
        <v>7524</v>
      </c>
      <c r="AX61" s="105">
        <v>34</v>
      </c>
      <c r="AY61" s="105">
        <v>6732</v>
      </c>
      <c r="AZ61" s="105">
        <v>46</v>
      </c>
      <c r="BA61" s="105">
        <v>9108</v>
      </c>
      <c r="BB61" s="105">
        <v>29</v>
      </c>
      <c r="BC61" s="105">
        <v>5742</v>
      </c>
      <c r="BD61" s="105">
        <v>50</v>
      </c>
      <c r="BE61" s="105">
        <v>9900</v>
      </c>
      <c r="BF61" s="105">
        <v>42.107646133838948</v>
      </c>
      <c r="BG61" s="105">
        <v>8337.3139345001109</v>
      </c>
      <c r="BH61" s="105">
        <v>26</v>
      </c>
      <c r="BI61" s="105">
        <v>5148</v>
      </c>
      <c r="BJ61" s="105">
        <v>42</v>
      </c>
      <c r="BK61" s="105">
        <v>8316</v>
      </c>
      <c r="BL61" s="105">
        <v>47</v>
      </c>
      <c r="BM61" s="105">
        <v>9306</v>
      </c>
      <c r="BN61" s="105">
        <v>35</v>
      </c>
      <c r="BO61" s="105">
        <v>6930</v>
      </c>
      <c r="BP61" s="105">
        <v>41</v>
      </c>
      <c r="BQ61" s="105">
        <v>8118</v>
      </c>
      <c r="BR61" s="105">
        <v>28</v>
      </c>
      <c r="BS61" s="105">
        <v>5544</v>
      </c>
      <c r="BT61" s="105">
        <v>27</v>
      </c>
      <c r="BU61" s="105">
        <v>5346</v>
      </c>
      <c r="BV61" s="105">
        <v>47</v>
      </c>
      <c r="BW61" s="105">
        <v>9306</v>
      </c>
      <c r="BX61" s="105">
        <v>39</v>
      </c>
      <c r="BY61" s="105">
        <v>7722</v>
      </c>
      <c r="BZ61" s="105">
        <v>30</v>
      </c>
      <c r="CA61" s="105">
        <v>5940</v>
      </c>
      <c r="CB61" s="105">
        <v>30</v>
      </c>
      <c r="CC61" s="105">
        <v>5940</v>
      </c>
      <c r="CD61" s="105">
        <v>44</v>
      </c>
      <c r="CE61" s="105">
        <v>8712</v>
      </c>
      <c r="CF61" s="105">
        <v>36</v>
      </c>
      <c r="CG61" s="105">
        <v>7128</v>
      </c>
      <c r="CH61" s="105">
        <v>26</v>
      </c>
      <c r="CI61" s="105">
        <v>5148</v>
      </c>
      <c r="CJ61" s="105">
        <v>25</v>
      </c>
      <c r="CK61" s="105">
        <v>4950</v>
      </c>
      <c r="CL61" s="105">
        <v>31</v>
      </c>
      <c r="CM61" s="105">
        <v>6138</v>
      </c>
      <c r="CN61" s="105">
        <v>29</v>
      </c>
      <c r="CO61" s="105">
        <v>5742</v>
      </c>
      <c r="CP61" s="105">
        <v>33</v>
      </c>
      <c r="CQ61" s="105">
        <v>6534</v>
      </c>
      <c r="CR61" s="105">
        <v>33</v>
      </c>
      <c r="CS61" s="105">
        <v>6534</v>
      </c>
      <c r="CT61" s="105">
        <v>46</v>
      </c>
      <c r="CU61" s="105">
        <v>9108</v>
      </c>
    </row>
    <row r="62" spans="2:99" x14ac:dyDescent="0.2">
      <c r="C62" s="104" t="s">
        <v>230</v>
      </c>
      <c r="D62" s="105">
        <v>25</v>
      </c>
      <c r="E62" s="105">
        <v>23910</v>
      </c>
      <c r="F62" s="105">
        <v>28</v>
      </c>
      <c r="G62" s="105">
        <v>26779.200000000001</v>
      </c>
      <c r="H62" s="105">
        <v>36</v>
      </c>
      <c r="I62" s="105">
        <v>34430.400000000001</v>
      </c>
      <c r="J62" s="105">
        <v>34</v>
      </c>
      <c r="K62" s="105">
        <v>32517.599999999999</v>
      </c>
      <c r="L62" s="105">
        <v>29</v>
      </c>
      <c r="M62" s="105">
        <v>27735.599999999999</v>
      </c>
      <c r="N62" s="105">
        <v>42</v>
      </c>
      <c r="O62" s="105">
        <v>40168.799999999996</v>
      </c>
      <c r="P62" s="105">
        <v>32</v>
      </c>
      <c r="Q62" s="105">
        <v>30604.799999999999</v>
      </c>
      <c r="R62" s="105">
        <v>24</v>
      </c>
      <c r="S62" s="105">
        <v>22953.599999999999</v>
      </c>
      <c r="T62" s="105">
        <v>34</v>
      </c>
      <c r="U62" s="105">
        <v>32517.599999999999</v>
      </c>
      <c r="V62" s="105">
        <v>29.247347238837119</v>
      </c>
      <c r="W62" s="105">
        <v>27972.162899223818</v>
      </c>
      <c r="X62" s="105">
        <v>29</v>
      </c>
      <c r="Y62" s="105">
        <v>27735.599999999999</v>
      </c>
      <c r="Z62" s="105">
        <v>37</v>
      </c>
      <c r="AA62" s="105">
        <v>35386.799999999996</v>
      </c>
      <c r="AB62" s="105">
        <v>22</v>
      </c>
      <c r="AC62" s="105">
        <v>21040.799999999999</v>
      </c>
      <c r="AD62" s="105">
        <v>30</v>
      </c>
      <c r="AE62" s="105">
        <v>28692</v>
      </c>
      <c r="AF62" s="105">
        <v>26</v>
      </c>
      <c r="AG62" s="105">
        <v>24866.399999999998</v>
      </c>
      <c r="AH62" s="105">
        <v>27</v>
      </c>
      <c r="AI62" s="105">
        <v>25822.799999999999</v>
      </c>
      <c r="AJ62" s="105">
        <v>40</v>
      </c>
      <c r="AK62" s="105">
        <v>38256</v>
      </c>
      <c r="AL62" s="105">
        <v>40</v>
      </c>
      <c r="AM62" s="105">
        <v>38256</v>
      </c>
      <c r="AN62" s="105">
        <v>39</v>
      </c>
      <c r="AO62" s="105">
        <v>37299.599999999999</v>
      </c>
      <c r="AP62" s="105">
        <v>40</v>
      </c>
      <c r="AQ62" s="105">
        <v>38256</v>
      </c>
      <c r="AR62" s="105">
        <v>41</v>
      </c>
      <c r="AS62" s="105">
        <v>39212.400000000001</v>
      </c>
      <c r="AT62" s="105">
        <v>34</v>
      </c>
      <c r="AU62" s="105">
        <v>32517.599999999999</v>
      </c>
      <c r="AV62" s="105">
        <v>38</v>
      </c>
      <c r="AW62" s="105">
        <v>36343.199999999997</v>
      </c>
      <c r="AX62" s="105">
        <v>31</v>
      </c>
      <c r="AY62" s="105">
        <v>29648.399999999998</v>
      </c>
      <c r="AZ62" s="105">
        <v>42</v>
      </c>
      <c r="BA62" s="105">
        <v>40168.799999999996</v>
      </c>
      <c r="BB62" s="105">
        <v>26</v>
      </c>
      <c r="BC62" s="105">
        <v>24866.399999999998</v>
      </c>
      <c r="BD62" s="105">
        <v>45</v>
      </c>
      <c r="BE62" s="105">
        <v>43038</v>
      </c>
      <c r="BF62" s="105">
        <v>33.080734600379209</v>
      </c>
      <c r="BG62" s="105">
        <v>31638.414571802674</v>
      </c>
      <c r="BH62" s="105">
        <v>27</v>
      </c>
      <c r="BI62" s="105">
        <v>25822.799999999999</v>
      </c>
      <c r="BJ62" s="105">
        <v>42</v>
      </c>
      <c r="BK62" s="105">
        <v>40168.799999999996</v>
      </c>
      <c r="BL62" s="105">
        <v>45</v>
      </c>
      <c r="BM62" s="105">
        <v>43038</v>
      </c>
      <c r="BN62" s="105">
        <v>32</v>
      </c>
      <c r="BO62" s="105">
        <v>30604.799999999999</v>
      </c>
      <c r="BP62" s="105">
        <v>38</v>
      </c>
      <c r="BQ62" s="105">
        <v>36343.199999999997</v>
      </c>
      <c r="BR62" s="105">
        <v>28</v>
      </c>
      <c r="BS62" s="105">
        <v>26779.200000000001</v>
      </c>
      <c r="BT62" s="105">
        <v>24</v>
      </c>
      <c r="BU62" s="105">
        <v>22953.599999999999</v>
      </c>
      <c r="BV62" s="105">
        <v>41</v>
      </c>
      <c r="BW62" s="105">
        <v>39212.400000000001</v>
      </c>
      <c r="BX62" s="105">
        <v>37</v>
      </c>
      <c r="BY62" s="105">
        <v>35386.799999999996</v>
      </c>
      <c r="BZ62" s="105">
        <v>25</v>
      </c>
      <c r="CA62" s="105">
        <v>23910</v>
      </c>
      <c r="CB62" s="105">
        <v>25</v>
      </c>
      <c r="CC62" s="105">
        <v>23910</v>
      </c>
      <c r="CD62" s="105">
        <v>34</v>
      </c>
      <c r="CE62" s="105">
        <v>32517.599999999999</v>
      </c>
      <c r="CF62" s="105">
        <v>28</v>
      </c>
      <c r="CG62" s="105">
        <v>26779.200000000001</v>
      </c>
      <c r="CH62" s="105">
        <v>23</v>
      </c>
      <c r="CI62" s="105">
        <v>21997.200000000001</v>
      </c>
      <c r="CJ62" s="105">
        <v>26</v>
      </c>
      <c r="CK62" s="105">
        <v>24866.399999999998</v>
      </c>
      <c r="CL62" s="105">
        <v>30</v>
      </c>
      <c r="CM62" s="105">
        <v>28692</v>
      </c>
      <c r="CN62" s="105">
        <v>29</v>
      </c>
      <c r="CO62" s="105">
        <v>27735.599999999999</v>
      </c>
      <c r="CP62" s="105">
        <v>29</v>
      </c>
      <c r="CQ62" s="105">
        <v>27735.599999999999</v>
      </c>
      <c r="CR62" s="105">
        <v>26</v>
      </c>
      <c r="CS62" s="105">
        <v>24866.399999999998</v>
      </c>
      <c r="CT62" s="105">
        <v>42</v>
      </c>
      <c r="CU62" s="105">
        <v>40168.799999999996</v>
      </c>
    </row>
    <row r="63" spans="2:99" x14ac:dyDescent="0.2">
      <c r="C63" s="104" t="s">
        <v>231</v>
      </c>
      <c r="D63" s="105">
        <v>27</v>
      </c>
      <c r="E63" s="105">
        <v>810</v>
      </c>
      <c r="F63" s="105">
        <v>32</v>
      </c>
      <c r="G63" s="105">
        <v>960</v>
      </c>
      <c r="H63" s="105">
        <v>42</v>
      </c>
      <c r="I63" s="105">
        <v>1260</v>
      </c>
      <c r="J63" s="105">
        <v>34</v>
      </c>
      <c r="K63" s="105">
        <v>1020</v>
      </c>
      <c r="L63" s="105">
        <v>29</v>
      </c>
      <c r="M63" s="105">
        <v>870</v>
      </c>
      <c r="N63" s="105">
        <v>42</v>
      </c>
      <c r="O63" s="105">
        <v>1260</v>
      </c>
      <c r="P63" s="105">
        <v>35</v>
      </c>
      <c r="Q63" s="105">
        <v>1050</v>
      </c>
      <c r="R63" s="105">
        <v>27</v>
      </c>
      <c r="S63" s="105">
        <v>810</v>
      </c>
      <c r="T63" s="105">
        <v>39</v>
      </c>
      <c r="U63" s="105">
        <v>1170</v>
      </c>
      <c r="V63" s="105">
        <v>35.197877791069693</v>
      </c>
      <c r="W63" s="105">
        <v>1055.9363337320908</v>
      </c>
      <c r="X63" s="105">
        <v>30</v>
      </c>
      <c r="Y63" s="105">
        <v>900</v>
      </c>
      <c r="Z63" s="105">
        <v>46</v>
      </c>
      <c r="AA63" s="105">
        <v>1380</v>
      </c>
      <c r="AB63" s="105">
        <v>23</v>
      </c>
      <c r="AC63" s="105">
        <v>690</v>
      </c>
      <c r="AD63" s="105">
        <v>37</v>
      </c>
      <c r="AE63" s="105">
        <v>1110</v>
      </c>
      <c r="AF63" s="105">
        <v>32</v>
      </c>
      <c r="AG63" s="105">
        <v>960</v>
      </c>
      <c r="AH63" s="105">
        <v>30</v>
      </c>
      <c r="AI63" s="105">
        <v>900</v>
      </c>
      <c r="AJ63" s="105">
        <v>49</v>
      </c>
      <c r="AK63" s="105">
        <v>1470</v>
      </c>
      <c r="AL63" s="105">
        <v>42</v>
      </c>
      <c r="AM63" s="105">
        <v>1260</v>
      </c>
      <c r="AN63" s="105">
        <v>48</v>
      </c>
      <c r="AO63" s="105">
        <v>1440</v>
      </c>
      <c r="AP63" s="105">
        <v>47</v>
      </c>
      <c r="AQ63" s="105">
        <v>1410</v>
      </c>
      <c r="AR63" s="105">
        <v>46</v>
      </c>
      <c r="AS63" s="105">
        <v>1380</v>
      </c>
      <c r="AT63" s="105">
        <v>38</v>
      </c>
      <c r="AU63" s="105">
        <v>1140</v>
      </c>
      <c r="AV63" s="105">
        <v>44</v>
      </c>
      <c r="AW63" s="105">
        <v>1320</v>
      </c>
      <c r="AX63" s="105">
        <v>32</v>
      </c>
      <c r="AY63" s="105">
        <v>960</v>
      </c>
      <c r="AZ63" s="105">
        <v>48</v>
      </c>
      <c r="BA63" s="105">
        <v>1440</v>
      </c>
      <c r="BB63" s="105">
        <v>28</v>
      </c>
      <c r="BC63" s="105">
        <v>840</v>
      </c>
      <c r="BD63" s="105">
        <v>50</v>
      </c>
      <c r="BE63" s="105">
        <v>1500</v>
      </c>
      <c r="BF63" s="105">
        <v>45.080734600379209</v>
      </c>
      <c r="BG63" s="105">
        <v>1352.4220380113763</v>
      </c>
      <c r="BH63" s="105">
        <v>27</v>
      </c>
      <c r="BI63" s="105">
        <v>810</v>
      </c>
      <c r="BJ63" s="105">
        <v>43</v>
      </c>
      <c r="BK63" s="105">
        <v>1290</v>
      </c>
      <c r="BL63" s="105">
        <v>47</v>
      </c>
      <c r="BM63" s="105">
        <v>1410</v>
      </c>
      <c r="BN63" s="105">
        <v>37</v>
      </c>
      <c r="BO63" s="105">
        <v>1110</v>
      </c>
      <c r="BP63" s="105">
        <v>44</v>
      </c>
      <c r="BQ63" s="105">
        <v>1320</v>
      </c>
      <c r="BR63" s="105">
        <v>30</v>
      </c>
      <c r="BS63" s="105">
        <v>900</v>
      </c>
      <c r="BT63" s="105">
        <v>24</v>
      </c>
      <c r="BU63" s="105">
        <v>720</v>
      </c>
      <c r="BV63" s="105">
        <v>45</v>
      </c>
      <c r="BW63" s="105">
        <v>1350</v>
      </c>
      <c r="BX63" s="105">
        <v>40</v>
      </c>
      <c r="BY63" s="105">
        <v>1200</v>
      </c>
      <c r="BZ63" s="105">
        <v>32</v>
      </c>
      <c r="CA63" s="105">
        <v>960</v>
      </c>
      <c r="CB63" s="105">
        <v>31</v>
      </c>
      <c r="CC63" s="105">
        <v>930</v>
      </c>
      <c r="CD63" s="105">
        <v>46</v>
      </c>
      <c r="CE63" s="105">
        <v>1380</v>
      </c>
      <c r="CF63" s="105">
        <v>37</v>
      </c>
      <c r="CG63" s="105">
        <v>1110</v>
      </c>
      <c r="CH63" s="105">
        <v>29</v>
      </c>
      <c r="CI63" s="105">
        <v>870</v>
      </c>
      <c r="CJ63" s="105">
        <v>30</v>
      </c>
      <c r="CK63" s="105">
        <v>900</v>
      </c>
      <c r="CL63" s="105">
        <v>31</v>
      </c>
      <c r="CM63" s="105">
        <v>930</v>
      </c>
      <c r="CN63" s="105">
        <v>29</v>
      </c>
      <c r="CO63" s="105">
        <v>870</v>
      </c>
      <c r="CP63" s="105">
        <v>34</v>
      </c>
      <c r="CQ63" s="105">
        <v>1020</v>
      </c>
      <c r="CR63" s="105">
        <v>30</v>
      </c>
      <c r="CS63" s="105">
        <v>900</v>
      </c>
      <c r="CT63" s="105">
        <v>46</v>
      </c>
      <c r="CU63" s="105">
        <v>1380</v>
      </c>
    </row>
    <row r="64" spans="2:99" x14ac:dyDescent="0.2">
      <c r="C64" s="104" t="s">
        <v>232</v>
      </c>
      <c r="D64" s="105">
        <v>28</v>
      </c>
      <c r="E64" s="105">
        <v>6283.2</v>
      </c>
      <c r="F64" s="105">
        <v>35</v>
      </c>
      <c r="G64" s="105">
        <v>7854</v>
      </c>
      <c r="H64" s="105">
        <v>40</v>
      </c>
      <c r="I64" s="105">
        <v>8976</v>
      </c>
      <c r="J64" s="105">
        <v>32</v>
      </c>
      <c r="K64" s="105">
        <v>7180.8</v>
      </c>
      <c r="L64" s="105">
        <v>33</v>
      </c>
      <c r="M64" s="105">
        <v>7405.2</v>
      </c>
      <c r="N64" s="105">
        <v>45</v>
      </c>
      <c r="O64" s="105">
        <v>10098</v>
      </c>
      <c r="P64" s="105">
        <v>37</v>
      </c>
      <c r="Q64" s="105">
        <v>8302.8000000000011</v>
      </c>
      <c r="R64" s="105">
        <v>29</v>
      </c>
      <c r="S64" s="105">
        <v>6507.6</v>
      </c>
      <c r="T64" s="105">
        <v>42</v>
      </c>
      <c r="U64" s="105">
        <v>9424.8000000000011</v>
      </c>
      <c r="V64" s="105">
        <v>29.247347238837119</v>
      </c>
      <c r="W64" s="105">
        <v>6563.1047203950493</v>
      </c>
      <c r="X64" s="105">
        <v>33</v>
      </c>
      <c r="Y64" s="105">
        <v>7405.2</v>
      </c>
      <c r="Z64" s="105">
        <v>41</v>
      </c>
      <c r="AA64" s="105">
        <v>9200.4</v>
      </c>
      <c r="AB64" s="105">
        <v>27</v>
      </c>
      <c r="AC64" s="105">
        <v>6058.8</v>
      </c>
      <c r="AD64" s="105">
        <v>33</v>
      </c>
      <c r="AE64" s="105">
        <v>7405.2</v>
      </c>
      <c r="AF64" s="105">
        <v>29</v>
      </c>
      <c r="AG64" s="105">
        <v>6507.6</v>
      </c>
      <c r="AH64" s="105">
        <v>31</v>
      </c>
      <c r="AI64" s="105">
        <v>6956.4000000000005</v>
      </c>
      <c r="AJ64" s="105">
        <v>46</v>
      </c>
      <c r="AK64" s="105">
        <v>10322.4</v>
      </c>
      <c r="AL64" s="105">
        <v>45</v>
      </c>
      <c r="AM64" s="105">
        <v>10098</v>
      </c>
      <c r="AN64" s="105">
        <v>48</v>
      </c>
      <c r="AO64" s="105">
        <v>10771.2</v>
      </c>
      <c r="AP64" s="105">
        <v>45</v>
      </c>
      <c r="AQ64" s="105">
        <v>10098</v>
      </c>
      <c r="AR64" s="105">
        <v>44</v>
      </c>
      <c r="AS64" s="105">
        <v>9873.6</v>
      </c>
      <c r="AT64" s="105">
        <v>43</v>
      </c>
      <c r="AU64" s="105">
        <v>9649.2000000000007</v>
      </c>
      <c r="AV64" s="105">
        <v>44</v>
      </c>
      <c r="AW64" s="105">
        <v>9873.6</v>
      </c>
      <c r="AX64" s="105">
        <v>36</v>
      </c>
      <c r="AY64" s="105">
        <v>8078.4000000000005</v>
      </c>
      <c r="AZ64" s="105">
        <v>41</v>
      </c>
      <c r="BA64" s="105">
        <v>9200.4</v>
      </c>
      <c r="BB64" s="105">
        <v>30</v>
      </c>
      <c r="BC64" s="105">
        <v>6732</v>
      </c>
      <c r="BD64" s="105">
        <v>44</v>
      </c>
      <c r="BE64" s="105">
        <v>9873.6</v>
      </c>
      <c r="BF64" s="105">
        <v>42.107646133838948</v>
      </c>
      <c r="BG64" s="105">
        <v>9448.9557924334604</v>
      </c>
      <c r="BH64" s="105">
        <v>31</v>
      </c>
      <c r="BI64" s="105">
        <v>6956.4000000000005</v>
      </c>
      <c r="BJ64" s="105">
        <v>43</v>
      </c>
      <c r="BK64" s="105">
        <v>9649.2000000000007</v>
      </c>
      <c r="BL64" s="105">
        <v>47</v>
      </c>
      <c r="BM64" s="105">
        <v>10546.800000000001</v>
      </c>
      <c r="BN64" s="105">
        <v>34</v>
      </c>
      <c r="BO64" s="105">
        <v>7629.6</v>
      </c>
      <c r="BP64" s="105">
        <v>46</v>
      </c>
      <c r="BQ64" s="105">
        <v>10322.4</v>
      </c>
      <c r="BR64" s="105">
        <v>31</v>
      </c>
      <c r="BS64" s="105">
        <v>6956.4000000000005</v>
      </c>
      <c r="BT64" s="105">
        <v>28</v>
      </c>
      <c r="BU64" s="105">
        <v>6283.2</v>
      </c>
      <c r="BV64" s="105">
        <v>46</v>
      </c>
      <c r="BW64" s="105">
        <v>10322.4</v>
      </c>
      <c r="BX64" s="105">
        <v>41</v>
      </c>
      <c r="BY64" s="105">
        <v>9200.4</v>
      </c>
      <c r="BZ64" s="105">
        <v>31</v>
      </c>
      <c r="CA64" s="105">
        <v>6956.4000000000005</v>
      </c>
      <c r="CB64" s="105">
        <v>31</v>
      </c>
      <c r="CC64" s="105">
        <v>6956.4000000000005</v>
      </c>
      <c r="CD64" s="105">
        <v>43</v>
      </c>
      <c r="CE64" s="105">
        <v>9649.2000000000007</v>
      </c>
      <c r="CF64" s="105">
        <v>32</v>
      </c>
      <c r="CG64" s="105">
        <v>7180.8</v>
      </c>
      <c r="CH64" s="105">
        <v>26</v>
      </c>
      <c r="CI64" s="105">
        <v>5834.4000000000005</v>
      </c>
      <c r="CJ64" s="105">
        <v>29</v>
      </c>
      <c r="CK64" s="105">
        <v>6507.6</v>
      </c>
      <c r="CL64" s="105">
        <v>30</v>
      </c>
      <c r="CM64" s="105">
        <v>6732</v>
      </c>
      <c r="CN64" s="105">
        <v>31</v>
      </c>
      <c r="CO64" s="105">
        <v>6956.4000000000005</v>
      </c>
      <c r="CP64" s="105">
        <v>34</v>
      </c>
      <c r="CQ64" s="105">
        <v>7629.6</v>
      </c>
      <c r="CR64" s="105">
        <v>29</v>
      </c>
      <c r="CS64" s="105">
        <v>6507.6</v>
      </c>
      <c r="CT64" s="105">
        <v>41</v>
      </c>
      <c r="CU64" s="105">
        <v>9200.4</v>
      </c>
    </row>
    <row r="65" spans="2:99" x14ac:dyDescent="0.2">
      <c r="C65" s="104" t="s">
        <v>233</v>
      </c>
      <c r="D65" s="105">
        <v>27</v>
      </c>
      <c r="E65" s="105">
        <v>13348.8</v>
      </c>
      <c r="F65" s="105">
        <v>31</v>
      </c>
      <c r="G65" s="105">
        <v>15326.4</v>
      </c>
      <c r="H65" s="105">
        <v>37</v>
      </c>
      <c r="I65" s="105">
        <v>18292.8</v>
      </c>
      <c r="J65" s="105">
        <v>31</v>
      </c>
      <c r="K65" s="105">
        <v>15326.4</v>
      </c>
      <c r="L65" s="105">
        <v>31</v>
      </c>
      <c r="M65" s="105">
        <v>15326.4</v>
      </c>
      <c r="N65" s="105">
        <v>46</v>
      </c>
      <c r="O65" s="105">
        <v>22742.399999999998</v>
      </c>
      <c r="P65" s="105">
        <v>32</v>
      </c>
      <c r="Q65" s="105">
        <v>15820.8</v>
      </c>
      <c r="R65" s="105">
        <v>25</v>
      </c>
      <c r="S65" s="105">
        <v>12360</v>
      </c>
      <c r="T65" s="105">
        <v>40</v>
      </c>
      <c r="U65" s="105">
        <v>19776</v>
      </c>
      <c r="V65" s="105">
        <v>30.197877791069693</v>
      </c>
      <c r="W65" s="105">
        <v>14929.830779904856</v>
      </c>
      <c r="X65" s="105">
        <v>30</v>
      </c>
      <c r="Y65" s="105">
        <v>14832</v>
      </c>
      <c r="Z65" s="105">
        <v>40</v>
      </c>
      <c r="AA65" s="105">
        <v>19776</v>
      </c>
      <c r="AB65" s="105">
        <v>24</v>
      </c>
      <c r="AC65" s="105">
        <v>11865.599999999999</v>
      </c>
      <c r="AD65" s="105">
        <v>31</v>
      </c>
      <c r="AE65" s="105">
        <v>15326.4</v>
      </c>
      <c r="AF65" s="105">
        <v>29</v>
      </c>
      <c r="AG65" s="105">
        <v>14337.599999999999</v>
      </c>
      <c r="AH65" s="105">
        <v>27</v>
      </c>
      <c r="AI65" s="105">
        <v>13348.8</v>
      </c>
      <c r="AJ65" s="105">
        <v>44</v>
      </c>
      <c r="AK65" s="105">
        <v>21753.599999999999</v>
      </c>
      <c r="AL65" s="105">
        <v>39</v>
      </c>
      <c r="AM65" s="105">
        <v>19281.599999999999</v>
      </c>
      <c r="AN65" s="105">
        <v>41</v>
      </c>
      <c r="AO65" s="105">
        <v>20270.399999999998</v>
      </c>
      <c r="AP65" s="105">
        <v>39</v>
      </c>
      <c r="AQ65" s="105">
        <v>19281.599999999999</v>
      </c>
      <c r="AR65" s="105">
        <v>37</v>
      </c>
      <c r="AS65" s="105">
        <v>18292.8</v>
      </c>
      <c r="AT65" s="105">
        <v>39</v>
      </c>
      <c r="AU65" s="105">
        <v>19281.599999999999</v>
      </c>
      <c r="AV65" s="105">
        <v>41</v>
      </c>
      <c r="AW65" s="105">
        <v>20270.399999999998</v>
      </c>
      <c r="AX65" s="105">
        <v>31</v>
      </c>
      <c r="AY65" s="105">
        <v>15326.4</v>
      </c>
      <c r="AZ65" s="105">
        <v>42</v>
      </c>
      <c r="BA65" s="105">
        <v>20764.8</v>
      </c>
      <c r="BB65" s="105">
        <v>26</v>
      </c>
      <c r="BC65" s="105">
        <v>12854.4</v>
      </c>
      <c r="BD65" s="105">
        <v>47</v>
      </c>
      <c r="BE65" s="105">
        <v>23236.799999999999</v>
      </c>
      <c r="BF65" s="105">
        <v>40.080734600379209</v>
      </c>
      <c r="BG65" s="105">
        <v>19815.915186427479</v>
      </c>
      <c r="BH65" s="105">
        <v>29</v>
      </c>
      <c r="BI65" s="105">
        <v>14337.599999999999</v>
      </c>
      <c r="BJ65" s="105">
        <v>48</v>
      </c>
      <c r="BK65" s="105">
        <v>23731.199999999997</v>
      </c>
      <c r="BL65" s="105">
        <v>46</v>
      </c>
      <c r="BM65" s="105">
        <v>22742.399999999998</v>
      </c>
      <c r="BN65" s="105">
        <v>33</v>
      </c>
      <c r="BO65" s="105">
        <v>16315.199999999999</v>
      </c>
      <c r="BP65" s="105">
        <v>40</v>
      </c>
      <c r="BQ65" s="105">
        <v>19776</v>
      </c>
      <c r="BR65" s="105">
        <v>30</v>
      </c>
      <c r="BS65" s="105">
        <v>14832</v>
      </c>
      <c r="BT65" s="105">
        <v>25</v>
      </c>
      <c r="BU65" s="105">
        <v>12360</v>
      </c>
      <c r="BV65" s="105">
        <v>42</v>
      </c>
      <c r="BW65" s="105">
        <v>20764.8</v>
      </c>
      <c r="BX65" s="105">
        <v>44</v>
      </c>
      <c r="BY65" s="105">
        <v>21753.599999999999</v>
      </c>
      <c r="BZ65" s="105">
        <v>27</v>
      </c>
      <c r="CA65" s="105">
        <v>13348.8</v>
      </c>
      <c r="CB65" s="105">
        <v>27</v>
      </c>
      <c r="CC65" s="105">
        <v>13348.8</v>
      </c>
      <c r="CD65" s="105">
        <v>41</v>
      </c>
      <c r="CE65" s="105">
        <v>20270.399999999998</v>
      </c>
      <c r="CF65" s="105">
        <v>35</v>
      </c>
      <c r="CG65" s="105">
        <v>17304</v>
      </c>
      <c r="CH65" s="105">
        <v>27</v>
      </c>
      <c r="CI65" s="105">
        <v>13348.8</v>
      </c>
      <c r="CJ65" s="105">
        <v>28</v>
      </c>
      <c r="CK65" s="105">
        <v>13843.199999999999</v>
      </c>
      <c r="CL65" s="105">
        <v>30</v>
      </c>
      <c r="CM65" s="105">
        <v>14832</v>
      </c>
      <c r="CN65" s="105">
        <v>28</v>
      </c>
      <c r="CO65" s="105">
        <v>13843.199999999999</v>
      </c>
      <c r="CP65" s="105">
        <v>31</v>
      </c>
      <c r="CQ65" s="105">
        <v>15326.4</v>
      </c>
      <c r="CR65" s="105">
        <v>31</v>
      </c>
      <c r="CS65" s="105">
        <v>15326.4</v>
      </c>
      <c r="CT65" s="105">
        <v>45</v>
      </c>
      <c r="CU65" s="105">
        <v>22248</v>
      </c>
    </row>
    <row r="66" spans="2:99" x14ac:dyDescent="0.2">
      <c r="C66" s="104" t="s">
        <v>234</v>
      </c>
      <c r="D66" s="105">
        <v>27</v>
      </c>
      <c r="E66" s="105">
        <v>10756.8</v>
      </c>
      <c r="F66" s="105">
        <v>29</v>
      </c>
      <c r="G66" s="105">
        <v>11553.599999999999</v>
      </c>
      <c r="H66" s="105">
        <v>43</v>
      </c>
      <c r="I66" s="105">
        <v>17131.2</v>
      </c>
      <c r="J66" s="105">
        <v>36</v>
      </c>
      <c r="K66" s="105">
        <v>14342.4</v>
      </c>
      <c r="L66" s="105">
        <v>31</v>
      </c>
      <c r="M66" s="105">
        <v>12350.4</v>
      </c>
      <c r="N66" s="105">
        <v>42</v>
      </c>
      <c r="O66" s="105">
        <v>16732.8</v>
      </c>
      <c r="P66" s="105">
        <v>35</v>
      </c>
      <c r="Q66" s="105">
        <v>13944</v>
      </c>
      <c r="R66" s="105">
        <v>25</v>
      </c>
      <c r="S66" s="105">
        <v>9960</v>
      </c>
      <c r="T66" s="105">
        <v>36</v>
      </c>
      <c r="U66" s="105">
        <v>14342.4</v>
      </c>
      <c r="V66" s="105">
        <v>29.247347238837119</v>
      </c>
      <c r="W66" s="105">
        <v>11652.143139952708</v>
      </c>
      <c r="X66" s="105">
        <v>32</v>
      </c>
      <c r="Y66" s="105">
        <v>12748.8</v>
      </c>
      <c r="Z66" s="105">
        <v>47</v>
      </c>
      <c r="AA66" s="105">
        <v>18724.8</v>
      </c>
      <c r="AB66" s="105">
        <v>22</v>
      </c>
      <c r="AC66" s="105">
        <v>8764.7999999999993</v>
      </c>
      <c r="AD66" s="105">
        <v>33</v>
      </c>
      <c r="AE66" s="105">
        <v>13147.199999999999</v>
      </c>
      <c r="AF66" s="105">
        <v>31</v>
      </c>
      <c r="AG66" s="105">
        <v>12350.4</v>
      </c>
      <c r="AH66" s="105">
        <v>28</v>
      </c>
      <c r="AI66" s="105">
        <v>11155.199999999999</v>
      </c>
      <c r="AJ66" s="105">
        <v>46</v>
      </c>
      <c r="AK66" s="105">
        <v>18326.399999999998</v>
      </c>
      <c r="AL66" s="105">
        <v>45</v>
      </c>
      <c r="AM66" s="105">
        <v>17928</v>
      </c>
      <c r="AN66" s="105">
        <v>41</v>
      </c>
      <c r="AO66" s="105">
        <v>16334.4</v>
      </c>
      <c r="AP66" s="105">
        <v>41</v>
      </c>
      <c r="AQ66" s="105">
        <v>16334.4</v>
      </c>
      <c r="AR66" s="105">
        <v>42</v>
      </c>
      <c r="AS66" s="105">
        <v>16732.8</v>
      </c>
      <c r="AT66" s="105">
        <v>39</v>
      </c>
      <c r="AU66" s="105">
        <v>15537.599999999999</v>
      </c>
      <c r="AV66" s="105">
        <v>38</v>
      </c>
      <c r="AW66" s="105">
        <v>15139.199999999999</v>
      </c>
      <c r="AX66" s="105">
        <v>33</v>
      </c>
      <c r="AY66" s="105">
        <v>13147.199999999999</v>
      </c>
      <c r="AZ66" s="105">
        <v>42</v>
      </c>
      <c r="BA66" s="105">
        <v>16732.8</v>
      </c>
      <c r="BB66" s="105">
        <v>26</v>
      </c>
      <c r="BC66" s="105">
        <v>10358.4</v>
      </c>
      <c r="BD66" s="105">
        <v>44</v>
      </c>
      <c r="BE66" s="105">
        <v>17529.599999999999</v>
      </c>
      <c r="BF66" s="105">
        <v>42.107646133838948</v>
      </c>
      <c r="BG66" s="105">
        <v>16775.686219721436</v>
      </c>
      <c r="BH66" s="105">
        <v>28</v>
      </c>
      <c r="BI66" s="105">
        <v>11155.199999999999</v>
      </c>
      <c r="BJ66" s="105">
        <v>48</v>
      </c>
      <c r="BK66" s="105">
        <v>19123.199999999997</v>
      </c>
      <c r="BL66" s="105">
        <v>49</v>
      </c>
      <c r="BM66" s="105">
        <v>19521.599999999999</v>
      </c>
      <c r="BN66" s="105">
        <v>37</v>
      </c>
      <c r="BO66" s="105">
        <v>14740.8</v>
      </c>
      <c r="BP66" s="105">
        <v>42</v>
      </c>
      <c r="BQ66" s="105">
        <v>16732.8</v>
      </c>
      <c r="BR66" s="105">
        <v>27</v>
      </c>
      <c r="BS66" s="105">
        <v>10756.8</v>
      </c>
      <c r="BT66" s="105">
        <v>26</v>
      </c>
      <c r="BU66" s="105">
        <v>10358.4</v>
      </c>
      <c r="BV66" s="105">
        <v>48</v>
      </c>
      <c r="BW66" s="105">
        <v>19123.199999999997</v>
      </c>
      <c r="BX66" s="105">
        <v>39</v>
      </c>
      <c r="BY66" s="105">
        <v>15537.599999999999</v>
      </c>
      <c r="BZ66" s="105">
        <v>33</v>
      </c>
      <c r="CA66" s="105">
        <v>13147.199999999999</v>
      </c>
      <c r="CB66" s="105">
        <v>28</v>
      </c>
      <c r="CC66" s="105">
        <v>11155.199999999999</v>
      </c>
      <c r="CD66" s="105">
        <v>40</v>
      </c>
      <c r="CE66" s="105">
        <v>15936</v>
      </c>
      <c r="CF66" s="105">
        <v>34</v>
      </c>
      <c r="CG66" s="105">
        <v>13545.599999999999</v>
      </c>
      <c r="CH66" s="105">
        <v>26</v>
      </c>
      <c r="CI66" s="105">
        <v>10358.4</v>
      </c>
      <c r="CJ66" s="105">
        <v>26</v>
      </c>
      <c r="CK66" s="105">
        <v>10358.4</v>
      </c>
      <c r="CL66" s="105">
        <v>33</v>
      </c>
      <c r="CM66" s="105">
        <v>13147.199999999999</v>
      </c>
      <c r="CN66" s="105">
        <v>28</v>
      </c>
      <c r="CO66" s="105">
        <v>11155.199999999999</v>
      </c>
      <c r="CP66" s="105">
        <v>36</v>
      </c>
      <c r="CQ66" s="105">
        <v>14342.4</v>
      </c>
      <c r="CR66" s="105">
        <v>29</v>
      </c>
      <c r="CS66" s="105">
        <v>11553.599999999999</v>
      </c>
      <c r="CT66" s="105">
        <v>47</v>
      </c>
      <c r="CU66" s="105">
        <v>18724.8</v>
      </c>
    </row>
    <row r="67" spans="2:99" x14ac:dyDescent="0.2">
      <c r="C67" s="104" t="s">
        <v>235</v>
      </c>
      <c r="D67" s="105">
        <v>25</v>
      </c>
      <c r="E67" s="105">
        <v>11850</v>
      </c>
      <c r="F67" s="105">
        <v>31</v>
      </c>
      <c r="G67" s="105">
        <v>14694</v>
      </c>
      <c r="H67" s="105">
        <v>42</v>
      </c>
      <c r="I67" s="105">
        <v>19908</v>
      </c>
      <c r="J67" s="105">
        <v>35</v>
      </c>
      <c r="K67" s="105">
        <v>16590</v>
      </c>
      <c r="L67" s="105">
        <v>30</v>
      </c>
      <c r="M67" s="105">
        <v>14220</v>
      </c>
      <c r="N67" s="105">
        <v>38</v>
      </c>
      <c r="O67" s="105">
        <v>18012</v>
      </c>
      <c r="P67" s="105">
        <v>31</v>
      </c>
      <c r="Q67" s="105">
        <v>14694</v>
      </c>
      <c r="R67" s="105">
        <v>24</v>
      </c>
      <c r="S67" s="105">
        <v>11376</v>
      </c>
      <c r="T67" s="105">
        <v>38</v>
      </c>
      <c r="U67" s="105">
        <v>18012</v>
      </c>
      <c r="V67" s="105">
        <v>32.247347238837122</v>
      </c>
      <c r="W67" s="105">
        <v>15285.242591208797</v>
      </c>
      <c r="X67" s="105">
        <v>28</v>
      </c>
      <c r="Y67" s="105">
        <v>13272</v>
      </c>
      <c r="Z67" s="105">
        <v>39</v>
      </c>
      <c r="AA67" s="105">
        <v>18486</v>
      </c>
      <c r="AB67" s="105">
        <v>26</v>
      </c>
      <c r="AC67" s="105">
        <v>12324</v>
      </c>
      <c r="AD67" s="105">
        <v>37</v>
      </c>
      <c r="AE67" s="105">
        <v>17538</v>
      </c>
      <c r="AF67" s="105">
        <v>28</v>
      </c>
      <c r="AG67" s="105">
        <v>13272</v>
      </c>
      <c r="AH67" s="105">
        <v>29</v>
      </c>
      <c r="AI67" s="105">
        <v>13746</v>
      </c>
      <c r="AJ67" s="105">
        <v>43</v>
      </c>
      <c r="AK67" s="105">
        <v>20382</v>
      </c>
      <c r="AL67" s="105">
        <v>40</v>
      </c>
      <c r="AM67" s="105">
        <v>18960</v>
      </c>
      <c r="AN67" s="105">
        <v>40</v>
      </c>
      <c r="AO67" s="105">
        <v>18960</v>
      </c>
      <c r="AP67" s="105">
        <v>45</v>
      </c>
      <c r="AQ67" s="105">
        <v>21330</v>
      </c>
      <c r="AR67" s="105">
        <v>39</v>
      </c>
      <c r="AS67" s="105">
        <v>18486</v>
      </c>
      <c r="AT67" s="105">
        <v>41</v>
      </c>
      <c r="AU67" s="105">
        <v>19434</v>
      </c>
      <c r="AV67" s="105">
        <v>36</v>
      </c>
      <c r="AW67" s="105">
        <v>17064</v>
      </c>
      <c r="AX67" s="105">
        <v>31</v>
      </c>
      <c r="AY67" s="105">
        <v>14694</v>
      </c>
      <c r="AZ67" s="105">
        <v>45</v>
      </c>
      <c r="BA67" s="105">
        <v>21330</v>
      </c>
      <c r="BB67" s="105">
        <v>25</v>
      </c>
      <c r="BC67" s="105">
        <v>11850</v>
      </c>
      <c r="BD67" s="105">
        <v>42</v>
      </c>
      <c r="BE67" s="105">
        <v>19908</v>
      </c>
      <c r="BF67" s="105">
        <v>39.107646133838948</v>
      </c>
      <c r="BG67" s="105">
        <v>18537.024267439661</v>
      </c>
      <c r="BH67" s="105">
        <v>26</v>
      </c>
      <c r="BI67" s="105">
        <v>12324</v>
      </c>
      <c r="BJ67" s="105">
        <v>44</v>
      </c>
      <c r="BK67" s="105">
        <v>20856</v>
      </c>
      <c r="BL67" s="105">
        <v>49</v>
      </c>
      <c r="BM67" s="105">
        <v>23226</v>
      </c>
      <c r="BN67" s="105">
        <v>34</v>
      </c>
      <c r="BO67" s="105">
        <v>16116</v>
      </c>
      <c r="BP67" s="105">
        <v>42</v>
      </c>
      <c r="BQ67" s="105">
        <v>19908</v>
      </c>
      <c r="BR67" s="105">
        <v>31</v>
      </c>
      <c r="BS67" s="105">
        <v>14694</v>
      </c>
      <c r="BT67" s="105">
        <v>23</v>
      </c>
      <c r="BU67" s="105">
        <v>10902</v>
      </c>
      <c r="BV67" s="105">
        <v>47</v>
      </c>
      <c r="BW67" s="105">
        <v>22278</v>
      </c>
      <c r="BX67" s="105">
        <v>43</v>
      </c>
      <c r="BY67" s="105">
        <v>20382</v>
      </c>
      <c r="BZ67" s="105">
        <v>32</v>
      </c>
      <c r="CA67" s="105">
        <v>15168</v>
      </c>
      <c r="CB67" s="105">
        <v>27</v>
      </c>
      <c r="CC67" s="105">
        <v>12798</v>
      </c>
      <c r="CD67" s="105">
        <v>38</v>
      </c>
      <c r="CE67" s="105">
        <v>18012</v>
      </c>
      <c r="CF67" s="105">
        <v>34</v>
      </c>
      <c r="CG67" s="105">
        <v>16116</v>
      </c>
      <c r="CH67" s="105">
        <v>26</v>
      </c>
      <c r="CI67" s="105">
        <v>12324</v>
      </c>
      <c r="CJ67" s="105">
        <v>26</v>
      </c>
      <c r="CK67" s="105">
        <v>12324</v>
      </c>
      <c r="CL67" s="105">
        <v>34</v>
      </c>
      <c r="CM67" s="105">
        <v>16116</v>
      </c>
      <c r="CN67" s="105">
        <v>30</v>
      </c>
      <c r="CO67" s="105">
        <v>14220</v>
      </c>
      <c r="CP67" s="105">
        <v>32</v>
      </c>
      <c r="CQ67" s="105">
        <v>15168</v>
      </c>
      <c r="CR67" s="105">
        <v>28</v>
      </c>
      <c r="CS67" s="105">
        <v>13272</v>
      </c>
      <c r="CT67" s="105">
        <v>42</v>
      </c>
      <c r="CU67" s="105">
        <v>19908</v>
      </c>
    </row>
    <row r="68" spans="2:99" x14ac:dyDescent="0.2">
      <c r="C68" s="104" t="s">
        <v>236</v>
      </c>
      <c r="D68" s="105">
        <v>31</v>
      </c>
      <c r="E68" s="105">
        <v>8370</v>
      </c>
      <c r="F68" s="105">
        <v>30</v>
      </c>
      <c r="G68" s="105">
        <v>8100</v>
      </c>
      <c r="H68" s="105">
        <v>43</v>
      </c>
      <c r="I68" s="105">
        <v>11610</v>
      </c>
      <c r="J68" s="105">
        <v>33</v>
      </c>
      <c r="K68" s="105">
        <v>8910</v>
      </c>
      <c r="L68" s="105">
        <v>30</v>
      </c>
      <c r="M68" s="105">
        <v>8100</v>
      </c>
      <c r="N68" s="105">
        <v>47</v>
      </c>
      <c r="O68" s="105">
        <v>12690</v>
      </c>
      <c r="P68" s="105">
        <v>32</v>
      </c>
      <c r="Q68" s="105">
        <v>8640</v>
      </c>
      <c r="R68" s="105">
        <v>24</v>
      </c>
      <c r="S68" s="105">
        <v>6480</v>
      </c>
      <c r="T68" s="105">
        <v>39</v>
      </c>
      <c r="U68" s="105">
        <v>10530</v>
      </c>
      <c r="V68" s="105">
        <v>31.197877791069693</v>
      </c>
      <c r="W68" s="105">
        <v>8423.4270035888167</v>
      </c>
      <c r="X68" s="105">
        <v>34</v>
      </c>
      <c r="Y68" s="105">
        <v>9180</v>
      </c>
      <c r="Z68" s="105">
        <v>42</v>
      </c>
      <c r="AA68" s="105">
        <v>11340</v>
      </c>
      <c r="AB68" s="105">
        <v>23</v>
      </c>
      <c r="AC68" s="105">
        <v>6210</v>
      </c>
      <c r="AD68" s="105">
        <v>33</v>
      </c>
      <c r="AE68" s="105">
        <v>8910</v>
      </c>
      <c r="AF68" s="105">
        <v>31</v>
      </c>
      <c r="AG68" s="105">
        <v>8370</v>
      </c>
      <c r="AH68" s="105">
        <v>31</v>
      </c>
      <c r="AI68" s="105">
        <v>8370</v>
      </c>
      <c r="AJ68" s="105">
        <v>47</v>
      </c>
      <c r="AK68" s="105">
        <v>12690</v>
      </c>
      <c r="AL68" s="105">
        <v>38</v>
      </c>
      <c r="AM68" s="105">
        <v>10260</v>
      </c>
      <c r="AN68" s="105">
        <v>41</v>
      </c>
      <c r="AO68" s="105">
        <v>11070</v>
      </c>
      <c r="AP68" s="105">
        <v>41</v>
      </c>
      <c r="AQ68" s="105">
        <v>11070</v>
      </c>
      <c r="AR68" s="105">
        <v>39</v>
      </c>
      <c r="AS68" s="105">
        <v>10530</v>
      </c>
      <c r="AT68" s="105">
        <v>42</v>
      </c>
      <c r="AU68" s="105">
        <v>11340</v>
      </c>
      <c r="AV68" s="105">
        <v>43</v>
      </c>
      <c r="AW68" s="105">
        <v>11610</v>
      </c>
      <c r="AX68" s="105">
        <v>33</v>
      </c>
      <c r="AY68" s="105">
        <v>8910</v>
      </c>
      <c r="AZ68" s="105">
        <v>43</v>
      </c>
      <c r="BA68" s="105">
        <v>11610</v>
      </c>
      <c r="BB68" s="105">
        <v>27</v>
      </c>
      <c r="BC68" s="105">
        <v>7290</v>
      </c>
      <c r="BD68" s="105">
        <v>51</v>
      </c>
      <c r="BE68" s="105">
        <v>13770</v>
      </c>
      <c r="BF68" s="105">
        <v>38.107646133838948</v>
      </c>
      <c r="BG68" s="105">
        <v>10289.064456136515</v>
      </c>
      <c r="BH68" s="105">
        <v>29</v>
      </c>
      <c r="BI68" s="105">
        <v>7830</v>
      </c>
      <c r="BJ68" s="105">
        <v>44</v>
      </c>
      <c r="BK68" s="105">
        <v>11880</v>
      </c>
      <c r="BL68" s="105">
        <v>45</v>
      </c>
      <c r="BM68" s="105">
        <v>12150</v>
      </c>
      <c r="BN68" s="105">
        <v>32</v>
      </c>
      <c r="BO68" s="105">
        <v>8640</v>
      </c>
      <c r="BP68" s="105">
        <v>42</v>
      </c>
      <c r="BQ68" s="105">
        <v>11340</v>
      </c>
      <c r="BR68" s="105">
        <v>31</v>
      </c>
      <c r="BS68" s="105">
        <v>8370</v>
      </c>
      <c r="BT68" s="105">
        <v>26</v>
      </c>
      <c r="BU68" s="105">
        <v>7020</v>
      </c>
      <c r="BV68" s="105">
        <v>48</v>
      </c>
      <c r="BW68" s="105">
        <v>12960</v>
      </c>
      <c r="BX68" s="105">
        <v>45</v>
      </c>
      <c r="BY68" s="105">
        <v>12150</v>
      </c>
      <c r="BZ68" s="105">
        <v>33</v>
      </c>
      <c r="CA68" s="105">
        <v>8910</v>
      </c>
      <c r="CB68" s="105">
        <v>28</v>
      </c>
      <c r="CC68" s="105">
        <v>7560</v>
      </c>
      <c r="CD68" s="105">
        <v>42</v>
      </c>
      <c r="CE68" s="105">
        <v>11340</v>
      </c>
      <c r="CF68" s="105">
        <v>37</v>
      </c>
      <c r="CG68" s="105">
        <v>9990</v>
      </c>
      <c r="CH68" s="105">
        <v>28</v>
      </c>
      <c r="CI68" s="105">
        <v>7560</v>
      </c>
      <c r="CJ68" s="105">
        <v>26</v>
      </c>
      <c r="CK68" s="105">
        <v>7020</v>
      </c>
      <c r="CL68" s="105">
        <v>32</v>
      </c>
      <c r="CM68" s="105">
        <v>8640</v>
      </c>
      <c r="CN68" s="105">
        <v>32</v>
      </c>
      <c r="CO68" s="105">
        <v>8640</v>
      </c>
      <c r="CP68" s="105">
        <v>35</v>
      </c>
      <c r="CQ68" s="105">
        <v>9450</v>
      </c>
      <c r="CR68" s="105">
        <v>32</v>
      </c>
      <c r="CS68" s="105">
        <v>8640</v>
      </c>
      <c r="CT68" s="105">
        <v>47</v>
      </c>
      <c r="CU68" s="105">
        <v>12690</v>
      </c>
    </row>
    <row r="69" spans="2:99" x14ac:dyDescent="0.2">
      <c r="C69" s="104" t="s">
        <v>237</v>
      </c>
      <c r="D69" s="105">
        <v>27</v>
      </c>
      <c r="E69" s="105">
        <v>4665.5999999999995</v>
      </c>
      <c r="F69" s="105">
        <v>30</v>
      </c>
      <c r="G69" s="105">
        <v>5183.9999999999991</v>
      </c>
      <c r="H69" s="105">
        <v>39</v>
      </c>
      <c r="I69" s="105">
        <v>6739.1999999999989</v>
      </c>
      <c r="J69" s="105">
        <v>32</v>
      </c>
      <c r="K69" s="105">
        <v>5529.5999999999995</v>
      </c>
      <c r="L69" s="105">
        <v>33</v>
      </c>
      <c r="M69" s="105">
        <v>5702.4</v>
      </c>
      <c r="N69" s="105">
        <v>48</v>
      </c>
      <c r="O69" s="105">
        <v>8294.4</v>
      </c>
      <c r="P69" s="105">
        <v>36</v>
      </c>
      <c r="Q69" s="105">
        <v>6220.7999999999993</v>
      </c>
      <c r="R69" s="105">
        <v>27</v>
      </c>
      <c r="S69" s="105">
        <v>4665.5999999999995</v>
      </c>
      <c r="T69" s="105">
        <v>44</v>
      </c>
      <c r="U69" s="105">
        <v>7603.1999999999989</v>
      </c>
      <c r="V69" s="105">
        <v>34.247347238837122</v>
      </c>
      <c r="W69" s="105">
        <v>5917.9416028710539</v>
      </c>
      <c r="X69" s="105">
        <v>34</v>
      </c>
      <c r="Y69" s="105">
        <v>5875.2</v>
      </c>
      <c r="Z69" s="105">
        <v>44</v>
      </c>
      <c r="AA69" s="105">
        <v>7603.1999999999989</v>
      </c>
      <c r="AB69" s="105">
        <v>27</v>
      </c>
      <c r="AC69" s="105">
        <v>4665.5999999999995</v>
      </c>
      <c r="AD69" s="105">
        <v>39</v>
      </c>
      <c r="AE69" s="105">
        <v>6739.1999999999989</v>
      </c>
      <c r="AF69" s="105">
        <v>29</v>
      </c>
      <c r="AG69" s="105">
        <v>5011.2</v>
      </c>
      <c r="AH69" s="105">
        <v>30</v>
      </c>
      <c r="AI69" s="105">
        <v>5183.9999999999991</v>
      </c>
      <c r="AJ69" s="105">
        <v>46</v>
      </c>
      <c r="AK69" s="105">
        <v>7948.7999999999993</v>
      </c>
      <c r="AL69" s="105">
        <v>40</v>
      </c>
      <c r="AM69" s="105">
        <v>6911.9999999999991</v>
      </c>
      <c r="AN69" s="105">
        <v>47</v>
      </c>
      <c r="AO69" s="105">
        <v>8121.5999999999995</v>
      </c>
      <c r="AP69" s="105">
        <v>43</v>
      </c>
      <c r="AQ69" s="105">
        <v>7430.4</v>
      </c>
      <c r="AR69" s="105">
        <v>46</v>
      </c>
      <c r="AS69" s="105">
        <v>7948.7999999999993</v>
      </c>
      <c r="AT69" s="105">
        <v>40</v>
      </c>
      <c r="AU69" s="105">
        <v>6911.9999999999991</v>
      </c>
      <c r="AV69" s="105">
        <v>44</v>
      </c>
      <c r="AW69" s="105">
        <v>7603.1999999999989</v>
      </c>
      <c r="AX69" s="105">
        <v>34</v>
      </c>
      <c r="AY69" s="105">
        <v>5875.2</v>
      </c>
      <c r="AZ69" s="105">
        <v>46</v>
      </c>
      <c r="BA69" s="105">
        <v>7948.7999999999993</v>
      </c>
      <c r="BB69" s="105">
        <v>29</v>
      </c>
      <c r="BC69" s="105">
        <v>5011.2</v>
      </c>
      <c r="BD69" s="105">
        <v>52</v>
      </c>
      <c r="BE69" s="105">
        <v>8985.5999999999985</v>
      </c>
      <c r="BF69" s="105">
        <v>41.107646133838948</v>
      </c>
      <c r="BG69" s="105">
        <v>7103.4012519273692</v>
      </c>
      <c r="BH69" s="105">
        <v>31</v>
      </c>
      <c r="BI69" s="105">
        <v>5356.7999999999993</v>
      </c>
      <c r="BJ69" s="105">
        <v>50</v>
      </c>
      <c r="BK69" s="105">
        <v>8640</v>
      </c>
      <c r="BL69" s="105">
        <v>52</v>
      </c>
      <c r="BM69" s="105">
        <v>8985.5999999999985</v>
      </c>
      <c r="BN69" s="105">
        <v>38</v>
      </c>
      <c r="BO69" s="105">
        <v>6566.4</v>
      </c>
      <c r="BP69" s="105">
        <v>44</v>
      </c>
      <c r="BQ69" s="105">
        <v>7603.1999999999989</v>
      </c>
      <c r="BR69" s="105">
        <v>31</v>
      </c>
      <c r="BS69" s="105">
        <v>5356.7999999999993</v>
      </c>
      <c r="BT69" s="105">
        <v>24</v>
      </c>
      <c r="BU69" s="105">
        <v>4147.2</v>
      </c>
      <c r="BV69" s="105">
        <v>48</v>
      </c>
      <c r="BW69" s="105">
        <v>8294.4</v>
      </c>
      <c r="BX69" s="105">
        <v>39</v>
      </c>
      <c r="BY69" s="105">
        <v>6739.1999999999989</v>
      </c>
      <c r="BZ69" s="105">
        <v>33</v>
      </c>
      <c r="CA69" s="105">
        <v>5702.4</v>
      </c>
      <c r="CB69" s="105">
        <v>31</v>
      </c>
      <c r="CC69" s="105">
        <v>5356.7999999999993</v>
      </c>
      <c r="CD69" s="105">
        <v>44</v>
      </c>
      <c r="CE69" s="105">
        <v>7603.1999999999989</v>
      </c>
      <c r="CF69" s="105">
        <v>33</v>
      </c>
      <c r="CG69" s="105">
        <v>5702.4</v>
      </c>
      <c r="CH69" s="105">
        <v>30</v>
      </c>
      <c r="CI69" s="105">
        <v>5183.9999999999991</v>
      </c>
      <c r="CJ69" s="105">
        <v>29</v>
      </c>
      <c r="CK69" s="105">
        <v>5011.2</v>
      </c>
      <c r="CL69" s="105">
        <v>34</v>
      </c>
      <c r="CM69" s="105">
        <v>5875.2</v>
      </c>
      <c r="CN69" s="105">
        <v>33</v>
      </c>
      <c r="CO69" s="105">
        <v>5702.4</v>
      </c>
      <c r="CP69" s="105">
        <v>34</v>
      </c>
      <c r="CQ69" s="105">
        <v>5875.2</v>
      </c>
      <c r="CR69" s="105">
        <v>33</v>
      </c>
      <c r="CS69" s="105">
        <v>5702.4</v>
      </c>
      <c r="CT69" s="105">
        <v>49</v>
      </c>
      <c r="CU69" s="105">
        <v>8467.1999999999989</v>
      </c>
    </row>
    <row r="70" spans="2:99" x14ac:dyDescent="0.2">
      <c r="C70" s="104" t="s">
        <v>238</v>
      </c>
      <c r="D70" s="105">
        <v>25</v>
      </c>
      <c r="E70" s="105">
        <v>10740</v>
      </c>
      <c r="F70" s="105">
        <v>30</v>
      </c>
      <c r="G70" s="105">
        <v>12887.999999999998</v>
      </c>
      <c r="H70" s="105">
        <v>38</v>
      </c>
      <c r="I70" s="105">
        <v>16324.8</v>
      </c>
      <c r="J70" s="105">
        <v>33</v>
      </c>
      <c r="K70" s="105">
        <v>14176.8</v>
      </c>
      <c r="L70" s="105">
        <v>31</v>
      </c>
      <c r="M70" s="105">
        <v>13317.599999999999</v>
      </c>
      <c r="N70" s="105">
        <v>42</v>
      </c>
      <c r="O70" s="105">
        <v>18043.199999999997</v>
      </c>
      <c r="P70" s="105">
        <v>36</v>
      </c>
      <c r="Q70" s="105">
        <v>15465.599999999999</v>
      </c>
      <c r="R70" s="105">
        <v>24</v>
      </c>
      <c r="S70" s="105">
        <v>10310.4</v>
      </c>
      <c r="T70" s="105">
        <v>35</v>
      </c>
      <c r="U70" s="105">
        <v>15035.999999999998</v>
      </c>
      <c r="V70" s="105">
        <v>29.247347238837119</v>
      </c>
      <c r="W70" s="105">
        <v>12564.660373804425</v>
      </c>
      <c r="X70" s="105">
        <v>32</v>
      </c>
      <c r="Y70" s="105">
        <v>13747.199999999999</v>
      </c>
      <c r="Z70" s="105">
        <v>40</v>
      </c>
      <c r="AA70" s="105">
        <v>17184</v>
      </c>
      <c r="AB70" s="105">
        <v>25</v>
      </c>
      <c r="AC70" s="105">
        <v>10740</v>
      </c>
      <c r="AD70" s="105">
        <v>37</v>
      </c>
      <c r="AE70" s="105">
        <v>15895.199999999999</v>
      </c>
      <c r="AF70" s="105">
        <v>29</v>
      </c>
      <c r="AG70" s="105">
        <v>12458.4</v>
      </c>
      <c r="AH70" s="105">
        <v>26</v>
      </c>
      <c r="AI70" s="105">
        <v>11169.599999999999</v>
      </c>
      <c r="AJ70" s="105">
        <v>45</v>
      </c>
      <c r="AK70" s="105">
        <v>19332</v>
      </c>
      <c r="AL70" s="105">
        <v>37</v>
      </c>
      <c r="AM70" s="105">
        <v>15895.199999999999</v>
      </c>
      <c r="AN70" s="105">
        <v>39</v>
      </c>
      <c r="AO70" s="105">
        <v>16754.399999999998</v>
      </c>
      <c r="AP70" s="105">
        <v>42</v>
      </c>
      <c r="AQ70" s="105">
        <v>18043.199999999997</v>
      </c>
      <c r="AR70" s="105">
        <v>45</v>
      </c>
      <c r="AS70" s="105">
        <v>19332</v>
      </c>
      <c r="AT70" s="105">
        <v>37</v>
      </c>
      <c r="AU70" s="105">
        <v>15895.199999999999</v>
      </c>
      <c r="AV70" s="105">
        <v>37</v>
      </c>
      <c r="AW70" s="105">
        <v>15895.199999999999</v>
      </c>
      <c r="AX70" s="105">
        <v>36</v>
      </c>
      <c r="AY70" s="105">
        <v>15465.599999999999</v>
      </c>
      <c r="AZ70" s="105">
        <v>39</v>
      </c>
      <c r="BA70" s="105">
        <v>16754.399999999998</v>
      </c>
      <c r="BB70" s="105">
        <v>29</v>
      </c>
      <c r="BC70" s="105">
        <v>12458.4</v>
      </c>
      <c r="BD70" s="105">
        <v>44</v>
      </c>
      <c r="BE70" s="105">
        <v>18902.399999999998</v>
      </c>
      <c r="BF70" s="105">
        <v>37.107646133838948</v>
      </c>
      <c r="BG70" s="105">
        <v>15941.44477909721</v>
      </c>
      <c r="BH70" s="105">
        <v>26</v>
      </c>
      <c r="BI70" s="105">
        <v>11169.599999999999</v>
      </c>
      <c r="BJ70" s="105">
        <v>43</v>
      </c>
      <c r="BK70" s="105">
        <v>18472.8</v>
      </c>
      <c r="BL70" s="105">
        <v>47</v>
      </c>
      <c r="BM70" s="105">
        <v>20191.199999999997</v>
      </c>
      <c r="BN70" s="105">
        <v>33</v>
      </c>
      <c r="BO70" s="105">
        <v>14176.8</v>
      </c>
      <c r="BP70" s="105">
        <v>38</v>
      </c>
      <c r="BQ70" s="105">
        <v>16324.8</v>
      </c>
      <c r="BR70" s="105">
        <v>28</v>
      </c>
      <c r="BS70" s="105">
        <v>12028.8</v>
      </c>
      <c r="BT70" s="105">
        <v>24</v>
      </c>
      <c r="BU70" s="105">
        <v>10310.4</v>
      </c>
      <c r="BV70" s="105">
        <v>48</v>
      </c>
      <c r="BW70" s="105">
        <v>20620.8</v>
      </c>
      <c r="BX70" s="105">
        <v>43</v>
      </c>
      <c r="BY70" s="105">
        <v>18472.8</v>
      </c>
      <c r="BZ70" s="105">
        <v>28</v>
      </c>
      <c r="CA70" s="105">
        <v>12028.8</v>
      </c>
      <c r="CB70" s="105">
        <v>28</v>
      </c>
      <c r="CC70" s="105">
        <v>12028.8</v>
      </c>
      <c r="CD70" s="105">
        <v>36</v>
      </c>
      <c r="CE70" s="105">
        <v>15465.599999999999</v>
      </c>
      <c r="CF70" s="105">
        <v>34</v>
      </c>
      <c r="CG70" s="105">
        <v>14606.4</v>
      </c>
      <c r="CH70" s="105">
        <v>27</v>
      </c>
      <c r="CI70" s="105">
        <v>11599.199999999999</v>
      </c>
      <c r="CJ70" s="105">
        <v>25</v>
      </c>
      <c r="CK70" s="105">
        <v>10740</v>
      </c>
      <c r="CL70" s="105">
        <v>31</v>
      </c>
      <c r="CM70" s="105">
        <v>13317.599999999999</v>
      </c>
      <c r="CN70" s="105">
        <v>27</v>
      </c>
      <c r="CO70" s="105">
        <v>11599.199999999999</v>
      </c>
      <c r="CP70" s="105">
        <v>36</v>
      </c>
      <c r="CQ70" s="105">
        <v>15465.599999999999</v>
      </c>
      <c r="CR70" s="105">
        <v>31</v>
      </c>
      <c r="CS70" s="105">
        <v>13317.599999999999</v>
      </c>
      <c r="CT70" s="105">
        <v>44</v>
      </c>
      <c r="CU70" s="105">
        <v>18902.399999999998</v>
      </c>
    </row>
    <row r="71" spans="2:99" x14ac:dyDescent="0.2">
      <c r="B71" s="104" t="s">
        <v>130</v>
      </c>
      <c r="C71" s="104" t="s">
        <v>239</v>
      </c>
      <c r="D71" s="105">
        <v>20.417840528716983</v>
      </c>
      <c r="E71" s="105">
        <v>3748.7155210724382</v>
      </c>
      <c r="F71" s="105">
        <v>19.844922018358957</v>
      </c>
      <c r="G71" s="105">
        <v>3643.5276825707047</v>
      </c>
      <c r="H71" s="105">
        <v>21.042932255194781</v>
      </c>
      <c r="I71" s="105">
        <v>3863.4823620537618</v>
      </c>
      <c r="J71" s="105">
        <v>21.480976811164304</v>
      </c>
      <c r="K71" s="105">
        <v>3943.9073425297661</v>
      </c>
      <c r="L71" s="105">
        <v>22.58056962723548</v>
      </c>
      <c r="M71" s="105">
        <v>4145.7925835604337</v>
      </c>
      <c r="N71" s="105">
        <v>22.579302270734456</v>
      </c>
      <c r="O71" s="105">
        <v>4145.559896906846</v>
      </c>
      <c r="P71" s="105">
        <v>20.802652893213196</v>
      </c>
      <c r="Q71" s="105">
        <v>3819.3670711939426</v>
      </c>
      <c r="R71" s="105">
        <v>22.117943304437556</v>
      </c>
      <c r="S71" s="105">
        <v>4060.8543906947352</v>
      </c>
      <c r="T71" s="105">
        <v>28.070462935501158</v>
      </c>
      <c r="U71" s="105">
        <v>5153.7369949580125</v>
      </c>
      <c r="V71" s="105">
        <v>24.162801356510439</v>
      </c>
      <c r="W71" s="105">
        <v>4436.2903290553168</v>
      </c>
      <c r="X71" s="105">
        <v>24.539045596240712</v>
      </c>
      <c r="Y71" s="105">
        <v>4505.3687714697944</v>
      </c>
      <c r="Z71" s="105">
        <v>25.489068653945974</v>
      </c>
      <c r="AA71" s="105">
        <v>4679.7930048644812</v>
      </c>
      <c r="AB71" s="105">
        <v>26.99448660547132</v>
      </c>
      <c r="AC71" s="105">
        <v>4956.1877407645343</v>
      </c>
      <c r="AD71" s="105">
        <v>24.200647560669516</v>
      </c>
      <c r="AE71" s="105">
        <v>4443.2388921389229</v>
      </c>
      <c r="AF71" s="105">
        <v>26.39157042750497</v>
      </c>
      <c r="AG71" s="105">
        <v>4845.4923304899121</v>
      </c>
      <c r="AH71" s="105">
        <v>25.600898753372579</v>
      </c>
      <c r="AI71" s="105">
        <v>4700.3250111192056</v>
      </c>
      <c r="AJ71" s="105">
        <v>20.090186128016352</v>
      </c>
      <c r="AK71" s="105">
        <v>3688.5581731038023</v>
      </c>
      <c r="AL71" s="105">
        <v>21.60891849738961</v>
      </c>
      <c r="AM71" s="105">
        <v>3967.397436120732</v>
      </c>
      <c r="AN71" s="105">
        <v>22.453399792150535</v>
      </c>
      <c r="AO71" s="105">
        <v>4122.4442018388381</v>
      </c>
      <c r="AP71" s="105">
        <v>20.297001845159937</v>
      </c>
      <c r="AQ71" s="105">
        <v>3726.5295387713641</v>
      </c>
      <c r="AR71" s="105">
        <v>23.895977333948302</v>
      </c>
      <c r="AS71" s="105">
        <v>4387.3014385129081</v>
      </c>
      <c r="AT71" s="105">
        <v>26.061964507550741</v>
      </c>
      <c r="AU71" s="105">
        <v>4784.9766835863156</v>
      </c>
      <c r="AV71" s="105">
        <v>20.59472910659662</v>
      </c>
      <c r="AW71" s="105">
        <v>3781.1922639711393</v>
      </c>
      <c r="AX71" s="105">
        <v>23.898746106497605</v>
      </c>
      <c r="AY71" s="105">
        <v>4387.8097851529601</v>
      </c>
      <c r="AZ71" s="105">
        <v>23.721797242825787</v>
      </c>
      <c r="BA71" s="105">
        <v>4355.321973782814</v>
      </c>
      <c r="BB71" s="105">
        <v>23.12082964822153</v>
      </c>
      <c r="BC71" s="105">
        <v>4244.9843234134732</v>
      </c>
      <c r="BD71" s="105">
        <v>23.097567804027438</v>
      </c>
      <c r="BE71" s="105">
        <v>4240.7134488194379</v>
      </c>
      <c r="BF71" s="105">
        <v>25.116781228204665</v>
      </c>
      <c r="BG71" s="105">
        <v>4611.4410334983768</v>
      </c>
      <c r="BH71" s="105">
        <v>23.875354045660551</v>
      </c>
      <c r="BI71" s="105">
        <v>4383.5150027832769</v>
      </c>
      <c r="BJ71" s="105">
        <v>24.428308266555323</v>
      </c>
      <c r="BK71" s="105">
        <v>4485.0373977395575</v>
      </c>
      <c r="BL71" s="105">
        <v>23.227514810437466</v>
      </c>
      <c r="BM71" s="105">
        <v>4264.5717191963186</v>
      </c>
      <c r="BN71" s="105">
        <v>23.720567910699959</v>
      </c>
      <c r="BO71" s="105">
        <v>4355.0962684045126</v>
      </c>
      <c r="BP71" s="105">
        <v>23.392943920442676</v>
      </c>
      <c r="BQ71" s="105">
        <v>4294.9445037932755</v>
      </c>
      <c r="BR71" s="105">
        <v>23.211006847530413</v>
      </c>
      <c r="BS71" s="105">
        <v>4261.5408572065835</v>
      </c>
      <c r="BT71" s="105">
        <v>21.302549440543721</v>
      </c>
      <c r="BU71" s="105">
        <v>3911.1480772838272</v>
      </c>
      <c r="BV71" s="105">
        <v>24.281677507705282</v>
      </c>
      <c r="BW71" s="105">
        <v>4458.1159904146898</v>
      </c>
      <c r="BX71" s="105">
        <v>25.472674890166171</v>
      </c>
      <c r="BY71" s="105">
        <v>4676.7831098345087</v>
      </c>
      <c r="BZ71" s="105">
        <v>23.027151472084672</v>
      </c>
      <c r="CA71" s="105">
        <v>4227.7850102747452</v>
      </c>
      <c r="CB71" s="105">
        <v>26.449821768319918</v>
      </c>
      <c r="CC71" s="105">
        <v>4856.187276663537</v>
      </c>
      <c r="CD71" s="105">
        <v>24.457814309955321</v>
      </c>
      <c r="CE71" s="105">
        <v>4490.4547073077965</v>
      </c>
      <c r="CF71" s="105">
        <v>25.859264128955157</v>
      </c>
      <c r="CG71" s="105">
        <v>4747.7608940761666</v>
      </c>
      <c r="CH71" s="105">
        <v>27.65005376000445</v>
      </c>
      <c r="CI71" s="105">
        <v>5076.5498703368166</v>
      </c>
      <c r="CJ71" s="105">
        <v>25.767615328070452</v>
      </c>
      <c r="CK71" s="105">
        <v>4730.9341742337347</v>
      </c>
      <c r="CL71" s="105">
        <v>26.958915432051903</v>
      </c>
      <c r="CM71" s="105">
        <v>4949.6568733247295</v>
      </c>
      <c r="CN71" s="105">
        <v>22.710017800174363</v>
      </c>
      <c r="CO71" s="105">
        <v>4169.5592681120133</v>
      </c>
      <c r="CP71" s="105">
        <v>23.020868634396265</v>
      </c>
      <c r="CQ71" s="105">
        <v>4226.6314812751543</v>
      </c>
      <c r="CR71" s="105">
        <v>25.631012991801413</v>
      </c>
      <c r="CS71" s="105">
        <v>4705.8539852947388</v>
      </c>
      <c r="CT71" s="105">
        <v>22.851082940483824</v>
      </c>
      <c r="CU71" s="105">
        <v>4195.4588278728297</v>
      </c>
    </row>
    <row r="72" spans="2:99" x14ac:dyDescent="0.2">
      <c r="C72" s="104" t="s">
        <v>240</v>
      </c>
      <c r="D72" s="105">
        <v>19.601126907568304</v>
      </c>
      <c r="E72" s="105">
        <v>9596.7117339454417</v>
      </c>
      <c r="F72" s="105">
        <v>18.040838198508141</v>
      </c>
      <c r="G72" s="105">
        <v>8832.7943819895845</v>
      </c>
      <c r="H72" s="105">
        <v>20.320304531770393</v>
      </c>
      <c r="I72" s="105">
        <v>9948.8210987547845</v>
      </c>
      <c r="J72" s="105">
        <v>23.832446523885977</v>
      </c>
      <c r="K72" s="105">
        <v>11668.365818094573</v>
      </c>
      <c r="L72" s="105">
        <v>19.831316985174226</v>
      </c>
      <c r="M72" s="105">
        <v>9709.4127959412999</v>
      </c>
      <c r="N72" s="105">
        <v>19.416513174977197</v>
      </c>
      <c r="O72" s="105">
        <v>9506.3248504688345</v>
      </c>
      <c r="P72" s="105">
        <v>22.569657814451599</v>
      </c>
      <c r="Q72" s="105">
        <v>11050.104465955503</v>
      </c>
      <c r="R72" s="105">
        <v>19.117943304437556</v>
      </c>
      <c r="S72" s="105">
        <v>9360.1450418526274</v>
      </c>
      <c r="T72" s="105">
        <v>27.427134164504384</v>
      </c>
      <c r="U72" s="105">
        <v>13428.324886941346</v>
      </c>
      <c r="V72" s="105">
        <v>22.372964218991147</v>
      </c>
      <c r="W72" s="105">
        <v>10953.803281618064</v>
      </c>
      <c r="X72" s="105">
        <v>23.198089215382019</v>
      </c>
      <c r="Y72" s="105">
        <v>11357.784479851036</v>
      </c>
      <c r="Z72" s="105">
        <v>22.431354279634938</v>
      </c>
      <c r="AA72" s="105">
        <v>10982.391055309265</v>
      </c>
      <c r="AB72" s="105">
        <v>25.313029672067646</v>
      </c>
      <c r="AC72" s="105">
        <v>12393.259327444319</v>
      </c>
      <c r="AD72" s="105">
        <v>21.214664051916433</v>
      </c>
      <c r="AE72" s="105">
        <v>10386.699519818285</v>
      </c>
      <c r="AF72" s="105">
        <v>24.394318030339868</v>
      </c>
      <c r="AG72" s="105">
        <v>11943.458107654398</v>
      </c>
      <c r="AH72" s="105">
        <v>23.123392422401036</v>
      </c>
      <c r="AI72" s="105">
        <v>11321.212930007547</v>
      </c>
      <c r="AJ72" s="105">
        <v>21.791897717812816</v>
      </c>
      <c r="AK72" s="105">
        <v>10669.313122641153</v>
      </c>
      <c r="AL72" s="105">
        <v>22.52151405989466</v>
      </c>
      <c r="AM72" s="105">
        <v>11026.533283724424</v>
      </c>
      <c r="AN72" s="105">
        <v>23.237051560734297</v>
      </c>
      <c r="AO72" s="105">
        <v>11376.860444135511</v>
      </c>
      <c r="AP72" s="105">
        <v>21.215872950605736</v>
      </c>
      <c r="AQ72" s="105">
        <v>10387.291396616567</v>
      </c>
      <c r="AR72" s="105">
        <v>21.367098880200103</v>
      </c>
      <c r="AS72" s="105">
        <v>10461.331611745969</v>
      </c>
      <c r="AT72" s="105">
        <v>23.54237615920826</v>
      </c>
      <c r="AU72" s="105">
        <v>11526.347367548364</v>
      </c>
      <c r="AV72" s="105">
        <v>19.686019712802317</v>
      </c>
      <c r="AW72" s="105">
        <v>9638.2752513880132</v>
      </c>
      <c r="AX72" s="105">
        <v>23.898746106497605</v>
      </c>
      <c r="AY72" s="105">
        <v>11700.826093741227</v>
      </c>
      <c r="AZ72" s="105">
        <v>21.452224967450821</v>
      </c>
      <c r="BA72" s="105">
        <v>10503.009344063921</v>
      </c>
      <c r="BB72" s="105">
        <v>24.643442774249348</v>
      </c>
      <c r="BC72" s="105">
        <v>12065.42958227248</v>
      </c>
      <c r="BD72" s="105">
        <v>21.924584880775136</v>
      </c>
      <c r="BE72" s="105">
        <v>10734.276757627506</v>
      </c>
      <c r="BF72" s="105">
        <v>20.007166946618536</v>
      </c>
      <c r="BG72" s="105">
        <v>9795.5089370644346</v>
      </c>
      <c r="BH72" s="105">
        <v>21.887515126265736</v>
      </c>
      <c r="BI72" s="105">
        <v>10716.127405819703</v>
      </c>
      <c r="BJ72" s="105">
        <v>22.00855513169277</v>
      </c>
      <c r="BK72" s="105">
        <v>10775.38859247678</v>
      </c>
      <c r="BL72" s="105">
        <v>22.453845170825652</v>
      </c>
      <c r="BM72" s="105">
        <v>10993.402595636238</v>
      </c>
      <c r="BN72" s="105">
        <v>24.588217611743175</v>
      </c>
      <c r="BO72" s="105">
        <v>12038.391342709458</v>
      </c>
      <c r="BP72" s="105">
        <v>22.134704694597783</v>
      </c>
      <c r="BQ72" s="105">
        <v>10837.151418475074</v>
      </c>
      <c r="BR72" s="105">
        <v>25.824530075106235</v>
      </c>
      <c r="BS72" s="105">
        <v>12643.689924772012</v>
      </c>
      <c r="BT72" s="105">
        <v>23.251735359199277</v>
      </c>
      <c r="BU72" s="105">
        <v>11384.049631863965</v>
      </c>
      <c r="BV72" s="105">
        <v>23.614046989602691</v>
      </c>
      <c r="BW72" s="105">
        <v>11561.437406109477</v>
      </c>
      <c r="BX72" s="105">
        <v>21.138024222888927</v>
      </c>
      <c r="BY72" s="105">
        <v>10349.176659526418</v>
      </c>
      <c r="BZ72" s="105">
        <v>24.94674969432446</v>
      </c>
      <c r="CA72" s="105">
        <v>12213.928650341255</v>
      </c>
      <c r="CB72" s="105">
        <v>28.023573397955747</v>
      </c>
      <c r="CC72" s="105">
        <v>13720.341535639132</v>
      </c>
      <c r="CD72" s="105">
        <v>21.030388863209414</v>
      </c>
      <c r="CE72" s="105">
        <v>10296.478387427329</v>
      </c>
      <c r="CF72" s="105">
        <v>25.859264128955157</v>
      </c>
      <c r="CG72" s="105">
        <v>12660.695717536444</v>
      </c>
      <c r="CH72" s="105">
        <v>23.979007301713342</v>
      </c>
      <c r="CI72" s="105">
        <v>11740.121974918851</v>
      </c>
      <c r="CJ72" s="105">
        <v>23.006799400062899</v>
      </c>
      <c r="CK72" s="105">
        <v>11264.128986270794</v>
      </c>
      <c r="CL72" s="105">
        <v>26.018737703188254</v>
      </c>
      <c r="CM72" s="105">
        <v>12738.773979480968</v>
      </c>
      <c r="CN72" s="105">
        <v>19.792699271053721</v>
      </c>
      <c r="CO72" s="105">
        <v>9690.5055631079013</v>
      </c>
      <c r="CP72" s="105">
        <v>25.247188720443972</v>
      </c>
      <c r="CQ72" s="105">
        <v>12361.023597529367</v>
      </c>
      <c r="CR72" s="105">
        <v>22.040904725360026</v>
      </c>
      <c r="CS72" s="105">
        <v>10791.226953536268</v>
      </c>
      <c r="CT72" s="105">
        <v>20.437370536048252</v>
      </c>
      <c r="CU72" s="105">
        <v>10006.136614449224</v>
      </c>
    </row>
    <row r="73" spans="2:99" x14ac:dyDescent="0.2">
      <c r="C73" s="104" t="s">
        <v>241</v>
      </c>
      <c r="D73" s="105">
        <v>18.784413286419625</v>
      </c>
      <c r="E73" s="105">
        <v>10662.03298137178</v>
      </c>
      <c r="F73" s="105">
        <v>18.942880108433545</v>
      </c>
      <c r="G73" s="105">
        <v>10751.978749546881</v>
      </c>
      <c r="H73" s="105">
        <v>22.705980478097654</v>
      </c>
      <c r="I73" s="105">
        <v>12887.914519368229</v>
      </c>
      <c r="J73" s="105">
        <v>20.697153573590413</v>
      </c>
      <c r="K73" s="105">
        <v>11747.704368369919</v>
      </c>
      <c r="L73" s="105">
        <v>22.58056962723548</v>
      </c>
      <c r="M73" s="105">
        <v>12816.731320418859</v>
      </c>
      <c r="N73" s="105">
        <v>21.856789319036189</v>
      </c>
      <c r="O73" s="105">
        <v>12405.913617484941</v>
      </c>
      <c r="P73" s="105">
        <v>21.684938191564122</v>
      </c>
      <c r="Q73" s="105">
        <v>12308.370917531796</v>
      </c>
      <c r="R73" s="105">
        <v>19.117943304437556</v>
      </c>
      <c r="S73" s="105">
        <v>10851.344619598758</v>
      </c>
      <c r="T73" s="105">
        <v>22.822001321866995</v>
      </c>
      <c r="U73" s="105">
        <v>12953.767950291707</v>
      </c>
      <c r="V73" s="105">
        <v>23.267882787750793</v>
      </c>
      <c r="W73" s="105">
        <v>13206.85027032735</v>
      </c>
      <c r="X73" s="105">
        <v>24.539045596240712</v>
      </c>
      <c r="Y73" s="105">
        <v>13928.362280426229</v>
      </c>
      <c r="Z73" s="105">
        <v>21.077514427797727</v>
      </c>
      <c r="AA73" s="105">
        <v>11963.59718921799</v>
      </c>
      <c r="AB73" s="105">
        <v>22.790844271962136</v>
      </c>
      <c r="AC73" s="105">
        <v>12936.083208765709</v>
      </c>
      <c r="AD73" s="105">
        <v>24.200647560669516</v>
      </c>
      <c r="AE73" s="105">
        <v>13736.287555436018</v>
      </c>
      <c r="AF73" s="105">
        <v>25.060068829394901</v>
      </c>
      <c r="AG73" s="105">
        <v>14224.095067564545</v>
      </c>
      <c r="AH73" s="105">
        <v>23.949227866058219</v>
      </c>
      <c r="AI73" s="105">
        <v>13593.581736774646</v>
      </c>
      <c r="AJ73" s="105">
        <v>18.388474538219889</v>
      </c>
      <c r="AK73" s="105">
        <v>10437.298147893609</v>
      </c>
      <c r="AL73" s="105">
        <v>18.871131809874466</v>
      </c>
      <c r="AM73" s="105">
        <v>10711.254415284748</v>
      </c>
      <c r="AN73" s="105">
        <v>21.669748023566768</v>
      </c>
      <c r="AO73" s="105">
        <v>12299.748978176498</v>
      </c>
      <c r="AP73" s="105">
        <v>20.297001845159937</v>
      </c>
      <c r="AQ73" s="105">
        <v>11520.57824731278</v>
      </c>
      <c r="AR73" s="105">
        <v>22.210058364782835</v>
      </c>
      <c r="AS73" s="105">
        <v>12606.429127850737</v>
      </c>
      <c r="AT73" s="105">
        <v>21.652684897951403</v>
      </c>
      <c r="AU73" s="105">
        <v>12290.063948077217</v>
      </c>
      <c r="AV73" s="105">
        <v>20.59472910659662</v>
      </c>
      <c r="AW73" s="105">
        <v>11689.568240904242</v>
      </c>
      <c r="AX73" s="105">
        <v>22.677410551372198</v>
      </c>
      <c r="AY73" s="105">
        <v>12871.69822895886</v>
      </c>
      <c r="AZ73" s="105">
        <v>22.208749059242475</v>
      </c>
      <c r="BA73" s="105">
        <v>12605.685966026029</v>
      </c>
      <c r="BB73" s="105">
        <v>22.359523085207627</v>
      </c>
      <c r="BC73" s="105">
        <v>12691.265303163849</v>
      </c>
      <c r="BD73" s="105">
        <v>21.338093419148983</v>
      </c>
      <c r="BE73" s="105">
        <v>12111.501824708963</v>
      </c>
      <c r="BF73" s="105">
        <v>20.737111843987982</v>
      </c>
      <c r="BG73" s="105">
        <v>11770.384682647578</v>
      </c>
      <c r="BH73" s="105">
        <v>22.881434585963142</v>
      </c>
      <c r="BI73" s="105">
        <v>12987.50227099268</v>
      </c>
      <c r="BJ73" s="105">
        <v>19.588801996830217</v>
      </c>
      <c r="BK73" s="105">
        <v>11118.604013400831</v>
      </c>
      <c r="BL73" s="105">
        <v>23.227514810437466</v>
      </c>
      <c r="BM73" s="105">
        <v>13183.937406404306</v>
      </c>
      <c r="BN73" s="105">
        <v>23.803029450721262</v>
      </c>
      <c r="BO73" s="105">
        <v>13510.599516229389</v>
      </c>
      <c r="BP73" s="105">
        <v>22.137582451879005</v>
      </c>
      <c r="BQ73" s="105">
        <v>12565.291799686524</v>
      </c>
      <c r="BR73" s="105">
        <v>25.172898816287869</v>
      </c>
      <c r="BS73" s="105">
        <v>14288.137368124995</v>
      </c>
      <c r="BT73" s="105">
        <v>21.270570297072222</v>
      </c>
      <c r="BU73" s="105">
        <v>12073.175700618194</v>
      </c>
      <c r="BV73" s="105">
        <v>22.278785953397506</v>
      </c>
      <c r="BW73" s="105">
        <v>12645.438907148426</v>
      </c>
      <c r="BX73" s="105">
        <v>21.138024222888927</v>
      </c>
      <c r="BY73" s="105">
        <v>11997.942548911755</v>
      </c>
      <c r="BZ73" s="105">
        <v>23.027151472084672</v>
      </c>
      <c r="CA73" s="105">
        <v>13070.21117555526</v>
      </c>
      <c r="CB73" s="105">
        <v>23.396203519163816</v>
      </c>
      <c r="CC73" s="105">
        <v>13279.685117477382</v>
      </c>
      <c r="CD73" s="105">
        <v>21.036758001682198</v>
      </c>
      <c r="CE73" s="105">
        <v>11940.463841754816</v>
      </c>
      <c r="CF73" s="105">
        <v>22.986045849814051</v>
      </c>
      <c r="CG73" s="105">
        <v>13046.879624354457</v>
      </c>
      <c r="CH73" s="105">
        <v>28.384263051662671</v>
      </c>
      <c r="CI73" s="105">
        <v>16110.907708123734</v>
      </c>
      <c r="CJ73" s="105">
        <v>25.767615328070452</v>
      </c>
      <c r="CK73" s="105">
        <v>14625.698460212789</v>
      </c>
      <c r="CL73" s="105">
        <v>22.258026787733652</v>
      </c>
      <c r="CM73" s="105">
        <v>12633.656004717621</v>
      </c>
      <c r="CN73" s="105">
        <v>20.881985921251424</v>
      </c>
      <c r="CO73" s="105">
        <v>11852.615208902309</v>
      </c>
      <c r="CP73" s="105">
        <v>24.766300173842286</v>
      </c>
      <c r="CQ73" s="105">
        <v>14057.351978672881</v>
      </c>
      <c r="CR73" s="105">
        <v>22.753785987438821</v>
      </c>
      <c r="CS73" s="105">
        <v>12915.048926470276</v>
      </c>
      <c r="CT73" s="105">
        <v>20.437370536048252</v>
      </c>
      <c r="CU73" s="105">
        <v>11600.251516260989</v>
      </c>
    </row>
    <row r="74" spans="2:99" x14ac:dyDescent="0.2">
      <c r="C74" s="104" t="s">
        <v>242</v>
      </c>
      <c r="D74" s="105">
        <v>21.234554149865662</v>
      </c>
      <c r="E74" s="105">
        <v>6676.1438247177639</v>
      </c>
      <c r="F74" s="105">
        <v>20.746963928284362</v>
      </c>
      <c r="G74" s="105">
        <v>6522.8454590526035</v>
      </c>
      <c r="H74" s="105">
        <v>21.177048327003732</v>
      </c>
      <c r="I74" s="105">
        <v>6658.0639940099727</v>
      </c>
      <c r="J74" s="105">
        <v>23.048623286312086</v>
      </c>
      <c r="K74" s="105">
        <v>7246.4871612165198</v>
      </c>
      <c r="L74" s="105">
        <v>21.664152079881728</v>
      </c>
      <c r="M74" s="105">
        <v>6811.2094139148148</v>
      </c>
      <c r="N74" s="105">
        <v>20.936570907171262</v>
      </c>
      <c r="O74" s="105">
        <v>6582.4578932146442</v>
      </c>
      <c r="P74" s="105">
        <v>24.463686679258231</v>
      </c>
      <c r="Q74" s="105">
        <v>7691.3830919587872</v>
      </c>
      <c r="R74" s="105">
        <v>21.117943304437556</v>
      </c>
      <c r="S74" s="105">
        <v>6639.4813749151672</v>
      </c>
      <c r="T74" s="105">
        <v>28.070462935501158</v>
      </c>
      <c r="U74" s="105">
        <v>8825.353546921564</v>
      </c>
      <c r="V74" s="105">
        <v>22.372964218991147</v>
      </c>
      <c r="W74" s="105">
        <v>7034.0599504508164</v>
      </c>
      <c r="X74" s="105">
        <v>26.55048016752875</v>
      </c>
      <c r="Y74" s="105">
        <v>8347.470964671038</v>
      </c>
      <c r="Z74" s="105">
        <v>25.5824644411694</v>
      </c>
      <c r="AA74" s="105">
        <v>8043.1268203036589</v>
      </c>
      <c r="AB74" s="105">
        <v>25.313029672067646</v>
      </c>
      <c r="AC74" s="105">
        <v>7958.4165288980676</v>
      </c>
      <c r="AD74" s="105">
        <v>22.707655806292976</v>
      </c>
      <c r="AE74" s="105">
        <v>7139.2869854985111</v>
      </c>
      <c r="AF74" s="105">
        <v>24.394318030339868</v>
      </c>
      <c r="AG74" s="105">
        <v>7669.5735887388537</v>
      </c>
      <c r="AH74" s="105">
        <v>21.471721535086679</v>
      </c>
      <c r="AI74" s="105">
        <v>6750.709250631252</v>
      </c>
      <c r="AJ74" s="105">
        <v>19.239330333118122</v>
      </c>
      <c r="AK74" s="105">
        <v>6048.845456732337</v>
      </c>
      <c r="AL74" s="105">
        <v>19.783727372379513</v>
      </c>
      <c r="AM74" s="105">
        <v>6220.0038858761181</v>
      </c>
      <c r="AN74" s="105">
        <v>23.237051560734297</v>
      </c>
      <c r="AO74" s="105">
        <v>7305.7290106948622</v>
      </c>
      <c r="AP74" s="105">
        <v>19.378130739714141</v>
      </c>
      <c r="AQ74" s="105">
        <v>6092.4843045661255</v>
      </c>
      <c r="AR74" s="105">
        <v>19.681179911034636</v>
      </c>
      <c r="AS74" s="105">
        <v>6187.7629640292889</v>
      </c>
      <c r="AT74" s="105">
        <v>24.8021703333795</v>
      </c>
      <c r="AU74" s="105">
        <v>7797.8023528145141</v>
      </c>
      <c r="AV74" s="105">
        <v>19.686019712802317</v>
      </c>
      <c r="AW74" s="105">
        <v>6189.2845977050483</v>
      </c>
      <c r="AX74" s="105">
        <v>26.952084994311114</v>
      </c>
      <c r="AY74" s="105">
        <v>8473.7355222114129</v>
      </c>
      <c r="AZ74" s="105">
        <v>22.208749059242475</v>
      </c>
      <c r="BA74" s="105">
        <v>6982.4307042258333</v>
      </c>
      <c r="BB74" s="105">
        <v>22.359523085207627</v>
      </c>
      <c r="BC74" s="105">
        <v>7029.8340579892774</v>
      </c>
      <c r="BD74" s="105">
        <v>25.443533650532054</v>
      </c>
      <c r="BE74" s="105">
        <v>7999.4469797272768</v>
      </c>
      <c r="BF74" s="105">
        <v>21.467056741357428</v>
      </c>
      <c r="BG74" s="105">
        <v>6749.2426394827753</v>
      </c>
      <c r="BH74" s="105">
        <v>22.881434585963142</v>
      </c>
      <c r="BI74" s="105">
        <v>7193.9230338268108</v>
      </c>
      <c r="BJ74" s="105">
        <v>20.395386375117734</v>
      </c>
      <c r="BK74" s="105">
        <v>6412.3094763370154</v>
      </c>
      <c r="BL74" s="105">
        <v>24.001266864718023</v>
      </c>
      <c r="BM74" s="105">
        <v>7545.9983022673459</v>
      </c>
      <c r="BN74" s="105">
        <v>23.803029450721262</v>
      </c>
      <c r="BO74" s="105">
        <v>7483.6724593067638</v>
      </c>
      <c r="BP74" s="105">
        <v>22.762385428879618</v>
      </c>
      <c r="BQ74" s="105">
        <v>7156.4939788397514</v>
      </c>
      <c r="BR74" s="105">
        <v>23.975697943045713</v>
      </c>
      <c r="BS74" s="105">
        <v>7537.9594332935712</v>
      </c>
      <c r="BT74" s="105">
        <v>21.302549440543721</v>
      </c>
      <c r="BU74" s="105">
        <v>6697.5215441069458</v>
      </c>
      <c r="BV74" s="105">
        <v>22.278785953397506</v>
      </c>
      <c r="BW74" s="105">
        <v>7004.4503037481754</v>
      </c>
      <c r="BX74" s="105">
        <v>22.004954356344378</v>
      </c>
      <c r="BY74" s="105">
        <v>6918.3576496346723</v>
      </c>
      <c r="BZ74" s="105">
        <v>24.918457808610597</v>
      </c>
      <c r="CA74" s="105">
        <v>7834.3631350271708</v>
      </c>
      <c r="CB74" s="105">
        <v>28.786977960244773</v>
      </c>
      <c r="CC74" s="105">
        <v>9050.6258707009565</v>
      </c>
      <c r="CD74" s="105">
        <v>22.74728615581876</v>
      </c>
      <c r="CE74" s="105">
        <v>7151.7467673894171</v>
      </c>
      <c r="CF74" s="105">
        <v>24.422654989384601</v>
      </c>
      <c r="CG74" s="105">
        <v>7678.4827286625177</v>
      </c>
      <c r="CH74" s="105">
        <v>28.384263051662671</v>
      </c>
      <c r="CI74" s="105">
        <v>8924.0123034427434</v>
      </c>
      <c r="CJ74" s="105">
        <v>26.687887304072966</v>
      </c>
      <c r="CK74" s="105">
        <v>8390.6717684005398</v>
      </c>
      <c r="CL74" s="105">
        <v>25.995562755099964</v>
      </c>
      <c r="CM74" s="105">
        <v>8173.0049302034286</v>
      </c>
      <c r="CN74" s="105">
        <v>23.624033739635834</v>
      </c>
      <c r="CO74" s="105">
        <v>7427.3962077415053</v>
      </c>
      <c r="CP74" s="105">
        <v>25.247188720443972</v>
      </c>
      <c r="CQ74" s="105">
        <v>7937.716133707584</v>
      </c>
      <c r="CR74" s="105">
        <v>23.47694803193658</v>
      </c>
      <c r="CS74" s="105">
        <v>7381.1524612408602</v>
      </c>
      <c r="CT74" s="105">
        <v>22.046512139005301</v>
      </c>
      <c r="CU74" s="105">
        <v>6931.4234165032658</v>
      </c>
    </row>
    <row r="75" spans="2:99" x14ac:dyDescent="0.2">
      <c r="C75" s="104" t="s">
        <v>243</v>
      </c>
      <c r="D75" s="105">
        <v>20.417840528716983</v>
      </c>
      <c r="E75" s="105">
        <v>12226.202908595729</v>
      </c>
      <c r="F75" s="105">
        <v>17.138796288582736</v>
      </c>
      <c r="G75" s="105">
        <v>10262.711217603341</v>
      </c>
      <c r="H75" s="105">
        <v>20.316120696558134</v>
      </c>
      <c r="I75" s="105">
        <v>12165.29307309901</v>
      </c>
      <c r="J75" s="105">
        <v>23.832446523885977</v>
      </c>
      <c r="K75" s="105">
        <v>14270.868978502922</v>
      </c>
      <c r="L75" s="105">
        <v>21.664152079881728</v>
      </c>
      <c r="M75" s="105">
        <v>12972.494265433177</v>
      </c>
      <c r="N75" s="105">
        <v>21.755289822143325</v>
      </c>
      <c r="O75" s="105">
        <v>13027.067545499422</v>
      </c>
      <c r="P75" s="105">
        <v>22.713722029775688</v>
      </c>
      <c r="Q75" s="105">
        <v>13600.976751429682</v>
      </c>
      <c r="R75" s="105">
        <v>21.117943304437556</v>
      </c>
      <c r="S75" s="105">
        <v>12645.424450697208</v>
      </c>
      <c r="T75" s="105">
        <v>24.108658863860541</v>
      </c>
      <c r="U75" s="105">
        <v>14436.264927679691</v>
      </c>
      <c r="V75" s="105">
        <v>20.583127081471858</v>
      </c>
      <c r="W75" s="105">
        <v>12325.176496385347</v>
      </c>
      <c r="X75" s="105">
        <v>21.857132834523327</v>
      </c>
      <c r="Y75" s="105">
        <v>13088.051141312568</v>
      </c>
      <c r="Z75" s="105">
        <v>21.170910215021152</v>
      </c>
      <c r="AA75" s="105">
        <v>12677.141036754665</v>
      </c>
      <c r="AB75" s="105">
        <v>23.631572738663973</v>
      </c>
      <c r="AC75" s="105">
        <v>14150.585755911987</v>
      </c>
      <c r="AD75" s="105">
        <v>20.468168174728159</v>
      </c>
      <c r="AE75" s="105">
        <v>12256.339103027221</v>
      </c>
      <c r="AF75" s="105">
        <v>25.725819628449937</v>
      </c>
      <c r="AG75" s="105">
        <v>15404.620793515822</v>
      </c>
      <c r="AH75" s="105">
        <v>22.297556978743856</v>
      </c>
      <c r="AI75" s="105">
        <v>13351.77711887182</v>
      </c>
      <c r="AJ75" s="105">
        <v>20.941041922914586</v>
      </c>
      <c r="AK75" s="105">
        <v>12539.495903441253</v>
      </c>
      <c r="AL75" s="105">
        <v>19.783727372379513</v>
      </c>
      <c r="AM75" s="105">
        <v>11846.495950580851</v>
      </c>
      <c r="AN75" s="105">
        <v>21.669748023566768</v>
      </c>
      <c r="AO75" s="105">
        <v>12975.84511651178</v>
      </c>
      <c r="AP75" s="105">
        <v>21.215872950605736</v>
      </c>
      <c r="AQ75" s="105">
        <v>12704.064722822714</v>
      </c>
      <c r="AR75" s="105">
        <v>21.367098880200103</v>
      </c>
      <c r="AS75" s="105">
        <v>12794.61880946382</v>
      </c>
      <c r="AT75" s="105">
        <v>24.17227324629388</v>
      </c>
      <c r="AU75" s="105">
        <v>14474.357219880774</v>
      </c>
      <c r="AV75" s="105">
        <v>20.59472910659662</v>
      </c>
      <c r="AW75" s="105">
        <v>12332.123789030056</v>
      </c>
      <c r="AX75" s="105">
        <v>24.509413884060308</v>
      </c>
      <c r="AY75" s="105">
        <v>14676.237033775311</v>
      </c>
      <c r="AZ75" s="105">
        <v>21.452224967450821</v>
      </c>
      <c r="BA75" s="105">
        <v>12845.59231050955</v>
      </c>
      <c r="BB75" s="105">
        <v>23.12082964822153</v>
      </c>
      <c r="BC75" s="105">
        <v>13844.752793355052</v>
      </c>
      <c r="BD75" s="105">
        <v>23.097567804027438</v>
      </c>
      <c r="BE75" s="105">
        <v>13830.823601051628</v>
      </c>
      <c r="BF75" s="105">
        <v>21.467056741357428</v>
      </c>
      <c r="BG75" s="105">
        <v>12854.473576724828</v>
      </c>
      <c r="BH75" s="105">
        <v>20.893595666568331</v>
      </c>
      <c r="BI75" s="105">
        <v>12511.085085141116</v>
      </c>
      <c r="BJ75" s="105">
        <v>22.815139509980288</v>
      </c>
      <c r="BK75" s="105">
        <v>13661.705538576196</v>
      </c>
      <c r="BL75" s="105">
        <v>23.227514810437466</v>
      </c>
      <c r="BM75" s="105">
        <v>13908.635868489953</v>
      </c>
      <c r="BN75" s="105">
        <v>23.017841289699348</v>
      </c>
      <c r="BO75" s="105">
        <v>13783.083364271968</v>
      </c>
      <c r="BP75" s="105">
        <v>22.765263186160841</v>
      </c>
      <c r="BQ75" s="105">
        <v>13631.839595873111</v>
      </c>
      <c r="BR75" s="105">
        <v>22.55762604063646</v>
      </c>
      <c r="BS75" s="105">
        <v>13507.506473133111</v>
      </c>
      <c r="BT75" s="105">
        <v>22.289578733443744</v>
      </c>
      <c r="BU75" s="105">
        <v>13346.999745586112</v>
      </c>
      <c r="BV75" s="105">
        <v>21.611155435294915</v>
      </c>
      <c r="BW75" s="105">
        <v>12940.759874654594</v>
      </c>
      <c r="BX75" s="105">
        <v>22.871884489799829</v>
      </c>
      <c r="BY75" s="105">
        <v>13695.684432492137</v>
      </c>
      <c r="BZ75" s="105">
        <v>23.058272546369921</v>
      </c>
      <c r="CA75" s="105">
        <v>13807.293600766307</v>
      </c>
      <c r="CB75" s="105">
        <v>27.213226330608943</v>
      </c>
      <c r="CC75" s="105">
        <v>16295.279926768633</v>
      </c>
      <c r="CD75" s="105">
        <v>22.74728615581876</v>
      </c>
      <c r="CE75" s="105">
        <v>13621.074950104272</v>
      </c>
      <c r="CF75" s="105">
        <v>25.140959559169882</v>
      </c>
      <c r="CG75" s="105">
        <v>15054.406584030925</v>
      </c>
      <c r="CH75" s="105">
        <v>25.447425885029787</v>
      </c>
      <c r="CI75" s="105">
        <v>15237.918619955835</v>
      </c>
      <c r="CJ75" s="105">
        <v>22.086527424060385</v>
      </c>
      <c r="CK75" s="105">
        <v>13225.412621527357</v>
      </c>
      <c r="CL75" s="105">
        <v>24.138382245460953</v>
      </c>
      <c r="CM75" s="105">
        <v>14454.063288582018</v>
      </c>
      <c r="CN75" s="105">
        <v>19.03783128451645</v>
      </c>
      <c r="CO75" s="105">
        <v>11399.853373168449</v>
      </c>
      <c r="CP75" s="105">
        <v>21.853320076390769</v>
      </c>
      <c r="CQ75" s="105">
        <v>13085.768061742792</v>
      </c>
      <c r="CR75" s="105">
        <v>22.753785987438821</v>
      </c>
      <c r="CS75" s="105">
        <v>13624.967049278364</v>
      </c>
      <c r="CT75" s="105">
        <v>22.851082940483824</v>
      </c>
      <c r="CU75" s="105">
        <v>13683.228464761713</v>
      </c>
    </row>
    <row r="76" spans="2:99" x14ac:dyDescent="0.2">
      <c r="C76" s="104" t="s">
        <v>244</v>
      </c>
      <c r="D76" s="105">
        <v>21.234554149865662</v>
      </c>
      <c r="E76" s="105">
        <v>18321.173320504091</v>
      </c>
      <c r="F76" s="105">
        <v>18.942880108433545</v>
      </c>
      <c r="G76" s="105">
        <v>16343.916957556463</v>
      </c>
      <c r="H76" s="105">
        <v>20.454420603579344</v>
      </c>
      <c r="I76" s="105">
        <v>17648.074096768258</v>
      </c>
      <c r="J76" s="105">
        <v>20.697153573590413</v>
      </c>
      <c r="K76" s="105">
        <v>17857.504103293806</v>
      </c>
      <c r="L76" s="105">
        <v>20.747734532527979</v>
      </c>
      <c r="M76" s="105">
        <v>17901.145354665139</v>
      </c>
      <c r="N76" s="105">
        <v>21.035423637254592</v>
      </c>
      <c r="O76" s="105">
        <v>18149.36351422326</v>
      </c>
      <c r="P76" s="105">
        <v>20.780743972384233</v>
      </c>
      <c r="Q76" s="105">
        <v>17929.625899373113</v>
      </c>
      <c r="R76" s="105">
        <v>19.117943304437556</v>
      </c>
      <c r="S76" s="105">
        <v>16494.961483068724</v>
      </c>
      <c r="T76" s="105">
        <v>22.923832767526971</v>
      </c>
      <c r="U76" s="105">
        <v>19778.68291182227</v>
      </c>
      <c r="V76" s="105">
        <v>20.583127081471858</v>
      </c>
      <c r="W76" s="105">
        <v>17759.122045893917</v>
      </c>
      <c r="X76" s="105">
        <v>20.516176453664631</v>
      </c>
      <c r="Y76" s="105">
        <v>17701.357044221844</v>
      </c>
      <c r="Z76" s="105">
        <v>19.817070363183941</v>
      </c>
      <c r="AA76" s="105">
        <v>17098.168309355104</v>
      </c>
      <c r="AB76" s="105">
        <v>23.631572738663973</v>
      </c>
      <c r="AC76" s="105">
        <v>20389.320958919274</v>
      </c>
      <c r="AD76" s="105">
        <v>19.721672297539889</v>
      </c>
      <c r="AE76" s="105">
        <v>17015.858858317417</v>
      </c>
      <c r="AF76" s="105">
        <v>23.728567231284831</v>
      </c>
      <c r="AG76" s="105">
        <v>20473.007807152553</v>
      </c>
      <c r="AH76" s="105">
        <v>23.123392422401036</v>
      </c>
      <c r="AI76" s="105">
        <v>19950.862982047613</v>
      </c>
      <c r="AJ76" s="105">
        <v>19.960060416677088</v>
      </c>
      <c r="AK76" s="105">
        <v>17221.54012750899</v>
      </c>
      <c r="AL76" s="105">
        <v>18.871131809874466</v>
      </c>
      <c r="AM76" s="105">
        <v>16282.012525559689</v>
      </c>
      <c r="AN76" s="105">
        <v>20.758308687031722</v>
      </c>
      <c r="AO76" s="105">
        <v>17910.268735170968</v>
      </c>
      <c r="AP76" s="105">
        <v>20.297001845159937</v>
      </c>
      <c r="AQ76" s="105">
        <v>17512.253192003991</v>
      </c>
      <c r="AR76" s="105">
        <v>18.838220426451901</v>
      </c>
      <c r="AS76" s="105">
        <v>16253.616583942699</v>
      </c>
      <c r="AT76" s="105">
        <v>20.392890723780162</v>
      </c>
      <c r="AU76" s="105">
        <v>17594.986116477525</v>
      </c>
      <c r="AV76" s="105">
        <v>18.777310319008013</v>
      </c>
      <c r="AW76" s="105">
        <v>16201.063343240112</v>
      </c>
      <c r="AX76" s="105">
        <v>23.898746106497605</v>
      </c>
      <c r="AY76" s="105">
        <v>20619.838140686134</v>
      </c>
      <c r="AZ76" s="105">
        <v>19.182652692075855</v>
      </c>
      <c r="BA76" s="105">
        <v>16550.792742723046</v>
      </c>
      <c r="BB76" s="105">
        <v>22.359523085207627</v>
      </c>
      <c r="BC76" s="105">
        <v>19291.796517917141</v>
      </c>
      <c r="BD76" s="105">
        <v>23.097567804027438</v>
      </c>
      <c r="BE76" s="105">
        <v>19928.581501314871</v>
      </c>
      <c r="BF76" s="105">
        <v>18.547277151879641</v>
      </c>
      <c r="BG76" s="105">
        <v>16002.590726641753</v>
      </c>
      <c r="BH76" s="105">
        <v>20.893595666568331</v>
      </c>
      <c r="BI76" s="105">
        <v>18026.994341115154</v>
      </c>
      <c r="BJ76" s="105">
        <v>20.395386375117734</v>
      </c>
      <c r="BK76" s="105">
        <v>17597.139364451581</v>
      </c>
      <c r="BL76" s="105">
        <v>20.13283625199022</v>
      </c>
      <c r="BM76" s="105">
        <v>17370.611118217163</v>
      </c>
      <c r="BN76" s="105">
        <v>21.365003427634221</v>
      </c>
      <c r="BO76" s="105">
        <v>18433.724957362803</v>
      </c>
      <c r="BP76" s="105">
        <v>20.879343226034116</v>
      </c>
      <c r="BQ76" s="105">
        <v>18014.697335422235</v>
      </c>
      <c r="BR76" s="105">
        <v>23.211006847530413</v>
      </c>
      <c r="BS76" s="105">
        <v>20026.456708049238</v>
      </c>
      <c r="BT76" s="105">
        <v>22.289578733443744</v>
      </c>
      <c r="BU76" s="105">
        <v>19231.448531215261</v>
      </c>
      <c r="BV76" s="105">
        <v>20.943524917192317</v>
      </c>
      <c r="BW76" s="105">
        <v>18070.073298553529</v>
      </c>
      <c r="BX76" s="105">
        <v>22.871884489799829</v>
      </c>
      <c r="BY76" s="105">
        <v>19733.861937799291</v>
      </c>
      <c r="BZ76" s="105">
        <v>24.918457808610597</v>
      </c>
      <c r="CA76" s="105">
        <v>21499.645397269222</v>
      </c>
      <c r="CB76" s="105">
        <v>24.923012643741867</v>
      </c>
      <c r="CC76" s="105">
        <v>21503.575309020482</v>
      </c>
      <c r="CD76" s="105">
        <v>24.457814309955321</v>
      </c>
      <c r="CE76" s="105">
        <v>21102.202186629449</v>
      </c>
      <c r="CF76" s="105">
        <v>25.140959559169882</v>
      </c>
      <c r="CG76" s="105">
        <v>21691.619907651773</v>
      </c>
      <c r="CH76" s="105">
        <v>26.915844468346233</v>
      </c>
      <c r="CI76" s="105">
        <v>23222.990607289128</v>
      </c>
      <c r="CJ76" s="105">
        <v>21.166255448057871</v>
      </c>
      <c r="CK76" s="105">
        <v>18262.24520058433</v>
      </c>
      <c r="CL76" s="105">
        <v>22.258026787733652</v>
      </c>
      <c r="CM76" s="105">
        <v>19204.225512456593</v>
      </c>
      <c r="CN76" s="105">
        <v>20.873924542345407</v>
      </c>
      <c r="CO76" s="105">
        <v>18010.022095135617</v>
      </c>
      <c r="CP76" s="105">
        <v>21.853320076390769</v>
      </c>
      <c r="CQ76" s="105">
        <v>18855.044561909956</v>
      </c>
      <c r="CR76" s="105">
        <v>23.47694803193658</v>
      </c>
      <c r="CS76" s="105">
        <v>20255.910761954881</v>
      </c>
      <c r="CT76" s="105">
        <v>19.632799734569733</v>
      </c>
      <c r="CU76" s="105">
        <v>16939.179610986765</v>
      </c>
    </row>
    <row r="77" spans="2:99" x14ac:dyDescent="0.2">
      <c r="C77" s="104" t="s">
        <v>245</v>
      </c>
      <c r="D77" s="105">
        <v>22.051267771014341</v>
      </c>
      <c r="E77" s="105">
        <v>15215.374761999896</v>
      </c>
      <c r="F77" s="105">
        <v>18.942880108433545</v>
      </c>
      <c r="G77" s="105">
        <v>13070.587274819147</v>
      </c>
      <c r="H77" s="105">
        <v>23.508101070554925</v>
      </c>
      <c r="I77" s="105">
        <v>16220.589738682898</v>
      </c>
      <c r="J77" s="105">
        <v>21.480976811164304</v>
      </c>
      <c r="K77" s="105">
        <v>14821.87399970337</v>
      </c>
      <c r="L77" s="105">
        <v>22.58056962723548</v>
      </c>
      <c r="M77" s="105">
        <v>15580.593042792481</v>
      </c>
      <c r="N77" s="105">
        <v>20.240525623568328</v>
      </c>
      <c r="O77" s="105">
        <v>13965.962680262146</v>
      </c>
      <c r="P77" s="105">
        <v>22.713722029775688</v>
      </c>
      <c r="Q77" s="105">
        <v>15672.468200545225</v>
      </c>
      <c r="R77" s="105">
        <v>18.117943304437556</v>
      </c>
      <c r="S77" s="105">
        <v>12501.380880061914</v>
      </c>
      <c r="T77" s="105">
        <v>24.108658863860541</v>
      </c>
      <c r="U77" s="105">
        <v>16634.974616063773</v>
      </c>
      <c r="V77" s="105">
        <v>24.162801356510439</v>
      </c>
      <c r="W77" s="105">
        <v>16672.332935992203</v>
      </c>
      <c r="X77" s="105">
        <v>21.857132834523327</v>
      </c>
      <c r="Y77" s="105">
        <v>15081.421655821096</v>
      </c>
      <c r="Z77" s="105">
        <v>24.322020376555614</v>
      </c>
      <c r="AA77" s="105">
        <v>16782.194059823374</v>
      </c>
      <c r="AB77" s="105">
        <v>24.517889040872078</v>
      </c>
      <c r="AC77" s="105">
        <v>16917.343438201733</v>
      </c>
      <c r="AD77" s="105">
        <v>22.707655806292976</v>
      </c>
      <c r="AE77" s="105">
        <v>15668.282506342153</v>
      </c>
      <c r="AF77" s="105">
        <v>23.728567231284831</v>
      </c>
      <c r="AG77" s="105">
        <v>16372.711389586533</v>
      </c>
      <c r="AH77" s="105">
        <v>21.471721535086679</v>
      </c>
      <c r="AI77" s="105">
        <v>14815.487859209808</v>
      </c>
      <c r="AJ77" s="105">
        <v>19.239330333118122</v>
      </c>
      <c r="AK77" s="105">
        <v>13275.137929851504</v>
      </c>
      <c r="AL77" s="105">
        <v>19.783727372379513</v>
      </c>
      <c r="AM77" s="105">
        <v>13650.771886941864</v>
      </c>
      <c r="AN77" s="105">
        <v>20.102444486399239</v>
      </c>
      <c r="AO77" s="105">
        <v>13870.686695615475</v>
      </c>
      <c r="AP77" s="105">
        <v>18.459259634268342</v>
      </c>
      <c r="AQ77" s="105">
        <v>12736.889147645155</v>
      </c>
      <c r="AR77" s="105">
        <v>20.524139395617368</v>
      </c>
      <c r="AS77" s="105">
        <v>14161.656182975985</v>
      </c>
      <c r="AT77" s="105">
        <v>22.912479072122643</v>
      </c>
      <c r="AU77" s="105">
        <v>15809.610559764624</v>
      </c>
      <c r="AV77" s="105">
        <v>19.686019712802317</v>
      </c>
      <c r="AW77" s="105">
        <v>13583.353601833598</v>
      </c>
      <c r="AX77" s="105">
        <v>21.456074996246798</v>
      </c>
      <c r="AY77" s="105">
        <v>14804.69174741029</v>
      </c>
      <c r="AZ77" s="105">
        <v>21.452224967450821</v>
      </c>
      <c r="BA77" s="105">
        <v>14802.035227541066</v>
      </c>
      <c r="BB77" s="105">
        <v>22.359523085207627</v>
      </c>
      <c r="BC77" s="105">
        <v>15428.070928793262</v>
      </c>
      <c r="BD77" s="105">
        <v>22.511076342401285</v>
      </c>
      <c r="BE77" s="105">
        <v>15532.642676256886</v>
      </c>
      <c r="BF77" s="105">
        <v>22.92694653609632</v>
      </c>
      <c r="BG77" s="105">
        <v>15819.59310990646</v>
      </c>
      <c r="BH77" s="105">
        <v>20.893595666568331</v>
      </c>
      <c r="BI77" s="105">
        <v>14416.581009932148</v>
      </c>
      <c r="BJ77" s="105">
        <v>20.395386375117734</v>
      </c>
      <c r="BK77" s="105">
        <v>14072.816598831238</v>
      </c>
      <c r="BL77" s="105">
        <v>20.13283625199022</v>
      </c>
      <c r="BM77" s="105">
        <v>13891.657013873251</v>
      </c>
      <c r="BN77" s="105">
        <v>20.662276806633614</v>
      </c>
      <c r="BO77" s="105">
        <v>14256.970996577193</v>
      </c>
      <c r="BP77" s="105">
        <v>19.626859514751665</v>
      </c>
      <c r="BQ77" s="105">
        <v>13542.533065178648</v>
      </c>
      <c r="BR77" s="105">
        <v>24.517768461318322</v>
      </c>
      <c r="BS77" s="105">
        <v>16917.260238309642</v>
      </c>
      <c r="BT77" s="105">
        <v>20.308413671316696</v>
      </c>
      <c r="BU77" s="105">
        <v>14012.805433208521</v>
      </c>
      <c r="BV77" s="105">
        <v>20.275894399089726</v>
      </c>
      <c r="BW77" s="105">
        <v>13990.367135371911</v>
      </c>
      <c r="BX77" s="105">
        <v>23.738814623255276</v>
      </c>
      <c r="BY77" s="105">
        <v>16379.782090046141</v>
      </c>
      <c r="BZ77" s="105">
        <v>21.135845135558746</v>
      </c>
      <c r="CA77" s="105">
        <v>14583.733143535535</v>
      </c>
      <c r="CB77" s="105">
        <v>25.686417206030892</v>
      </c>
      <c r="CC77" s="105">
        <v>17723.627872161316</v>
      </c>
      <c r="CD77" s="105">
        <v>21.030388863209414</v>
      </c>
      <c r="CE77" s="105">
        <v>14510.968315614495</v>
      </c>
      <c r="CF77" s="105">
        <v>24.422654989384601</v>
      </c>
      <c r="CG77" s="105">
        <v>16851.631942675376</v>
      </c>
      <c r="CH77" s="105">
        <v>23.244798010055124</v>
      </c>
      <c r="CI77" s="105">
        <v>16038.910626938035</v>
      </c>
      <c r="CJ77" s="105">
        <v>24.847343352067931</v>
      </c>
      <c r="CK77" s="105">
        <v>17144.666912926874</v>
      </c>
      <c r="CL77" s="105">
        <v>25.078559974324602</v>
      </c>
      <c r="CM77" s="105">
        <v>17304.206382283974</v>
      </c>
      <c r="CN77" s="105">
        <v>19.951847223977925</v>
      </c>
      <c r="CO77" s="105">
        <v>13766.774584544768</v>
      </c>
      <c r="CP77" s="105">
        <v>21.178442660111415</v>
      </c>
      <c r="CQ77" s="105">
        <v>14613.125435476877</v>
      </c>
      <c r="CR77" s="105">
        <v>22.040904725360026</v>
      </c>
      <c r="CS77" s="105">
        <v>15208.224260498419</v>
      </c>
      <c r="CT77" s="105">
        <v>22.046512139005301</v>
      </c>
      <c r="CU77" s="105">
        <v>15212.093375913659</v>
      </c>
    </row>
    <row r="78" spans="2:99" x14ac:dyDescent="0.2">
      <c r="C78" s="104" t="s">
        <v>246</v>
      </c>
      <c r="D78" s="105">
        <v>23.6846950133117</v>
      </c>
      <c r="E78" s="105">
        <v>3069.5364737251962</v>
      </c>
      <c r="F78" s="105">
        <v>19.844922018358957</v>
      </c>
      <c r="G78" s="105">
        <v>2571.9018935793206</v>
      </c>
      <c r="H78" s="105">
        <v>23.33633048183566</v>
      </c>
      <c r="I78" s="105">
        <v>3024.3884304459016</v>
      </c>
      <c r="J78" s="105">
        <v>23.832446523885977</v>
      </c>
      <c r="K78" s="105">
        <v>3088.6850694956224</v>
      </c>
      <c r="L78" s="105">
        <v>22.58056962723548</v>
      </c>
      <c r="M78" s="105">
        <v>2926.4418236897181</v>
      </c>
      <c r="N78" s="105">
        <v>22.579302270734456</v>
      </c>
      <c r="O78" s="105">
        <v>2926.2775742871854</v>
      </c>
      <c r="P78" s="105">
        <v>23.598441652663162</v>
      </c>
      <c r="Q78" s="105">
        <v>3058.3580381851457</v>
      </c>
      <c r="R78" s="105">
        <v>23.117943304437556</v>
      </c>
      <c r="S78" s="105">
        <v>2996.0854522551072</v>
      </c>
      <c r="T78" s="105">
        <v>27.968631489841179</v>
      </c>
      <c r="U78" s="105">
        <v>3624.7346410834166</v>
      </c>
      <c r="V78" s="105">
        <v>25.057719925270085</v>
      </c>
      <c r="W78" s="105">
        <v>3247.4805023150029</v>
      </c>
      <c r="X78" s="105">
        <v>25.209523786670058</v>
      </c>
      <c r="Y78" s="105">
        <v>3267.1542827524395</v>
      </c>
      <c r="Z78" s="105">
        <v>22.431354279634938</v>
      </c>
      <c r="AA78" s="105">
        <v>2907.103514640688</v>
      </c>
      <c r="AB78" s="105">
        <v>24.47230120536581</v>
      </c>
      <c r="AC78" s="105">
        <v>3171.6102362154088</v>
      </c>
      <c r="AD78" s="105">
        <v>23.454151683481246</v>
      </c>
      <c r="AE78" s="105">
        <v>3039.6580581791695</v>
      </c>
      <c r="AF78" s="105">
        <v>27.057321226560006</v>
      </c>
      <c r="AG78" s="105">
        <v>3506.6288309621768</v>
      </c>
      <c r="AH78" s="105">
        <v>25.600898753372579</v>
      </c>
      <c r="AI78" s="105">
        <v>3317.876478437086</v>
      </c>
      <c r="AJ78" s="105">
        <v>20.941041922914586</v>
      </c>
      <c r="AK78" s="105">
        <v>2713.95903320973</v>
      </c>
      <c r="AL78" s="105">
        <v>22.52151405989466</v>
      </c>
      <c r="AM78" s="105">
        <v>2918.7882221623477</v>
      </c>
      <c r="AN78" s="105">
        <v>20.886096254983006</v>
      </c>
      <c r="AO78" s="105">
        <v>2706.8380746457974</v>
      </c>
      <c r="AP78" s="105">
        <v>22.134744056051534</v>
      </c>
      <c r="AQ78" s="105">
        <v>2868.6628296642789</v>
      </c>
      <c r="AR78" s="105">
        <v>23.053017849365567</v>
      </c>
      <c r="AS78" s="105">
        <v>2987.6711132777773</v>
      </c>
      <c r="AT78" s="105">
        <v>25.432067420465117</v>
      </c>
      <c r="AU78" s="105">
        <v>3295.9959376922789</v>
      </c>
      <c r="AV78" s="105">
        <v>20.59472910659662</v>
      </c>
      <c r="AW78" s="105">
        <v>2669.0768922149218</v>
      </c>
      <c r="AX78" s="105">
        <v>27.562752771873818</v>
      </c>
      <c r="AY78" s="105">
        <v>3572.1327592348466</v>
      </c>
      <c r="AZ78" s="105">
        <v>22.965273151034129</v>
      </c>
      <c r="BA78" s="105">
        <v>2976.2994003740232</v>
      </c>
      <c r="BB78" s="105">
        <v>25.404749337263251</v>
      </c>
      <c r="BC78" s="105">
        <v>3292.4555141093174</v>
      </c>
      <c r="BD78" s="105">
        <v>27.203008035410509</v>
      </c>
      <c r="BE78" s="105">
        <v>3525.5098413892019</v>
      </c>
      <c r="BF78" s="105">
        <v>21.467056741357428</v>
      </c>
      <c r="BG78" s="105">
        <v>2782.1305536799227</v>
      </c>
      <c r="BH78" s="105">
        <v>21.887515126265736</v>
      </c>
      <c r="BI78" s="105">
        <v>2836.6219603640393</v>
      </c>
      <c r="BJ78" s="105">
        <v>21.201970753405252</v>
      </c>
      <c r="BK78" s="105">
        <v>2747.7754096413205</v>
      </c>
      <c r="BL78" s="105">
        <v>23.227514810437466</v>
      </c>
      <c r="BM78" s="105">
        <v>3010.2859194326952</v>
      </c>
      <c r="BN78" s="105">
        <v>23.803029450721262</v>
      </c>
      <c r="BO78" s="105">
        <v>3084.8726168134754</v>
      </c>
      <c r="BP78" s="105">
        <v>24.651183146287565</v>
      </c>
      <c r="BQ78" s="105">
        <v>3194.7933357588681</v>
      </c>
      <c r="BR78" s="105">
        <v>23.973948394970122</v>
      </c>
      <c r="BS78" s="105">
        <v>3107.0237119881276</v>
      </c>
      <c r="BT78" s="105">
        <v>25.268432802961321</v>
      </c>
      <c r="BU78" s="105">
        <v>3274.7888912637873</v>
      </c>
      <c r="BV78" s="105">
        <v>21.611155435294915</v>
      </c>
      <c r="BW78" s="105">
        <v>2800.805744414221</v>
      </c>
      <c r="BX78" s="105">
        <v>23.738814623255276</v>
      </c>
      <c r="BY78" s="105">
        <v>3076.5503751738838</v>
      </c>
      <c r="BZ78" s="105">
        <v>23.055443357798538</v>
      </c>
      <c r="CA78" s="105">
        <v>2987.9854591706903</v>
      </c>
      <c r="CB78" s="105">
        <v>26.496764273377696</v>
      </c>
      <c r="CC78" s="105">
        <v>3433.9806498297494</v>
      </c>
      <c r="CD78" s="105">
        <v>25.457741883813608</v>
      </c>
      <c r="CE78" s="105">
        <v>3299.3233481422435</v>
      </c>
      <c r="CF78" s="105">
        <v>25.859413937297752</v>
      </c>
      <c r="CG78" s="105">
        <v>3351.3800462737886</v>
      </c>
      <c r="CH78" s="105">
        <v>26.181635176688008</v>
      </c>
      <c r="CI78" s="105">
        <v>3393.1399188987657</v>
      </c>
      <c r="CJ78" s="105">
        <v>23.006799400062899</v>
      </c>
      <c r="CK78" s="105">
        <v>2981.6812022481517</v>
      </c>
      <c r="CL78" s="105">
        <v>23.198204516597304</v>
      </c>
      <c r="CM78" s="105">
        <v>3006.4873053510105</v>
      </c>
      <c r="CN78" s="105">
        <v>22.710017800174363</v>
      </c>
      <c r="CO78" s="105">
        <v>2943.2183069025973</v>
      </c>
      <c r="CP78" s="105">
        <v>25.34811068699096</v>
      </c>
      <c r="CQ78" s="105">
        <v>3285.1151450340285</v>
      </c>
      <c r="CR78" s="105">
        <v>25.631012991801413</v>
      </c>
      <c r="CS78" s="105">
        <v>3321.7792837374627</v>
      </c>
      <c r="CT78" s="105">
        <v>23.689832710347638</v>
      </c>
      <c r="CU78" s="105">
        <v>3070.2023192610536</v>
      </c>
    </row>
    <row r="79" spans="2:99" x14ac:dyDescent="0.2">
      <c r="C79" s="104" t="s">
        <v>247</v>
      </c>
      <c r="D79" s="105">
        <v>21.234554149865662</v>
      </c>
      <c r="E79" s="105">
        <v>10192.585991935517</v>
      </c>
      <c r="F79" s="105">
        <v>18.942880108433545</v>
      </c>
      <c r="G79" s="105">
        <v>9092.5824520481019</v>
      </c>
      <c r="H79" s="105">
        <v>22.705980478097654</v>
      </c>
      <c r="I79" s="105">
        <v>10898.870629486873</v>
      </c>
      <c r="J79" s="105">
        <v>23.832446523885977</v>
      </c>
      <c r="K79" s="105">
        <v>11439.574331465268</v>
      </c>
      <c r="L79" s="105">
        <v>22.58056962723548</v>
      </c>
      <c r="M79" s="105">
        <v>10838.67342107303</v>
      </c>
      <c r="N79" s="105">
        <v>19.416513174977197</v>
      </c>
      <c r="O79" s="105">
        <v>9319.9263239890552</v>
      </c>
      <c r="P79" s="105">
        <v>19.915498945789171</v>
      </c>
      <c r="Q79" s="105">
        <v>9559.4394939788017</v>
      </c>
      <c r="R79" s="105">
        <v>18.176914956656333</v>
      </c>
      <c r="S79" s="105">
        <v>8724.9191791950398</v>
      </c>
      <c r="T79" s="105">
        <v>26.140476622510839</v>
      </c>
      <c r="U79" s="105">
        <v>12547.428778805202</v>
      </c>
      <c r="V79" s="105">
        <v>24.162801356510439</v>
      </c>
      <c r="W79" s="105">
        <v>11598.144651125011</v>
      </c>
      <c r="X79" s="105">
        <v>25.880001977099408</v>
      </c>
      <c r="Y79" s="105">
        <v>12422.400949007715</v>
      </c>
      <c r="Z79" s="105">
        <v>22.337958492411513</v>
      </c>
      <c r="AA79" s="105">
        <v>10722.220076357526</v>
      </c>
      <c r="AB79" s="105">
        <v>24.517889040872078</v>
      </c>
      <c r="AC79" s="105">
        <v>11768.586739618597</v>
      </c>
      <c r="AD79" s="105">
        <v>23.454151683481246</v>
      </c>
      <c r="AE79" s="105">
        <v>11257.992808070998</v>
      </c>
      <c r="AF79" s="105">
        <v>25.725819628449937</v>
      </c>
      <c r="AG79" s="105">
        <v>12348.39342165597</v>
      </c>
      <c r="AH79" s="105">
        <v>19.82005064777232</v>
      </c>
      <c r="AI79" s="105">
        <v>9513.6243109307143</v>
      </c>
      <c r="AJ79" s="105">
        <v>22.642753512711042</v>
      </c>
      <c r="AK79" s="105">
        <v>10868.5216861013</v>
      </c>
      <c r="AL79" s="105">
        <v>20.696322934884559</v>
      </c>
      <c r="AM79" s="105">
        <v>9934.2350087445884</v>
      </c>
      <c r="AN79" s="105">
        <v>23.237051560734297</v>
      </c>
      <c r="AO79" s="105">
        <v>11153.784749152463</v>
      </c>
      <c r="AP79" s="105">
        <v>22.134744056051534</v>
      </c>
      <c r="AQ79" s="105">
        <v>10624.677146904736</v>
      </c>
      <c r="AR79" s="105">
        <v>20.524139395617368</v>
      </c>
      <c r="AS79" s="105">
        <v>9851.5869098963376</v>
      </c>
      <c r="AT79" s="105">
        <v>24.17227324629388</v>
      </c>
      <c r="AU79" s="105">
        <v>11602.691158221063</v>
      </c>
      <c r="AV79" s="105">
        <v>18.777310319008013</v>
      </c>
      <c r="AW79" s="105">
        <v>9013.1089531238467</v>
      </c>
      <c r="AX79" s="105">
        <v>23.898746106497605</v>
      </c>
      <c r="AY79" s="105">
        <v>11471.398131118851</v>
      </c>
      <c r="AZ79" s="105">
        <v>22.208749059242475</v>
      </c>
      <c r="BA79" s="105">
        <v>10660.199548436389</v>
      </c>
      <c r="BB79" s="105">
        <v>23.12082964822153</v>
      </c>
      <c r="BC79" s="105">
        <v>11097.998231146335</v>
      </c>
      <c r="BD79" s="105">
        <v>24.857042188905897</v>
      </c>
      <c r="BE79" s="105">
        <v>11931.380250674831</v>
      </c>
      <c r="BF79" s="105">
        <v>21.467056741357428</v>
      </c>
      <c r="BG79" s="105">
        <v>10304.187235851565</v>
      </c>
      <c r="BH79" s="105">
        <v>20.893595666568331</v>
      </c>
      <c r="BI79" s="105">
        <v>10028.925919952799</v>
      </c>
      <c r="BJ79" s="105">
        <v>22.00855513169277</v>
      </c>
      <c r="BK79" s="105">
        <v>10564.106463212529</v>
      </c>
      <c r="BL79" s="105">
        <v>20.906505891602031</v>
      </c>
      <c r="BM79" s="105">
        <v>10035.122827968975</v>
      </c>
      <c r="BN79" s="105">
        <v>22.232653128677438</v>
      </c>
      <c r="BO79" s="105">
        <v>10671.67350176517</v>
      </c>
      <c r="BP79" s="105">
        <v>23.395821677723898</v>
      </c>
      <c r="BQ79" s="105">
        <v>11229.994405307471</v>
      </c>
      <c r="BR79" s="105">
        <v>21.252613974924138</v>
      </c>
      <c r="BS79" s="105">
        <v>10201.254707963586</v>
      </c>
      <c r="BT79" s="105">
        <v>22.261152828135749</v>
      </c>
      <c r="BU79" s="105">
        <v>10685.353357505159</v>
      </c>
      <c r="BV79" s="105">
        <v>22.278785953397506</v>
      </c>
      <c r="BW79" s="105">
        <v>10693.817257630802</v>
      </c>
      <c r="BX79" s="105">
        <v>22.871884489799829</v>
      </c>
      <c r="BY79" s="105">
        <v>10978.504555103918</v>
      </c>
      <c r="BZ79" s="105">
        <v>23.058272546369921</v>
      </c>
      <c r="CA79" s="105">
        <v>11067.970822257561</v>
      </c>
      <c r="CB79" s="105">
        <v>28.023573397955747</v>
      </c>
      <c r="CC79" s="105">
        <v>13451.315231018758</v>
      </c>
      <c r="CD79" s="105">
        <v>25.457741883813608</v>
      </c>
      <c r="CE79" s="105">
        <v>12219.716104230532</v>
      </c>
      <c r="CF79" s="105">
        <v>28.014212438447661</v>
      </c>
      <c r="CG79" s="105">
        <v>13446.821970454877</v>
      </c>
      <c r="CH79" s="105">
        <v>26.181635176688008</v>
      </c>
      <c r="CI79" s="105">
        <v>12567.184884810244</v>
      </c>
      <c r="CJ79" s="105">
        <v>24.847343352067931</v>
      </c>
      <c r="CK79" s="105">
        <v>11926.724808992607</v>
      </c>
      <c r="CL79" s="105">
        <v>24.11520729737266</v>
      </c>
      <c r="CM79" s="105">
        <v>11575.299502738877</v>
      </c>
      <c r="CN79" s="105">
        <v>19.967969981789953</v>
      </c>
      <c r="CO79" s="105">
        <v>9584.6255912591769</v>
      </c>
      <c r="CP79" s="105">
        <v>24.184489660693611</v>
      </c>
      <c r="CQ79" s="105">
        <v>11608.555037132934</v>
      </c>
      <c r="CR79" s="105">
        <v>24.194327136323672</v>
      </c>
      <c r="CS79" s="105">
        <v>11613.277025435362</v>
      </c>
      <c r="CT79" s="105">
        <v>19.632799734569733</v>
      </c>
      <c r="CU79" s="105">
        <v>9423.7438725934717</v>
      </c>
    </row>
    <row r="80" spans="2:99" x14ac:dyDescent="0.2">
      <c r="C80" s="104" t="s">
        <v>248</v>
      </c>
      <c r="D80" s="105">
        <v>18.784413286419625</v>
      </c>
      <c r="E80" s="105">
        <v>14313.722924251753</v>
      </c>
      <c r="F80" s="105">
        <v>18.942880108433545</v>
      </c>
      <c r="G80" s="105">
        <v>14434.474642626361</v>
      </c>
      <c r="H80" s="105">
        <v>21.983352754673266</v>
      </c>
      <c r="I80" s="105">
        <v>16751.31479906103</v>
      </c>
      <c r="J80" s="105">
        <v>21.480976811164304</v>
      </c>
      <c r="K80" s="105">
        <v>16368.5043301072</v>
      </c>
      <c r="L80" s="105">
        <v>18.914899437820477</v>
      </c>
      <c r="M80" s="105">
        <v>14413.153371619203</v>
      </c>
      <c r="N80" s="105">
        <v>18.571326591909799</v>
      </c>
      <c r="O80" s="105">
        <v>14151.350863035266</v>
      </c>
      <c r="P80" s="105">
        <v>21.684938191564122</v>
      </c>
      <c r="Q80" s="105">
        <v>16523.922901971862</v>
      </c>
      <c r="R80" s="105">
        <v>19.117943304437556</v>
      </c>
      <c r="S80" s="105">
        <v>14567.872797981418</v>
      </c>
      <c r="T80" s="105">
        <v>25.497147851514065</v>
      </c>
      <c r="U80" s="105">
        <v>19428.826662853717</v>
      </c>
      <c r="V80" s="105">
        <v>21.4780456502315</v>
      </c>
      <c r="W80" s="105">
        <v>16366.270785476403</v>
      </c>
      <c r="X80" s="105">
        <v>20.516176453664631</v>
      </c>
      <c r="Y80" s="105">
        <v>15633.326457692448</v>
      </c>
      <c r="Z80" s="105">
        <v>23.598402557025299</v>
      </c>
      <c r="AA80" s="105">
        <v>17981.982748453276</v>
      </c>
      <c r="AB80" s="105">
        <v>22.790844271962136</v>
      </c>
      <c r="AC80" s="105">
        <v>17366.623335235148</v>
      </c>
      <c r="AD80" s="105">
        <v>22.707655806292976</v>
      </c>
      <c r="AE80" s="105">
        <v>17303.23372439525</v>
      </c>
      <c r="AF80" s="105">
        <v>21.065564035064696</v>
      </c>
      <c r="AG80" s="105">
        <v>16051.959794719298</v>
      </c>
      <c r="AH80" s="105">
        <v>22.297556978743856</v>
      </c>
      <c r="AI80" s="105">
        <v>16990.738417802819</v>
      </c>
      <c r="AJ80" s="105">
        <v>21.791897717812816</v>
      </c>
      <c r="AK80" s="105">
        <v>16605.426060973365</v>
      </c>
      <c r="AL80" s="105">
        <v>21.60891849738961</v>
      </c>
      <c r="AM80" s="105">
        <v>16465.995895010881</v>
      </c>
      <c r="AN80" s="105">
        <v>20.758308687031722</v>
      </c>
      <c r="AO80" s="105">
        <v>15817.831219518172</v>
      </c>
      <c r="AP80" s="105">
        <v>21.215872950605736</v>
      </c>
      <c r="AQ80" s="105">
        <v>16166.49518836157</v>
      </c>
      <c r="AR80" s="105">
        <v>19.681179911034636</v>
      </c>
      <c r="AS80" s="105">
        <v>14997.059092208392</v>
      </c>
      <c r="AT80" s="105">
        <v>22.282581985037019</v>
      </c>
      <c r="AU80" s="105">
        <v>16979.327472598208</v>
      </c>
      <c r="AV80" s="105">
        <v>20.59472910659662</v>
      </c>
      <c r="AW80" s="105">
        <v>15693.183579226625</v>
      </c>
      <c r="AX80" s="105">
        <v>25.730749439185708</v>
      </c>
      <c r="AY80" s="105">
        <v>19606.831072659508</v>
      </c>
      <c r="AZ80" s="105">
        <v>19.182652692075855</v>
      </c>
      <c r="BA80" s="105">
        <v>14617.181351361802</v>
      </c>
      <c r="BB80" s="105">
        <v>22.359523085207627</v>
      </c>
      <c r="BC80" s="105">
        <v>17037.95659092821</v>
      </c>
      <c r="BD80" s="105">
        <v>24.857042188905897</v>
      </c>
      <c r="BE80" s="105">
        <v>18941.066147946294</v>
      </c>
      <c r="BF80" s="105">
        <v>21.467056741357428</v>
      </c>
      <c r="BG80" s="105">
        <v>16357.897236914361</v>
      </c>
      <c r="BH80" s="105">
        <v>21.887515126265736</v>
      </c>
      <c r="BI80" s="105">
        <v>16678.286526214491</v>
      </c>
      <c r="BJ80" s="105">
        <v>19.588801996830217</v>
      </c>
      <c r="BK80" s="105">
        <v>14926.667121584625</v>
      </c>
      <c r="BL80" s="105">
        <v>20.13283625199022</v>
      </c>
      <c r="BM80" s="105">
        <v>15341.221224016548</v>
      </c>
      <c r="BN80" s="105">
        <v>23.017841289699348</v>
      </c>
      <c r="BO80" s="105">
        <v>17539.595062750905</v>
      </c>
      <c r="BP80" s="105">
        <v>18.999178780469833</v>
      </c>
      <c r="BQ80" s="105">
        <v>14477.374230718013</v>
      </c>
      <c r="BR80" s="105">
        <v>25.171149268212282</v>
      </c>
      <c r="BS80" s="105">
        <v>19180.415742377758</v>
      </c>
      <c r="BT80" s="105">
        <v>19.289405234945175</v>
      </c>
      <c r="BU80" s="105">
        <v>14698.526789028223</v>
      </c>
      <c r="BV80" s="105">
        <v>22.946416471500097</v>
      </c>
      <c r="BW80" s="105">
        <v>17485.169351283075</v>
      </c>
      <c r="BX80" s="105">
        <v>22.871884489799829</v>
      </c>
      <c r="BY80" s="105">
        <v>17428.375981227469</v>
      </c>
      <c r="BZ80" s="105">
        <v>22.109790189535573</v>
      </c>
      <c r="CA80" s="105">
        <v>16847.660124426107</v>
      </c>
      <c r="CB80" s="105">
        <v>22.632798956874794</v>
      </c>
      <c r="CC80" s="105">
        <v>17246.192805138591</v>
      </c>
      <c r="CD80" s="105">
        <v>23.596181094414252</v>
      </c>
      <c r="CE80" s="105">
        <v>17980.289993943661</v>
      </c>
      <c r="CF80" s="105">
        <v>25.140959559169882</v>
      </c>
      <c r="CG80" s="105">
        <v>19157.41118408745</v>
      </c>
      <c r="CH80" s="105">
        <v>23.979007301713342</v>
      </c>
      <c r="CI80" s="105">
        <v>18272.003563905568</v>
      </c>
      <c r="CJ80" s="105">
        <v>24.847343352067931</v>
      </c>
      <c r="CK80" s="105">
        <v>18933.675634275762</v>
      </c>
      <c r="CL80" s="105">
        <v>23.195307648086267</v>
      </c>
      <c r="CM80" s="105">
        <v>17674.824427841737</v>
      </c>
      <c r="CN80" s="105">
        <v>19.045892663422464</v>
      </c>
      <c r="CO80" s="105">
        <v>14512.970209527917</v>
      </c>
      <c r="CP80" s="105">
        <v>22.33813615470061</v>
      </c>
      <c r="CQ80" s="105">
        <v>17021.659749881866</v>
      </c>
      <c r="CR80" s="105">
        <v>20.599721027573988</v>
      </c>
      <c r="CS80" s="105">
        <v>15696.987423011378</v>
      </c>
      <c r="CT80" s="105">
        <v>21.241941337526775</v>
      </c>
      <c r="CU80" s="105">
        <v>16186.359299195403</v>
      </c>
    </row>
    <row r="81" spans="2:99" x14ac:dyDescent="0.2">
      <c r="C81" s="104" t="s">
        <v>249</v>
      </c>
      <c r="D81" s="105">
        <v>18.784413286419625</v>
      </c>
      <c r="E81" s="105">
        <v>11721.473890725845</v>
      </c>
      <c r="F81" s="105">
        <v>18.040838198508141</v>
      </c>
      <c r="G81" s="105">
        <v>11257.48303586908</v>
      </c>
      <c r="H81" s="105">
        <v>19.648116175909813</v>
      </c>
      <c r="I81" s="105">
        <v>12260.424493767723</v>
      </c>
      <c r="J81" s="105">
        <v>23.048623286312086</v>
      </c>
      <c r="K81" s="105">
        <v>14382.340930658742</v>
      </c>
      <c r="L81" s="105">
        <v>18.914899437820477</v>
      </c>
      <c r="M81" s="105">
        <v>11802.897249199978</v>
      </c>
      <c r="N81" s="105">
        <v>20.910103239075926</v>
      </c>
      <c r="O81" s="105">
        <v>13047.904421183379</v>
      </c>
      <c r="P81" s="105">
        <v>21.682503867027567</v>
      </c>
      <c r="Q81" s="105">
        <v>13529.882413025201</v>
      </c>
      <c r="R81" s="105">
        <v>18.117943304437556</v>
      </c>
      <c r="S81" s="105">
        <v>11305.596621969034</v>
      </c>
      <c r="T81" s="105">
        <v>24.108658863860541</v>
      </c>
      <c r="U81" s="105">
        <v>15043.803131048977</v>
      </c>
      <c r="V81" s="105">
        <v>21.4780456502315</v>
      </c>
      <c r="W81" s="105">
        <v>13402.300485744456</v>
      </c>
      <c r="X81" s="105">
        <v>22.527611024952673</v>
      </c>
      <c r="Y81" s="105">
        <v>14057.229279570469</v>
      </c>
      <c r="Z81" s="105">
        <v>21.077514427797727</v>
      </c>
      <c r="AA81" s="105">
        <v>13152.369002945781</v>
      </c>
      <c r="AB81" s="105">
        <v>22.836432107468401</v>
      </c>
      <c r="AC81" s="105">
        <v>14249.933635060283</v>
      </c>
      <c r="AD81" s="105">
        <v>24.200647560669516</v>
      </c>
      <c r="AE81" s="105">
        <v>15101.204077857778</v>
      </c>
      <c r="AF81" s="105">
        <v>21.624492518030078</v>
      </c>
      <c r="AG81" s="105">
        <v>13493.683331250768</v>
      </c>
      <c r="AH81" s="105">
        <v>23.949227866058219</v>
      </c>
      <c r="AI81" s="105">
        <v>14944.31818842033</v>
      </c>
      <c r="AJ81" s="105">
        <v>19.239330333118122</v>
      </c>
      <c r="AK81" s="105">
        <v>12005.342127865708</v>
      </c>
      <c r="AL81" s="105">
        <v>21.454113357446239</v>
      </c>
      <c r="AM81" s="105">
        <v>13387.366735046453</v>
      </c>
      <c r="AN81" s="105">
        <v>21.669748023566768</v>
      </c>
      <c r="AO81" s="105">
        <v>13521.922766705664</v>
      </c>
      <c r="AP81" s="105">
        <v>19.378130739714141</v>
      </c>
      <c r="AQ81" s="105">
        <v>12091.953581581623</v>
      </c>
      <c r="AR81" s="105">
        <v>19.681179911034636</v>
      </c>
      <c r="AS81" s="105">
        <v>12281.056264485613</v>
      </c>
      <c r="AT81" s="105">
        <v>24.17227324629388</v>
      </c>
      <c r="AU81" s="105">
        <v>15083.498505687381</v>
      </c>
      <c r="AV81" s="105">
        <v>19.686019712802317</v>
      </c>
      <c r="AW81" s="105">
        <v>12284.076300788645</v>
      </c>
      <c r="AX81" s="105">
        <v>25.120081661623008</v>
      </c>
      <c r="AY81" s="105">
        <v>15674.930956852757</v>
      </c>
      <c r="AZ81" s="105">
        <v>22.208749059242475</v>
      </c>
      <c r="BA81" s="105">
        <v>13858.259412967305</v>
      </c>
      <c r="BB81" s="105">
        <v>21.598216522193717</v>
      </c>
      <c r="BC81" s="105">
        <v>13477.287109848879</v>
      </c>
      <c r="BD81" s="105">
        <v>21.924584880775136</v>
      </c>
      <c r="BE81" s="105">
        <v>13680.940965603684</v>
      </c>
      <c r="BF81" s="105">
        <v>22.92694653609632</v>
      </c>
      <c r="BG81" s="105">
        <v>14306.414638524104</v>
      </c>
      <c r="BH81" s="105">
        <v>21.887515126265736</v>
      </c>
      <c r="BI81" s="105">
        <v>13657.80943878982</v>
      </c>
      <c r="BJ81" s="105">
        <v>20.395386375117734</v>
      </c>
      <c r="BK81" s="105">
        <v>12726.721098073467</v>
      </c>
      <c r="BL81" s="105">
        <v>20.13283625199022</v>
      </c>
      <c r="BM81" s="105">
        <v>12562.889821241897</v>
      </c>
      <c r="BN81" s="105">
        <v>23.720567910699959</v>
      </c>
      <c r="BO81" s="105">
        <v>14801.634376276774</v>
      </c>
      <c r="BP81" s="105">
        <v>20.257418006314722</v>
      </c>
      <c r="BQ81" s="105">
        <v>12640.628835940386</v>
      </c>
      <c r="BR81" s="105">
        <v>24.625579653788488</v>
      </c>
      <c r="BS81" s="105">
        <v>15366.361703964018</v>
      </c>
      <c r="BT81" s="105">
        <v>21.29899620238022</v>
      </c>
      <c r="BU81" s="105">
        <v>13290.573630285257</v>
      </c>
      <c r="BV81" s="105">
        <v>20.943524917192317</v>
      </c>
      <c r="BW81" s="105">
        <v>13068.759548328006</v>
      </c>
      <c r="BX81" s="105">
        <v>22.871884489799829</v>
      </c>
      <c r="BY81" s="105">
        <v>14272.055921635094</v>
      </c>
      <c r="BZ81" s="105">
        <v>24.001096526061499</v>
      </c>
      <c r="CA81" s="105">
        <v>14976.684232262376</v>
      </c>
      <c r="CB81" s="105">
        <v>23.396203519163816</v>
      </c>
      <c r="CC81" s="105">
        <v>14599.230995958222</v>
      </c>
      <c r="CD81" s="105">
        <v>21.815592417077042</v>
      </c>
      <c r="CE81" s="105">
        <v>13612.929668256074</v>
      </c>
      <c r="CF81" s="105">
        <v>23.704350419599326</v>
      </c>
      <c r="CG81" s="105">
        <v>14791.514661829979</v>
      </c>
      <c r="CH81" s="105">
        <v>27.65005376000445</v>
      </c>
      <c r="CI81" s="105">
        <v>17253.633546242778</v>
      </c>
      <c r="CJ81" s="105">
        <v>22.086527424060385</v>
      </c>
      <c r="CK81" s="105">
        <v>13781.99311261368</v>
      </c>
      <c r="CL81" s="105">
        <v>21.314952190358966</v>
      </c>
      <c r="CM81" s="105">
        <v>13300.530166783994</v>
      </c>
      <c r="CN81" s="105">
        <v>19.045892663422464</v>
      </c>
      <c r="CO81" s="105">
        <v>11884.637021975617</v>
      </c>
      <c r="CP81" s="105">
        <v>24.766300173842286</v>
      </c>
      <c r="CQ81" s="105">
        <v>15454.171308477586</v>
      </c>
      <c r="CR81" s="105">
        <v>21.322240523170564</v>
      </c>
      <c r="CS81" s="105">
        <v>13305.078086458432</v>
      </c>
      <c r="CT81" s="105">
        <v>19.632799734569733</v>
      </c>
      <c r="CU81" s="105">
        <v>12250.867034371513</v>
      </c>
    </row>
    <row r="82" spans="2:99" x14ac:dyDescent="0.2">
      <c r="C82" s="104" t="s">
        <v>250</v>
      </c>
      <c r="D82" s="105">
        <v>22.051267771014341</v>
      </c>
      <c r="E82" s="105">
        <v>7885.5333549147281</v>
      </c>
      <c r="F82" s="105">
        <v>18.040838198508141</v>
      </c>
      <c r="G82" s="105">
        <v>6451.4037397865104</v>
      </c>
      <c r="H82" s="105">
        <v>24.999378704738536</v>
      </c>
      <c r="I82" s="105">
        <v>8939.7778248145005</v>
      </c>
      <c r="J82" s="105">
        <v>22.264800048738199</v>
      </c>
      <c r="K82" s="105">
        <v>7961.8924974287793</v>
      </c>
      <c r="L82" s="105">
        <v>22.58056962723548</v>
      </c>
      <c r="M82" s="105">
        <v>8074.8116986994073</v>
      </c>
      <c r="N82" s="105">
        <v>20.115205225389666</v>
      </c>
      <c r="O82" s="105">
        <v>7193.1973885993439</v>
      </c>
      <c r="P82" s="105">
        <v>24.336662735689995</v>
      </c>
      <c r="Q82" s="105">
        <v>8702.7905942827419</v>
      </c>
      <c r="R82" s="105">
        <v>22.117943304437556</v>
      </c>
      <c r="S82" s="105">
        <v>7909.3765256668694</v>
      </c>
      <c r="T82" s="105">
        <v>25.395316405854089</v>
      </c>
      <c r="U82" s="105">
        <v>9081.3651467334221</v>
      </c>
      <c r="V82" s="105">
        <v>21.4780456502315</v>
      </c>
      <c r="W82" s="105">
        <v>7680.549124522784</v>
      </c>
      <c r="X82" s="105">
        <v>26.55048016752875</v>
      </c>
      <c r="Y82" s="105">
        <v>9494.4517079082798</v>
      </c>
      <c r="Z82" s="105">
        <v>23.691798344248724</v>
      </c>
      <c r="AA82" s="105">
        <v>8472.1870879033431</v>
      </c>
      <c r="AB82" s="105">
        <v>25.313029672067646</v>
      </c>
      <c r="AC82" s="105">
        <v>9051.9394107313892</v>
      </c>
      <c r="AD82" s="105">
        <v>21.961159929104703</v>
      </c>
      <c r="AE82" s="105">
        <v>7853.3107906478408</v>
      </c>
      <c r="AF82" s="105">
        <v>23.062816432229798</v>
      </c>
      <c r="AG82" s="105">
        <v>8247.2631561653743</v>
      </c>
      <c r="AH82" s="105">
        <v>24.775063309715399</v>
      </c>
      <c r="AI82" s="105">
        <v>8859.5626395542258</v>
      </c>
      <c r="AJ82" s="105">
        <v>20.090186128016352</v>
      </c>
      <c r="AK82" s="105">
        <v>7184.2505593786473</v>
      </c>
      <c r="AL82" s="105">
        <v>22.52151405989466</v>
      </c>
      <c r="AM82" s="105">
        <v>8053.6934278183298</v>
      </c>
      <c r="AN82" s="105">
        <v>24.020703329318064</v>
      </c>
      <c r="AO82" s="105">
        <v>8589.8035105641393</v>
      </c>
      <c r="AP82" s="105">
        <v>23.05361516149733</v>
      </c>
      <c r="AQ82" s="105">
        <v>8243.9727817514449</v>
      </c>
      <c r="AR82" s="105">
        <v>22.210058364782835</v>
      </c>
      <c r="AS82" s="105">
        <v>7942.3168712463412</v>
      </c>
      <c r="AT82" s="105">
        <v>25.432067420465117</v>
      </c>
      <c r="AU82" s="105">
        <v>9094.5073095583248</v>
      </c>
      <c r="AV82" s="105">
        <v>18.777310319008013</v>
      </c>
      <c r="AW82" s="105">
        <v>6714.7661700772651</v>
      </c>
      <c r="AX82" s="105">
        <v>22.677410551372198</v>
      </c>
      <c r="AY82" s="105">
        <v>8109.4420131706975</v>
      </c>
      <c r="AZ82" s="105">
        <v>19.939176783867509</v>
      </c>
      <c r="BA82" s="105">
        <v>7130.2496179110203</v>
      </c>
      <c r="BB82" s="105">
        <v>24.643442774249348</v>
      </c>
      <c r="BC82" s="105">
        <v>8812.4951360715659</v>
      </c>
      <c r="BD82" s="105">
        <v>23.684059265653595</v>
      </c>
      <c r="BE82" s="105">
        <v>8469.4195933977244</v>
      </c>
      <c r="BF82" s="105">
        <v>23.65689143346577</v>
      </c>
      <c r="BG82" s="105">
        <v>8459.7043766073584</v>
      </c>
      <c r="BH82" s="105">
        <v>23.875354045660551</v>
      </c>
      <c r="BI82" s="105">
        <v>8537.8266067282129</v>
      </c>
      <c r="BJ82" s="105">
        <v>22.815139509980288</v>
      </c>
      <c r="BK82" s="105">
        <v>8158.6938887689503</v>
      </c>
      <c r="BL82" s="105">
        <v>21.680175531213845</v>
      </c>
      <c r="BM82" s="105">
        <v>7752.83076996207</v>
      </c>
      <c r="BN82" s="105">
        <v>23.017841289699348</v>
      </c>
      <c r="BO82" s="105">
        <v>8231.1800451964864</v>
      </c>
      <c r="BP82" s="105">
        <v>23.392943920442676</v>
      </c>
      <c r="BQ82" s="105">
        <v>8365.3167459503002</v>
      </c>
      <c r="BR82" s="105">
        <v>25.824530075106235</v>
      </c>
      <c r="BS82" s="105">
        <v>9234.8519548579879</v>
      </c>
      <c r="BT82" s="105">
        <v>23.283714502670769</v>
      </c>
      <c r="BU82" s="105">
        <v>8326.2563061550663</v>
      </c>
      <c r="BV82" s="105">
        <v>20.943524917192317</v>
      </c>
      <c r="BW82" s="105">
        <v>7489.4045103879716</v>
      </c>
      <c r="BX82" s="105">
        <v>23.738814623255276</v>
      </c>
      <c r="BY82" s="105">
        <v>8489.0001092760867</v>
      </c>
      <c r="BZ82" s="105">
        <v>22.109790189535573</v>
      </c>
      <c r="CA82" s="105">
        <v>7906.4609717779203</v>
      </c>
      <c r="CB82" s="105">
        <v>27.976630892897969</v>
      </c>
      <c r="CC82" s="105">
        <v>10004.443207300314</v>
      </c>
      <c r="CD82" s="105">
        <v>24.457814309955321</v>
      </c>
      <c r="CE82" s="105">
        <v>8746.1143972400223</v>
      </c>
      <c r="CF82" s="105">
        <v>28.014177838310989</v>
      </c>
      <c r="CG82" s="105">
        <v>10017.869994980008</v>
      </c>
      <c r="CH82" s="105">
        <v>27.65005376000445</v>
      </c>
      <c r="CI82" s="105">
        <v>9887.6592245775901</v>
      </c>
      <c r="CJ82" s="105">
        <v>24.847343352067931</v>
      </c>
      <c r="CK82" s="105">
        <v>8885.4099826994916</v>
      </c>
      <c r="CL82" s="105">
        <v>22.258026787733652</v>
      </c>
      <c r="CM82" s="105">
        <v>7959.4703792935534</v>
      </c>
      <c r="CN82" s="105">
        <v>22.710017800174363</v>
      </c>
      <c r="CO82" s="105">
        <v>8121.1023653423517</v>
      </c>
      <c r="CP82" s="105">
        <v>24.180562128985461</v>
      </c>
      <c r="CQ82" s="105">
        <v>8646.9690173252002</v>
      </c>
      <c r="CR82" s="105">
        <v>22.758926378648301</v>
      </c>
      <c r="CS82" s="105">
        <v>8138.5920730046319</v>
      </c>
      <c r="CT82" s="105">
        <v>23.655653741962347</v>
      </c>
      <c r="CU82" s="105">
        <v>8459.2617781257341</v>
      </c>
    </row>
    <row r="83" spans="2:99" x14ac:dyDescent="0.2">
      <c r="C83" s="104" t="s">
        <v>251</v>
      </c>
      <c r="D83" s="105">
        <v>19.601126907568304</v>
      </c>
      <c r="E83" s="105">
        <v>11713.633439962819</v>
      </c>
      <c r="F83" s="105">
        <v>19.844922018358957</v>
      </c>
      <c r="G83" s="105">
        <v>11859.325398171313</v>
      </c>
      <c r="H83" s="105">
        <v>21.084770607317349</v>
      </c>
      <c r="I83" s="105">
        <v>12600.258914932849</v>
      </c>
      <c r="J83" s="105">
        <v>21.480976811164304</v>
      </c>
      <c r="K83" s="105">
        <v>12837.031742351788</v>
      </c>
      <c r="L83" s="105">
        <v>22.433932504549116</v>
      </c>
      <c r="M83" s="105">
        <v>13406.518064718552</v>
      </c>
      <c r="N83" s="105">
        <v>21.755289822143325</v>
      </c>
      <c r="O83" s="105">
        <v>13000.961197712852</v>
      </c>
      <c r="P83" s="105">
        <v>23.454377437339073</v>
      </c>
      <c r="Q83" s="105">
        <v>14016.33595655383</v>
      </c>
      <c r="R83" s="105">
        <v>20.117943304437556</v>
      </c>
      <c r="S83" s="105">
        <v>12022.482918731885</v>
      </c>
      <c r="T83" s="105">
        <v>23.465330092863766</v>
      </c>
      <c r="U83" s="105">
        <v>14022.881263495387</v>
      </c>
      <c r="V83" s="105">
        <v>23.267882787750793</v>
      </c>
      <c r="W83" s="105">
        <v>13904.886753959874</v>
      </c>
      <c r="X83" s="105">
        <v>23.097631530185964</v>
      </c>
      <c r="Y83" s="105">
        <v>13803.144602439133</v>
      </c>
      <c r="Z83" s="105">
        <v>22.431354279634938</v>
      </c>
      <c r="AA83" s="105">
        <v>13404.97731750984</v>
      </c>
      <c r="AB83" s="105">
        <v>22.790844271962136</v>
      </c>
      <c r="AC83" s="105">
        <v>13619.808536924573</v>
      </c>
      <c r="AD83" s="105">
        <v>21.961159929104703</v>
      </c>
      <c r="AE83" s="105">
        <v>13123.98917363297</v>
      </c>
      <c r="AF83" s="105">
        <v>21.731314834119729</v>
      </c>
      <c r="AG83" s="105">
        <v>12986.633744869951</v>
      </c>
      <c r="AH83" s="105">
        <v>20.645886091429499</v>
      </c>
      <c r="AI83" s="105">
        <v>12337.98152823827</v>
      </c>
      <c r="AJ83" s="105">
        <v>20.090186128016352</v>
      </c>
      <c r="AK83" s="105">
        <v>12005.895230102573</v>
      </c>
      <c r="AL83" s="105">
        <v>20.696322934884559</v>
      </c>
      <c r="AM83" s="105">
        <v>12368.122585887013</v>
      </c>
      <c r="AN83" s="105">
        <v>20.886096254983006</v>
      </c>
      <c r="AO83" s="105">
        <v>12481.531121977845</v>
      </c>
      <c r="AP83" s="105">
        <v>22.134744056051534</v>
      </c>
      <c r="AQ83" s="105">
        <v>13227.723047896397</v>
      </c>
      <c r="AR83" s="105">
        <v>19.681179911034636</v>
      </c>
      <c r="AS83" s="105">
        <v>11761.4731148343</v>
      </c>
      <c r="AT83" s="105">
        <v>22.282581985037019</v>
      </c>
      <c r="AU83" s="105">
        <v>13316.070994258123</v>
      </c>
      <c r="AV83" s="105">
        <v>19.686019712802317</v>
      </c>
      <c r="AW83" s="105">
        <v>11764.365380370666</v>
      </c>
      <c r="AX83" s="105">
        <v>23.898746106497605</v>
      </c>
      <c r="AY83" s="105">
        <v>14281.89067324297</v>
      </c>
      <c r="AZ83" s="105">
        <v>19.939176783867509</v>
      </c>
      <c r="BA83" s="105">
        <v>11915.652046039224</v>
      </c>
      <c r="BB83" s="105">
        <v>23.12082964822153</v>
      </c>
      <c r="BC83" s="105">
        <v>13817.007797777187</v>
      </c>
      <c r="BD83" s="105">
        <v>23.684059265653595</v>
      </c>
      <c r="BE83" s="105">
        <v>14153.593817154589</v>
      </c>
      <c r="BF83" s="105">
        <v>22.92694653609632</v>
      </c>
      <c r="BG83" s="105">
        <v>13701.143249971161</v>
      </c>
      <c r="BH83" s="105">
        <v>21.887515126265736</v>
      </c>
      <c r="BI83" s="105">
        <v>13079.979039456404</v>
      </c>
      <c r="BJ83" s="105">
        <v>21.201970753405252</v>
      </c>
      <c r="BK83" s="105">
        <v>12670.29772223498</v>
      </c>
      <c r="BL83" s="105">
        <v>20.13283625199022</v>
      </c>
      <c r="BM83" s="105">
        <v>12031.382944189356</v>
      </c>
      <c r="BN83" s="105">
        <v>23.017841289699348</v>
      </c>
      <c r="BO83" s="105">
        <v>13755.461954724331</v>
      </c>
      <c r="BP83" s="105">
        <v>19.623981757470446</v>
      </c>
      <c r="BQ83" s="105">
        <v>11727.29149826434</v>
      </c>
      <c r="BR83" s="105">
        <v>21.904245233742504</v>
      </c>
      <c r="BS83" s="105">
        <v>13089.976951684521</v>
      </c>
      <c r="BT83" s="105">
        <v>23.251735359199277</v>
      </c>
      <c r="BU83" s="105">
        <v>13895.237050657488</v>
      </c>
      <c r="BV83" s="105">
        <v>23.614046989602691</v>
      </c>
      <c r="BW83" s="105">
        <v>14111.754480986569</v>
      </c>
      <c r="BX83" s="105">
        <v>22.004954356344378</v>
      </c>
      <c r="BY83" s="105">
        <v>13150.160723351401</v>
      </c>
      <c r="BZ83" s="105">
        <v>24.918457808610597</v>
      </c>
      <c r="CA83" s="105">
        <v>14891.270386425693</v>
      </c>
      <c r="CB83" s="105">
        <v>24.159608081452841</v>
      </c>
      <c r="CC83" s="105">
        <v>14437.781789476219</v>
      </c>
      <c r="CD83" s="105">
        <v>21.030388863209414</v>
      </c>
      <c r="CE83" s="105">
        <v>12567.760384653946</v>
      </c>
      <c r="CF83" s="105">
        <v>23.704385019735998</v>
      </c>
      <c r="CG83" s="105">
        <v>14165.740487794234</v>
      </c>
      <c r="CH83" s="105">
        <v>26.915844468346233</v>
      </c>
      <c r="CI83" s="105">
        <v>16084.908654283709</v>
      </c>
      <c r="CJ83" s="105">
        <v>23.006799400062899</v>
      </c>
      <c r="CK83" s="105">
        <v>13748.863321477589</v>
      </c>
      <c r="CL83" s="105">
        <v>23.195307648086267</v>
      </c>
      <c r="CM83" s="105">
        <v>13861.515850496353</v>
      </c>
      <c r="CN83" s="105">
        <v>20.865863163439396</v>
      </c>
      <c r="CO83" s="105">
        <v>12469.439826471384</v>
      </c>
      <c r="CP83" s="105">
        <v>23.60267914754494</v>
      </c>
      <c r="CQ83" s="105">
        <v>14104.961058572857</v>
      </c>
      <c r="CR83" s="105">
        <v>25.631012991801413</v>
      </c>
      <c r="CS83" s="105">
        <v>15317.093363900525</v>
      </c>
      <c r="CT83" s="105">
        <v>21.134241171165051</v>
      </c>
      <c r="CU83" s="105">
        <v>12629.822523888235</v>
      </c>
    </row>
    <row r="84" spans="2:99" x14ac:dyDescent="0.2">
      <c r="C84" s="104" t="s">
        <v>252</v>
      </c>
      <c r="D84" s="105">
        <v>19.601126907568304</v>
      </c>
      <c r="E84" s="105">
        <v>10020.096075148916</v>
      </c>
      <c r="F84" s="105">
        <v>18.040838198508141</v>
      </c>
      <c r="G84" s="105">
        <v>9222.4764870773615</v>
      </c>
      <c r="H84" s="105">
        <v>20.278466179647818</v>
      </c>
      <c r="I84" s="105">
        <v>10366.351911035965</v>
      </c>
      <c r="J84" s="105">
        <v>23.048623286312086</v>
      </c>
      <c r="K84" s="105">
        <v>11782.456223962738</v>
      </c>
      <c r="L84" s="105">
        <v>21.664152079881728</v>
      </c>
      <c r="M84" s="105">
        <v>11074.714543235539</v>
      </c>
      <c r="N84" s="105">
        <v>21.856789319036189</v>
      </c>
      <c r="O84" s="105">
        <v>11173.1906998913</v>
      </c>
      <c r="P84" s="105">
        <v>20.040088564820849</v>
      </c>
      <c r="Q84" s="105">
        <v>10244.493274336417</v>
      </c>
      <c r="R84" s="105">
        <v>21.117943304437556</v>
      </c>
      <c r="S84" s="105">
        <v>10795.49261722848</v>
      </c>
      <c r="T84" s="105">
        <v>24.210490309520516</v>
      </c>
      <c r="U84" s="105">
        <v>12376.402646226887</v>
      </c>
      <c r="V84" s="105">
        <v>22.372964218991147</v>
      </c>
      <c r="W84" s="105">
        <v>11437.059308748274</v>
      </c>
      <c r="X84" s="105">
        <v>25.209523786670058</v>
      </c>
      <c r="Y84" s="105">
        <v>12887.108559745733</v>
      </c>
      <c r="Z84" s="105">
        <v>24.322020376555614</v>
      </c>
      <c r="AA84" s="105">
        <v>12433.41681649523</v>
      </c>
      <c r="AB84" s="105">
        <v>24.47230120536581</v>
      </c>
      <c r="AC84" s="105">
        <v>12510.240376183001</v>
      </c>
      <c r="AD84" s="105">
        <v>24.200647560669516</v>
      </c>
      <c r="AE84" s="105">
        <v>12371.371033014257</v>
      </c>
      <c r="AF84" s="105">
        <v>22.397065633174762</v>
      </c>
      <c r="AG84" s="105">
        <v>11449.379951678939</v>
      </c>
      <c r="AH84" s="105">
        <v>21.471721535086679</v>
      </c>
      <c r="AI84" s="105">
        <v>10976.34404873631</v>
      </c>
      <c r="AJ84" s="105">
        <v>19.960060416677088</v>
      </c>
      <c r="AK84" s="105">
        <v>10203.582885005328</v>
      </c>
      <c r="AL84" s="105">
        <v>22.52151405989466</v>
      </c>
      <c r="AM84" s="105">
        <v>11512.99798741815</v>
      </c>
      <c r="AN84" s="105">
        <v>20.102444486399239</v>
      </c>
      <c r="AO84" s="105">
        <v>10276.369621447291</v>
      </c>
      <c r="AP84" s="105">
        <v>20.297001845159937</v>
      </c>
      <c r="AQ84" s="105">
        <v>10375.827343245759</v>
      </c>
      <c r="AR84" s="105">
        <v>18.838220426451901</v>
      </c>
      <c r="AS84" s="105">
        <v>9630.0982820022109</v>
      </c>
      <c r="AT84" s="105">
        <v>24.17227324629388</v>
      </c>
      <c r="AU84" s="105">
        <v>12356.866083505431</v>
      </c>
      <c r="AV84" s="105">
        <v>20.59472910659662</v>
      </c>
      <c r="AW84" s="105">
        <v>10528.025519292192</v>
      </c>
      <c r="AX84" s="105">
        <v>22.066742773809498</v>
      </c>
      <c r="AY84" s="105">
        <v>11280.518905971416</v>
      </c>
      <c r="AZ84" s="105">
        <v>18.426128600284201</v>
      </c>
      <c r="BA84" s="105">
        <v>9419.4369404652844</v>
      </c>
      <c r="BB84" s="105">
        <v>22.359523085207627</v>
      </c>
      <c r="BC84" s="105">
        <v>11430.188201158138</v>
      </c>
      <c r="BD84" s="105">
        <v>24.857042188905897</v>
      </c>
      <c r="BE84" s="105">
        <v>12706.919966968695</v>
      </c>
      <c r="BF84" s="105">
        <v>22.92694653609632</v>
      </c>
      <c r="BG84" s="105">
        <v>11720.255069252438</v>
      </c>
      <c r="BH84" s="105">
        <v>20.893595666568331</v>
      </c>
      <c r="BI84" s="105">
        <v>10680.80610474973</v>
      </c>
      <c r="BJ84" s="105">
        <v>19.588801996830217</v>
      </c>
      <c r="BK84" s="105">
        <v>10013.795580779606</v>
      </c>
      <c r="BL84" s="105">
        <v>21.680175531213845</v>
      </c>
      <c r="BM84" s="105">
        <v>11082.905731556517</v>
      </c>
      <c r="BN84" s="105">
        <v>21.447464967655524</v>
      </c>
      <c r="BO84" s="105">
        <v>10963.944091465504</v>
      </c>
      <c r="BP84" s="105">
        <v>22.768140943442059</v>
      </c>
      <c r="BQ84" s="105">
        <v>11639.073650287581</v>
      </c>
      <c r="BR84" s="105">
        <v>22.668936329257804</v>
      </c>
      <c r="BS84" s="105">
        <v>11588.360251516589</v>
      </c>
      <c r="BT84" s="105">
        <v>21.302549440543721</v>
      </c>
      <c r="BU84" s="105">
        <v>10889.863274005949</v>
      </c>
      <c r="BV84" s="105">
        <v>21.611155435294915</v>
      </c>
      <c r="BW84" s="105">
        <v>11047.62265852276</v>
      </c>
      <c r="BX84" s="105">
        <v>23.738814623255276</v>
      </c>
      <c r="BY84" s="105">
        <v>12135.282035408098</v>
      </c>
      <c r="BZ84" s="105">
        <v>25.864110976873558</v>
      </c>
      <c r="CA84" s="105">
        <v>13221.733531377762</v>
      </c>
      <c r="CB84" s="105">
        <v>28.023573397955747</v>
      </c>
      <c r="CC84" s="105">
        <v>14325.650721034977</v>
      </c>
      <c r="CD84" s="105">
        <v>22.753655294291548</v>
      </c>
      <c r="CE84" s="105">
        <v>11631.66858644184</v>
      </c>
      <c r="CF84" s="105">
        <v>25.859264128955157</v>
      </c>
      <c r="CG84" s="105">
        <v>13219.255822721876</v>
      </c>
      <c r="CH84" s="105">
        <v>26.925115400899081</v>
      </c>
      <c r="CI84" s="105">
        <v>13764.11899293961</v>
      </c>
      <c r="CJ84" s="105">
        <v>24.847343352067931</v>
      </c>
      <c r="CK84" s="105">
        <v>12701.961921577125</v>
      </c>
      <c r="CL84" s="105">
        <v>23.195307648086267</v>
      </c>
      <c r="CM84" s="105">
        <v>11857.4412697017</v>
      </c>
      <c r="CN84" s="105">
        <v>22.701956421268349</v>
      </c>
      <c r="CO84" s="105">
        <v>11605.240122552379</v>
      </c>
      <c r="CP84" s="105">
        <v>22.33813615470061</v>
      </c>
      <c r="CQ84" s="105">
        <v>11419.255202282951</v>
      </c>
      <c r="CR84" s="105">
        <v>25.630370442900222</v>
      </c>
      <c r="CS84" s="105">
        <v>13102.245370410594</v>
      </c>
      <c r="CT84" s="105">
        <v>18.720528766729483</v>
      </c>
      <c r="CU84" s="105">
        <v>9569.9343055521113</v>
      </c>
    </row>
    <row r="85" spans="2:99" x14ac:dyDescent="0.2">
      <c r="C85" s="104" t="s">
        <v>253</v>
      </c>
      <c r="D85" s="105">
        <v>22.051267771014341</v>
      </c>
      <c r="E85" s="105">
        <v>6006.7653408243059</v>
      </c>
      <c r="F85" s="105">
        <v>21.649005838209767</v>
      </c>
      <c r="G85" s="105">
        <v>5897.1891903283404</v>
      </c>
      <c r="H85" s="105">
        <v>24.999378704738536</v>
      </c>
      <c r="I85" s="105">
        <v>6809.8307591707762</v>
      </c>
      <c r="J85" s="105">
        <v>23.048623286312086</v>
      </c>
      <c r="K85" s="105">
        <v>6278.4449831914117</v>
      </c>
      <c r="L85" s="105">
        <v>23.496987174589233</v>
      </c>
      <c r="M85" s="105">
        <v>6400.5793063581068</v>
      </c>
      <c r="N85" s="105">
        <v>21.731468920857527</v>
      </c>
      <c r="O85" s="105">
        <v>5919.6521340415902</v>
      </c>
      <c r="P85" s="105">
        <v>24.33909706022655</v>
      </c>
      <c r="Q85" s="105">
        <v>6629.9700392057111</v>
      </c>
      <c r="R85" s="105">
        <v>19.117943304437556</v>
      </c>
      <c r="S85" s="105">
        <v>5207.7277561287901</v>
      </c>
      <c r="T85" s="105">
        <v>28.070462935501158</v>
      </c>
      <c r="U85" s="105">
        <v>7646.394103630515</v>
      </c>
      <c r="V85" s="105">
        <v>25.057719925270085</v>
      </c>
      <c r="W85" s="105">
        <v>6825.7229076435706</v>
      </c>
      <c r="X85" s="105">
        <v>25.880001977099408</v>
      </c>
      <c r="Y85" s="105">
        <v>7049.7125385618783</v>
      </c>
      <c r="Z85" s="105">
        <v>21.801132247328042</v>
      </c>
      <c r="AA85" s="105">
        <v>5938.6284241721578</v>
      </c>
      <c r="AB85" s="105">
        <v>22.790844271962136</v>
      </c>
      <c r="AC85" s="105">
        <v>6208.2259796824856</v>
      </c>
      <c r="AD85" s="105">
        <v>21.961159929104703</v>
      </c>
      <c r="AE85" s="105">
        <v>5982.2199646881209</v>
      </c>
      <c r="AF85" s="105">
        <v>24.394318030339868</v>
      </c>
      <c r="AG85" s="105">
        <v>6645.0122314645796</v>
      </c>
      <c r="AH85" s="105">
        <v>24.775063309715399</v>
      </c>
      <c r="AI85" s="105">
        <v>6748.7272455664743</v>
      </c>
      <c r="AJ85" s="105">
        <v>20.941041922914586</v>
      </c>
      <c r="AK85" s="105">
        <v>5704.3398198019331</v>
      </c>
      <c r="AL85" s="105">
        <v>23.43410962239971</v>
      </c>
      <c r="AM85" s="105">
        <v>6383.4514611416807</v>
      </c>
      <c r="AN85" s="105">
        <v>23.237051560734297</v>
      </c>
      <c r="AO85" s="105">
        <v>6329.7728451440216</v>
      </c>
      <c r="AP85" s="105">
        <v>19.378130739714141</v>
      </c>
      <c r="AQ85" s="105">
        <v>5278.6028134981316</v>
      </c>
      <c r="AR85" s="105">
        <v>23.053017849365567</v>
      </c>
      <c r="AS85" s="105">
        <v>6279.6420621671796</v>
      </c>
      <c r="AT85" s="105">
        <v>24.8021703333795</v>
      </c>
      <c r="AU85" s="105">
        <v>6756.1111988125749</v>
      </c>
      <c r="AV85" s="105">
        <v>20.59472910659662</v>
      </c>
      <c r="AW85" s="105">
        <v>5610.0042086369185</v>
      </c>
      <c r="AX85" s="105">
        <v>26.341417216748415</v>
      </c>
      <c r="AY85" s="105">
        <v>7175.4020498422678</v>
      </c>
      <c r="AZ85" s="105">
        <v>22.965273151034129</v>
      </c>
      <c r="BA85" s="105">
        <v>6255.7404063416961</v>
      </c>
      <c r="BB85" s="105">
        <v>24.643442774249348</v>
      </c>
      <c r="BC85" s="105">
        <v>6712.8738117055218</v>
      </c>
      <c r="BD85" s="105">
        <v>24.270550727279748</v>
      </c>
      <c r="BE85" s="105">
        <v>6611.2980181110024</v>
      </c>
      <c r="BF85" s="105">
        <v>24.386836330835216</v>
      </c>
      <c r="BG85" s="105">
        <v>6642.9742165195121</v>
      </c>
      <c r="BH85" s="105">
        <v>21.887515126265736</v>
      </c>
      <c r="BI85" s="105">
        <v>5962.1591203947864</v>
      </c>
      <c r="BJ85" s="105">
        <v>22.00855513169277</v>
      </c>
      <c r="BK85" s="105">
        <v>5995.1304178731098</v>
      </c>
      <c r="BL85" s="105">
        <v>20.906505891602031</v>
      </c>
      <c r="BM85" s="105">
        <v>5694.9322048723925</v>
      </c>
      <c r="BN85" s="105">
        <v>23.017841289699348</v>
      </c>
      <c r="BO85" s="105">
        <v>6270.0599673141014</v>
      </c>
      <c r="BP85" s="105">
        <v>24.648305389006342</v>
      </c>
      <c r="BQ85" s="105">
        <v>6714.1983879653271</v>
      </c>
      <c r="BR85" s="105">
        <v>24.517768461318322</v>
      </c>
      <c r="BS85" s="105">
        <v>6678.6401288631105</v>
      </c>
      <c r="BT85" s="105">
        <v>22.293131971607245</v>
      </c>
      <c r="BU85" s="105">
        <v>6072.6491490658127</v>
      </c>
      <c r="BV85" s="105">
        <v>20.943524917192317</v>
      </c>
      <c r="BW85" s="105">
        <v>5705.0161874431869</v>
      </c>
      <c r="BX85" s="105">
        <v>25.472674890166171</v>
      </c>
      <c r="BY85" s="105">
        <v>6938.7566400812648</v>
      </c>
      <c r="BZ85" s="105">
        <v>24.003925714632885</v>
      </c>
      <c r="CA85" s="105">
        <v>6538.6693646659969</v>
      </c>
      <c r="CB85" s="105">
        <v>25.738053961594449</v>
      </c>
      <c r="CC85" s="105">
        <v>7011.0458991383275</v>
      </c>
      <c r="CD85" s="105">
        <v>26.168342464091886</v>
      </c>
      <c r="CE85" s="105">
        <v>7128.2564872186294</v>
      </c>
      <c r="CF85" s="105">
        <v>28.014212438447661</v>
      </c>
      <c r="CG85" s="105">
        <v>7631.0714682331418</v>
      </c>
      <c r="CH85" s="105">
        <v>26.302712668850571</v>
      </c>
      <c r="CI85" s="105">
        <v>7164.8589309948948</v>
      </c>
      <c r="CJ85" s="105">
        <v>23.006799400062899</v>
      </c>
      <c r="CK85" s="105">
        <v>6267.0521565771332</v>
      </c>
      <c r="CL85" s="105">
        <v>24.135485376949919</v>
      </c>
      <c r="CM85" s="105">
        <v>6574.5062166811576</v>
      </c>
      <c r="CN85" s="105">
        <v>22.701956421268349</v>
      </c>
      <c r="CO85" s="105">
        <v>6184.0129291534977</v>
      </c>
      <c r="CP85" s="105">
        <v>25.352038218699114</v>
      </c>
      <c r="CQ85" s="105">
        <v>6905.8952107736377</v>
      </c>
      <c r="CR85" s="105">
        <v>27.067056298377967</v>
      </c>
      <c r="CS85" s="105">
        <v>7373.0661356781575</v>
      </c>
      <c r="CT85" s="105">
        <v>22.046512139005301</v>
      </c>
      <c r="CU85" s="105">
        <v>6005.4699066650437</v>
      </c>
    </row>
    <row r="86" spans="2:99" x14ac:dyDescent="0.2">
      <c r="C86" s="104" t="s">
        <v>254</v>
      </c>
      <c r="D86" s="105">
        <v>22.867981392163024</v>
      </c>
      <c r="E86" s="105">
        <v>11333.371577955993</v>
      </c>
      <c r="F86" s="105">
        <v>18.942880108433545</v>
      </c>
      <c r="G86" s="105">
        <v>9388.0913817396649</v>
      </c>
      <c r="H86" s="105">
        <v>23.508101070554925</v>
      </c>
      <c r="I86" s="105">
        <v>11650.61489056702</v>
      </c>
      <c r="J86" s="105">
        <v>23.832446523885977</v>
      </c>
      <c r="K86" s="105">
        <v>11811.360497237889</v>
      </c>
      <c r="L86" s="105">
        <v>19.831316985174226</v>
      </c>
      <c r="M86" s="105">
        <v>9828.4006978523448</v>
      </c>
      <c r="N86" s="105">
        <v>22.55283460263912</v>
      </c>
      <c r="O86" s="105">
        <v>11177.184829067946</v>
      </c>
      <c r="P86" s="105">
        <v>20.780743972384233</v>
      </c>
      <c r="Q86" s="105">
        <v>10298.936712713625</v>
      </c>
      <c r="R86" s="105">
        <v>18.117943304437556</v>
      </c>
      <c r="S86" s="105">
        <v>8979.2527016792519</v>
      </c>
      <c r="T86" s="105">
        <v>24.210490309520516</v>
      </c>
      <c r="U86" s="105">
        <v>11998.718997398368</v>
      </c>
      <c r="V86" s="105">
        <v>24.162801356510439</v>
      </c>
      <c r="W86" s="105">
        <v>11975.084352286573</v>
      </c>
      <c r="X86" s="105">
        <v>21.857132834523327</v>
      </c>
      <c r="Y86" s="105">
        <v>10832.39503278976</v>
      </c>
      <c r="Z86" s="105">
        <v>23.598402557025299</v>
      </c>
      <c r="AA86" s="105">
        <v>11695.368307261737</v>
      </c>
      <c r="AB86" s="105">
        <v>25.313029672067646</v>
      </c>
      <c r="AC86" s="105">
        <v>12545.137505476725</v>
      </c>
      <c r="AD86" s="105">
        <v>21.214664051916433</v>
      </c>
      <c r="AE86" s="105">
        <v>10513.987504129784</v>
      </c>
      <c r="AF86" s="105">
        <v>26.39157042750497</v>
      </c>
      <c r="AG86" s="105">
        <v>13079.662303871462</v>
      </c>
      <c r="AH86" s="105">
        <v>20.645886091429499</v>
      </c>
      <c r="AI86" s="105">
        <v>10232.101146912459</v>
      </c>
      <c r="AJ86" s="105">
        <v>20.810916211575321</v>
      </c>
      <c r="AK86" s="105">
        <v>10313.890074456729</v>
      </c>
      <c r="AL86" s="105">
        <v>20.696322934884559</v>
      </c>
      <c r="AM86" s="105">
        <v>10257.097646528788</v>
      </c>
      <c r="AN86" s="105">
        <v>22.325612224199254</v>
      </c>
      <c r="AO86" s="105">
        <v>11064.57341831315</v>
      </c>
      <c r="AP86" s="105">
        <v>22.134744056051534</v>
      </c>
      <c r="AQ86" s="105">
        <v>10969.97915417914</v>
      </c>
      <c r="AR86" s="105">
        <v>23.053017849365567</v>
      </c>
      <c r="AS86" s="105">
        <v>11425.075646145575</v>
      </c>
      <c r="AT86" s="105">
        <v>22.282581985037019</v>
      </c>
      <c r="AU86" s="105">
        <v>11043.247631784347</v>
      </c>
      <c r="AV86" s="105">
        <v>20.59472910659662</v>
      </c>
      <c r="AW86" s="105">
        <v>10206.747745229284</v>
      </c>
      <c r="AX86" s="105">
        <v>22.677410551372198</v>
      </c>
      <c r="AY86" s="105">
        <v>11238.924669260061</v>
      </c>
      <c r="AZ86" s="105">
        <v>22.208749059242475</v>
      </c>
      <c r="BA86" s="105">
        <v>11006.65603376057</v>
      </c>
      <c r="BB86" s="105">
        <v>22.359523085207627</v>
      </c>
      <c r="BC86" s="105">
        <v>11081.3796410289</v>
      </c>
      <c r="BD86" s="105">
        <v>22.511076342401285</v>
      </c>
      <c r="BE86" s="105">
        <v>11156.489435294076</v>
      </c>
      <c r="BF86" s="105">
        <v>22.197001638726874</v>
      </c>
      <c r="BG86" s="105">
        <v>11000.834012153038</v>
      </c>
      <c r="BH86" s="105">
        <v>21.887515126265736</v>
      </c>
      <c r="BI86" s="105">
        <v>10847.452496577298</v>
      </c>
      <c r="BJ86" s="105">
        <v>22.815139509980288</v>
      </c>
      <c r="BK86" s="105">
        <v>11307.18314114623</v>
      </c>
      <c r="BL86" s="105">
        <v>23.227514810437466</v>
      </c>
      <c r="BM86" s="105">
        <v>11511.556340052808</v>
      </c>
      <c r="BN86" s="105">
        <v>23.827352877093798</v>
      </c>
      <c r="BO86" s="105">
        <v>11808.836085887686</v>
      </c>
      <c r="BP86" s="105">
        <v>22.765263186160841</v>
      </c>
      <c r="BQ86" s="105">
        <v>11282.464435061313</v>
      </c>
      <c r="BR86" s="105">
        <v>24.629078749939666</v>
      </c>
      <c r="BS86" s="105">
        <v>12206.171428470097</v>
      </c>
      <c r="BT86" s="105">
        <v>23.436273646086669</v>
      </c>
      <c r="BU86" s="105">
        <v>11615.017219000552</v>
      </c>
      <c r="BV86" s="105">
        <v>23.614046989602691</v>
      </c>
      <c r="BW86" s="105">
        <v>11703.121688047093</v>
      </c>
      <c r="BX86" s="105">
        <v>21.138024222888927</v>
      </c>
      <c r="BY86" s="105">
        <v>10476.004804863751</v>
      </c>
      <c r="BZ86" s="105">
        <v>23.027151472084672</v>
      </c>
      <c r="CA86" s="105">
        <v>11412.256269565163</v>
      </c>
      <c r="CB86" s="105">
        <v>26.449821768319918</v>
      </c>
      <c r="CC86" s="105">
        <v>13108.53166837935</v>
      </c>
      <c r="CD86" s="105">
        <v>21.892022078750479</v>
      </c>
      <c r="CE86" s="105">
        <v>10849.686142228737</v>
      </c>
      <c r="CF86" s="105">
        <v>25.140959559169882</v>
      </c>
      <c r="CG86" s="105">
        <v>12459.859557524593</v>
      </c>
      <c r="CH86" s="105">
        <v>27.65005376000445</v>
      </c>
      <c r="CI86" s="105">
        <v>13703.366643458205</v>
      </c>
      <c r="CJ86" s="105">
        <v>23.927071376065417</v>
      </c>
      <c r="CK86" s="105">
        <v>11858.25657397802</v>
      </c>
      <c r="CL86" s="105">
        <v>21.314952190358966</v>
      </c>
      <c r="CM86" s="105">
        <v>10563.690305541902</v>
      </c>
      <c r="CN86" s="105">
        <v>21.796001860712895</v>
      </c>
      <c r="CO86" s="105">
        <v>10802.09852216931</v>
      </c>
      <c r="CP86" s="105">
        <v>22.439058121247594</v>
      </c>
      <c r="CQ86" s="105">
        <v>11120.797204890307</v>
      </c>
      <c r="CR86" s="105">
        <v>22.035764334150542</v>
      </c>
      <c r="CS86" s="105">
        <v>10920.924804005008</v>
      </c>
      <c r="CT86" s="105">
        <v>21.241941337526775</v>
      </c>
      <c r="CU86" s="105">
        <v>10527.506126878268</v>
      </c>
    </row>
    <row r="87" spans="2:99" x14ac:dyDescent="0.2">
      <c r="B87" s="104" t="s">
        <v>131</v>
      </c>
      <c r="C87" s="104" t="s">
        <v>255</v>
      </c>
      <c r="D87" s="105">
        <v>10.33287394710346</v>
      </c>
      <c r="E87" s="105">
        <v>9721.1678094349354</v>
      </c>
      <c r="F87" s="105">
        <v>14.214082671910575</v>
      </c>
      <c r="G87" s="105">
        <v>13372.608977733467</v>
      </c>
      <c r="H87" s="105">
        <v>14</v>
      </c>
      <c r="I87" s="105">
        <v>13171.199999999999</v>
      </c>
      <c r="J87" s="105">
        <v>9</v>
      </c>
      <c r="K87" s="105">
        <v>8467.1999999999989</v>
      </c>
      <c r="L87" s="105">
        <v>14</v>
      </c>
      <c r="M87" s="105">
        <v>13171.199999999999</v>
      </c>
      <c r="N87" s="105">
        <v>11</v>
      </c>
      <c r="O87" s="105">
        <v>10348.799999999999</v>
      </c>
      <c r="P87" s="105">
        <v>15</v>
      </c>
      <c r="Q87" s="105">
        <v>14112</v>
      </c>
      <c r="R87" s="105">
        <v>9</v>
      </c>
      <c r="S87" s="105">
        <v>8467.1999999999989</v>
      </c>
      <c r="T87" s="105">
        <v>10</v>
      </c>
      <c r="U87" s="105">
        <v>9408</v>
      </c>
      <c r="V87" s="105">
        <v>12</v>
      </c>
      <c r="W87" s="105">
        <v>11289.599999999999</v>
      </c>
      <c r="X87" s="105">
        <v>11</v>
      </c>
      <c r="Y87" s="105">
        <v>10348.799999999999</v>
      </c>
      <c r="Z87" s="105">
        <v>17</v>
      </c>
      <c r="AA87" s="105">
        <v>15993.599999999999</v>
      </c>
      <c r="AB87" s="105">
        <v>13</v>
      </c>
      <c r="AC87" s="105">
        <v>12230.4</v>
      </c>
      <c r="AD87" s="105">
        <v>15</v>
      </c>
      <c r="AE87" s="105">
        <v>14112</v>
      </c>
      <c r="AF87" s="105">
        <v>17</v>
      </c>
      <c r="AG87" s="105">
        <v>15993.599999999999</v>
      </c>
      <c r="AH87" s="105">
        <v>17</v>
      </c>
      <c r="AI87" s="105">
        <v>15993.599999999999</v>
      </c>
      <c r="AJ87" s="105">
        <v>8.4288990319260559</v>
      </c>
      <c r="AK87" s="105">
        <v>7929.9082092360331</v>
      </c>
      <c r="AL87" s="105">
        <v>11</v>
      </c>
      <c r="AM87" s="105">
        <v>10348.799999999999</v>
      </c>
      <c r="AN87" s="105">
        <v>11</v>
      </c>
      <c r="AO87" s="105">
        <v>10348.799999999999</v>
      </c>
      <c r="AP87" s="105">
        <v>8</v>
      </c>
      <c r="AQ87" s="105">
        <v>7526.4</v>
      </c>
      <c r="AR87" s="105">
        <v>16</v>
      </c>
      <c r="AS87" s="105">
        <v>15052.8</v>
      </c>
      <c r="AT87" s="105">
        <v>15</v>
      </c>
      <c r="AU87" s="105">
        <v>14112</v>
      </c>
      <c r="AV87" s="105">
        <v>11</v>
      </c>
      <c r="AW87" s="105">
        <v>10348.799999999999</v>
      </c>
      <c r="AX87" s="105">
        <v>13</v>
      </c>
      <c r="AY87" s="105">
        <v>12230.4</v>
      </c>
      <c r="AZ87" s="105">
        <v>12</v>
      </c>
      <c r="BA87" s="105">
        <v>11289.599999999999</v>
      </c>
      <c r="BB87" s="105">
        <v>16</v>
      </c>
      <c r="BC87" s="105">
        <v>15052.8</v>
      </c>
      <c r="BD87" s="105">
        <v>14</v>
      </c>
      <c r="BE87" s="105">
        <v>13171.199999999999</v>
      </c>
      <c r="BF87" s="105">
        <v>10</v>
      </c>
      <c r="BG87" s="105">
        <v>9408</v>
      </c>
      <c r="BH87" s="105">
        <v>14</v>
      </c>
      <c r="BI87" s="105">
        <v>13171.199999999999</v>
      </c>
      <c r="BJ87" s="105">
        <v>11</v>
      </c>
      <c r="BK87" s="105">
        <v>10348.799999999999</v>
      </c>
      <c r="BL87" s="105">
        <v>17</v>
      </c>
      <c r="BM87" s="105">
        <v>15993.599999999999</v>
      </c>
      <c r="BN87" s="105">
        <v>13</v>
      </c>
      <c r="BO87" s="105">
        <v>12230.4</v>
      </c>
      <c r="BP87" s="105">
        <v>13</v>
      </c>
      <c r="BQ87" s="105">
        <v>12230.4</v>
      </c>
      <c r="BR87" s="105">
        <v>10</v>
      </c>
      <c r="BS87" s="105">
        <v>9408</v>
      </c>
      <c r="BT87" s="105">
        <v>13</v>
      </c>
      <c r="BU87" s="105">
        <v>12230.4</v>
      </c>
      <c r="BV87" s="105">
        <v>13</v>
      </c>
      <c r="BW87" s="105">
        <v>12230.4</v>
      </c>
      <c r="BX87" s="105">
        <v>13</v>
      </c>
      <c r="BY87" s="105">
        <v>12230.4</v>
      </c>
      <c r="BZ87" s="105">
        <v>19</v>
      </c>
      <c r="CA87" s="105">
        <v>17875.2</v>
      </c>
      <c r="CB87" s="105">
        <v>14</v>
      </c>
      <c r="CC87" s="105">
        <v>13171.199999999999</v>
      </c>
      <c r="CD87" s="105">
        <v>16</v>
      </c>
      <c r="CE87" s="105">
        <v>15052.8</v>
      </c>
      <c r="CF87" s="105">
        <v>14</v>
      </c>
      <c r="CG87" s="105">
        <v>13171.199999999999</v>
      </c>
      <c r="CH87" s="105">
        <v>17</v>
      </c>
      <c r="CI87" s="105">
        <v>15993.599999999999</v>
      </c>
      <c r="CJ87" s="105">
        <v>15</v>
      </c>
      <c r="CK87" s="105">
        <v>14112</v>
      </c>
      <c r="CL87" s="105">
        <v>16.970958118693119</v>
      </c>
      <c r="CM87" s="105">
        <v>15966.277398066486</v>
      </c>
      <c r="CN87" s="105">
        <v>17.69122421739279</v>
      </c>
      <c r="CO87" s="105">
        <v>16643.903743723135</v>
      </c>
      <c r="CP87" s="105">
        <v>13</v>
      </c>
      <c r="CQ87" s="105">
        <v>12230.4</v>
      </c>
      <c r="CR87" s="105">
        <v>18</v>
      </c>
      <c r="CS87" s="105">
        <v>16934.399999999998</v>
      </c>
      <c r="CT87" s="105">
        <v>12</v>
      </c>
      <c r="CU87" s="105">
        <v>11289.599999999999</v>
      </c>
    </row>
    <row r="88" spans="2:99" x14ac:dyDescent="0.2">
      <c r="C88" s="104" t="s">
        <v>256</v>
      </c>
      <c r="D88" s="105">
        <v>12.055019604954037</v>
      </c>
      <c r="E88" s="105">
        <v>10560.197173939736</v>
      </c>
      <c r="F88" s="105">
        <v>13.214082671910575</v>
      </c>
      <c r="G88" s="105">
        <v>11575.536420593664</v>
      </c>
      <c r="H88" s="105">
        <v>13</v>
      </c>
      <c r="I88" s="105">
        <v>11388</v>
      </c>
      <c r="J88" s="105">
        <v>10</v>
      </c>
      <c r="K88" s="105">
        <v>8760</v>
      </c>
      <c r="L88" s="105">
        <v>13</v>
      </c>
      <c r="M88" s="105">
        <v>11388</v>
      </c>
      <c r="N88" s="105">
        <v>11</v>
      </c>
      <c r="O88" s="105">
        <v>9636</v>
      </c>
      <c r="P88" s="105">
        <v>16</v>
      </c>
      <c r="Q88" s="105">
        <v>14016</v>
      </c>
      <c r="R88" s="105">
        <v>9</v>
      </c>
      <c r="S88" s="105">
        <v>7884</v>
      </c>
      <c r="T88" s="105">
        <v>10</v>
      </c>
      <c r="U88" s="105">
        <v>8760</v>
      </c>
      <c r="V88" s="105">
        <v>13</v>
      </c>
      <c r="W88" s="105">
        <v>11388</v>
      </c>
      <c r="X88" s="105">
        <v>11</v>
      </c>
      <c r="Y88" s="105">
        <v>9636</v>
      </c>
      <c r="Z88" s="105">
        <v>15</v>
      </c>
      <c r="AA88" s="105">
        <v>13140</v>
      </c>
      <c r="AB88" s="105">
        <v>13</v>
      </c>
      <c r="AC88" s="105">
        <v>11388</v>
      </c>
      <c r="AD88" s="105">
        <v>16</v>
      </c>
      <c r="AE88" s="105">
        <v>14016</v>
      </c>
      <c r="AF88" s="105">
        <v>17</v>
      </c>
      <c r="AG88" s="105">
        <v>14892</v>
      </c>
      <c r="AH88" s="105">
        <v>15</v>
      </c>
      <c r="AI88" s="105">
        <v>13140</v>
      </c>
      <c r="AJ88" s="105">
        <v>7.662635483569141</v>
      </c>
      <c r="AK88" s="105">
        <v>6712.4686836065675</v>
      </c>
      <c r="AL88" s="105">
        <v>12</v>
      </c>
      <c r="AM88" s="105">
        <v>10512</v>
      </c>
      <c r="AN88" s="105">
        <v>10</v>
      </c>
      <c r="AO88" s="105">
        <v>8760</v>
      </c>
      <c r="AP88" s="105">
        <v>9</v>
      </c>
      <c r="AQ88" s="105">
        <v>7884</v>
      </c>
      <c r="AR88" s="105">
        <v>18</v>
      </c>
      <c r="AS88" s="105">
        <v>15768</v>
      </c>
      <c r="AT88" s="105">
        <v>16</v>
      </c>
      <c r="AU88" s="105">
        <v>14016</v>
      </c>
      <c r="AV88" s="105">
        <v>13</v>
      </c>
      <c r="AW88" s="105">
        <v>11388</v>
      </c>
      <c r="AX88" s="105">
        <v>11</v>
      </c>
      <c r="AY88" s="105">
        <v>9636</v>
      </c>
      <c r="AZ88" s="105">
        <v>13</v>
      </c>
      <c r="BA88" s="105">
        <v>11388</v>
      </c>
      <c r="BB88" s="105">
        <v>16</v>
      </c>
      <c r="BC88" s="105">
        <v>14016</v>
      </c>
      <c r="BD88" s="105">
        <v>12</v>
      </c>
      <c r="BE88" s="105">
        <v>10512</v>
      </c>
      <c r="BF88" s="105">
        <v>9</v>
      </c>
      <c r="BG88" s="105">
        <v>7884</v>
      </c>
      <c r="BH88" s="105">
        <v>14</v>
      </c>
      <c r="BI88" s="105">
        <v>12264</v>
      </c>
      <c r="BJ88" s="105">
        <v>10</v>
      </c>
      <c r="BK88" s="105">
        <v>8760</v>
      </c>
      <c r="BL88" s="105">
        <v>16</v>
      </c>
      <c r="BM88" s="105">
        <v>14016</v>
      </c>
      <c r="BN88" s="105">
        <v>12</v>
      </c>
      <c r="BO88" s="105">
        <v>10512</v>
      </c>
      <c r="BP88" s="105">
        <v>14</v>
      </c>
      <c r="BQ88" s="105">
        <v>12264</v>
      </c>
      <c r="BR88" s="105">
        <v>12</v>
      </c>
      <c r="BS88" s="105">
        <v>10512</v>
      </c>
      <c r="BT88" s="105">
        <v>12</v>
      </c>
      <c r="BU88" s="105">
        <v>10512</v>
      </c>
      <c r="BV88" s="105">
        <v>13</v>
      </c>
      <c r="BW88" s="105">
        <v>11388</v>
      </c>
      <c r="BX88" s="105">
        <v>12</v>
      </c>
      <c r="BY88" s="105">
        <v>10512</v>
      </c>
      <c r="BZ88" s="105">
        <v>18</v>
      </c>
      <c r="CA88" s="105">
        <v>15768</v>
      </c>
      <c r="CB88" s="105">
        <v>13</v>
      </c>
      <c r="CC88" s="105">
        <v>11388</v>
      </c>
      <c r="CD88" s="105">
        <v>15</v>
      </c>
      <c r="CE88" s="105">
        <v>13140</v>
      </c>
      <c r="CF88" s="105">
        <v>13</v>
      </c>
      <c r="CG88" s="105">
        <v>11388</v>
      </c>
      <c r="CH88" s="105">
        <v>17</v>
      </c>
      <c r="CI88" s="105">
        <v>14892</v>
      </c>
      <c r="CJ88" s="105">
        <v>14</v>
      </c>
      <c r="CK88" s="105">
        <v>12264</v>
      </c>
      <c r="CL88" s="105">
        <v>19.965833080815436</v>
      </c>
      <c r="CM88" s="105">
        <v>17490.069778794321</v>
      </c>
      <c r="CN88" s="105">
        <v>16.760107153319485</v>
      </c>
      <c r="CO88" s="105">
        <v>14681.853866307869</v>
      </c>
      <c r="CP88" s="105">
        <v>12</v>
      </c>
      <c r="CQ88" s="105">
        <v>10512</v>
      </c>
      <c r="CR88" s="105">
        <v>20</v>
      </c>
      <c r="CS88" s="105">
        <v>17520</v>
      </c>
      <c r="CT88" s="105">
        <v>11</v>
      </c>
      <c r="CU88" s="105">
        <v>9636</v>
      </c>
    </row>
    <row r="89" spans="2:99" x14ac:dyDescent="0.2">
      <c r="C89" s="104" t="s">
        <v>257</v>
      </c>
      <c r="D89" s="105">
        <v>12.916092433879324</v>
      </c>
      <c r="E89" s="105">
        <v>7532.6651074384208</v>
      </c>
      <c r="F89" s="105">
        <v>13.214082671910575</v>
      </c>
      <c r="G89" s="105">
        <v>7706.4530142582462</v>
      </c>
      <c r="H89" s="105">
        <v>17</v>
      </c>
      <c r="I89" s="105">
        <v>9914.4</v>
      </c>
      <c r="J89" s="105">
        <v>11</v>
      </c>
      <c r="K89" s="105">
        <v>6415.1999999999989</v>
      </c>
      <c r="L89" s="105">
        <v>15</v>
      </c>
      <c r="M89" s="105">
        <v>8747.9999999999982</v>
      </c>
      <c r="N89" s="105">
        <v>11</v>
      </c>
      <c r="O89" s="105">
        <v>6415.1999999999989</v>
      </c>
      <c r="P89" s="105">
        <v>16</v>
      </c>
      <c r="Q89" s="105">
        <v>9331.1999999999989</v>
      </c>
      <c r="R89" s="105">
        <v>8</v>
      </c>
      <c r="S89" s="105">
        <v>4665.5999999999995</v>
      </c>
      <c r="T89" s="105">
        <v>10</v>
      </c>
      <c r="U89" s="105">
        <v>5831.9999999999991</v>
      </c>
      <c r="V89" s="105">
        <v>12</v>
      </c>
      <c r="W89" s="105">
        <v>6998.4</v>
      </c>
      <c r="X89" s="105">
        <v>11</v>
      </c>
      <c r="Y89" s="105">
        <v>6415.1999999999989</v>
      </c>
      <c r="Z89" s="105">
        <v>15</v>
      </c>
      <c r="AA89" s="105">
        <v>8747.9999999999982</v>
      </c>
      <c r="AB89" s="105">
        <v>13</v>
      </c>
      <c r="AC89" s="105">
        <v>7581.5999999999995</v>
      </c>
      <c r="AD89" s="105">
        <v>18</v>
      </c>
      <c r="AE89" s="105">
        <v>10497.599999999999</v>
      </c>
      <c r="AF89" s="105">
        <v>17</v>
      </c>
      <c r="AG89" s="105">
        <v>9914.4</v>
      </c>
      <c r="AH89" s="105">
        <v>15</v>
      </c>
      <c r="AI89" s="105">
        <v>8747.9999999999982</v>
      </c>
      <c r="AJ89" s="105">
        <v>8.4288990319260559</v>
      </c>
      <c r="AK89" s="105">
        <v>4915.733915419275</v>
      </c>
      <c r="AL89" s="105">
        <v>12</v>
      </c>
      <c r="AM89" s="105">
        <v>6998.4</v>
      </c>
      <c r="AN89" s="105">
        <v>10</v>
      </c>
      <c r="AO89" s="105">
        <v>5831.9999999999991</v>
      </c>
      <c r="AP89" s="105">
        <v>10</v>
      </c>
      <c r="AQ89" s="105">
        <v>5831.9999999999991</v>
      </c>
      <c r="AR89" s="105">
        <v>17</v>
      </c>
      <c r="AS89" s="105">
        <v>9914.4</v>
      </c>
      <c r="AT89" s="105">
        <v>16</v>
      </c>
      <c r="AU89" s="105">
        <v>9331.1999999999989</v>
      </c>
      <c r="AV89" s="105">
        <v>13</v>
      </c>
      <c r="AW89" s="105">
        <v>7581.5999999999995</v>
      </c>
      <c r="AX89" s="105">
        <v>13</v>
      </c>
      <c r="AY89" s="105">
        <v>7581.5999999999995</v>
      </c>
      <c r="AZ89" s="105">
        <v>13</v>
      </c>
      <c r="BA89" s="105">
        <v>7581.5999999999995</v>
      </c>
      <c r="BB89" s="105">
        <v>14</v>
      </c>
      <c r="BC89" s="105">
        <v>8164.7999999999993</v>
      </c>
      <c r="BD89" s="105">
        <v>13</v>
      </c>
      <c r="BE89" s="105">
        <v>7581.5999999999995</v>
      </c>
      <c r="BF89" s="105">
        <v>10</v>
      </c>
      <c r="BG89" s="105">
        <v>5831.9999999999991</v>
      </c>
      <c r="BH89" s="105">
        <v>14</v>
      </c>
      <c r="BI89" s="105">
        <v>8164.7999999999993</v>
      </c>
      <c r="BJ89" s="105">
        <v>10</v>
      </c>
      <c r="BK89" s="105">
        <v>5831.9999999999991</v>
      </c>
      <c r="BL89" s="105">
        <v>16</v>
      </c>
      <c r="BM89" s="105">
        <v>9331.1999999999989</v>
      </c>
      <c r="BN89" s="105">
        <v>11</v>
      </c>
      <c r="BO89" s="105">
        <v>6415.1999999999989</v>
      </c>
      <c r="BP89" s="105">
        <v>13</v>
      </c>
      <c r="BQ89" s="105">
        <v>7581.5999999999995</v>
      </c>
      <c r="BR89" s="105">
        <v>11</v>
      </c>
      <c r="BS89" s="105">
        <v>6415.1999999999989</v>
      </c>
      <c r="BT89" s="105">
        <v>14</v>
      </c>
      <c r="BU89" s="105">
        <v>8164.7999999999993</v>
      </c>
      <c r="BV89" s="105">
        <v>15</v>
      </c>
      <c r="BW89" s="105">
        <v>8747.9999999999982</v>
      </c>
      <c r="BX89" s="105">
        <v>13</v>
      </c>
      <c r="BY89" s="105">
        <v>7581.5999999999995</v>
      </c>
      <c r="BZ89" s="105">
        <v>18</v>
      </c>
      <c r="CA89" s="105">
        <v>10497.599999999999</v>
      </c>
      <c r="CB89" s="105">
        <v>15</v>
      </c>
      <c r="CC89" s="105">
        <v>8747.9999999999982</v>
      </c>
      <c r="CD89" s="105">
        <v>16</v>
      </c>
      <c r="CE89" s="105">
        <v>9331.1999999999989</v>
      </c>
      <c r="CF89" s="105">
        <v>12</v>
      </c>
      <c r="CG89" s="105">
        <v>6998.4</v>
      </c>
      <c r="CH89" s="105">
        <v>16</v>
      </c>
      <c r="CI89" s="105">
        <v>9331.1999999999989</v>
      </c>
      <c r="CJ89" s="105">
        <v>13</v>
      </c>
      <c r="CK89" s="105">
        <v>7581.5999999999995</v>
      </c>
      <c r="CL89" s="105">
        <v>18.967541426774666</v>
      </c>
      <c r="CM89" s="105">
        <v>11061.870160094984</v>
      </c>
      <c r="CN89" s="105">
        <v>17.69122421739279</v>
      </c>
      <c r="CO89" s="105">
        <v>10317.521963583475</v>
      </c>
      <c r="CP89" s="105">
        <v>12</v>
      </c>
      <c r="CQ89" s="105">
        <v>6998.4</v>
      </c>
      <c r="CR89" s="105">
        <v>18</v>
      </c>
      <c r="CS89" s="105">
        <v>10497.599999999999</v>
      </c>
      <c r="CT89" s="105">
        <v>13</v>
      </c>
      <c r="CU89" s="105">
        <v>7581.5999999999995</v>
      </c>
    </row>
    <row r="90" spans="2:99" x14ac:dyDescent="0.2">
      <c r="C90" s="104" t="s">
        <v>258</v>
      </c>
      <c r="D90" s="105">
        <v>10.33287394710346</v>
      </c>
      <c r="E90" s="105">
        <v>8456.4240383094711</v>
      </c>
      <c r="F90" s="105">
        <v>14.214082671910575</v>
      </c>
      <c r="G90" s="105">
        <v>11632.805258691615</v>
      </c>
      <c r="H90" s="105">
        <v>16</v>
      </c>
      <c r="I90" s="105">
        <v>13094.4</v>
      </c>
      <c r="J90" s="105">
        <v>9</v>
      </c>
      <c r="K90" s="105">
        <v>7365.5999999999995</v>
      </c>
      <c r="L90" s="105">
        <v>15</v>
      </c>
      <c r="M90" s="105">
        <v>12276</v>
      </c>
      <c r="N90" s="105">
        <v>11</v>
      </c>
      <c r="O90" s="105">
        <v>9002.4</v>
      </c>
      <c r="P90" s="105">
        <v>15</v>
      </c>
      <c r="Q90" s="105">
        <v>12276</v>
      </c>
      <c r="R90" s="105">
        <v>8</v>
      </c>
      <c r="S90" s="105">
        <v>6547.2</v>
      </c>
      <c r="T90" s="105">
        <v>11</v>
      </c>
      <c r="U90" s="105">
        <v>9002.4</v>
      </c>
      <c r="V90" s="105">
        <v>11</v>
      </c>
      <c r="W90" s="105">
        <v>9002.4</v>
      </c>
      <c r="X90" s="105">
        <v>10</v>
      </c>
      <c r="Y90" s="105">
        <v>8184</v>
      </c>
      <c r="Z90" s="105">
        <v>16</v>
      </c>
      <c r="AA90" s="105">
        <v>13094.4</v>
      </c>
      <c r="AB90" s="105">
        <v>12</v>
      </c>
      <c r="AC90" s="105">
        <v>9820.7999999999993</v>
      </c>
      <c r="AD90" s="105">
        <v>18</v>
      </c>
      <c r="AE90" s="105">
        <v>14731.199999999999</v>
      </c>
      <c r="AF90" s="105">
        <v>18</v>
      </c>
      <c r="AG90" s="105">
        <v>14731.199999999999</v>
      </c>
      <c r="AH90" s="105">
        <v>15</v>
      </c>
      <c r="AI90" s="105">
        <v>12276</v>
      </c>
      <c r="AJ90" s="105">
        <v>7.662635483569141</v>
      </c>
      <c r="AK90" s="105">
        <v>6271.1008797529848</v>
      </c>
      <c r="AL90" s="105">
        <v>13</v>
      </c>
      <c r="AM90" s="105">
        <v>10639.199999999999</v>
      </c>
      <c r="AN90" s="105">
        <v>10</v>
      </c>
      <c r="AO90" s="105">
        <v>8184</v>
      </c>
      <c r="AP90" s="105">
        <v>9</v>
      </c>
      <c r="AQ90" s="105">
        <v>7365.5999999999995</v>
      </c>
      <c r="AR90" s="105">
        <v>17</v>
      </c>
      <c r="AS90" s="105">
        <v>13912.8</v>
      </c>
      <c r="AT90" s="105">
        <v>16</v>
      </c>
      <c r="AU90" s="105">
        <v>13094.4</v>
      </c>
      <c r="AV90" s="105">
        <v>12</v>
      </c>
      <c r="AW90" s="105">
        <v>9820.7999999999993</v>
      </c>
      <c r="AX90" s="105">
        <v>11</v>
      </c>
      <c r="AY90" s="105">
        <v>9002.4</v>
      </c>
      <c r="AZ90" s="105">
        <v>13</v>
      </c>
      <c r="BA90" s="105">
        <v>10639.199999999999</v>
      </c>
      <c r="BB90" s="105">
        <v>15</v>
      </c>
      <c r="BC90" s="105">
        <v>12276</v>
      </c>
      <c r="BD90" s="105">
        <v>14</v>
      </c>
      <c r="BE90" s="105">
        <v>11457.6</v>
      </c>
      <c r="BF90" s="105">
        <v>9</v>
      </c>
      <c r="BG90" s="105">
        <v>7365.5999999999995</v>
      </c>
      <c r="BH90" s="105">
        <v>13</v>
      </c>
      <c r="BI90" s="105">
        <v>10639.199999999999</v>
      </c>
      <c r="BJ90" s="105">
        <v>10</v>
      </c>
      <c r="BK90" s="105">
        <v>8184</v>
      </c>
      <c r="BL90" s="105">
        <v>16</v>
      </c>
      <c r="BM90" s="105">
        <v>13094.4</v>
      </c>
      <c r="BN90" s="105">
        <v>13</v>
      </c>
      <c r="BO90" s="105">
        <v>10639.199999999999</v>
      </c>
      <c r="BP90" s="105">
        <v>13</v>
      </c>
      <c r="BQ90" s="105">
        <v>10639.199999999999</v>
      </c>
      <c r="BR90" s="105">
        <v>11</v>
      </c>
      <c r="BS90" s="105">
        <v>9002.4</v>
      </c>
      <c r="BT90" s="105">
        <v>12</v>
      </c>
      <c r="BU90" s="105">
        <v>9820.7999999999993</v>
      </c>
      <c r="BV90" s="105">
        <v>13</v>
      </c>
      <c r="BW90" s="105">
        <v>10639.199999999999</v>
      </c>
      <c r="BX90" s="105">
        <v>12</v>
      </c>
      <c r="BY90" s="105">
        <v>9820.7999999999993</v>
      </c>
      <c r="BZ90" s="105">
        <v>18</v>
      </c>
      <c r="CA90" s="105">
        <v>14731.199999999999</v>
      </c>
      <c r="CB90" s="105">
        <v>14</v>
      </c>
      <c r="CC90" s="105">
        <v>11457.6</v>
      </c>
      <c r="CD90" s="105">
        <v>15</v>
      </c>
      <c r="CE90" s="105">
        <v>12276</v>
      </c>
      <c r="CF90" s="105">
        <v>12</v>
      </c>
      <c r="CG90" s="105">
        <v>9820.7999999999993</v>
      </c>
      <c r="CH90" s="105">
        <v>15</v>
      </c>
      <c r="CI90" s="105">
        <v>12276</v>
      </c>
      <c r="CJ90" s="105">
        <v>14</v>
      </c>
      <c r="CK90" s="105">
        <v>11457.6</v>
      </c>
      <c r="CL90" s="105">
        <v>20.964124734856206</v>
      </c>
      <c r="CM90" s="105">
        <v>17157.039683006318</v>
      </c>
      <c r="CN90" s="105">
        <v>15.828990089246181</v>
      </c>
      <c r="CO90" s="105">
        <v>12954.445489039075</v>
      </c>
      <c r="CP90" s="105">
        <v>14</v>
      </c>
      <c r="CQ90" s="105">
        <v>11457.6</v>
      </c>
      <c r="CR90" s="105">
        <v>19</v>
      </c>
      <c r="CS90" s="105">
        <v>15549.6</v>
      </c>
      <c r="CT90" s="105">
        <v>12</v>
      </c>
      <c r="CU90" s="105">
        <v>9820.7999999999993</v>
      </c>
    </row>
    <row r="91" spans="2:99" x14ac:dyDescent="0.2">
      <c r="C91" s="104" t="s">
        <v>259</v>
      </c>
      <c r="D91" s="105">
        <v>11.193946776028749</v>
      </c>
      <c r="E91" s="105">
        <v>8798.4421659585969</v>
      </c>
      <c r="F91" s="105">
        <v>12.214082671910575</v>
      </c>
      <c r="G91" s="105">
        <v>9600.2689801217111</v>
      </c>
      <c r="H91" s="105">
        <v>14</v>
      </c>
      <c r="I91" s="105">
        <v>11004</v>
      </c>
      <c r="J91" s="105">
        <v>10</v>
      </c>
      <c r="K91" s="105">
        <v>7860</v>
      </c>
      <c r="L91" s="105">
        <v>13</v>
      </c>
      <c r="M91" s="105">
        <v>10218</v>
      </c>
      <c r="N91" s="105">
        <v>12</v>
      </c>
      <c r="O91" s="105">
        <v>9432</v>
      </c>
      <c r="P91" s="105">
        <v>14</v>
      </c>
      <c r="Q91" s="105">
        <v>11004</v>
      </c>
      <c r="R91" s="105">
        <v>8</v>
      </c>
      <c r="S91" s="105">
        <v>6288</v>
      </c>
      <c r="T91" s="105">
        <v>10</v>
      </c>
      <c r="U91" s="105">
        <v>7860</v>
      </c>
      <c r="V91" s="105">
        <v>11</v>
      </c>
      <c r="W91" s="105">
        <v>8646</v>
      </c>
      <c r="X91" s="105">
        <v>11</v>
      </c>
      <c r="Y91" s="105">
        <v>8646</v>
      </c>
      <c r="Z91" s="105">
        <v>15</v>
      </c>
      <c r="AA91" s="105">
        <v>11790</v>
      </c>
      <c r="AB91" s="105">
        <v>15</v>
      </c>
      <c r="AC91" s="105">
        <v>11790</v>
      </c>
      <c r="AD91" s="105">
        <v>15</v>
      </c>
      <c r="AE91" s="105">
        <v>11790</v>
      </c>
      <c r="AF91" s="105">
        <v>18</v>
      </c>
      <c r="AG91" s="105">
        <v>14148</v>
      </c>
      <c r="AH91" s="105">
        <v>17</v>
      </c>
      <c r="AI91" s="105">
        <v>13362</v>
      </c>
      <c r="AJ91" s="105">
        <v>7.662635483569141</v>
      </c>
      <c r="AK91" s="105">
        <v>6022.8314900853447</v>
      </c>
      <c r="AL91" s="105">
        <v>12</v>
      </c>
      <c r="AM91" s="105">
        <v>9432</v>
      </c>
      <c r="AN91" s="105">
        <v>11</v>
      </c>
      <c r="AO91" s="105">
        <v>8646</v>
      </c>
      <c r="AP91" s="105">
        <v>10</v>
      </c>
      <c r="AQ91" s="105">
        <v>7860</v>
      </c>
      <c r="AR91" s="105">
        <v>17</v>
      </c>
      <c r="AS91" s="105">
        <v>13362</v>
      </c>
      <c r="AT91" s="105">
        <v>16</v>
      </c>
      <c r="AU91" s="105">
        <v>12576</v>
      </c>
      <c r="AV91" s="105">
        <v>13</v>
      </c>
      <c r="AW91" s="105">
        <v>10218</v>
      </c>
      <c r="AX91" s="105">
        <v>12</v>
      </c>
      <c r="AY91" s="105">
        <v>9432</v>
      </c>
      <c r="AZ91" s="105">
        <v>13</v>
      </c>
      <c r="BA91" s="105">
        <v>10218</v>
      </c>
      <c r="BB91" s="105">
        <v>15</v>
      </c>
      <c r="BC91" s="105">
        <v>11790</v>
      </c>
      <c r="BD91" s="105">
        <v>13</v>
      </c>
      <c r="BE91" s="105">
        <v>10218</v>
      </c>
      <c r="BF91" s="105">
        <v>10</v>
      </c>
      <c r="BG91" s="105">
        <v>7860</v>
      </c>
      <c r="BH91" s="105">
        <v>13</v>
      </c>
      <c r="BI91" s="105">
        <v>10218</v>
      </c>
      <c r="BJ91" s="105">
        <v>11</v>
      </c>
      <c r="BK91" s="105">
        <v>8646</v>
      </c>
      <c r="BL91" s="105">
        <v>16</v>
      </c>
      <c r="BM91" s="105">
        <v>12576</v>
      </c>
      <c r="BN91" s="105">
        <v>11</v>
      </c>
      <c r="BO91" s="105">
        <v>8646</v>
      </c>
      <c r="BP91" s="105">
        <v>12</v>
      </c>
      <c r="BQ91" s="105">
        <v>9432</v>
      </c>
      <c r="BR91" s="105">
        <v>10</v>
      </c>
      <c r="BS91" s="105">
        <v>7860</v>
      </c>
      <c r="BT91" s="105">
        <v>13</v>
      </c>
      <c r="BU91" s="105">
        <v>10218</v>
      </c>
      <c r="BV91" s="105">
        <v>13</v>
      </c>
      <c r="BW91" s="105">
        <v>10218</v>
      </c>
      <c r="BX91" s="105">
        <v>12</v>
      </c>
      <c r="BY91" s="105">
        <v>9432</v>
      </c>
      <c r="BZ91" s="105">
        <v>17</v>
      </c>
      <c r="CA91" s="105">
        <v>13362</v>
      </c>
      <c r="CB91" s="105">
        <v>13</v>
      </c>
      <c r="CC91" s="105">
        <v>10218</v>
      </c>
      <c r="CD91" s="105">
        <v>17</v>
      </c>
      <c r="CE91" s="105">
        <v>13362</v>
      </c>
      <c r="CF91" s="105">
        <v>14</v>
      </c>
      <c r="CG91" s="105">
        <v>11004</v>
      </c>
      <c r="CH91" s="105">
        <v>15</v>
      </c>
      <c r="CI91" s="105">
        <v>11790</v>
      </c>
      <c r="CJ91" s="105">
        <v>13</v>
      </c>
      <c r="CK91" s="105">
        <v>10218</v>
      </c>
      <c r="CL91" s="105">
        <v>17.969249772733892</v>
      </c>
      <c r="CM91" s="105">
        <v>14123.83032136884</v>
      </c>
      <c r="CN91" s="105">
        <v>16.760107153319485</v>
      </c>
      <c r="CO91" s="105">
        <v>13173.444222509115</v>
      </c>
      <c r="CP91" s="105">
        <v>13</v>
      </c>
      <c r="CQ91" s="105">
        <v>10218</v>
      </c>
      <c r="CR91" s="105">
        <v>18</v>
      </c>
      <c r="CS91" s="105">
        <v>14148</v>
      </c>
      <c r="CT91" s="105">
        <v>13</v>
      </c>
      <c r="CU91" s="105">
        <v>10218</v>
      </c>
    </row>
    <row r="92" spans="2:99" x14ac:dyDescent="0.2">
      <c r="C92" s="104" t="s">
        <v>260</v>
      </c>
      <c r="D92" s="105">
        <v>11.193946776028749</v>
      </c>
      <c r="E92" s="105">
        <v>10490.966918494143</v>
      </c>
      <c r="F92" s="105">
        <v>14.214082671910575</v>
      </c>
      <c r="G92" s="105">
        <v>13321.438280114589</v>
      </c>
      <c r="H92" s="105">
        <v>15</v>
      </c>
      <c r="I92" s="105">
        <v>14057.999999999998</v>
      </c>
      <c r="J92" s="105">
        <v>9</v>
      </c>
      <c r="K92" s="105">
        <v>8434.7999999999993</v>
      </c>
      <c r="L92" s="105">
        <v>13</v>
      </c>
      <c r="M92" s="105">
        <v>12183.599999999999</v>
      </c>
      <c r="N92" s="105">
        <v>12</v>
      </c>
      <c r="O92" s="105">
        <v>11246.4</v>
      </c>
      <c r="P92" s="105">
        <v>15</v>
      </c>
      <c r="Q92" s="105">
        <v>14057.999999999998</v>
      </c>
      <c r="R92" s="105">
        <v>9</v>
      </c>
      <c r="S92" s="105">
        <v>8434.7999999999993</v>
      </c>
      <c r="T92" s="105">
        <v>10</v>
      </c>
      <c r="U92" s="105">
        <v>9372</v>
      </c>
      <c r="V92" s="105">
        <v>11</v>
      </c>
      <c r="W92" s="105">
        <v>10309.199999999999</v>
      </c>
      <c r="X92" s="105">
        <v>11</v>
      </c>
      <c r="Y92" s="105">
        <v>10309.199999999999</v>
      </c>
      <c r="Z92" s="105">
        <v>16</v>
      </c>
      <c r="AA92" s="105">
        <v>14995.199999999999</v>
      </c>
      <c r="AB92" s="105">
        <v>13</v>
      </c>
      <c r="AC92" s="105">
        <v>12183.599999999999</v>
      </c>
      <c r="AD92" s="105">
        <v>17</v>
      </c>
      <c r="AE92" s="105">
        <v>15932.4</v>
      </c>
      <c r="AF92" s="105">
        <v>15</v>
      </c>
      <c r="AG92" s="105">
        <v>14057.999999999998</v>
      </c>
      <c r="AH92" s="105">
        <v>14</v>
      </c>
      <c r="AI92" s="105">
        <v>13120.8</v>
      </c>
      <c r="AJ92" s="105">
        <v>8.4288990319260559</v>
      </c>
      <c r="AK92" s="105">
        <v>7899.5641727210987</v>
      </c>
      <c r="AL92" s="105">
        <v>12</v>
      </c>
      <c r="AM92" s="105">
        <v>11246.4</v>
      </c>
      <c r="AN92" s="105">
        <v>10</v>
      </c>
      <c r="AO92" s="105">
        <v>9372</v>
      </c>
      <c r="AP92" s="105">
        <v>9</v>
      </c>
      <c r="AQ92" s="105">
        <v>8434.7999999999993</v>
      </c>
      <c r="AR92" s="105">
        <v>16</v>
      </c>
      <c r="AS92" s="105">
        <v>14995.199999999999</v>
      </c>
      <c r="AT92" s="105">
        <v>16</v>
      </c>
      <c r="AU92" s="105">
        <v>14995.199999999999</v>
      </c>
      <c r="AV92" s="105">
        <v>13</v>
      </c>
      <c r="AW92" s="105">
        <v>12183.599999999999</v>
      </c>
      <c r="AX92" s="105">
        <v>12</v>
      </c>
      <c r="AY92" s="105">
        <v>11246.4</v>
      </c>
      <c r="AZ92" s="105">
        <v>14</v>
      </c>
      <c r="BA92" s="105">
        <v>13120.8</v>
      </c>
      <c r="BB92" s="105">
        <v>14</v>
      </c>
      <c r="BC92" s="105">
        <v>13120.8</v>
      </c>
      <c r="BD92" s="105">
        <v>14</v>
      </c>
      <c r="BE92" s="105">
        <v>13120.8</v>
      </c>
      <c r="BF92" s="105">
        <v>10</v>
      </c>
      <c r="BG92" s="105">
        <v>9372</v>
      </c>
      <c r="BH92" s="105">
        <v>13</v>
      </c>
      <c r="BI92" s="105">
        <v>12183.599999999999</v>
      </c>
      <c r="BJ92" s="105">
        <v>11</v>
      </c>
      <c r="BK92" s="105">
        <v>10309.199999999999</v>
      </c>
      <c r="BL92" s="105">
        <v>16</v>
      </c>
      <c r="BM92" s="105">
        <v>14995.199999999999</v>
      </c>
      <c r="BN92" s="105">
        <v>11</v>
      </c>
      <c r="BO92" s="105">
        <v>10309.199999999999</v>
      </c>
      <c r="BP92" s="105">
        <v>12</v>
      </c>
      <c r="BQ92" s="105">
        <v>11246.4</v>
      </c>
      <c r="BR92" s="105">
        <v>10</v>
      </c>
      <c r="BS92" s="105">
        <v>9372</v>
      </c>
      <c r="BT92" s="105">
        <v>14</v>
      </c>
      <c r="BU92" s="105">
        <v>13120.8</v>
      </c>
      <c r="BV92" s="105">
        <v>14</v>
      </c>
      <c r="BW92" s="105">
        <v>13120.8</v>
      </c>
      <c r="BX92" s="105">
        <v>11</v>
      </c>
      <c r="BY92" s="105">
        <v>10309.199999999999</v>
      </c>
      <c r="BZ92" s="105">
        <v>19</v>
      </c>
      <c r="CA92" s="105">
        <v>17806.8</v>
      </c>
      <c r="CB92" s="105">
        <v>14</v>
      </c>
      <c r="CC92" s="105">
        <v>13120.8</v>
      </c>
      <c r="CD92" s="105">
        <v>17</v>
      </c>
      <c r="CE92" s="105">
        <v>15932.4</v>
      </c>
      <c r="CF92" s="105">
        <v>12</v>
      </c>
      <c r="CG92" s="105">
        <v>11246.4</v>
      </c>
      <c r="CH92" s="105">
        <v>17</v>
      </c>
      <c r="CI92" s="105">
        <v>15932.4</v>
      </c>
      <c r="CJ92" s="105">
        <v>14</v>
      </c>
      <c r="CK92" s="105">
        <v>13120.8</v>
      </c>
      <c r="CL92" s="105">
        <v>19.965833080815436</v>
      </c>
      <c r="CM92" s="105">
        <v>18711.978763340227</v>
      </c>
      <c r="CN92" s="105">
        <v>16.760107153319485</v>
      </c>
      <c r="CO92" s="105">
        <v>15707.57242409102</v>
      </c>
      <c r="CP92" s="105">
        <v>14</v>
      </c>
      <c r="CQ92" s="105">
        <v>13120.8</v>
      </c>
      <c r="CR92" s="105">
        <v>18</v>
      </c>
      <c r="CS92" s="105">
        <v>16869.599999999999</v>
      </c>
      <c r="CT92" s="105">
        <v>11</v>
      </c>
      <c r="CU92" s="105">
        <v>10309.199999999999</v>
      </c>
    </row>
    <row r="93" spans="2:99" x14ac:dyDescent="0.2">
      <c r="C93" s="104" t="s">
        <v>261</v>
      </c>
      <c r="D93" s="105">
        <v>12.055019604954037</v>
      </c>
      <c r="E93" s="105">
        <v>7044.9534571351387</v>
      </c>
      <c r="F93" s="105">
        <v>13.214082671910575</v>
      </c>
      <c r="G93" s="105">
        <v>7722.3099134645399</v>
      </c>
      <c r="H93" s="105">
        <v>15</v>
      </c>
      <c r="I93" s="105">
        <v>8766</v>
      </c>
      <c r="J93" s="105">
        <v>10</v>
      </c>
      <c r="K93" s="105">
        <v>5844</v>
      </c>
      <c r="L93" s="105">
        <v>13</v>
      </c>
      <c r="M93" s="105">
        <v>7597.2</v>
      </c>
      <c r="N93" s="105">
        <v>12</v>
      </c>
      <c r="O93" s="105">
        <v>7012.7999999999993</v>
      </c>
      <c r="P93" s="105">
        <v>16</v>
      </c>
      <c r="Q93" s="105">
        <v>9350.4</v>
      </c>
      <c r="R93" s="105">
        <v>8</v>
      </c>
      <c r="S93" s="105">
        <v>4675.2</v>
      </c>
      <c r="T93" s="105">
        <v>10</v>
      </c>
      <c r="U93" s="105">
        <v>5844</v>
      </c>
      <c r="V93" s="105">
        <v>13</v>
      </c>
      <c r="W93" s="105">
        <v>7597.2</v>
      </c>
      <c r="X93" s="105">
        <v>11</v>
      </c>
      <c r="Y93" s="105">
        <v>6428.4</v>
      </c>
      <c r="Z93" s="105">
        <v>17</v>
      </c>
      <c r="AA93" s="105">
        <v>9934.7999999999993</v>
      </c>
      <c r="AB93" s="105">
        <v>13</v>
      </c>
      <c r="AC93" s="105">
        <v>7597.2</v>
      </c>
      <c r="AD93" s="105">
        <v>16</v>
      </c>
      <c r="AE93" s="105">
        <v>9350.4</v>
      </c>
      <c r="AF93" s="105">
        <v>16</v>
      </c>
      <c r="AG93" s="105">
        <v>9350.4</v>
      </c>
      <c r="AH93" s="105">
        <v>16</v>
      </c>
      <c r="AI93" s="105">
        <v>9350.4</v>
      </c>
      <c r="AJ93" s="105">
        <v>7.662635483569141</v>
      </c>
      <c r="AK93" s="105">
        <v>4478.0441765978057</v>
      </c>
      <c r="AL93" s="105">
        <v>12</v>
      </c>
      <c r="AM93" s="105">
        <v>7012.7999999999993</v>
      </c>
      <c r="AN93" s="105">
        <v>9</v>
      </c>
      <c r="AO93" s="105">
        <v>5259.5999999999995</v>
      </c>
      <c r="AP93" s="105">
        <v>10</v>
      </c>
      <c r="AQ93" s="105">
        <v>5844</v>
      </c>
      <c r="AR93" s="105">
        <v>18</v>
      </c>
      <c r="AS93" s="105">
        <v>10519.199999999999</v>
      </c>
      <c r="AT93" s="105">
        <v>15</v>
      </c>
      <c r="AU93" s="105">
        <v>8766</v>
      </c>
      <c r="AV93" s="105">
        <v>13</v>
      </c>
      <c r="AW93" s="105">
        <v>7597.2</v>
      </c>
      <c r="AX93" s="105">
        <v>12</v>
      </c>
      <c r="AY93" s="105">
        <v>7012.7999999999993</v>
      </c>
      <c r="AZ93" s="105">
        <v>14</v>
      </c>
      <c r="BA93" s="105">
        <v>8181.5999999999995</v>
      </c>
      <c r="BB93" s="105">
        <v>15</v>
      </c>
      <c r="BC93" s="105">
        <v>8766</v>
      </c>
      <c r="BD93" s="105">
        <v>13</v>
      </c>
      <c r="BE93" s="105">
        <v>7597.2</v>
      </c>
      <c r="BF93" s="105">
        <v>10</v>
      </c>
      <c r="BG93" s="105">
        <v>5844</v>
      </c>
      <c r="BH93" s="105">
        <v>15</v>
      </c>
      <c r="BI93" s="105">
        <v>8766</v>
      </c>
      <c r="BJ93" s="105">
        <v>11</v>
      </c>
      <c r="BK93" s="105">
        <v>6428.4</v>
      </c>
      <c r="BL93" s="105">
        <v>15</v>
      </c>
      <c r="BM93" s="105">
        <v>8766</v>
      </c>
      <c r="BN93" s="105">
        <v>13</v>
      </c>
      <c r="BO93" s="105">
        <v>7597.2</v>
      </c>
      <c r="BP93" s="105">
        <v>14</v>
      </c>
      <c r="BQ93" s="105">
        <v>8181.5999999999995</v>
      </c>
      <c r="BR93" s="105">
        <v>11</v>
      </c>
      <c r="BS93" s="105">
        <v>6428.4</v>
      </c>
      <c r="BT93" s="105">
        <v>14</v>
      </c>
      <c r="BU93" s="105">
        <v>8181.5999999999995</v>
      </c>
      <c r="BV93" s="105">
        <v>14</v>
      </c>
      <c r="BW93" s="105">
        <v>8181.5999999999995</v>
      </c>
      <c r="BX93" s="105">
        <v>12</v>
      </c>
      <c r="BY93" s="105">
        <v>7012.7999999999993</v>
      </c>
      <c r="BZ93" s="105">
        <v>17</v>
      </c>
      <c r="CA93" s="105">
        <v>9934.7999999999993</v>
      </c>
      <c r="CB93" s="105">
        <v>14</v>
      </c>
      <c r="CC93" s="105">
        <v>8181.5999999999995</v>
      </c>
      <c r="CD93" s="105">
        <v>17</v>
      </c>
      <c r="CE93" s="105">
        <v>9934.7999999999993</v>
      </c>
      <c r="CF93" s="105">
        <v>13</v>
      </c>
      <c r="CG93" s="105">
        <v>7597.2</v>
      </c>
      <c r="CH93" s="105">
        <v>17</v>
      </c>
      <c r="CI93" s="105">
        <v>9934.7999999999993</v>
      </c>
      <c r="CJ93" s="105">
        <v>13</v>
      </c>
      <c r="CK93" s="105">
        <v>7597.2</v>
      </c>
      <c r="CL93" s="105">
        <v>20.964124734856206</v>
      </c>
      <c r="CM93" s="105">
        <v>12251.434495049967</v>
      </c>
      <c r="CN93" s="105">
        <v>17.69122421739279</v>
      </c>
      <c r="CO93" s="105">
        <v>10338.751432644347</v>
      </c>
      <c r="CP93" s="105">
        <v>12</v>
      </c>
      <c r="CQ93" s="105">
        <v>7012.7999999999993</v>
      </c>
      <c r="CR93" s="105">
        <v>21</v>
      </c>
      <c r="CS93" s="105">
        <v>12272.4</v>
      </c>
      <c r="CT93" s="105">
        <v>13</v>
      </c>
      <c r="CU93" s="105">
        <v>7597.2</v>
      </c>
    </row>
    <row r="94" spans="2:99" x14ac:dyDescent="0.2">
      <c r="C94" s="104" t="s">
        <v>262</v>
      </c>
      <c r="D94" s="105">
        <v>11.193946776028749</v>
      </c>
      <c r="E94" s="105">
        <v>8973.0677356646447</v>
      </c>
      <c r="F94" s="105">
        <v>14.214082671910575</v>
      </c>
      <c r="G94" s="105">
        <v>11394.008669803517</v>
      </c>
      <c r="H94" s="105">
        <v>15</v>
      </c>
      <c r="I94" s="105">
        <v>12024</v>
      </c>
      <c r="J94" s="105">
        <v>9</v>
      </c>
      <c r="K94" s="105">
        <v>7214.4000000000005</v>
      </c>
      <c r="L94" s="105">
        <v>12</v>
      </c>
      <c r="M94" s="105">
        <v>9619.2000000000007</v>
      </c>
      <c r="N94" s="105">
        <v>13</v>
      </c>
      <c r="O94" s="105">
        <v>10420.800000000001</v>
      </c>
      <c r="P94" s="105">
        <v>15</v>
      </c>
      <c r="Q94" s="105">
        <v>12024</v>
      </c>
      <c r="R94" s="105">
        <v>9</v>
      </c>
      <c r="S94" s="105">
        <v>7214.4000000000005</v>
      </c>
      <c r="T94" s="105">
        <v>10</v>
      </c>
      <c r="U94" s="105">
        <v>8016</v>
      </c>
      <c r="V94" s="105">
        <v>12</v>
      </c>
      <c r="W94" s="105">
        <v>9619.2000000000007</v>
      </c>
      <c r="X94" s="105">
        <v>11</v>
      </c>
      <c r="Y94" s="105">
        <v>8817.6</v>
      </c>
      <c r="Z94" s="105">
        <v>17</v>
      </c>
      <c r="AA94" s="105">
        <v>13627.2</v>
      </c>
      <c r="AB94" s="105">
        <v>13</v>
      </c>
      <c r="AC94" s="105">
        <v>10420.800000000001</v>
      </c>
      <c r="AD94" s="105">
        <v>18</v>
      </c>
      <c r="AE94" s="105">
        <v>14428.800000000001</v>
      </c>
      <c r="AF94" s="105">
        <v>16</v>
      </c>
      <c r="AG94" s="105">
        <v>12825.6</v>
      </c>
      <c r="AH94" s="105">
        <v>16</v>
      </c>
      <c r="AI94" s="105">
        <v>12825.6</v>
      </c>
      <c r="AJ94" s="105">
        <v>8.4288990319260559</v>
      </c>
      <c r="AK94" s="105">
        <v>6756.6054639919266</v>
      </c>
      <c r="AL94" s="105">
        <v>12</v>
      </c>
      <c r="AM94" s="105">
        <v>9619.2000000000007</v>
      </c>
      <c r="AN94" s="105">
        <v>10</v>
      </c>
      <c r="AO94" s="105">
        <v>8016</v>
      </c>
      <c r="AP94" s="105">
        <v>9</v>
      </c>
      <c r="AQ94" s="105">
        <v>7214.4000000000005</v>
      </c>
      <c r="AR94" s="105">
        <v>17</v>
      </c>
      <c r="AS94" s="105">
        <v>13627.2</v>
      </c>
      <c r="AT94" s="105">
        <v>16</v>
      </c>
      <c r="AU94" s="105">
        <v>12825.6</v>
      </c>
      <c r="AV94" s="105">
        <v>11</v>
      </c>
      <c r="AW94" s="105">
        <v>8817.6</v>
      </c>
      <c r="AX94" s="105">
        <v>12</v>
      </c>
      <c r="AY94" s="105">
        <v>9619.2000000000007</v>
      </c>
      <c r="AZ94" s="105">
        <v>14</v>
      </c>
      <c r="BA94" s="105">
        <v>11222.4</v>
      </c>
      <c r="BB94" s="105">
        <v>15</v>
      </c>
      <c r="BC94" s="105">
        <v>12024</v>
      </c>
      <c r="BD94" s="105">
        <v>13</v>
      </c>
      <c r="BE94" s="105">
        <v>10420.800000000001</v>
      </c>
      <c r="BF94" s="105">
        <v>9</v>
      </c>
      <c r="BG94" s="105">
        <v>7214.4000000000005</v>
      </c>
      <c r="BH94" s="105">
        <v>14</v>
      </c>
      <c r="BI94" s="105">
        <v>11222.4</v>
      </c>
      <c r="BJ94" s="105">
        <v>11</v>
      </c>
      <c r="BK94" s="105">
        <v>8817.6</v>
      </c>
      <c r="BL94" s="105">
        <v>15</v>
      </c>
      <c r="BM94" s="105">
        <v>12024</v>
      </c>
      <c r="BN94" s="105">
        <v>13</v>
      </c>
      <c r="BO94" s="105">
        <v>10420.800000000001</v>
      </c>
      <c r="BP94" s="105">
        <v>14</v>
      </c>
      <c r="BQ94" s="105">
        <v>11222.4</v>
      </c>
      <c r="BR94" s="105">
        <v>10</v>
      </c>
      <c r="BS94" s="105">
        <v>8016</v>
      </c>
      <c r="BT94" s="105">
        <v>14</v>
      </c>
      <c r="BU94" s="105">
        <v>11222.4</v>
      </c>
      <c r="BV94" s="105">
        <v>14</v>
      </c>
      <c r="BW94" s="105">
        <v>11222.4</v>
      </c>
      <c r="BX94" s="105">
        <v>11</v>
      </c>
      <c r="BY94" s="105">
        <v>8817.6</v>
      </c>
      <c r="BZ94" s="105">
        <v>18</v>
      </c>
      <c r="CA94" s="105">
        <v>14428.800000000001</v>
      </c>
      <c r="CB94" s="105">
        <v>13</v>
      </c>
      <c r="CC94" s="105">
        <v>10420.800000000001</v>
      </c>
      <c r="CD94" s="105">
        <v>17</v>
      </c>
      <c r="CE94" s="105">
        <v>13627.2</v>
      </c>
      <c r="CF94" s="105">
        <v>12</v>
      </c>
      <c r="CG94" s="105">
        <v>9619.2000000000007</v>
      </c>
      <c r="CH94" s="105">
        <v>18</v>
      </c>
      <c r="CI94" s="105">
        <v>14428.800000000001</v>
      </c>
      <c r="CJ94" s="105">
        <v>13</v>
      </c>
      <c r="CK94" s="105">
        <v>10420.800000000001</v>
      </c>
      <c r="CL94" s="105">
        <v>20.964124734856206</v>
      </c>
      <c r="CM94" s="105">
        <v>16804.842387460736</v>
      </c>
      <c r="CN94" s="105">
        <v>15.828990089246181</v>
      </c>
      <c r="CO94" s="105">
        <v>12688.518455539739</v>
      </c>
      <c r="CP94" s="105">
        <v>13</v>
      </c>
      <c r="CQ94" s="105">
        <v>10420.800000000001</v>
      </c>
      <c r="CR94" s="105">
        <v>17</v>
      </c>
      <c r="CS94" s="105">
        <v>13627.2</v>
      </c>
      <c r="CT94" s="105">
        <v>11</v>
      </c>
      <c r="CU94" s="105">
        <v>8817.6</v>
      </c>
    </row>
    <row r="95" spans="2:99" x14ac:dyDescent="0.2">
      <c r="B95" s="104" t="s">
        <v>132</v>
      </c>
      <c r="C95" s="104" t="s">
        <v>263</v>
      </c>
      <c r="D95" s="105">
        <v>14.638238091729903</v>
      </c>
      <c r="E95" s="105">
        <v>5621.0834272242828</v>
      </c>
      <c r="F95" s="105">
        <v>18.428165343821149</v>
      </c>
      <c r="G95" s="105">
        <v>7076.4154920273213</v>
      </c>
      <c r="H95" s="105">
        <v>15</v>
      </c>
      <c r="I95" s="105">
        <v>5760</v>
      </c>
      <c r="J95" s="105">
        <v>19</v>
      </c>
      <c r="K95" s="105">
        <v>7296</v>
      </c>
      <c r="L95" s="105">
        <v>20</v>
      </c>
      <c r="M95" s="105">
        <v>7680</v>
      </c>
      <c r="N95" s="105">
        <v>17</v>
      </c>
      <c r="O95" s="105">
        <v>6528</v>
      </c>
      <c r="P95" s="105">
        <v>11</v>
      </c>
      <c r="Q95" s="105">
        <v>4224</v>
      </c>
      <c r="R95" s="105">
        <v>17</v>
      </c>
      <c r="S95" s="105">
        <v>6528</v>
      </c>
      <c r="T95" s="105">
        <v>14</v>
      </c>
      <c r="U95" s="105">
        <v>5376</v>
      </c>
      <c r="V95" s="105">
        <v>12</v>
      </c>
      <c r="W95" s="105">
        <v>4608</v>
      </c>
      <c r="X95" s="105">
        <v>24</v>
      </c>
      <c r="Y95" s="105">
        <v>9216</v>
      </c>
      <c r="Z95" s="105">
        <v>25</v>
      </c>
      <c r="AA95" s="105">
        <v>9600</v>
      </c>
      <c r="AB95" s="105">
        <v>14</v>
      </c>
      <c r="AC95" s="105">
        <v>5376</v>
      </c>
      <c r="AD95" s="105">
        <v>22</v>
      </c>
      <c r="AE95" s="105">
        <v>8448</v>
      </c>
      <c r="AF95" s="105">
        <v>16</v>
      </c>
      <c r="AG95" s="105">
        <v>6144</v>
      </c>
      <c r="AH95" s="105">
        <v>20</v>
      </c>
      <c r="AI95" s="105">
        <v>7680</v>
      </c>
      <c r="AJ95" s="105">
        <v>17.624061612209022</v>
      </c>
      <c r="AK95" s="105">
        <v>6767.639659088265</v>
      </c>
      <c r="AL95" s="105">
        <v>13</v>
      </c>
      <c r="AM95" s="105">
        <v>4992</v>
      </c>
      <c r="AN95" s="105">
        <v>18</v>
      </c>
      <c r="AO95" s="105">
        <v>6912</v>
      </c>
      <c r="AP95" s="105">
        <v>13</v>
      </c>
      <c r="AQ95" s="105">
        <v>4992</v>
      </c>
      <c r="AR95" s="105">
        <v>19</v>
      </c>
      <c r="AS95" s="105">
        <v>7296</v>
      </c>
      <c r="AT95" s="105">
        <v>13</v>
      </c>
      <c r="AU95" s="105">
        <v>4992</v>
      </c>
      <c r="AV95" s="105">
        <v>22</v>
      </c>
      <c r="AW95" s="105">
        <v>8448</v>
      </c>
      <c r="AX95" s="105">
        <v>18</v>
      </c>
      <c r="AY95" s="105">
        <v>6912</v>
      </c>
      <c r="AZ95" s="105">
        <v>20</v>
      </c>
      <c r="BA95" s="105">
        <v>7680</v>
      </c>
      <c r="BB95" s="105">
        <v>25</v>
      </c>
      <c r="BC95" s="105">
        <v>9600</v>
      </c>
      <c r="BD95" s="105">
        <v>14</v>
      </c>
      <c r="BE95" s="105">
        <v>5376</v>
      </c>
      <c r="BF95" s="105">
        <v>24</v>
      </c>
      <c r="BG95" s="105">
        <v>9216</v>
      </c>
      <c r="BH95" s="105">
        <v>18</v>
      </c>
      <c r="BI95" s="105">
        <v>6912</v>
      </c>
      <c r="BJ95" s="105">
        <v>14</v>
      </c>
      <c r="BK95" s="105">
        <v>5376</v>
      </c>
      <c r="BL95" s="105">
        <v>14</v>
      </c>
      <c r="BM95" s="105">
        <v>5376</v>
      </c>
      <c r="BN95" s="105">
        <v>16</v>
      </c>
      <c r="BO95" s="105">
        <v>6144</v>
      </c>
      <c r="BP95" s="105">
        <v>25</v>
      </c>
      <c r="BQ95" s="105">
        <v>9600</v>
      </c>
      <c r="BR95" s="105">
        <v>15</v>
      </c>
      <c r="BS95" s="105">
        <v>5760</v>
      </c>
      <c r="BT95" s="105">
        <v>19</v>
      </c>
      <c r="BU95" s="105">
        <v>7296</v>
      </c>
      <c r="BV95" s="105">
        <v>14</v>
      </c>
      <c r="BW95" s="105">
        <v>5376</v>
      </c>
      <c r="BX95" s="105">
        <v>25</v>
      </c>
      <c r="BY95" s="105">
        <v>9600</v>
      </c>
      <c r="BZ95" s="105">
        <v>20</v>
      </c>
      <c r="CA95" s="105">
        <v>7680</v>
      </c>
      <c r="CB95" s="105">
        <v>17</v>
      </c>
      <c r="CC95" s="105">
        <v>6528</v>
      </c>
      <c r="CD95" s="105">
        <v>17</v>
      </c>
      <c r="CE95" s="105">
        <v>6528</v>
      </c>
      <c r="CF95" s="105">
        <v>21</v>
      </c>
      <c r="CG95" s="105">
        <v>8064</v>
      </c>
      <c r="CH95" s="105">
        <v>17</v>
      </c>
      <c r="CI95" s="105">
        <v>6528</v>
      </c>
      <c r="CJ95" s="105">
        <v>25</v>
      </c>
      <c r="CK95" s="105">
        <v>9600</v>
      </c>
      <c r="CL95" s="105">
        <v>20.964124734856206</v>
      </c>
      <c r="CM95" s="105">
        <v>8050.2238981847831</v>
      </c>
      <c r="CN95" s="105">
        <v>16.760107153319485</v>
      </c>
      <c r="CO95" s="105">
        <v>6435.8811468746826</v>
      </c>
      <c r="CP95" s="105">
        <v>18</v>
      </c>
      <c r="CQ95" s="105">
        <v>6912</v>
      </c>
      <c r="CR95" s="105">
        <v>15</v>
      </c>
      <c r="CS95" s="105">
        <v>5760</v>
      </c>
      <c r="CT95" s="105">
        <v>14</v>
      </c>
      <c r="CU95" s="105">
        <v>5376</v>
      </c>
    </row>
    <row r="96" spans="2:99" x14ac:dyDescent="0.2">
      <c r="C96" s="104" t="s">
        <v>264</v>
      </c>
      <c r="D96" s="105">
        <v>13.06741793837887</v>
      </c>
      <c r="E96" s="105">
        <v>10929.588363660087</v>
      </c>
      <c r="F96" s="105">
        <v>17.138796288582736</v>
      </c>
      <c r="G96" s="105">
        <v>14334.8892157706</v>
      </c>
      <c r="H96" s="105">
        <v>11.398208427975748</v>
      </c>
      <c r="I96" s="105">
        <v>9533.4615291589143</v>
      </c>
      <c r="J96" s="105">
        <v>14.108818276330034</v>
      </c>
      <c r="K96" s="105">
        <v>11800.615606322441</v>
      </c>
      <c r="L96" s="105">
        <v>19.831316985174226</v>
      </c>
      <c r="M96" s="105">
        <v>16586.913526399723</v>
      </c>
      <c r="N96" s="105">
        <v>15.296450932021544</v>
      </c>
      <c r="O96" s="105">
        <v>12793.95155954282</v>
      </c>
      <c r="P96" s="105">
        <v>10.610907090926109</v>
      </c>
      <c r="Q96" s="105">
        <v>8874.9626908505961</v>
      </c>
      <c r="R96" s="105">
        <v>16.353829913312666</v>
      </c>
      <c r="S96" s="105">
        <v>13678.343339494713</v>
      </c>
      <c r="T96" s="105">
        <v>8.8724312512579289</v>
      </c>
      <c r="U96" s="105">
        <v>7420.9014985521317</v>
      </c>
      <c r="V96" s="105">
        <v>9.8441042563561059</v>
      </c>
      <c r="W96" s="105">
        <v>8233.6088000162472</v>
      </c>
      <c r="X96" s="105">
        <v>13.413962255313219</v>
      </c>
      <c r="Y96" s="105">
        <v>11219.438030343976</v>
      </c>
      <c r="Z96" s="105">
        <v>14.331863646868756</v>
      </c>
      <c r="AA96" s="105">
        <v>11987.170754241028</v>
      </c>
      <c r="AB96" s="105">
        <v>11.770198533825718</v>
      </c>
      <c r="AC96" s="105">
        <v>9844.5940536918315</v>
      </c>
      <c r="AD96" s="105">
        <v>15.451216694840145</v>
      </c>
      <c r="AE96" s="105">
        <v>12923.397643564296</v>
      </c>
      <c r="AF96" s="105">
        <v>11.292946681418485</v>
      </c>
      <c r="AG96" s="105">
        <v>9445.4206043384202</v>
      </c>
      <c r="AH96" s="105">
        <v>15.727522405132959</v>
      </c>
      <c r="AI96" s="105">
        <v>13154.499739653207</v>
      </c>
      <c r="AJ96" s="105">
        <v>19.569683282659309</v>
      </c>
      <c r="AK96" s="105">
        <v>16368.083097616245</v>
      </c>
      <c r="AL96" s="105">
        <v>12.947378292169232</v>
      </c>
      <c r="AM96" s="105">
        <v>10829.187203570345</v>
      </c>
      <c r="AN96" s="105">
        <v>12.538428297340237</v>
      </c>
      <c r="AO96" s="105">
        <v>10487.141427895374</v>
      </c>
      <c r="AP96" s="105">
        <v>11.231047078730548</v>
      </c>
      <c r="AQ96" s="105">
        <v>9393.6477766502303</v>
      </c>
      <c r="AR96" s="105">
        <v>15.564086409998231</v>
      </c>
      <c r="AS96" s="105">
        <v>13017.80187332252</v>
      </c>
      <c r="AT96" s="105">
        <v>8.5035740481668363</v>
      </c>
      <c r="AU96" s="105">
        <v>7112.389333886742</v>
      </c>
      <c r="AV96" s="105">
        <v>20.745509717377104</v>
      </c>
      <c r="AW96" s="105">
        <v>17351.54432761421</v>
      </c>
      <c r="AX96" s="105">
        <v>11.60268777369134</v>
      </c>
      <c r="AY96" s="105">
        <v>9704.4880539154365</v>
      </c>
      <c r="AZ96" s="105">
        <v>15.887005927624751</v>
      </c>
      <c r="BA96" s="105">
        <v>13287.891757865342</v>
      </c>
      <c r="BB96" s="105">
        <v>17.21813231597984</v>
      </c>
      <c r="BC96" s="105">
        <v>14401.245869085538</v>
      </c>
      <c r="BD96" s="105">
        <v>7.486699140728784</v>
      </c>
      <c r="BE96" s="105">
        <v>6261.8751613055547</v>
      </c>
      <c r="BF96" s="105">
        <v>18.016435399605847</v>
      </c>
      <c r="BG96" s="105">
        <v>15068.946568230329</v>
      </c>
      <c r="BH96" s="105">
        <v>17.890550274553316</v>
      </c>
      <c r="BI96" s="105">
        <v>14963.656249636393</v>
      </c>
      <c r="BJ96" s="105">
        <v>10.798658069787649</v>
      </c>
      <c r="BK96" s="105">
        <v>9031.9976095703896</v>
      </c>
      <c r="BL96" s="105">
        <v>9.290308382124099</v>
      </c>
      <c r="BM96" s="105">
        <v>7770.413930808596</v>
      </c>
      <c r="BN96" s="105">
        <v>12.121181590065294</v>
      </c>
      <c r="BO96" s="105">
        <v>10138.156281930613</v>
      </c>
      <c r="BP96" s="105">
        <v>14.571231727293604</v>
      </c>
      <c r="BQ96" s="105">
        <v>12187.37821670837</v>
      </c>
      <c r="BR96" s="105">
        <v>11.123704190106935</v>
      </c>
      <c r="BS96" s="105">
        <v>9303.8661846054401</v>
      </c>
      <c r="BT96" s="105">
        <v>18.788479277600835</v>
      </c>
      <c r="BU96" s="105">
        <v>15714.684067785338</v>
      </c>
      <c r="BV96" s="105">
        <v>9.34682725343629</v>
      </c>
      <c r="BW96" s="105">
        <v>7817.6863147741124</v>
      </c>
      <c r="BX96" s="105">
        <v>19.939393069475319</v>
      </c>
      <c r="BY96" s="105">
        <v>16677.308363309156</v>
      </c>
      <c r="BZ96" s="105">
        <v>22.191990115079566</v>
      </c>
      <c r="CA96" s="105">
        <v>18561.380532252548</v>
      </c>
      <c r="CB96" s="105">
        <v>11.567121189535506</v>
      </c>
      <c r="CC96" s="105">
        <v>9674.7401629274973</v>
      </c>
      <c r="CD96" s="105">
        <v>14.803073892378402</v>
      </c>
      <c r="CE96" s="105">
        <v>12381.291003585295</v>
      </c>
      <c r="CF96" s="105">
        <v>16.594739127422237</v>
      </c>
      <c r="CG96" s="105">
        <v>13879.839806175958</v>
      </c>
      <c r="CH96" s="105">
        <v>14.683063589162197</v>
      </c>
      <c r="CI96" s="105">
        <v>12280.914385975262</v>
      </c>
      <c r="CJ96" s="105">
        <v>19.614699716827225</v>
      </c>
      <c r="CK96" s="105">
        <v>16405.734843154292</v>
      </c>
      <c r="CL96" s="105">
        <v>20.368980724473243</v>
      </c>
      <c r="CM96" s="105">
        <v>17036.615477949421</v>
      </c>
      <c r="CN96" s="105">
        <v>16.080205860865735</v>
      </c>
      <c r="CO96" s="105">
        <v>13449.4841820281</v>
      </c>
      <c r="CP96" s="105">
        <v>9.4503214277458234</v>
      </c>
      <c r="CQ96" s="105">
        <v>7904.2488421666067</v>
      </c>
      <c r="CR96" s="105">
        <v>10.07695359600096</v>
      </c>
      <c r="CS96" s="105">
        <v>8428.363987695202</v>
      </c>
      <c r="CT96" s="105">
        <v>11.417190983985318</v>
      </c>
      <c r="CU96" s="105">
        <v>9549.338539005319</v>
      </c>
    </row>
    <row r="97" spans="2:99" x14ac:dyDescent="0.2">
      <c r="C97" s="104" t="s">
        <v>265</v>
      </c>
      <c r="D97" s="105">
        <v>16.360383749580478</v>
      </c>
      <c r="E97" s="105">
        <v>4122.8167048942805</v>
      </c>
      <c r="F97" s="105">
        <v>18.428165343821149</v>
      </c>
      <c r="G97" s="105">
        <v>4643.8976666429298</v>
      </c>
      <c r="H97" s="105">
        <v>15</v>
      </c>
      <c r="I97" s="105">
        <v>3780</v>
      </c>
      <c r="J97" s="105">
        <v>19</v>
      </c>
      <c r="K97" s="105">
        <v>4788</v>
      </c>
      <c r="L97" s="105">
        <v>22</v>
      </c>
      <c r="M97" s="105">
        <v>5544</v>
      </c>
      <c r="N97" s="105">
        <v>17</v>
      </c>
      <c r="O97" s="105">
        <v>4284</v>
      </c>
      <c r="P97" s="105">
        <v>12</v>
      </c>
      <c r="Q97" s="105">
        <v>3024</v>
      </c>
      <c r="R97" s="105">
        <v>16</v>
      </c>
      <c r="S97" s="105">
        <v>4032</v>
      </c>
      <c r="T97" s="105">
        <v>14</v>
      </c>
      <c r="U97" s="105">
        <v>3528</v>
      </c>
      <c r="V97" s="105">
        <v>13</v>
      </c>
      <c r="W97" s="105">
        <v>3276</v>
      </c>
      <c r="X97" s="105">
        <v>23</v>
      </c>
      <c r="Y97" s="105">
        <v>5796</v>
      </c>
      <c r="Z97" s="105">
        <v>23</v>
      </c>
      <c r="AA97" s="105">
        <v>5796</v>
      </c>
      <c r="AB97" s="105">
        <v>15</v>
      </c>
      <c r="AC97" s="105">
        <v>3780</v>
      </c>
      <c r="AD97" s="105">
        <v>24</v>
      </c>
      <c r="AE97" s="105">
        <v>6048</v>
      </c>
      <c r="AF97" s="105">
        <v>19</v>
      </c>
      <c r="AG97" s="105">
        <v>4788</v>
      </c>
      <c r="AH97" s="105">
        <v>21</v>
      </c>
      <c r="AI97" s="105">
        <v>5292</v>
      </c>
      <c r="AJ97" s="105">
        <v>19.922852257279764</v>
      </c>
      <c r="AK97" s="105">
        <v>5020.5587688345004</v>
      </c>
      <c r="AL97" s="105">
        <v>15</v>
      </c>
      <c r="AM97" s="105">
        <v>3780</v>
      </c>
      <c r="AN97" s="105">
        <v>18</v>
      </c>
      <c r="AO97" s="105">
        <v>4536</v>
      </c>
      <c r="AP97" s="105">
        <v>13</v>
      </c>
      <c r="AQ97" s="105">
        <v>3276</v>
      </c>
      <c r="AR97" s="105">
        <v>21</v>
      </c>
      <c r="AS97" s="105">
        <v>5292</v>
      </c>
      <c r="AT97" s="105">
        <v>15</v>
      </c>
      <c r="AU97" s="105">
        <v>3780</v>
      </c>
      <c r="AV97" s="105">
        <v>23</v>
      </c>
      <c r="AW97" s="105">
        <v>5796</v>
      </c>
      <c r="AX97" s="105">
        <v>18</v>
      </c>
      <c r="AY97" s="105">
        <v>4536</v>
      </c>
      <c r="AZ97" s="105">
        <v>21</v>
      </c>
      <c r="BA97" s="105">
        <v>5292</v>
      </c>
      <c r="BB97" s="105">
        <v>22</v>
      </c>
      <c r="BC97" s="105">
        <v>5544</v>
      </c>
      <c r="BD97" s="105">
        <v>15</v>
      </c>
      <c r="BE97" s="105">
        <v>3780</v>
      </c>
      <c r="BF97" s="105">
        <v>25</v>
      </c>
      <c r="BG97" s="105">
        <v>6300</v>
      </c>
      <c r="BH97" s="105">
        <v>17</v>
      </c>
      <c r="BI97" s="105">
        <v>4284</v>
      </c>
      <c r="BJ97" s="105">
        <v>17</v>
      </c>
      <c r="BK97" s="105">
        <v>4284</v>
      </c>
      <c r="BL97" s="105">
        <v>13</v>
      </c>
      <c r="BM97" s="105">
        <v>3276</v>
      </c>
      <c r="BN97" s="105">
        <v>15</v>
      </c>
      <c r="BO97" s="105">
        <v>3780</v>
      </c>
      <c r="BP97" s="105">
        <v>23</v>
      </c>
      <c r="BQ97" s="105">
        <v>5796</v>
      </c>
      <c r="BR97" s="105">
        <v>17</v>
      </c>
      <c r="BS97" s="105">
        <v>4284</v>
      </c>
      <c r="BT97" s="105">
        <v>17</v>
      </c>
      <c r="BU97" s="105">
        <v>4284</v>
      </c>
      <c r="BV97" s="105">
        <v>15</v>
      </c>
      <c r="BW97" s="105">
        <v>3780</v>
      </c>
      <c r="BX97" s="105">
        <v>25</v>
      </c>
      <c r="BY97" s="105">
        <v>6300</v>
      </c>
      <c r="BZ97" s="105">
        <v>21</v>
      </c>
      <c r="CA97" s="105">
        <v>5292</v>
      </c>
      <c r="CB97" s="105">
        <v>17</v>
      </c>
      <c r="CC97" s="105">
        <v>4284</v>
      </c>
      <c r="CD97" s="105">
        <v>19</v>
      </c>
      <c r="CE97" s="105">
        <v>4788</v>
      </c>
      <c r="CF97" s="105">
        <v>22</v>
      </c>
      <c r="CG97" s="105">
        <v>5544</v>
      </c>
      <c r="CH97" s="105">
        <v>17</v>
      </c>
      <c r="CI97" s="105">
        <v>4284</v>
      </c>
      <c r="CJ97" s="105">
        <v>24</v>
      </c>
      <c r="CK97" s="105">
        <v>6048</v>
      </c>
      <c r="CL97" s="105">
        <v>21.962416388896983</v>
      </c>
      <c r="CM97" s="105">
        <v>5534.5289300020395</v>
      </c>
      <c r="CN97" s="105">
        <v>18.622341281466095</v>
      </c>
      <c r="CO97" s="105">
        <v>4692.830002929456</v>
      </c>
      <c r="CP97" s="105">
        <v>16</v>
      </c>
      <c r="CQ97" s="105">
        <v>4032</v>
      </c>
      <c r="CR97" s="105">
        <v>13</v>
      </c>
      <c r="CS97" s="105">
        <v>3276</v>
      </c>
      <c r="CT97" s="105">
        <v>15</v>
      </c>
      <c r="CU97" s="105">
        <v>3780</v>
      </c>
    </row>
    <row r="98" spans="2:99" x14ac:dyDescent="0.2">
      <c r="C98" s="104" t="s">
        <v>266</v>
      </c>
      <c r="D98" s="105">
        <v>14.638238091729903</v>
      </c>
      <c r="E98" s="105">
        <v>11909.67051143145</v>
      </c>
      <c r="F98" s="105">
        <v>18.356804453184292</v>
      </c>
      <c r="G98" s="105">
        <v>14935.09610311074</v>
      </c>
      <c r="H98" s="105">
        <v>12</v>
      </c>
      <c r="I98" s="105">
        <v>9763.2000000000007</v>
      </c>
      <c r="J98" s="105">
        <v>17</v>
      </c>
      <c r="K98" s="105">
        <v>13831.2</v>
      </c>
      <c r="L98" s="105">
        <v>19</v>
      </c>
      <c r="M98" s="105">
        <v>15458.4</v>
      </c>
      <c r="N98" s="105">
        <v>17</v>
      </c>
      <c r="O98" s="105">
        <v>13831.2</v>
      </c>
      <c r="P98" s="105">
        <v>12</v>
      </c>
      <c r="Q98" s="105">
        <v>9763.2000000000007</v>
      </c>
      <c r="R98" s="105">
        <v>16</v>
      </c>
      <c r="S98" s="105">
        <v>13017.6</v>
      </c>
      <c r="T98" s="105">
        <v>12</v>
      </c>
      <c r="U98" s="105">
        <v>9763.2000000000007</v>
      </c>
      <c r="V98" s="105">
        <v>13</v>
      </c>
      <c r="W98" s="105">
        <v>10576.800000000001</v>
      </c>
      <c r="X98" s="105">
        <v>23</v>
      </c>
      <c r="Y98" s="105">
        <v>18712.8</v>
      </c>
      <c r="Z98" s="105">
        <v>21</v>
      </c>
      <c r="AA98" s="105">
        <v>17085.600000000002</v>
      </c>
      <c r="AB98" s="105">
        <v>14</v>
      </c>
      <c r="AC98" s="105">
        <v>11390.4</v>
      </c>
      <c r="AD98" s="105">
        <v>21</v>
      </c>
      <c r="AE98" s="105">
        <v>17085.600000000002</v>
      </c>
      <c r="AF98" s="105">
        <v>18</v>
      </c>
      <c r="AG98" s="105">
        <v>14644.800000000001</v>
      </c>
      <c r="AH98" s="105">
        <v>17</v>
      </c>
      <c r="AI98" s="105">
        <v>13831.2</v>
      </c>
      <c r="AJ98" s="105">
        <v>17.624061612209022</v>
      </c>
      <c r="AK98" s="105">
        <v>14338.93652769326</v>
      </c>
      <c r="AL98" s="105">
        <v>14</v>
      </c>
      <c r="AM98" s="105">
        <v>11390.4</v>
      </c>
      <c r="AN98" s="105">
        <v>16</v>
      </c>
      <c r="AO98" s="105">
        <v>13017.6</v>
      </c>
      <c r="AP98" s="105">
        <v>11</v>
      </c>
      <c r="AQ98" s="105">
        <v>8949.6</v>
      </c>
      <c r="AR98" s="105">
        <v>19</v>
      </c>
      <c r="AS98" s="105">
        <v>15458.4</v>
      </c>
      <c r="AT98" s="105">
        <v>13</v>
      </c>
      <c r="AU98" s="105">
        <v>10576.800000000001</v>
      </c>
      <c r="AV98" s="105">
        <v>21</v>
      </c>
      <c r="AW98" s="105">
        <v>17085.600000000002</v>
      </c>
      <c r="AX98" s="105">
        <v>17</v>
      </c>
      <c r="AY98" s="105">
        <v>13831.2</v>
      </c>
      <c r="AZ98" s="105">
        <v>20</v>
      </c>
      <c r="BA98" s="105">
        <v>16272</v>
      </c>
      <c r="BB98" s="105">
        <v>22</v>
      </c>
      <c r="BC98" s="105">
        <v>17899.2</v>
      </c>
      <c r="BD98" s="105">
        <v>13</v>
      </c>
      <c r="BE98" s="105">
        <v>10576.800000000001</v>
      </c>
      <c r="BF98" s="105">
        <v>22</v>
      </c>
      <c r="BG98" s="105">
        <v>17899.2</v>
      </c>
      <c r="BH98" s="105">
        <v>17</v>
      </c>
      <c r="BI98" s="105">
        <v>13831.2</v>
      </c>
      <c r="BJ98" s="105">
        <v>13</v>
      </c>
      <c r="BK98" s="105">
        <v>10576.800000000001</v>
      </c>
      <c r="BL98" s="105">
        <v>12</v>
      </c>
      <c r="BM98" s="105">
        <v>9763.2000000000007</v>
      </c>
      <c r="BN98" s="105">
        <v>14</v>
      </c>
      <c r="BO98" s="105">
        <v>11390.4</v>
      </c>
      <c r="BP98" s="105">
        <v>22</v>
      </c>
      <c r="BQ98" s="105">
        <v>17899.2</v>
      </c>
      <c r="BR98" s="105">
        <v>17</v>
      </c>
      <c r="BS98" s="105">
        <v>13831.2</v>
      </c>
      <c r="BT98" s="105">
        <v>16</v>
      </c>
      <c r="BU98" s="105">
        <v>13017.6</v>
      </c>
      <c r="BV98" s="105">
        <v>14</v>
      </c>
      <c r="BW98" s="105">
        <v>11390.4</v>
      </c>
      <c r="BX98" s="105">
        <v>25</v>
      </c>
      <c r="BY98" s="105">
        <v>20340</v>
      </c>
      <c r="BZ98" s="105">
        <v>20</v>
      </c>
      <c r="CA98" s="105">
        <v>16272</v>
      </c>
      <c r="CB98" s="105">
        <v>17</v>
      </c>
      <c r="CC98" s="105">
        <v>13831.2</v>
      </c>
      <c r="CD98" s="105">
        <v>17</v>
      </c>
      <c r="CE98" s="105">
        <v>13831.2</v>
      </c>
      <c r="CF98" s="105">
        <v>20</v>
      </c>
      <c r="CG98" s="105">
        <v>16272</v>
      </c>
      <c r="CH98" s="105">
        <v>18</v>
      </c>
      <c r="CI98" s="105">
        <v>14644.800000000001</v>
      </c>
      <c r="CJ98" s="105">
        <v>22</v>
      </c>
      <c r="CK98" s="105">
        <v>17899.2</v>
      </c>
      <c r="CL98" s="105">
        <v>18.967541426774666</v>
      </c>
      <c r="CM98" s="105">
        <v>15431.991704823869</v>
      </c>
      <c r="CN98" s="105">
        <v>17.69122421739279</v>
      </c>
      <c r="CO98" s="105">
        <v>14393.580023270775</v>
      </c>
      <c r="CP98" s="105">
        <v>17</v>
      </c>
      <c r="CQ98" s="105">
        <v>13831.2</v>
      </c>
      <c r="CR98" s="105">
        <v>13</v>
      </c>
      <c r="CS98" s="105">
        <v>10576.800000000001</v>
      </c>
      <c r="CT98" s="105">
        <v>13</v>
      </c>
      <c r="CU98" s="105">
        <v>10576.800000000001</v>
      </c>
    </row>
    <row r="99" spans="2:99" x14ac:dyDescent="0.2">
      <c r="C99" s="104" t="s">
        <v>267</v>
      </c>
      <c r="D99" s="105">
        <v>9.4718011181781723</v>
      </c>
      <c r="E99" s="105">
        <v>36780.898102109473</v>
      </c>
      <c r="F99" s="105">
        <v>14.285443562547433</v>
      </c>
      <c r="G99" s="105">
        <v>55473.234442084191</v>
      </c>
      <c r="H99" s="105">
        <v>9</v>
      </c>
      <c r="I99" s="105">
        <v>34948.799999999996</v>
      </c>
      <c r="J99" s="105">
        <v>12</v>
      </c>
      <c r="K99" s="105">
        <v>46598.399999999994</v>
      </c>
      <c r="L99" s="105">
        <v>15</v>
      </c>
      <c r="M99" s="105">
        <v>58248</v>
      </c>
      <c r="N99" s="105">
        <v>13</v>
      </c>
      <c r="O99" s="105">
        <v>50481.599999999999</v>
      </c>
      <c r="P99" s="105">
        <v>9</v>
      </c>
      <c r="Q99" s="105">
        <v>34948.799999999996</v>
      </c>
      <c r="R99" s="105">
        <v>11</v>
      </c>
      <c r="S99" s="105">
        <v>42715.199999999997</v>
      </c>
      <c r="T99" s="105">
        <v>10</v>
      </c>
      <c r="U99" s="105">
        <v>38832</v>
      </c>
      <c r="V99" s="105">
        <v>8</v>
      </c>
      <c r="W99" s="105">
        <v>31065.599999999999</v>
      </c>
      <c r="X99" s="105">
        <v>15</v>
      </c>
      <c r="Y99" s="105">
        <v>58248</v>
      </c>
      <c r="Z99" s="105">
        <v>16</v>
      </c>
      <c r="AA99" s="105">
        <v>62131.199999999997</v>
      </c>
      <c r="AB99" s="105">
        <v>10</v>
      </c>
      <c r="AC99" s="105">
        <v>38832</v>
      </c>
      <c r="AD99" s="105">
        <v>15</v>
      </c>
      <c r="AE99" s="105">
        <v>58248</v>
      </c>
      <c r="AF99" s="105">
        <v>12</v>
      </c>
      <c r="AG99" s="105">
        <v>46598.399999999994</v>
      </c>
      <c r="AH99" s="105">
        <v>13</v>
      </c>
      <c r="AI99" s="105">
        <v>50481.599999999999</v>
      </c>
      <c r="AJ99" s="105">
        <v>13.026480322067538</v>
      </c>
      <c r="AK99" s="105">
        <v>50584.42838665266</v>
      </c>
      <c r="AL99" s="105">
        <v>9</v>
      </c>
      <c r="AM99" s="105">
        <v>34948.799999999996</v>
      </c>
      <c r="AN99" s="105">
        <v>11</v>
      </c>
      <c r="AO99" s="105">
        <v>42715.199999999997</v>
      </c>
      <c r="AP99" s="105">
        <v>9</v>
      </c>
      <c r="AQ99" s="105">
        <v>34948.799999999996</v>
      </c>
      <c r="AR99" s="105">
        <v>12</v>
      </c>
      <c r="AS99" s="105">
        <v>46598.399999999994</v>
      </c>
      <c r="AT99" s="105">
        <v>10</v>
      </c>
      <c r="AU99" s="105">
        <v>38832</v>
      </c>
      <c r="AV99" s="105">
        <v>16</v>
      </c>
      <c r="AW99" s="105">
        <v>62131.199999999997</v>
      </c>
      <c r="AX99" s="105">
        <v>12</v>
      </c>
      <c r="AY99" s="105">
        <v>46598.399999999994</v>
      </c>
      <c r="AZ99" s="105">
        <v>14</v>
      </c>
      <c r="BA99" s="105">
        <v>54364.799999999996</v>
      </c>
      <c r="BB99" s="105">
        <v>16</v>
      </c>
      <c r="BC99" s="105">
        <v>62131.199999999997</v>
      </c>
      <c r="BD99" s="105">
        <v>10</v>
      </c>
      <c r="BE99" s="105">
        <v>38832</v>
      </c>
      <c r="BF99" s="105">
        <v>18</v>
      </c>
      <c r="BG99" s="105">
        <v>69897.599999999991</v>
      </c>
      <c r="BH99" s="105">
        <v>11</v>
      </c>
      <c r="BI99" s="105">
        <v>42715.199999999997</v>
      </c>
      <c r="BJ99" s="105">
        <v>11</v>
      </c>
      <c r="BK99" s="105">
        <v>42715.199999999997</v>
      </c>
      <c r="BL99" s="105">
        <v>10</v>
      </c>
      <c r="BM99" s="105">
        <v>38832</v>
      </c>
      <c r="BN99" s="105">
        <v>11</v>
      </c>
      <c r="BO99" s="105">
        <v>42715.199999999997</v>
      </c>
      <c r="BP99" s="105">
        <v>16</v>
      </c>
      <c r="BQ99" s="105">
        <v>62131.199999999997</v>
      </c>
      <c r="BR99" s="105">
        <v>11</v>
      </c>
      <c r="BS99" s="105">
        <v>42715.199999999997</v>
      </c>
      <c r="BT99" s="105">
        <v>13</v>
      </c>
      <c r="BU99" s="105">
        <v>50481.599999999999</v>
      </c>
      <c r="BV99" s="105">
        <v>11</v>
      </c>
      <c r="BW99" s="105">
        <v>42715.199999999997</v>
      </c>
      <c r="BX99" s="105">
        <v>17</v>
      </c>
      <c r="BY99" s="105">
        <v>66014.399999999994</v>
      </c>
      <c r="BZ99" s="105">
        <v>16</v>
      </c>
      <c r="CA99" s="105">
        <v>62131.199999999997</v>
      </c>
      <c r="CB99" s="105">
        <v>11</v>
      </c>
      <c r="CC99" s="105">
        <v>42715.199999999997</v>
      </c>
      <c r="CD99" s="105">
        <v>12</v>
      </c>
      <c r="CE99" s="105">
        <v>46598.399999999994</v>
      </c>
      <c r="CF99" s="105">
        <v>17</v>
      </c>
      <c r="CG99" s="105">
        <v>66014.399999999994</v>
      </c>
      <c r="CH99" s="105">
        <v>12</v>
      </c>
      <c r="CI99" s="105">
        <v>46598.399999999994</v>
      </c>
      <c r="CJ99" s="105">
        <v>17</v>
      </c>
      <c r="CK99" s="105">
        <v>66014.399999999994</v>
      </c>
      <c r="CL99" s="105">
        <v>13.976083156570807</v>
      </c>
      <c r="CM99" s="105">
        <v>54271.926113595757</v>
      </c>
      <c r="CN99" s="105">
        <v>12.104521832952962</v>
      </c>
      <c r="CO99" s="105">
        <v>47004.279181722937</v>
      </c>
      <c r="CP99" s="105">
        <v>12</v>
      </c>
      <c r="CQ99" s="105">
        <v>46598.399999999994</v>
      </c>
      <c r="CR99" s="105">
        <v>9</v>
      </c>
      <c r="CS99" s="105">
        <v>34948.799999999996</v>
      </c>
      <c r="CT99" s="105">
        <v>10</v>
      </c>
      <c r="CU99" s="105">
        <v>38832</v>
      </c>
    </row>
    <row r="100" spans="2:99" x14ac:dyDescent="0.2">
      <c r="C100" s="104" t="s">
        <v>268</v>
      </c>
      <c r="D100" s="105">
        <v>12.916092433879324</v>
      </c>
      <c r="E100" s="105">
        <v>7145.1823344220411</v>
      </c>
      <c r="F100" s="105">
        <v>17.428165343821149</v>
      </c>
      <c r="G100" s="105">
        <v>9641.2610682018585</v>
      </c>
      <c r="H100" s="105">
        <v>13</v>
      </c>
      <c r="I100" s="105">
        <v>7191.5999999999995</v>
      </c>
      <c r="J100" s="105">
        <v>17</v>
      </c>
      <c r="K100" s="105">
        <v>9404.4</v>
      </c>
      <c r="L100" s="105">
        <v>20</v>
      </c>
      <c r="M100" s="105">
        <v>11063.999999999998</v>
      </c>
      <c r="N100" s="105">
        <v>18</v>
      </c>
      <c r="O100" s="105">
        <v>9957.5999999999985</v>
      </c>
      <c r="P100" s="105">
        <v>11</v>
      </c>
      <c r="Q100" s="105">
        <v>6085.1999999999989</v>
      </c>
      <c r="R100" s="105">
        <v>16</v>
      </c>
      <c r="S100" s="105">
        <v>8851.1999999999989</v>
      </c>
      <c r="T100" s="105">
        <v>13</v>
      </c>
      <c r="U100" s="105">
        <v>7191.5999999999995</v>
      </c>
      <c r="V100" s="105">
        <v>12</v>
      </c>
      <c r="W100" s="105">
        <v>6638.4</v>
      </c>
      <c r="X100" s="105">
        <v>24</v>
      </c>
      <c r="Y100" s="105">
        <v>13276.8</v>
      </c>
      <c r="Z100" s="105">
        <v>25</v>
      </c>
      <c r="AA100" s="105">
        <v>13829.999999999998</v>
      </c>
      <c r="AB100" s="105">
        <v>14</v>
      </c>
      <c r="AC100" s="105">
        <v>7744.7999999999993</v>
      </c>
      <c r="AD100" s="105">
        <v>24</v>
      </c>
      <c r="AE100" s="105">
        <v>13276.8</v>
      </c>
      <c r="AF100" s="105">
        <v>15</v>
      </c>
      <c r="AG100" s="105">
        <v>8297.9999999999982</v>
      </c>
      <c r="AH100" s="105">
        <v>17</v>
      </c>
      <c r="AI100" s="105">
        <v>9404.4</v>
      </c>
      <c r="AJ100" s="105">
        <v>19.922852257279764</v>
      </c>
      <c r="AK100" s="105">
        <v>11021.321868727164</v>
      </c>
      <c r="AL100" s="105">
        <v>13</v>
      </c>
      <c r="AM100" s="105">
        <v>7191.5999999999995</v>
      </c>
      <c r="AN100" s="105">
        <v>16</v>
      </c>
      <c r="AO100" s="105">
        <v>8851.1999999999989</v>
      </c>
      <c r="AP100" s="105">
        <v>12</v>
      </c>
      <c r="AQ100" s="105">
        <v>6638.4</v>
      </c>
      <c r="AR100" s="105">
        <v>18</v>
      </c>
      <c r="AS100" s="105">
        <v>9957.5999999999985</v>
      </c>
      <c r="AT100" s="105">
        <v>14</v>
      </c>
      <c r="AU100" s="105">
        <v>7744.7999999999993</v>
      </c>
      <c r="AV100" s="105">
        <v>21</v>
      </c>
      <c r="AW100" s="105">
        <v>11617.199999999999</v>
      </c>
      <c r="AX100" s="105">
        <v>17</v>
      </c>
      <c r="AY100" s="105">
        <v>9404.4</v>
      </c>
      <c r="AZ100" s="105">
        <v>20</v>
      </c>
      <c r="BA100" s="105">
        <v>11063.999999999998</v>
      </c>
      <c r="BB100" s="105">
        <v>24</v>
      </c>
      <c r="BC100" s="105">
        <v>13276.8</v>
      </c>
      <c r="BD100" s="105">
        <v>14</v>
      </c>
      <c r="BE100" s="105">
        <v>7744.7999999999993</v>
      </c>
      <c r="BF100" s="105">
        <v>26</v>
      </c>
      <c r="BG100" s="105">
        <v>14383.199999999999</v>
      </c>
      <c r="BH100" s="105">
        <v>17</v>
      </c>
      <c r="BI100" s="105">
        <v>9404.4</v>
      </c>
      <c r="BJ100" s="105">
        <v>14</v>
      </c>
      <c r="BK100" s="105">
        <v>7744.7999999999993</v>
      </c>
      <c r="BL100" s="105">
        <v>13</v>
      </c>
      <c r="BM100" s="105">
        <v>7191.5999999999995</v>
      </c>
      <c r="BN100" s="105">
        <v>14</v>
      </c>
      <c r="BO100" s="105">
        <v>7744.7999999999993</v>
      </c>
      <c r="BP100" s="105">
        <v>25</v>
      </c>
      <c r="BQ100" s="105">
        <v>13829.999999999998</v>
      </c>
      <c r="BR100" s="105">
        <v>16</v>
      </c>
      <c r="BS100" s="105">
        <v>8851.1999999999989</v>
      </c>
      <c r="BT100" s="105">
        <v>18</v>
      </c>
      <c r="BU100" s="105">
        <v>9957.5999999999985</v>
      </c>
      <c r="BV100" s="105">
        <v>14</v>
      </c>
      <c r="BW100" s="105">
        <v>7744.7999999999993</v>
      </c>
      <c r="BX100" s="105">
        <v>25</v>
      </c>
      <c r="BY100" s="105">
        <v>13829.999999999998</v>
      </c>
      <c r="BZ100" s="105">
        <v>21</v>
      </c>
      <c r="CA100" s="105">
        <v>11617.199999999999</v>
      </c>
      <c r="CB100" s="105">
        <v>16</v>
      </c>
      <c r="CC100" s="105">
        <v>8851.1999999999989</v>
      </c>
      <c r="CD100" s="105">
        <v>17</v>
      </c>
      <c r="CE100" s="105">
        <v>9404.4</v>
      </c>
      <c r="CF100" s="105">
        <v>22</v>
      </c>
      <c r="CG100" s="105">
        <v>12170.399999999998</v>
      </c>
      <c r="CH100" s="105">
        <v>20</v>
      </c>
      <c r="CI100" s="105">
        <v>11063.999999999998</v>
      </c>
      <c r="CJ100" s="105">
        <v>23</v>
      </c>
      <c r="CK100" s="105">
        <v>12723.599999999999</v>
      </c>
      <c r="CL100" s="105">
        <v>22.96070804293775</v>
      </c>
      <c r="CM100" s="105">
        <v>12701.863689353162</v>
      </c>
      <c r="CN100" s="105">
        <v>17.69122421739279</v>
      </c>
      <c r="CO100" s="105">
        <v>9786.7852370616911</v>
      </c>
      <c r="CP100" s="105">
        <v>17</v>
      </c>
      <c r="CQ100" s="105">
        <v>9404.4</v>
      </c>
      <c r="CR100" s="105">
        <v>12</v>
      </c>
      <c r="CS100" s="105">
        <v>6638.4</v>
      </c>
      <c r="CT100" s="105">
        <v>15</v>
      </c>
      <c r="CU100" s="105">
        <v>8297.9999999999982</v>
      </c>
    </row>
    <row r="101" spans="2:99" x14ac:dyDescent="0.2">
      <c r="C101" s="104" t="s">
        <v>269</v>
      </c>
      <c r="D101" s="105">
        <v>13.884131559527548</v>
      </c>
      <c r="E101" s="105">
        <v>11829.280088717471</v>
      </c>
      <c r="F101" s="105">
        <v>16.236754378657327</v>
      </c>
      <c r="G101" s="105">
        <v>13833.714730616042</v>
      </c>
      <c r="H101" s="105">
        <v>9.869276276881827</v>
      </c>
      <c r="I101" s="105">
        <v>8408.6233879033171</v>
      </c>
      <c r="J101" s="105">
        <v>13.324995038756144</v>
      </c>
      <c r="K101" s="105">
        <v>11352.895773020235</v>
      </c>
      <c r="L101" s="105">
        <v>19.831316985174226</v>
      </c>
      <c r="M101" s="105">
        <v>16896.282071368441</v>
      </c>
      <c r="N101" s="105">
        <v>12.832353886676755</v>
      </c>
      <c r="O101" s="105">
        <v>10933.165511448595</v>
      </c>
      <c r="P101" s="105">
        <v>10.610907090926109</v>
      </c>
      <c r="Q101" s="105">
        <v>9040.4928414690439</v>
      </c>
      <c r="R101" s="105">
        <v>17.353829913312666</v>
      </c>
      <c r="S101" s="105">
        <v>14785.46308614239</v>
      </c>
      <c r="T101" s="105">
        <v>8.8724312512579289</v>
      </c>
      <c r="U101" s="105">
        <v>7559.3114260717557</v>
      </c>
      <c r="V101" s="105">
        <v>9.8441042563561059</v>
      </c>
      <c r="W101" s="105">
        <v>8387.1768264154016</v>
      </c>
      <c r="X101" s="105">
        <v>15.424517137256002</v>
      </c>
      <c r="Y101" s="105">
        <v>13141.688600942114</v>
      </c>
      <c r="Z101" s="105">
        <v>14.331863646868756</v>
      </c>
      <c r="AA101" s="105">
        <v>12210.74782713218</v>
      </c>
      <c r="AB101" s="105">
        <v>12.043725546863323</v>
      </c>
      <c r="AC101" s="105">
        <v>10261.25416592755</v>
      </c>
      <c r="AD101" s="105">
        <v>17.794964156619901</v>
      </c>
      <c r="AE101" s="105">
        <v>15161.309461440156</v>
      </c>
      <c r="AF101" s="105">
        <v>11.95869748047352</v>
      </c>
      <c r="AG101" s="105">
        <v>10188.810253363439</v>
      </c>
      <c r="AH101" s="105">
        <v>14.865037985829238</v>
      </c>
      <c r="AI101" s="105">
        <v>12665.012363926511</v>
      </c>
      <c r="AJ101" s="105">
        <v>21.201293345593104</v>
      </c>
      <c r="AK101" s="105">
        <v>18063.501930445324</v>
      </c>
      <c r="AL101" s="105">
        <v>13.70516871473091</v>
      </c>
      <c r="AM101" s="105">
        <v>11676.803744950736</v>
      </c>
      <c r="AN101" s="105">
        <v>12.649289504415426</v>
      </c>
      <c r="AO101" s="105">
        <v>10777.194657761944</v>
      </c>
      <c r="AP101" s="105">
        <v>11.231047078730548</v>
      </c>
      <c r="AQ101" s="105">
        <v>9568.8521110784259</v>
      </c>
      <c r="AR101" s="105">
        <v>15.173270722489193</v>
      </c>
      <c r="AS101" s="105">
        <v>12927.626655560793</v>
      </c>
      <c r="AT101" s="105">
        <v>8.5035740481668363</v>
      </c>
      <c r="AU101" s="105">
        <v>7245.0450890381444</v>
      </c>
      <c r="AV101" s="105">
        <v>17.265478482091769</v>
      </c>
      <c r="AW101" s="105">
        <v>14710.187666742188</v>
      </c>
      <c r="AX101" s="105">
        <v>11.60268777369134</v>
      </c>
      <c r="AY101" s="105">
        <v>9885.4899831850216</v>
      </c>
      <c r="AZ101" s="105">
        <v>15.669582630402068</v>
      </c>
      <c r="BA101" s="105">
        <v>13350.484401102562</v>
      </c>
      <c r="BB101" s="105">
        <v>17.21813231597984</v>
      </c>
      <c r="BC101" s="105">
        <v>14669.848733214823</v>
      </c>
      <c r="BD101" s="105">
        <v>8.073190602354936</v>
      </c>
      <c r="BE101" s="105">
        <v>6878.3583932064057</v>
      </c>
      <c r="BF101" s="105">
        <v>18.646828724427465</v>
      </c>
      <c r="BG101" s="105">
        <v>15887.098073212201</v>
      </c>
      <c r="BH101" s="105">
        <v>16.896630814855911</v>
      </c>
      <c r="BI101" s="105">
        <v>14395.929454257235</v>
      </c>
      <c r="BJ101" s="105">
        <v>13.219304303785236</v>
      </c>
      <c r="BK101" s="105">
        <v>11262.847266825022</v>
      </c>
      <c r="BL101" s="105">
        <v>10.06397802173591</v>
      </c>
      <c r="BM101" s="105">
        <v>8574.5092745189959</v>
      </c>
      <c r="BN101" s="105">
        <v>10.550805268021472</v>
      </c>
      <c r="BO101" s="105">
        <v>8989.2860883542944</v>
      </c>
      <c r="BP101" s="105">
        <v>13.315870258729936</v>
      </c>
      <c r="BQ101" s="105">
        <v>11345.121460437906</v>
      </c>
      <c r="BR101" s="105">
        <v>11.775335448925299</v>
      </c>
      <c r="BS101" s="105">
        <v>10032.585802484355</v>
      </c>
      <c r="BT101" s="105">
        <v>18.93380020081413</v>
      </c>
      <c r="BU101" s="105">
        <v>16131.597771093639</v>
      </c>
      <c r="BV101" s="105">
        <v>9.34682725343629</v>
      </c>
      <c r="BW101" s="105">
        <v>7963.4968199277191</v>
      </c>
      <c r="BX101" s="105">
        <v>18.205532802564424</v>
      </c>
      <c r="BY101" s="105">
        <v>15511.113947784888</v>
      </c>
      <c r="BZ101" s="105">
        <v>18.409377442027719</v>
      </c>
      <c r="CA101" s="105">
        <v>15684.789580607616</v>
      </c>
      <c r="CB101" s="105">
        <v>10.80371662724648</v>
      </c>
      <c r="CC101" s="105">
        <v>9204.7665664140004</v>
      </c>
      <c r="CD101" s="105">
        <v>16.162654840488589</v>
      </c>
      <c r="CE101" s="105">
        <v>13770.581924096277</v>
      </c>
      <c r="CF101" s="105">
        <v>15.894868063227181</v>
      </c>
      <c r="CG101" s="105">
        <v>13542.427589869558</v>
      </c>
      <c r="CH101" s="105">
        <v>11.779473570064996</v>
      </c>
      <c r="CI101" s="105">
        <v>10036.111481695376</v>
      </c>
      <c r="CJ101" s="105">
        <v>22.375515644834774</v>
      </c>
      <c r="CK101" s="105">
        <v>19063.939329399229</v>
      </c>
      <c r="CL101" s="105">
        <v>19.428802995609594</v>
      </c>
      <c r="CM101" s="105">
        <v>16553.340152259374</v>
      </c>
      <c r="CN101" s="105">
        <v>15.166189921404264</v>
      </c>
      <c r="CO101" s="105">
        <v>12921.593813036434</v>
      </c>
      <c r="CP101" s="105">
        <v>10.008573071333318</v>
      </c>
      <c r="CQ101" s="105">
        <v>8527.3042567759876</v>
      </c>
      <c r="CR101" s="105">
        <v>10.07695359600096</v>
      </c>
      <c r="CS101" s="105">
        <v>8585.5644637928181</v>
      </c>
      <c r="CT101" s="105">
        <v>13.432141036496171</v>
      </c>
      <c r="CU101" s="105">
        <v>11444.184163094738</v>
      </c>
    </row>
    <row r="102" spans="2:99" x14ac:dyDescent="0.2">
      <c r="C102" s="104" t="s">
        <v>270</v>
      </c>
      <c r="D102" s="105">
        <v>16.360383749580478</v>
      </c>
      <c r="E102" s="105">
        <v>1001.2554854743252</v>
      </c>
      <c r="F102" s="105">
        <v>19.428165343821149</v>
      </c>
      <c r="G102" s="105">
        <v>1189.0037190418543</v>
      </c>
      <c r="H102" s="105">
        <v>15</v>
      </c>
      <c r="I102" s="105">
        <v>917.99999999999989</v>
      </c>
      <c r="J102" s="105">
        <v>20</v>
      </c>
      <c r="K102" s="105">
        <v>1224</v>
      </c>
      <c r="L102" s="105">
        <v>21</v>
      </c>
      <c r="M102" s="105">
        <v>1285.1999999999998</v>
      </c>
      <c r="N102" s="105">
        <v>16</v>
      </c>
      <c r="O102" s="105">
        <v>979.19999999999993</v>
      </c>
      <c r="P102" s="105">
        <v>13</v>
      </c>
      <c r="Q102" s="105">
        <v>795.59999999999991</v>
      </c>
      <c r="R102" s="105">
        <v>18</v>
      </c>
      <c r="S102" s="105">
        <v>1101.5999999999999</v>
      </c>
      <c r="T102" s="105">
        <v>13</v>
      </c>
      <c r="U102" s="105">
        <v>795.59999999999991</v>
      </c>
      <c r="V102" s="105">
        <v>12</v>
      </c>
      <c r="W102" s="105">
        <v>734.4</v>
      </c>
      <c r="X102" s="105">
        <v>23</v>
      </c>
      <c r="Y102" s="105">
        <v>1407.6</v>
      </c>
      <c r="Z102" s="105">
        <v>26</v>
      </c>
      <c r="AA102" s="105">
        <v>1591.1999999999998</v>
      </c>
      <c r="AB102" s="105">
        <v>14</v>
      </c>
      <c r="AC102" s="105">
        <v>856.8</v>
      </c>
      <c r="AD102" s="105">
        <v>23</v>
      </c>
      <c r="AE102" s="105">
        <v>1407.6</v>
      </c>
      <c r="AF102" s="105">
        <v>17</v>
      </c>
      <c r="AG102" s="105">
        <v>1040.3999999999999</v>
      </c>
      <c r="AH102" s="105">
        <v>19</v>
      </c>
      <c r="AI102" s="105">
        <v>1162.8</v>
      </c>
      <c r="AJ102" s="105">
        <v>19.15658870892285</v>
      </c>
      <c r="AK102" s="105">
        <v>1172.3832289860784</v>
      </c>
      <c r="AL102" s="105">
        <v>14</v>
      </c>
      <c r="AM102" s="105">
        <v>856.8</v>
      </c>
      <c r="AN102" s="105">
        <v>16</v>
      </c>
      <c r="AO102" s="105">
        <v>979.19999999999993</v>
      </c>
      <c r="AP102" s="105">
        <v>12</v>
      </c>
      <c r="AQ102" s="105">
        <v>734.4</v>
      </c>
      <c r="AR102" s="105">
        <v>20</v>
      </c>
      <c r="AS102" s="105">
        <v>1224</v>
      </c>
      <c r="AT102" s="105">
        <v>15</v>
      </c>
      <c r="AU102" s="105">
        <v>917.99999999999989</v>
      </c>
      <c r="AV102" s="105">
        <v>23</v>
      </c>
      <c r="AW102" s="105">
        <v>1407.6</v>
      </c>
      <c r="AX102" s="105">
        <v>20</v>
      </c>
      <c r="AY102" s="105">
        <v>1224</v>
      </c>
      <c r="AZ102" s="105">
        <v>24</v>
      </c>
      <c r="BA102" s="105">
        <v>1468.8</v>
      </c>
      <c r="BB102" s="105">
        <v>25</v>
      </c>
      <c r="BC102" s="105">
        <v>1530</v>
      </c>
      <c r="BD102" s="105">
        <v>15</v>
      </c>
      <c r="BE102" s="105">
        <v>917.99999999999989</v>
      </c>
      <c r="BF102" s="105">
        <v>23</v>
      </c>
      <c r="BG102" s="105">
        <v>1407.6</v>
      </c>
      <c r="BH102" s="105">
        <v>16</v>
      </c>
      <c r="BI102" s="105">
        <v>979.19999999999993</v>
      </c>
      <c r="BJ102" s="105">
        <v>14</v>
      </c>
      <c r="BK102" s="105">
        <v>856.8</v>
      </c>
      <c r="BL102" s="105">
        <v>14</v>
      </c>
      <c r="BM102" s="105">
        <v>856.8</v>
      </c>
      <c r="BN102" s="105">
        <v>15</v>
      </c>
      <c r="BO102" s="105">
        <v>917.99999999999989</v>
      </c>
      <c r="BP102" s="105">
        <v>25</v>
      </c>
      <c r="BQ102" s="105">
        <v>1530</v>
      </c>
      <c r="BR102" s="105">
        <v>17</v>
      </c>
      <c r="BS102" s="105">
        <v>1040.3999999999999</v>
      </c>
      <c r="BT102" s="105">
        <v>20</v>
      </c>
      <c r="BU102" s="105">
        <v>1224</v>
      </c>
      <c r="BV102" s="105">
        <v>16</v>
      </c>
      <c r="BW102" s="105">
        <v>979.19999999999993</v>
      </c>
      <c r="BX102" s="105">
        <v>23</v>
      </c>
      <c r="BY102" s="105">
        <v>1407.6</v>
      </c>
      <c r="BZ102" s="105">
        <v>21</v>
      </c>
      <c r="CA102" s="105">
        <v>1285.1999999999998</v>
      </c>
      <c r="CB102" s="105">
        <v>16</v>
      </c>
      <c r="CC102" s="105">
        <v>979.19999999999993</v>
      </c>
      <c r="CD102" s="105">
        <v>18</v>
      </c>
      <c r="CE102" s="105">
        <v>1101.5999999999999</v>
      </c>
      <c r="CF102" s="105">
        <v>23</v>
      </c>
      <c r="CG102" s="105">
        <v>1407.6</v>
      </c>
      <c r="CH102" s="105">
        <v>18</v>
      </c>
      <c r="CI102" s="105">
        <v>1101.5999999999999</v>
      </c>
      <c r="CJ102" s="105">
        <v>26</v>
      </c>
      <c r="CK102" s="105">
        <v>1591.1999999999998</v>
      </c>
      <c r="CL102" s="105">
        <v>21.962416388896983</v>
      </c>
      <c r="CM102" s="105">
        <v>1344.0998830004953</v>
      </c>
      <c r="CN102" s="105">
        <v>19.553458345539401</v>
      </c>
      <c r="CO102" s="105">
        <v>1196.6716507470112</v>
      </c>
      <c r="CP102" s="105">
        <v>17</v>
      </c>
      <c r="CQ102" s="105">
        <v>1040.3999999999999</v>
      </c>
      <c r="CR102" s="105">
        <v>16</v>
      </c>
      <c r="CS102" s="105">
        <v>979.19999999999993</v>
      </c>
      <c r="CT102" s="105">
        <v>14</v>
      </c>
      <c r="CU102" s="105">
        <v>856.8</v>
      </c>
    </row>
    <row r="103" spans="2:99" x14ac:dyDescent="0.2">
      <c r="C103" s="104" t="s">
        <v>271</v>
      </c>
      <c r="D103" s="105">
        <v>15.499310920655191</v>
      </c>
      <c r="E103" s="105">
        <v>1934.3140028977678</v>
      </c>
      <c r="F103" s="105">
        <v>19.428165343821149</v>
      </c>
      <c r="G103" s="105">
        <v>2424.6350349088793</v>
      </c>
      <c r="H103" s="105">
        <v>14</v>
      </c>
      <c r="I103" s="105">
        <v>1747.2</v>
      </c>
      <c r="J103" s="105">
        <v>18</v>
      </c>
      <c r="K103" s="105">
        <v>2246.4</v>
      </c>
      <c r="L103" s="105">
        <v>23</v>
      </c>
      <c r="M103" s="105">
        <v>2870.4</v>
      </c>
      <c r="N103" s="105">
        <v>18</v>
      </c>
      <c r="O103" s="105">
        <v>2246.4</v>
      </c>
      <c r="P103" s="105">
        <v>14</v>
      </c>
      <c r="Q103" s="105">
        <v>1747.2</v>
      </c>
      <c r="R103" s="105">
        <v>16</v>
      </c>
      <c r="S103" s="105">
        <v>1996.8</v>
      </c>
      <c r="T103" s="105">
        <v>14</v>
      </c>
      <c r="U103" s="105">
        <v>1747.2</v>
      </c>
      <c r="V103" s="105">
        <v>12</v>
      </c>
      <c r="W103" s="105">
        <v>1497.6</v>
      </c>
      <c r="X103" s="105">
        <v>22</v>
      </c>
      <c r="Y103" s="105">
        <v>2745.6</v>
      </c>
      <c r="Z103" s="105">
        <v>23</v>
      </c>
      <c r="AA103" s="105">
        <v>2870.4</v>
      </c>
      <c r="AB103" s="105">
        <v>13</v>
      </c>
      <c r="AC103" s="105">
        <v>1622.3999999999999</v>
      </c>
      <c r="AD103" s="105">
        <v>24</v>
      </c>
      <c r="AE103" s="105">
        <v>2995.2</v>
      </c>
      <c r="AF103" s="105">
        <v>19</v>
      </c>
      <c r="AG103" s="105">
        <v>2371.1999999999998</v>
      </c>
      <c r="AH103" s="105">
        <v>17</v>
      </c>
      <c r="AI103" s="105">
        <v>2121.6</v>
      </c>
      <c r="AJ103" s="105">
        <v>19.922852257279764</v>
      </c>
      <c r="AK103" s="105">
        <v>2486.3719617085144</v>
      </c>
      <c r="AL103" s="105">
        <v>14</v>
      </c>
      <c r="AM103" s="105">
        <v>1747.2</v>
      </c>
      <c r="AN103" s="105">
        <v>16</v>
      </c>
      <c r="AO103" s="105">
        <v>1996.8</v>
      </c>
      <c r="AP103" s="105">
        <v>14</v>
      </c>
      <c r="AQ103" s="105">
        <v>1747.2</v>
      </c>
      <c r="AR103" s="105">
        <v>20</v>
      </c>
      <c r="AS103" s="105">
        <v>2496</v>
      </c>
      <c r="AT103" s="105">
        <v>13</v>
      </c>
      <c r="AU103" s="105">
        <v>1622.3999999999999</v>
      </c>
      <c r="AV103" s="105">
        <v>23</v>
      </c>
      <c r="AW103" s="105">
        <v>2870.4</v>
      </c>
      <c r="AX103" s="105">
        <v>21</v>
      </c>
      <c r="AY103" s="105">
        <v>2620.7999999999997</v>
      </c>
      <c r="AZ103" s="105">
        <v>22</v>
      </c>
      <c r="BA103" s="105">
        <v>2745.6</v>
      </c>
      <c r="BB103" s="105">
        <v>23</v>
      </c>
      <c r="BC103" s="105">
        <v>2870.4</v>
      </c>
      <c r="BD103" s="105">
        <v>14</v>
      </c>
      <c r="BE103" s="105">
        <v>1747.2</v>
      </c>
      <c r="BF103" s="105">
        <v>26</v>
      </c>
      <c r="BG103" s="105">
        <v>3244.7999999999997</v>
      </c>
      <c r="BH103" s="105">
        <v>19</v>
      </c>
      <c r="BI103" s="105">
        <v>2371.1999999999998</v>
      </c>
      <c r="BJ103" s="105">
        <v>17</v>
      </c>
      <c r="BK103" s="105">
        <v>2121.6</v>
      </c>
      <c r="BL103" s="105">
        <v>15</v>
      </c>
      <c r="BM103" s="105">
        <v>1872</v>
      </c>
      <c r="BN103" s="105">
        <v>15</v>
      </c>
      <c r="BO103" s="105">
        <v>1872</v>
      </c>
      <c r="BP103" s="105">
        <v>24</v>
      </c>
      <c r="BQ103" s="105">
        <v>2995.2</v>
      </c>
      <c r="BR103" s="105">
        <v>18</v>
      </c>
      <c r="BS103" s="105">
        <v>2246.4</v>
      </c>
      <c r="BT103" s="105">
        <v>18</v>
      </c>
      <c r="BU103" s="105">
        <v>2246.4</v>
      </c>
      <c r="BV103" s="105">
        <v>15</v>
      </c>
      <c r="BW103" s="105">
        <v>1872</v>
      </c>
      <c r="BX103" s="105">
        <v>24</v>
      </c>
      <c r="BY103" s="105">
        <v>2995.2</v>
      </c>
      <c r="BZ103" s="105">
        <v>22</v>
      </c>
      <c r="CA103" s="105">
        <v>2745.6</v>
      </c>
      <c r="CB103" s="105">
        <v>16</v>
      </c>
      <c r="CC103" s="105">
        <v>1996.8</v>
      </c>
      <c r="CD103" s="105">
        <v>18</v>
      </c>
      <c r="CE103" s="105">
        <v>2246.4</v>
      </c>
      <c r="CF103" s="105">
        <v>25</v>
      </c>
      <c r="CG103" s="105">
        <v>3120</v>
      </c>
      <c r="CH103" s="105">
        <v>18</v>
      </c>
      <c r="CI103" s="105">
        <v>2246.4</v>
      </c>
      <c r="CJ103" s="105">
        <v>26</v>
      </c>
      <c r="CK103" s="105">
        <v>3244.7999999999997</v>
      </c>
      <c r="CL103" s="105">
        <v>22.96070804293775</v>
      </c>
      <c r="CM103" s="105">
        <v>2865.4963637586311</v>
      </c>
      <c r="CN103" s="105">
        <v>17.69122421739279</v>
      </c>
      <c r="CO103" s="105">
        <v>2207.8647823306201</v>
      </c>
      <c r="CP103" s="105">
        <v>18</v>
      </c>
      <c r="CQ103" s="105">
        <v>2246.4</v>
      </c>
      <c r="CR103" s="105">
        <v>14</v>
      </c>
      <c r="CS103" s="105">
        <v>1747.2</v>
      </c>
      <c r="CT103" s="105">
        <v>16</v>
      </c>
      <c r="CU103" s="105">
        <v>1996.8</v>
      </c>
    </row>
    <row r="104" spans="2:99" x14ac:dyDescent="0.2">
      <c r="C104" s="104" t="s">
        <v>272</v>
      </c>
      <c r="D104" s="105">
        <v>16.360383749580478</v>
      </c>
      <c r="E104" s="105">
        <v>3887.2271789003216</v>
      </c>
      <c r="F104" s="105">
        <v>20.428165343821149</v>
      </c>
      <c r="G104" s="105">
        <v>4853.732085691905</v>
      </c>
      <c r="H104" s="105">
        <v>14</v>
      </c>
      <c r="I104" s="105">
        <v>3326.4</v>
      </c>
      <c r="J104" s="105">
        <v>20</v>
      </c>
      <c r="K104" s="105">
        <v>4752</v>
      </c>
      <c r="L104" s="105">
        <v>20</v>
      </c>
      <c r="M104" s="105">
        <v>4752</v>
      </c>
      <c r="N104" s="105">
        <v>17</v>
      </c>
      <c r="O104" s="105">
        <v>4039.2</v>
      </c>
      <c r="P104" s="105">
        <v>13</v>
      </c>
      <c r="Q104" s="105">
        <v>3088.7999999999997</v>
      </c>
      <c r="R104" s="105">
        <v>15</v>
      </c>
      <c r="S104" s="105">
        <v>3564</v>
      </c>
      <c r="T104" s="105">
        <v>14</v>
      </c>
      <c r="U104" s="105">
        <v>3326.4</v>
      </c>
      <c r="V104" s="105">
        <v>12</v>
      </c>
      <c r="W104" s="105">
        <v>2851.2</v>
      </c>
      <c r="X104" s="105">
        <v>22</v>
      </c>
      <c r="Y104" s="105">
        <v>5227.2</v>
      </c>
      <c r="Z104" s="105">
        <v>23</v>
      </c>
      <c r="AA104" s="105">
        <v>5464.8</v>
      </c>
      <c r="AB104" s="105">
        <v>15</v>
      </c>
      <c r="AC104" s="105">
        <v>3564</v>
      </c>
      <c r="AD104" s="105">
        <v>23</v>
      </c>
      <c r="AE104" s="105">
        <v>5464.8</v>
      </c>
      <c r="AF104" s="105">
        <v>16</v>
      </c>
      <c r="AG104" s="105">
        <v>3801.6</v>
      </c>
      <c r="AH104" s="105">
        <v>20</v>
      </c>
      <c r="AI104" s="105">
        <v>4752</v>
      </c>
      <c r="AJ104" s="105">
        <v>20.689115805636678</v>
      </c>
      <c r="AK104" s="105">
        <v>4915.733915419275</v>
      </c>
      <c r="AL104" s="105">
        <v>13</v>
      </c>
      <c r="AM104" s="105">
        <v>3088.7999999999997</v>
      </c>
      <c r="AN104" s="105">
        <v>16</v>
      </c>
      <c r="AO104" s="105">
        <v>3801.6</v>
      </c>
      <c r="AP104" s="105">
        <v>12</v>
      </c>
      <c r="AQ104" s="105">
        <v>2851.2</v>
      </c>
      <c r="AR104" s="105">
        <v>18</v>
      </c>
      <c r="AS104" s="105">
        <v>4276.8</v>
      </c>
      <c r="AT104" s="105">
        <v>15</v>
      </c>
      <c r="AU104" s="105">
        <v>3564</v>
      </c>
      <c r="AV104" s="105">
        <v>22</v>
      </c>
      <c r="AW104" s="105">
        <v>5227.2</v>
      </c>
      <c r="AX104" s="105">
        <v>19</v>
      </c>
      <c r="AY104" s="105">
        <v>4514.3999999999996</v>
      </c>
      <c r="AZ104" s="105">
        <v>23</v>
      </c>
      <c r="BA104" s="105">
        <v>5464.8</v>
      </c>
      <c r="BB104" s="105">
        <v>26</v>
      </c>
      <c r="BC104" s="105">
        <v>6177.5999999999995</v>
      </c>
      <c r="BD104" s="105">
        <v>16</v>
      </c>
      <c r="BE104" s="105">
        <v>3801.6</v>
      </c>
      <c r="BF104" s="105">
        <v>25</v>
      </c>
      <c r="BG104" s="105">
        <v>5940</v>
      </c>
      <c r="BH104" s="105">
        <v>18</v>
      </c>
      <c r="BI104" s="105">
        <v>4276.8</v>
      </c>
      <c r="BJ104" s="105">
        <v>17</v>
      </c>
      <c r="BK104" s="105">
        <v>4039.2</v>
      </c>
      <c r="BL104" s="105">
        <v>13</v>
      </c>
      <c r="BM104" s="105">
        <v>3088.7999999999997</v>
      </c>
      <c r="BN104" s="105">
        <v>17</v>
      </c>
      <c r="BO104" s="105">
        <v>4039.2</v>
      </c>
      <c r="BP104" s="105">
        <v>26</v>
      </c>
      <c r="BQ104" s="105">
        <v>6177.5999999999995</v>
      </c>
      <c r="BR104" s="105">
        <v>16</v>
      </c>
      <c r="BS104" s="105">
        <v>3801.6</v>
      </c>
      <c r="BT104" s="105">
        <v>18</v>
      </c>
      <c r="BU104" s="105">
        <v>4276.8</v>
      </c>
      <c r="BV104" s="105">
        <v>15</v>
      </c>
      <c r="BW104" s="105">
        <v>3564</v>
      </c>
      <c r="BX104" s="105">
        <v>24</v>
      </c>
      <c r="BY104" s="105">
        <v>5702.4</v>
      </c>
      <c r="BZ104" s="105">
        <v>22</v>
      </c>
      <c r="CA104" s="105">
        <v>5227.2</v>
      </c>
      <c r="CB104" s="105">
        <v>17</v>
      </c>
      <c r="CC104" s="105">
        <v>4039.2</v>
      </c>
      <c r="CD104" s="105">
        <v>19</v>
      </c>
      <c r="CE104" s="105">
        <v>4514.3999999999996</v>
      </c>
      <c r="CF104" s="105">
        <v>22</v>
      </c>
      <c r="CG104" s="105">
        <v>5227.2</v>
      </c>
      <c r="CH104" s="105">
        <v>19</v>
      </c>
      <c r="CI104" s="105">
        <v>4514.3999999999996</v>
      </c>
      <c r="CJ104" s="105">
        <v>26</v>
      </c>
      <c r="CK104" s="105">
        <v>6177.5999999999995</v>
      </c>
      <c r="CL104" s="105">
        <v>19.965833080815436</v>
      </c>
      <c r="CM104" s="105">
        <v>4743.8819400017474</v>
      </c>
      <c r="CN104" s="105">
        <v>16.760107153319485</v>
      </c>
      <c r="CO104" s="105">
        <v>3982.2014596287095</v>
      </c>
      <c r="CP104" s="105">
        <v>18</v>
      </c>
      <c r="CQ104" s="105">
        <v>4276.8</v>
      </c>
      <c r="CR104" s="105">
        <v>13</v>
      </c>
      <c r="CS104" s="105">
        <v>3088.7999999999997</v>
      </c>
      <c r="CT104" s="105">
        <v>15</v>
      </c>
      <c r="CU104" s="105">
        <v>3564</v>
      </c>
    </row>
    <row r="105" spans="2:99" x14ac:dyDescent="0.2">
      <c r="C105" s="104" t="s">
        <v>273</v>
      </c>
      <c r="D105" s="105">
        <v>14.638238091729903</v>
      </c>
      <c r="E105" s="105">
        <v>2529.4875422509272</v>
      </c>
      <c r="F105" s="105">
        <v>17.428165343821149</v>
      </c>
      <c r="G105" s="105">
        <v>3011.5869714122941</v>
      </c>
      <c r="H105" s="105">
        <v>14</v>
      </c>
      <c r="I105" s="105">
        <v>2419.1999999999998</v>
      </c>
      <c r="J105" s="105">
        <v>20</v>
      </c>
      <c r="K105" s="105">
        <v>3455.9999999999995</v>
      </c>
      <c r="L105" s="105">
        <v>23</v>
      </c>
      <c r="M105" s="105">
        <v>3974.3999999999996</v>
      </c>
      <c r="N105" s="105">
        <v>19</v>
      </c>
      <c r="O105" s="105">
        <v>3283.2</v>
      </c>
      <c r="P105" s="105">
        <v>12</v>
      </c>
      <c r="Q105" s="105">
        <v>2073.6</v>
      </c>
      <c r="R105" s="105">
        <v>18</v>
      </c>
      <c r="S105" s="105">
        <v>3110.3999999999996</v>
      </c>
      <c r="T105" s="105">
        <v>15</v>
      </c>
      <c r="U105" s="105">
        <v>2591.9999999999995</v>
      </c>
      <c r="V105" s="105">
        <v>12</v>
      </c>
      <c r="W105" s="105">
        <v>2073.6</v>
      </c>
      <c r="X105" s="105">
        <v>24</v>
      </c>
      <c r="Y105" s="105">
        <v>4147.2</v>
      </c>
      <c r="Z105" s="105">
        <v>25</v>
      </c>
      <c r="AA105" s="105">
        <v>4320</v>
      </c>
      <c r="AB105" s="105">
        <v>15</v>
      </c>
      <c r="AC105" s="105">
        <v>2591.9999999999995</v>
      </c>
      <c r="AD105" s="105">
        <v>23</v>
      </c>
      <c r="AE105" s="105">
        <v>3974.3999999999996</v>
      </c>
      <c r="AF105" s="105">
        <v>19</v>
      </c>
      <c r="AG105" s="105">
        <v>3283.2</v>
      </c>
      <c r="AH105" s="105">
        <v>19</v>
      </c>
      <c r="AI105" s="105">
        <v>3283.2</v>
      </c>
      <c r="AJ105" s="105">
        <v>18.390325160565936</v>
      </c>
      <c r="AK105" s="105">
        <v>3177.8481877457934</v>
      </c>
      <c r="AL105" s="105">
        <v>13</v>
      </c>
      <c r="AM105" s="105">
        <v>2246.3999999999996</v>
      </c>
      <c r="AN105" s="105">
        <v>17</v>
      </c>
      <c r="AO105" s="105">
        <v>2937.6</v>
      </c>
      <c r="AP105" s="105">
        <v>13</v>
      </c>
      <c r="AQ105" s="105">
        <v>2246.3999999999996</v>
      </c>
      <c r="AR105" s="105">
        <v>19</v>
      </c>
      <c r="AS105" s="105">
        <v>3283.2</v>
      </c>
      <c r="AT105" s="105">
        <v>14</v>
      </c>
      <c r="AU105" s="105">
        <v>2419.1999999999998</v>
      </c>
      <c r="AV105" s="105">
        <v>23</v>
      </c>
      <c r="AW105" s="105">
        <v>3974.3999999999996</v>
      </c>
      <c r="AX105" s="105">
        <v>21</v>
      </c>
      <c r="AY105" s="105">
        <v>3628.7999999999997</v>
      </c>
      <c r="AZ105" s="105">
        <v>23</v>
      </c>
      <c r="BA105" s="105">
        <v>3974.3999999999996</v>
      </c>
      <c r="BB105" s="105">
        <v>22</v>
      </c>
      <c r="BC105" s="105">
        <v>3801.5999999999995</v>
      </c>
      <c r="BD105" s="105">
        <v>14</v>
      </c>
      <c r="BE105" s="105">
        <v>2419.1999999999998</v>
      </c>
      <c r="BF105" s="105">
        <v>27</v>
      </c>
      <c r="BG105" s="105">
        <v>4665.5999999999995</v>
      </c>
      <c r="BH105" s="105">
        <v>18</v>
      </c>
      <c r="BI105" s="105">
        <v>3110.3999999999996</v>
      </c>
      <c r="BJ105" s="105">
        <v>15</v>
      </c>
      <c r="BK105" s="105">
        <v>2591.9999999999995</v>
      </c>
      <c r="BL105" s="105">
        <v>14</v>
      </c>
      <c r="BM105" s="105">
        <v>2419.1999999999998</v>
      </c>
      <c r="BN105" s="105">
        <v>15</v>
      </c>
      <c r="BO105" s="105">
        <v>2591.9999999999995</v>
      </c>
      <c r="BP105" s="105">
        <v>26</v>
      </c>
      <c r="BQ105" s="105">
        <v>4492.7999999999993</v>
      </c>
      <c r="BR105" s="105">
        <v>18</v>
      </c>
      <c r="BS105" s="105">
        <v>3110.3999999999996</v>
      </c>
      <c r="BT105" s="105">
        <v>20</v>
      </c>
      <c r="BU105" s="105">
        <v>3455.9999999999995</v>
      </c>
      <c r="BV105" s="105">
        <v>14</v>
      </c>
      <c r="BW105" s="105">
        <v>2419.1999999999998</v>
      </c>
      <c r="BX105" s="105">
        <v>25</v>
      </c>
      <c r="BY105" s="105">
        <v>4320</v>
      </c>
      <c r="BZ105" s="105">
        <v>21</v>
      </c>
      <c r="CA105" s="105">
        <v>3628.7999999999997</v>
      </c>
      <c r="CB105" s="105">
        <v>18</v>
      </c>
      <c r="CC105" s="105">
        <v>3110.3999999999996</v>
      </c>
      <c r="CD105" s="105">
        <v>17</v>
      </c>
      <c r="CE105" s="105">
        <v>2937.6</v>
      </c>
      <c r="CF105" s="105">
        <v>23</v>
      </c>
      <c r="CG105" s="105">
        <v>3974.3999999999996</v>
      </c>
      <c r="CH105" s="105">
        <v>21</v>
      </c>
      <c r="CI105" s="105">
        <v>3628.7999999999997</v>
      </c>
      <c r="CJ105" s="105">
        <v>27</v>
      </c>
      <c r="CK105" s="105">
        <v>4665.5999999999995</v>
      </c>
      <c r="CL105" s="105">
        <v>22.96070804293775</v>
      </c>
      <c r="CM105" s="105">
        <v>3967.6103498196426</v>
      </c>
      <c r="CN105" s="105">
        <v>16.760107153319485</v>
      </c>
      <c r="CO105" s="105">
        <v>2896.1465160936068</v>
      </c>
      <c r="CP105" s="105">
        <v>17</v>
      </c>
      <c r="CQ105" s="105">
        <v>2937.6</v>
      </c>
      <c r="CR105" s="105">
        <v>15</v>
      </c>
      <c r="CS105" s="105">
        <v>2591.9999999999995</v>
      </c>
      <c r="CT105" s="105">
        <v>16</v>
      </c>
      <c r="CU105" s="105">
        <v>2764.7999999999997</v>
      </c>
    </row>
    <row r="107" spans="2:99" x14ac:dyDescent="0.2">
      <c r="B107" s="109" t="s">
        <v>278</v>
      </c>
    </row>
    <row r="108" spans="2:99" x14ac:dyDescent="0.2">
      <c r="C108" s="104" t="s">
        <v>279</v>
      </c>
      <c r="D108" s="104" t="s">
        <v>92</v>
      </c>
      <c r="E108" s="104" t="s">
        <v>93</v>
      </c>
      <c r="F108" s="104" t="s">
        <v>94</v>
      </c>
      <c r="G108" s="104" t="s">
        <v>95</v>
      </c>
      <c r="H108" s="104" t="s">
        <v>96</v>
      </c>
      <c r="I108" s="104" t="s">
        <v>97</v>
      </c>
      <c r="J108" s="104" t="s">
        <v>98</v>
      </c>
      <c r="K108" s="104" t="s">
        <v>99</v>
      </c>
      <c r="L108" s="104" t="s">
        <v>100</v>
      </c>
      <c r="M108" s="104" t="s">
        <v>101</v>
      </c>
      <c r="N108" s="104" t="s">
        <v>102</v>
      </c>
      <c r="O108" s="104" t="s">
        <v>103</v>
      </c>
    </row>
    <row r="109" spans="2:99" x14ac:dyDescent="0.2">
      <c r="C109" s="104" t="s">
        <v>126</v>
      </c>
      <c r="D109" s="105">
        <f>SUM(D$6:D$19)+SUM(F$6:F$19)+SUM(H$6:H$19)+SUM(J$6:J$19)</f>
        <v>1388.6112365974348</v>
      </c>
      <c r="E109" s="105">
        <f>SUM(L$6:L$19)+SUM(N$6:N$19)+SUM(P$6:P$19)+SUM(R$6:R$19)</f>
        <v>1318.407181150631</v>
      </c>
      <c r="F109" s="105">
        <f>SUM(T$6:T$19)+SUM(V$6:V$19)+SUM(X$6:X$19)+SUM(Z$6:Z$19)</f>
        <v>1584.9876706710861</v>
      </c>
      <c r="G109" s="105">
        <f>SUM(AB$6:AB$19)+SUM(AD$6:AD$19)+SUM(AF$6:AF$19)+SUM(AH$6:AH$19)</f>
        <v>1410.9351297724149</v>
      </c>
      <c r="H109" s="105">
        <f>SUM(AJ$6:AJ$19)+SUM(AL$6:AL$19)+SUM(AN$6:AN$19)+SUM(AP$6:AP$19)</f>
        <v>1440.7169874572367</v>
      </c>
      <c r="I109" s="105">
        <f>SUM(AR$6:AR$19)+SUM(AT$6:AT$19)+SUM(AV$6:AV$19)+SUM(AX$6:AX$19)</f>
        <v>1737.0699840180366</v>
      </c>
      <c r="J109" s="105">
        <f>SUM(AZ$6:AZ$19)+SUM(BB$6:BB$19)+SUM(BD$6:BD$19)+SUM(BF$6:BF$19)</f>
        <v>1244.1713870463</v>
      </c>
      <c r="K109" s="105">
        <f>SUM(BH$6:BH$19)+SUM(BJ$6:BJ$19)+SUM(BL$6:BL$19)+SUM(BN$6:BN$19)</f>
        <v>1430.7989629684212</v>
      </c>
      <c r="L109" s="105">
        <f>SUM(BP$6:BP$19)+SUM(BR$6:BR$19)+SUM(BT$6:BT$19)+SUM(BV$6:BV$19)</f>
        <v>1591.9587250451796</v>
      </c>
      <c r="M109" s="105">
        <f>SUM(BX$6:BX$19)+SUM(BZ$6:BZ$19)+SUM(CB$6:CB$19)+SUM(CD$6:CD$19)</f>
        <v>1773</v>
      </c>
      <c r="N109" s="105">
        <f>SUM(CF$6:CF$19)+SUM(CH$6:CH$19)+SUM(CJ$6:CJ$19)+SUM(CL$6:CL$19)</f>
        <v>1893.6238680400929</v>
      </c>
      <c r="O109" s="105">
        <f>SUM(CN$6:CN$19)+SUM(CP$6:CP$19)+SUM(CR$6:CR$19)+SUM(CT$6:CT$19)</f>
        <v>1634.7233514644183</v>
      </c>
    </row>
    <row r="110" spans="2:99" x14ac:dyDescent="0.2">
      <c r="C110" s="104" t="s">
        <v>127</v>
      </c>
      <c r="D110" s="105">
        <f>SUM(D$20:D$36)+SUM(F$20:F$36)+SUM(H$20:H$36)+SUM(J$20:J$36)</f>
        <v>1606.7686424486089</v>
      </c>
      <c r="E110" s="105">
        <f>SUM(L$20:L$36)+SUM(N$20:N$36)+SUM(P$20:P$36)+SUM(R$20:R$36)</f>
        <v>1457.7852338260966</v>
      </c>
      <c r="F110" s="105">
        <f>SUM(T$20:T$36)+SUM(V$20:V$36)+SUM(X$20:X$36)+SUM(Z$20:Z$36)</f>
        <v>1784.1832397379578</v>
      </c>
      <c r="G110" s="105">
        <f>SUM(AB$20:AB$36)+SUM(AD$20:AD$36)+SUM(AF$20:AF$36)+SUM(AH$20:AH$36)</f>
        <v>1805.3035919922568</v>
      </c>
      <c r="H110" s="105">
        <f>SUM(AJ$20:AJ$36)+SUM(AL$20:AL$36)+SUM(AN$20:AN$36)+SUM(AP$20:AP$36)</f>
        <v>1742.5365819021463</v>
      </c>
      <c r="I110" s="105">
        <f>SUM(AR$20:AR$36)+SUM(AT$20:AT$36)+SUM(AV$20:AV$36)+SUM(AX$20:AX$36)</f>
        <v>1193.3715925370739</v>
      </c>
      <c r="J110" s="105">
        <f>SUM(AZ$20:AZ$36)+SUM(BB$20:BB$36)+SUM(BD$20:BD$36)+SUM(BF$20:BF$36)</f>
        <v>1845.5231043540844</v>
      </c>
      <c r="K110" s="105">
        <f>SUM(BH$20:BH$36)+SUM(BJ$20:BJ$36)+SUM(BL$20:BL$36)+SUM(BN$20:BN$36)</f>
        <v>1797.2869125624416</v>
      </c>
      <c r="L110" s="105">
        <f>SUM(BP$20:BP$36)+SUM(BR$20:BR$36)+SUM(BT$20:BT$36)+SUM(BV$20:BV$36)</f>
        <v>1746.2566102225744</v>
      </c>
      <c r="M110" s="105">
        <f>SUM(BX$20:BX$36)+SUM(BZ$20:BZ$36)+SUM(CB$20:CB$36)+SUM(CD$20:CD$36)</f>
        <v>1812</v>
      </c>
      <c r="N110" s="105">
        <f>SUM(CF$20:CF$36)+SUM(CH$20:CH$36)+SUM(CJ$20:CJ$36)+SUM(CL$20:CL$36)</f>
        <v>1915.8313857940439</v>
      </c>
      <c r="O110" s="105">
        <f>SUM(CN$20:CN$36)+SUM(CP$20:CP$36)+SUM(CR$20:CR$36)+SUM(CT$20:CT$36)</f>
        <v>1548.1876113118838</v>
      </c>
    </row>
    <row r="111" spans="2:99" x14ac:dyDescent="0.2">
      <c r="C111" s="104" t="s">
        <v>128</v>
      </c>
      <c r="D111" s="105">
        <f>SUM(D$37:D$48)+SUM(F$37:F$48)+SUM(H$37:H$48)+SUM(J$37:J$48)</f>
        <v>1618.8390918749878</v>
      </c>
      <c r="E111" s="105">
        <f>SUM(L$37:L$48)+SUM(N$37:N$48)+SUM(P$37:P$48)+SUM(R$37:R$48)</f>
        <v>1723.8381327949028</v>
      </c>
      <c r="F111" s="105">
        <f>SUM(T$37:T$48)+SUM(V$37:V$48)+SUM(X$37:X$48)+SUM(Z$37:Z$48)</f>
        <v>1858.3973936257851</v>
      </c>
      <c r="G111" s="105">
        <f>SUM(AB$37:AB$48)+SUM(AD$37:AD$48)+SUM(AF$37:AF$48)+SUM(AH$37:AH$48)</f>
        <v>1662.2003937462173</v>
      </c>
      <c r="H111" s="105">
        <f>SUM(AJ$37:AJ$48)+SUM(AL$37:AL$48)+SUM(AN$37:AN$48)+SUM(AP$37:AP$48)</f>
        <v>1737.1460784066239</v>
      </c>
      <c r="I111" s="105">
        <f>SUM(AR$37:AR$48)+SUM(AT$37:AT$48)+SUM(AV$37:AV$48)+SUM(AX$37:AX$48)</f>
        <v>1874.6380090335992</v>
      </c>
      <c r="J111" s="105">
        <f>SUM(AZ$37:AZ$48)+SUM(BB$37:BB$48)+SUM(BD$37:BD$48)+SUM(BF$37:BF$48)</f>
        <v>1902.1897707360386</v>
      </c>
      <c r="K111" s="105">
        <f>SUM(BH$37:BH$48)+SUM(BJ$37:BJ$48)+SUM(BL$37:BL$48)+SUM(BN$37:BN$48)</f>
        <v>1730.3111679876267</v>
      </c>
      <c r="L111" s="105">
        <f>SUM(BP$37:BP$48)+SUM(BR$37:BR$48)+SUM(BT$37:BT$48)+SUM(BV$37:BV$48)</f>
        <v>1775.7297534042696</v>
      </c>
      <c r="M111" s="105">
        <f>SUM(BX$37:BX$48)+SUM(BZ$37:BZ$48)+SUM(CB$37:CB$48)+SUM(CD$37:CD$48)</f>
        <v>1573</v>
      </c>
      <c r="N111" s="105">
        <f>SUM(CF$37:CF$48)+SUM(CH$37:CH$48)+SUM(CJ$37:CJ$48)+SUM(CL$37:CL$48)</f>
        <v>1785.103418120673</v>
      </c>
      <c r="O111" s="105">
        <f>SUM(CN$37:CN$48)+SUM(CP$37:CP$48)+SUM(CR$37:CR$48)+SUM(CT$37:CT$48)</f>
        <v>1844.6185809665913</v>
      </c>
    </row>
    <row r="112" spans="2:99" x14ac:dyDescent="0.2">
      <c r="C112" s="104" t="s">
        <v>129</v>
      </c>
      <c r="D112" s="105">
        <f>SUM(D$49:D$70)+SUM(F$49:F$70)+SUM(H$49:H$70)+SUM(J$49:J$70)</f>
        <v>2811.5964898610819</v>
      </c>
      <c r="E112" s="105">
        <f>SUM(L$49:L$70)+SUM(N$49:N$70)+SUM(P$49:P$70)+SUM(R$49:R$70)</f>
        <v>2885.1421142244694</v>
      </c>
      <c r="F112" s="105">
        <f>SUM(T$49:T$70)+SUM(V$49:V$70)+SUM(X$49:X$70)+SUM(Z$49:Z$70)</f>
        <v>3038.185550842531</v>
      </c>
      <c r="G112" s="105">
        <f>SUM(AB$49:AB$70)+SUM(AD$49:AD$70)+SUM(AF$49:AF$70)+SUM(AH$49:AH$70)</f>
        <v>2478.2015906460547</v>
      </c>
      <c r="H112" s="105">
        <f>SUM(AJ$49:AJ$70)+SUM(AL$49:AL$70)+SUM(AN$49:AN$70)+SUM(AP$49:AP$70)</f>
        <v>3616.2325432275402</v>
      </c>
      <c r="I112" s="105">
        <f>SUM(AR$49:AR$70)+SUM(AT$49:AT$70)+SUM(AV$49:AV$70)+SUM(AX$49:AX$70)</f>
        <v>3218.4642108387943</v>
      </c>
      <c r="J112" s="105">
        <f>SUM(AZ$49:AZ$70)+SUM(BB$49:BB$70)+SUM(BD$49:BD$70)+SUM(BF$49:BF$70)</f>
        <v>3174.3529906053118</v>
      </c>
      <c r="K112" s="105">
        <f>SUM(BH$49:BH$70)+SUM(BJ$49:BJ$70)+SUM(BL$49:BL$70)+SUM(BN$49:BN$70)</f>
        <v>3220.3357909433371</v>
      </c>
      <c r="L112" s="105">
        <f>SUM(BP$49:BP$70)+SUM(BR$49:BR$70)+SUM(BT$49:BT$70)+SUM(BV$49:BV$70)</f>
        <v>2940.9038267799406</v>
      </c>
      <c r="M112" s="105">
        <f>SUM(BX$49:BX$70)+SUM(BZ$49:BZ$70)+SUM(CB$49:CB$70)+SUM(CD$49:CD$70)</f>
        <v>3032.2550235022863</v>
      </c>
      <c r="N112" s="105">
        <f>SUM(CF$49:CF$70)+SUM(CH$49:CH$70)+SUM(CJ$49:CJ$70)+SUM(CL$49:CL$70)</f>
        <v>2531.9742858254476</v>
      </c>
      <c r="O112" s="105">
        <f>SUM(CN$49:CN$70)+SUM(CP$49:CP$70)+SUM(CR$49:CR$70)+SUM(CT$49:CT$70)</f>
        <v>2841.795515050846</v>
      </c>
    </row>
    <row r="113" spans="2:15" x14ac:dyDescent="0.2">
      <c r="C113" s="104" t="s">
        <v>130</v>
      </c>
      <c r="D113" s="105">
        <f>SUM(D$71:D$86)+SUM(F$71:F$86)+SUM(H$71:H$86)+SUM(J$71:J$86)</f>
        <v>1350.3011326878268</v>
      </c>
      <c r="E113" s="105">
        <f>SUM(L$71:L$86)+SUM(N$71:N$86)+SUM(P$71:P$86)+SUM(R$71:R$86)</f>
        <v>1356.4637495435095</v>
      </c>
      <c r="F113" s="105">
        <f>SUM(T$71:T$86)+SUM(V$71:V$86)+SUM(X$71:X$86)+SUM(Z$71:Z$86)</f>
        <v>1517.5854379117723</v>
      </c>
      <c r="G113" s="105">
        <f>SUM(AB$71:AB$86)+SUM(AD$71:AD$86)+SUM(AF$71:AF$86)+SUM(AH$71:AH$86)</f>
        <v>1499.7192281213438</v>
      </c>
      <c r="H113" s="105">
        <f>SUM(AJ$71:AJ$86)+SUM(AL$71:AL$86)+SUM(AN$71:AN$86)+SUM(AP$71:AP$86)</f>
        <v>1346.8050004270826</v>
      </c>
      <c r="I113" s="105">
        <f>SUM(AR$71:AR$86)+SUM(AT$71:AT$86)+SUM(AV$71:AV$86)+SUM(AX$71:AX$86)</f>
        <v>1423.011636767149</v>
      </c>
      <c r="J113" s="105">
        <f>SUM(AZ$71:AZ$86)+SUM(BB$71:BB$86)+SUM(BD$71:BD$86)+SUM(BF$71:BF$86)</f>
        <v>1443.7064188808968</v>
      </c>
      <c r="K113" s="105">
        <f>SUM(BH$71:BH$86)+SUM(BJ$71:BJ$86)+SUM(BL$71:BL$86)+SUM(BN$71:BN$86)</f>
        <v>1409.3380763041077</v>
      </c>
      <c r="L113" s="105">
        <f>SUM(BP$71:BP$86)+SUM(BR$71:BR$86)+SUM(BT$71:BT$86)+SUM(BV$71:BV$86)</f>
        <v>1444.7301252488219</v>
      </c>
      <c r="M113" s="105">
        <f>SUM(BX$71:BX$86)+SUM(BZ$71:BZ$86)+SUM(CB$71:CB$86)+SUM(CD$71:CD$86)</f>
        <v>1532.3776148475799</v>
      </c>
      <c r="N113" s="105">
        <f>SUM(CF$71:CF$86)+SUM(CH$71:CH$86)+SUM(CJ$71:CJ$86)+SUM(CL$71:CL$86)</f>
        <v>1593.1078825279128</v>
      </c>
      <c r="O113" s="105">
        <f>SUM(CN$71:CN$86)+SUM(CP$71:CP$86)+SUM(CR$71:CR$86)+SUM(CT$71:CT$86)</f>
        <v>1434.4777523131202</v>
      </c>
    </row>
    <row r="114" spans="2:15" x14ac:dyDescent="0.2">
      <c r="C114" s="104" t="s">
        <v>131</v>
      </c>
      <c r="D114" s="105">
        <f>SUM(D$87:D$94)+SUM(F$87:F$94)+SUM(H$87:H$94)+SUM(J$87:J$94)</f>
        <v>395.98638124136517</v>
      </c>
      <c r="E114" s="105">
        <f>SUM(L$87:L$94)+SUM(N$87:N$94)+SUM(P$87:P$94)+SUM(R$87:R$94)</f>
        <v>391</v>
      </c>
      <c r="F114" s="105">
        <f>SUM(T$87:T$94)+SUM(V$87:V$94)+SUM(X$87:X$94)+SUM(Z$87:Z$94)</f>
        <v>391</v>
      </c>
      <c r="G114" s="105">
        <f>SUM(AB$87:AB$94)+SUM(AD$87:AD$94)+SUM(AF$87:AF$94)+SUM(AH$87:AH$94)</f>
        <v>497</v>
      </c>
      <c r="H114" s="105">
        <f>SUM(AJ$87:AJ$94)+SUM(AL$87:AL$94)+SUM(AN$87:AN$94)+SUM(AP$87:AP$94)</f>
        <v>315.36613806198079</v>
      </c>
      <c r="I114" s="105">
        <f>SUM(AR$87:AR$94)+SUM(AT$87:AT$94)+SUM(AV$87:AV$94)+SUM(AX$87:AX$94)</f>
        <v>457</v>
      </c>
      <c r="J114" s="105">
        <f>SUM(AZ$87:AZ$94)+SUM(BB$87:BB$94)+SUM(BD$87:BD$94)+SUM(BF$87:BF$94)</f>
        <v>409</v>
      </c>
      <c r="K114" s="105">
        <f>SUM(BH$87:BH$94)+SUM(BJ$87:BJ$94)+SUM(BL$87:BL$94)+SUM(BN$87:BN$94)</f>
        <v>419</v>
      </c>
      <c r="L114" s="105">
        <f>SUM(BP$87:BP$94)+SUM(BR$87:BR$94)+SUM(BT$87:BT$94)+SUM(BV$87:BV$94)</f>
        <v>405</v>
      </c>
      <c r="M114" s="105">
        <f>SUM(BX$87:BX$94)+SUM(BZ$87:BZ$94)+SUM(CB$87:CB$94)+SUM(CD$87:CD$94)</f>
        <v>480</v>
      </c>
      <c r="N114" s="105">
        <f>SUM(CF$87:CF$94)+SUM(CH$87:CH$94)+SUM(CJ$87:CJ$94)+SUM(CL$87:CL$94)</f>
        <v>499.73178968440118</v>
      </c>
      <c r="O114" s="105">
        <f>SUM(CN$87:CN$94)+SUM(CP$87:CP$94)+SUM(CR$87:CR$94)+SUM(CT$87:CT$94)</f>
        <v>483.01197429062915</v>
      </c>
    </row>
    <row r="115" spans="2:15" x14ac:dyDescent="0.2">
      <c r="C115" s="104" t="s">
        <v>132</v>
      </c>
      <c r="D115" s="105">
        <f>SUM(D$95:D$105)+SUM(F$95:F$105)+SUM(H$95:H$105)+SUM(J$95:J$105)</f>
        <v>686.55087360421385</v>
      </c>
      <c r="E115" s="105">
        <f>SUM(L$95:L$105)+SUM(N$95:N$105)+SUM(P$95:P$105)+SUM(R$95:R$105)</f>
        <v>707.72091279752431</v>
      </c>
      <c r="F115" s="105">
        <f>SUM(T$95:T$105)+SUM(V$95:V$105)+SUM(X$95:X$105)+SUM(Z$95:Z$105)</f>
        <v>726.93527770153469</v>
      </c>
      <c r="G115" s="105">
        <f>SUM(AB$95:AB$105)+SUM(AD$95:AD$105)+SUM(AF$95:AF$105)+SUM(AH$95:AH$105)</f>
        <v>747.9043094850033</v>
      </c>
      <c r="H115" s="105">
        <f>SUM(AJ$95:AJ$105)+SUM(AL$95:AL$105)+SUM(AN$95:AN$105)+SUM(AP$95:AP$105)</f>
        <v>652.35252558781963</v>
      </c>
      <c r="I115" s="105">
        <f>SUM(AR$95:AR$105)+SUM(AT$95:AT$105)+SUM(AV$95:AV$105)+SUM(AX$95:AX$105)</f>
        <v>753.96086897567272</v>
      </c>
      <c r="J115" s="105">
        <f>SUM(AZ$95:AZ$105)+SUM(BB$95:BB$105)+SUM(BD$95:BD$105)+SUM(BF$95:BF$105)</f>
        <v>851.21600705710352</v>
      </c>
      <c r="K115" s="105">
        <f>SUM(BH$95:BH$105)+SUM(BJ$95:BJ$105)+SUM(BL$95:BL$105)+SUM(BN$95:BN$105)</f>
        <v>633.83141672492889</v>
      </c>
      <c r="L115" s="105">
        <f>SUM(BP$95:BP$105)+SUM(BR$95:BR$105)+SUM(BT$95:BT$105)+SUM(BV$95:BV$105)</f>
        <v>751.20207561034329</v>
      </c>
      <c r="M115" s="105">
        <f>SUM(BX$95:BX$105)+SUM(BZ$95:BZ$105)+SUM(CB$95:CB$105)+SUM(CD$95:CD$105)</f>
        <v>828.08285997879602</v>
      </c>
      <c r="N115" s="105">
        <f>SUM(CF$95:CF$105)+SUM(CH$95:CH$105)+SUM(CJ$95:CJ$105)+SUM(CL$95:CL$105)</f>
        <v>898.42068273724567</v>
      </c>
      <c r="O115" s="105">
        <f>SUM(CN$95:CN$105)+SUM(CP$95:CP$105)+SUM(CR$95:CR$105)+SUM(CT$95:CT$105)</f>
        <v>647.34284506592792</v>
      </c>
    </row>
    <row r="116" spans="2:15" x14ac:dyDescent="0.2">
      <c r="C116" s="104" t="s">
        <v>280</v>
      </c>
      <c r="D116" s="105">
        <f t="shared" ref="D116:O116" si="0">SUM(D$109:D$115)</f>
        <v>9858.65384831552</v>
      </c>
      <c r="E116" s="105">
        <f t="shared" si="0"/>
        <v>9840.357324337132</v>
      </c>
      <c r="F116" s="105">
        <f t="shared" si="0"/>
        <v>10901.274570490667</v>
      </c>
      <c r="G116" s="105">
        <f t="shared" si="0"/>
        <v>10101.264243763291</v>
      </c>
      <c r="H116" s="105">
        <f t="shared" si="0"/>
        <v>10851.15585507043</v>
      </c>
      <c r="I116" s="105">
        <f t="shared" si="0"/>
        <v>10657.516302170327</v>
      </c>
      <c r="J116" s="105">
        <f t="shared" si="0"/>
        <v>10870.159678679734</v>
      </c>
      <c r="K116" s="105">
        <f t="shared" si="0"/>
        <v>10640.902327490863</v>
      </c>
      <c r="L116" s="105">
        <f t="shared" si="0"/>
        <v>10655.781116311129</v>
      </c>
      <c r="M116" s="105">
        <f t="shared" si="0"/>
        <v>11030.715498328664</v>
      </c>
      <c r="N116" s="105">
        <f t="shared" si="0"/>
        <v>11117.793312729817</v>
      </c>
      <c r="O116" s="105">
        <f t="shared" si="0"/>
        <v>10434.157630463418</v>
      </c>
    </row>
    <row r="118" spans="2:15" x14ac:dyDescent="0.2">
      <c r="B118" s="108" t="s">
        <v>281</v>
      </c>
    </row>
    <row r="119" spans="2:15" x14ac:dyDescent="0.2">
      <c r="C119" s="104" t="s">
        <v>279</v>
      </c>
      <c r="D119" s="104" t="s">
        <v>92</v>
      </c>
      <c r="E119" s="104" t="s">
        <v>93</v>
      </c>
      <c r="F119" s="104" t="s">
        <v>94</v>
      </c>
      <c r="G119" s="104" t="s">
        <v>95</v>
      </c>
      <c r="H119" s="104" t="s">
        <v>96</v>
      </c>
      <c r="I119" s="104" t="s">
        <v>97</v>
      </c>
      <c r="J119" s="104" t="s">
        <v>98</v>
      </c>
      <c r="K119" s="104" t="s">
        <v>99</v>
      </c>
      <c r="L119" s="104" t="s">
        <v>100</v>
      </c>
      <c r="M119" s="104" t="s">
        <v>101</v>
      </c>
      <c r="N119" s="104" t="s">
        <v>102</v>
      </c>
      <c r="O119" s="104" t="s">
        <v>103</v>
      </c>
    </row>
    <row r="120" spans="2:15" x14ac:dyDescent="0.2">
      <c r="C120" s="104" t="s">
        <v>126</v>
      </c>
      <c r="D120" s="105">
        <f>D109*pricing!D33*2000</f>
        <v>4443555.9571117908</v>
      </c>
      <c r="E120" s="105">
        <f>E109*pricing!E33*2000</f>
        <v>4218902.9796820199</v>
      </c>
      <c r="F120" s="105">
        <f>F109*pricing!F33*2000</f>
        <v>5071960.546147476</v>
      </c>
      <c r="G120" s="105">
        <f>G109*pricing!G33*2000</f>
        <v>4514992.4152717274</v>
      </c>
      <c r="H120" s="105">
        <f>H109*pricing!H33*2000</f>
        <v>4610294.3598631574</v>
      </c>
      <c r="I120" s="105">
        <f>I109*pricing!I33*2000</f>
        <v>5558623.9488577172</v>
      </c>
      <c r="J120" s="105">
        <f>J109*pricing!J33*2000</f>
        <v>3981348.4385481603</v>
      </c>
      <c r="K120" s="105">
        <f>K109*pricing!K33*2000</f>
        <v>4578556.6814989476</v>
      </c>
      <c r="L120" s="105">
        <f>L109*pricing!L33*2000</f>
        <v>5094267.9201445756</v>
      </c>
      <c r="M120" s="105">
        <f>M109*pricing!M33*2000</f>
        <v>5673600</v>
      </c>
      <c r="N120" s="105">
        <f>N109*pricing!N33*2000</f>
        <v>6059596.3777282974</v>
      </c>
      <c r="O120" s="105">
        <f>O109*pricing!O33*2000</f>
        <v>5231114.7246861393</v>
      </c>
    </row>
    <row r="121" spans="2:15" x14ac:dyDescent="0.2">
      <c r="C121" s="104" t="s">
        <v>127</v>
      </c>
      <c r="D121" s="105">
        <f>D110*pricing!D34*2000</f>
        <v>5141659.6558355484</v>
      </c>
      <c r="E121" s="105">
        <f>E110*pricing!E34*2000</f>
        <v>4664912.7482435098</v>
      </c>
      <c r="F121" s="105">
        <f>F110*pricing!F34*2000</f>
        <v>5709386.3671614658</v>
      </c>
      <c r="G121" s="105">
        <f>G110*pricing!G34*2000</f>
        <v>5776971.4943752224</v>
      </c>
      <c r="H121" s="105">
        <f>H110*pricing!H34*2000</f>
        <v>5576117.062086869</v>
      </c>
      <c r="I121" s="105">
        <f>I110*pricing!I34*2000</f>
        <v>3818789.0961186369</v>
      </c>
      <c r="J121" s="105">
        <f>J110*pricing!J34*2000</f>
        <v>5905673.9339330709</v>
      </c>
      <c r="K121" s="105">
        <f>K110*pricing!K34*2000</f>
        <v>5751318.1201998135</v>
      </c>
      <c r="L121" s="105">
        <f>L110*pricing!L34*2000</f>
        <v>5588021.152712238</v>
      </c>
      <c r="M121" s="105">
        <f>M110*pricing!M34*2000</f>
        <v>5798400.0000000009</v>
      </c>
      <c r="N121" s="105">
        <f>N110*pricing!N34*2000</f>
        <v>6130660.4345409404</v>
      </c>
      <c r="O121" s="105">
        <f>O110*pricing!O34*2000</f>
        <v>4954200.3561980287</v>
      </c>
    </row>
    <row r="122" spans="2:15" x14ac:dyDescent="0.2">
      <c r="C122" s="104" t="s">
        <v>128</v>
      </c>
      <c r="D122" s="105">
        <f>D111*pricing!D35*2000</f>
        <v>5277415.4395124596</v>
      </c>
      <c r="E122" s="105">
        <f>E111*pricing!E35*2000</f>
        <v>5619712.3129113829</v>
      </c>
      <c r="F122" s="105">
        <f>F111*pricing!F35*2000</f>
        <v>6058375.503220059</v>
      </c>
      <c r="G122" s="105">
        <f>G111*pricing!G35*2000</f>
        <v>5418773.2836126676</v>
      </c>
      <c r="H122" s="105">
        <f>H111*pricing!H35*2000</f>
        <v>5663096.2156055942</v>
      </c>
      <c r="I122" s="105">
        <f>I111*pricing!I35*2000</f>
        <v>6111319.9094495326</v>
      </c>
      <c r="J122" s="105">
        <f>J111*pricing!J35*2000</f>
        <v>6201138.6525994847</v>
      </c>
      <c r="K122" s="105">
        <f>K111*pricing!K35*2000</f>
        <v>5640814.4076396627</v>
      </c>
      <c r="L122" s="105">
        <f>L111*pricing!L35*2000</f>
        <v>5788878.9960979186</v>
      </c>
      <c r="M122" s="105">
        <f>M111*pricing!M35*2000</f>
        <v>5127980</v>
      </c>
      <c r="N122" s="105">
        <f>N111*pricing!N35*2000</f>
        <v>5819437.143073394</v>
      </c>
      <c r="O122" s="105">
        <f>O111*pricing!O35*2000</f>
        <v>6013456.573951087</v>
      </c>
    </row>
    <row r="123" spans="2:15" x14ac:dyDescent="0.2">
      <c r="C123" s="104" t="s">
        <v>129</v>
      </c>
      <c r="D123" s="105">
        <f>D112*pricing!D36*2000</f>
        <v>8322325.6099888021</v>
      </c>
      <c r="E123" s="105">
        <f>E112*pricing!E36*2000</f>
        <v>8540020.658104429</v>
      </c>
      <c r="F123" s="105">
        <f>F112*pricing!F36*2000</f>
        <v>8993029.230493892</v>
      </c>
      <c r="G123" s="105">
        <f>G112*pricing!G36*2000</f>
        <v>7335476.7083123215</v>
      </c>
      <c r="H123" s="105">
        <f>H112*pricing!H36*2000</f>
        <v>10704048.327953517</v>
      </c>
      <c r="I123" s="105">
        <f>I112*pricing!I36*2000</f>
        <v>9526654.0640828311</v>
      </c>
      <c r="J123" s="105">
        <f>J112*pricing!J36*2000</f>
        <v>9396084.8521917239</v>
      </c>
      <c r="K123" s="105">
        <f>K112*pricing!K36*2000</f>
        <v>9532193.9411922768</v>
      </c>
      <c r="L123" s="105">
        <f>L112*pricing!L36*2000</f>
        <v>8705075.3272686228</v>
      </c>
      <c r="M123" s="105">
        <f>M112*pricing!M36*2000</f>
        <v>8975474.8695667684</v>
      </c>
      <c r="N123" s="105">
        <f>N112*pricing!N36*2000</f>
        <v>7494643.8860433241</v>
      </c>
      <c r="O123" s="105">
        <f>O112*pricing!O36*2000</f>
        <v>8411714.7245505042</v>
      </c>
    </row>
    <row r="124" spans="2:15" x14ac:dyDescent="0.2">
      <c r="C124" s="104" t="s">
        <v>130</v>
      </c>
      <c r="D124" s="105">
        <f>D113*pricing!D37*2000</f>
        <v>4050903.3980634804</v>
      </c>
      <c r="E124" s="105">
        <f>E113*pricing!E37*2000</f>
        <v>4069391.2486305283</v>
      </c>
      <c r="F124" s="105">
        <f>F113*pricing!F37*2000</f>
        <v>4552756.3137353174</v>
      </c>
      <c r="G124" s="105">
        <f>G113*pricing!G37*2000</f>
        <v>4499157.6843640311</v>
      </c>
      <c r="H124" s="105">
        <f>H113*pricing!H37*2000</f>
        <v>4040415.0012812479</v>
      </c>
      <c r="I124" s="105">
        <f>I113*pricing!I37*2000</f>
        <v>4269034.9103014469</v>
      </c>
      <c r="J124" s="105">
        <f>J113*pricing!J37*2000</f>
        <v>4331119.2566426909</v>
      </c>
      <c r="K124" s="105">
        <f>K113*pricing!K37*2000</f>
        <v>4228014.2289123228</v>
      </c>
      <c r="L124" s="105">
        <f>L113*pricing!L37*2000</f>
        <v>4334190.3757464662</v>
      </c>
      <c r="M124" s="105">
        <f>M113*pricing!M37*2000</f>
        <v>4597132.8445427399</v>
      </c>
      <c r="N124" s="105">
        <f>N113*pricing!N37*2000</f>
        <v>4779323.647583738</v>
      </c>
      <c r="O124" s="105">
        <f>O113*pricing!O37*2000</f>
        <v>4303433.2569393609</v>
      </c>
    </row>
    <row r="125" spans="2:15" x14ac:dyDescent="0.2">
      <c r="C125" s="104" t="s">
        <v>131</v>
      </c>
      <c r="D125" s="105">
        <f>D114*pricing!D38*2000</f>
        <v>1742340.0774620068</v>
      </c>
      <c r="E125" s="105">
        <f>E114*pricing!E38*2000</f>
        <v>1720400</v>
      </c>
      <c r="F125" s="105">
        <f>F114*pricing!F38*2000</f>
        <v>1720400</v>
      </c>
      <c r="G125" s="105">
        <f>G114*pricing!G38*2000</f>
        <v>2186800</v>
      </c>
      <c r="H125" s="105">
        <f>H114*pricing!H38*2000</f>
        <v>1387611.0074727156</v>
      </c>
      <c r="I125" s="105">
        <f>I114*pricing!I38*2000</f>
        <v>2010800.0000000002</v>
      </c>
      <c r="J125" s="105">
        <f>J114*pricing!J38*2000</f>
        <v>1799600.0000000002</v>
      </c>
      <c r="K125" s="105">
        <f>K114*pricing!K38*2000</f>
        <v>1843600.0000000002</v>
      </c>
      <c r="L125" s="105">
        <f>L114*pricing!L38*2000</f>
        <v>1782000.0000000002</v>
      </c>
      <c r="M125" s="105">
        <f>M114*pricing!M38*2000</f>
        <v>2112000</v>
      </c>
      <c r="N125" s="105">
        <f>N114*pricing!N38*2000</f>
        <v>2198819.8746113651</v>
      </c>
      <c r="O125" s="105">
        <f>O114*pricing!O38*2000</f>
        <v>2125252.6868787687</v>
      </c>
    </row>
    <row r="126" spans="2:15" x14ac:dyDescent="0.2">
      <c r="C126" s="104" t="s">
        <v>132</v>
      </c>
      <c r="D126" s="105">
        <f>D115*pricing!D39*2000</f>
        <v>2883513.6691376981</v>
      </c>
      <c r="E126" s="105">
        <f>E115*pricing!E39*2000</f>
        <v>2972427.8337496021</v>
      </c>
      <c r="F126" s="105">
        <f>F115*pricing!F39*2000</f>
        <v>3053128.1663464457</v>
      </c>
      <c r="G126" s="105">
        <f>G115*pricing!G39*2000</f>
        <v>3141198.099837014</v>
      </c>
      <c r="H126" s="105">
        <f>H115*pricing!H39*2000</f>
        <v>2739880.6074688425</v>
      </c>
      <c r="I126" s="105">
        <f>I115*pricing!I39*2000</f>
        <v>3166635.6496978258</v>
      </c>
      <c r="J126" s="105">
        <f>J115*pricing!J39*2000</f>
        <v>3575107.2296398352</v>
      </c>
      <c r="K126" s="105">
        <f>K115*pricing!K39*2000</f>
        <v>2662091.9502447015</v>
      </c>
      <c r="L126" s="105">
        <f>L115*pricing!L39*2000</f>
        <v>3155048.717563442</v>
      </c>
      <c r="M126" s="105">
        <f>M115*pricing!M39*2000</f>
        <v>3477948.0119109433</v>
      </c>
      <c r="N126" s="105">
        <f>N115*pricing!N39*2000</f>
        <v>3773366.8674964318</v>
      </c>
      <c r="O126" s="105">
        <f>O115*pricing!O39*2000</f>
        <v>2718839.9492768971</v>
      </c>
    </row>
    <row r="127" spans="2:15" x14ac:dyDescent="0.2">
      <c r="C127" s="104" t="s">
        <v>280</v>
      </c>
      <c r="D127" s="105">
        <f>SUM(D$120:D$126)</f>
        <v>31861713.807111785</v>
      </c>
      <c r="E127" s="105">
        <f t="shared" ref="E127:O127" si="1">SUM(E$120:E$126)</f>
        <v>31805767.781321473</v>
      </c>
      <c r="F127" s="105">
        <f t="shared" si="1"/>
        <v>35159036.127104655</v>
      </c>
      <c r="G127" s="105">
        <f t="shared" si="1"/>
        <v>32873369.685772985</v>
      </c>
      <c r="H127" s="105">
        <f t="shared" si="1"/>
        <v>34721462.581731945</v>
      </c>
      <c r="I127" s="105">
        <f t="shared" si="1"/>
        <v>34461857.57850799</v>
      </c>
      <c r="J127" s="105">
        <f t="shared" si="1"/>
        <v>35190072.363554962</v>
      </c>
      <c r="K127" s="105">
        <f t="shared" si="1"/>
        <v>34236589.329687722</v>
      </c>
      <c r="L127" s="105">
        <f t="shared" si="1"/>
        <v>34447482.48953326</v>
      </c>
      <c r="M127" s="105">
        <f t="shared" si="1"/>
        <v>35762535.726020455</v>
      </c>
      <c r="N127" s="105">
        <f t="shared" si="1"/>
        <v>36255848.231077492</v>
      </c>
      <c r="O127" s="105">
        <f t="shared" si="1"/>
        <v>33758012.272480786</v>
      </c>
    </row>
    <row r="129" spans="2:15" x14ac:dyDescent="0.2">
      <c r="B129" s="108" t="s">
        <v>282</v>
      </c>
    </row>
    <row r="130" spans="2:15" x14ac:dyDescent="0.2">
      <c r="C130" s="110" t="s">
        <v>279</v>
      </c>
      <c r="D130" s="110" t="s">
        <v>92</v>
      </c>
      <c r="E130" s="110" t="s">
        <v>93</v>
      </c>
      <c r="F130" s="110" t="s">
        <v>94</v>
      </c>
      <c r="G130" s="110" t="s">
        <v>95</v>
      </c>
      <c r="H130" s="110" t="s">
        <v>96</v>
      </c>
      <c r="I130" s="110" t="s">
        <v>97</v>
      </c>
      <c r="J130" s="110" t="s">
        <v>98</v>
      </c>
      <c r="K130" s="110" t="s">
        <v>99</v>
      </c>
      <c r="L130" s="110" t="s">
        <v>100</v>
      </c>
      <c r="M130" s="110" t="s">
        <v>101</v>
      </c>
      <c r="N130" s="110" t="s">
        <v>102</v>
      </c>
      <c r="O130" s="110" t="s">
        <v>103</v>
      </c>
    </row>
    <row r="131" spans="2:15" x14ac:dyDescent="0.2">
      <c r="C131" s="110" t="s">
        <v>126</v>
      </c>
      <c r="D131" s="111">
        <f>SUM(E$6:E$19)+SUM(G$6:G$19)+SUM(I$6:I$19)+SUM(K$6:K$19)</f>
        <v>790887.59920778917</v>
      </c>
      <c r="E131" s="111">
        <f>SUM(M$6:M$19)+SUM(O$6:O$19)+SUM(Q$6:Q$19)+SUM(S$6:S$19)</f>
        <v>750762.78320831282</v>
      </c>
      <c r="F131" s="111">
        <f>SUM(U$6:U$19)+SUM(W$6:W$19)+SUM(Y$6:Y$19)+SUM(AA$6:AA$19)</f>
        <v>907565.88059387798</v>
      </c>
      <c r="G131" s="111">
        <f>SUM(AC$6:AC$19)+SUM(AE$6:AE$19)+SUM(AG$6:AG$19)+SUM(AI$6:AI$19)</f>
        <v>804775.68019934895</v>
      </c>
      <c r="H131" s="111">
        <f>SUM(AK$6:AK$19)+SUM(AM$6:AM$19)+SUM(AO$6:AO$19)+SUM(AQ$6:AQ$19)</f>
        <v>819926.88404254057</v>
      </c>
      <c r="I131" s="111">
        <f>SUM(AS$6:AS$19)+SUM(AU$6:AU$19)+SUM(AW$6:AW$19)+SUM(AY$6:AY$19)</f>
        <v>986638.19574833859</v>
      </c>
      <c r="J131" s="111">
        <f>SUM(BA$6:BA$19)+SUM(BC$6:BC$19)+SUM(BE$6:BE$19)+SUM(BG$6:BG$19)</f>
        <v>708587.65780175605</v>
      </c>
      <c r="K131" s="111">
        <f>SUM(BI$6:BI$19)+SUM(BK$6:BK$19)+SUM(BM$6:BM$19)+SUM(BO$6:BO$19)</f>
        <v>815762.59479149128</v>
      </c>
      <c r="L131" s="111">
        <f>SUM(BQ$6:BQ$19)+SUM(BS$6:BS$19)+SUM(BU$6:BU$19)+SUM(BW$6:BW$19)</f>
        <v>913646.93850763841</v>
      </c>
      <c r="M131" s="111">
        <f>SUM(BY$6:BY$19)+SUM(CA$6:CA$19)+SUM(CC$6:CC$19)+SUM(CE$6:CE$19)</f>
        <v>1007688</v>
      </c>
      <c r="N131" s="111">
        <f>SUM(CG$6:CG$19)+SUM(CI$6:CI$19)+SUM(CK$6:CK$19)+SUM(CM$6:CM$19)</f>
        <v>1077734.8993780909</v>
      </c>
      <c r="O131" s="111">
        <f>SUM(CO$6:CO$19)+SUM(CQ$6:CQ$19)+SUM(CS$6:CS$19)+SUM(CU$6:CU$19)</f>
        <v>930712.58904482669</v>
      </c>
    </row>
    <row r="132" spans="2:15" x14ac:dyDescent="0.2">
      <c r="C132" s="110" t="s">
        <v>127</v>
      </c>
      <c r="D132" s="111">
        <f>SUM(E$20:E$36)+SUM(G$20:G$36)+SUM(I$20:I$36)+SUM(K$20:K$36)</f>
        <v>516838.77055004024</v>
      </c>
      <c r="E132" s="111">
        <f>SUM(M$20:M$36)+SUM(O$20:O$36)+SUM(Q$20:Q$36)+SUM(S$20:S$36)</f>
        <v>460838.70256166672</v>
      </c>
      <c r="F132" s="111">
        <f>SUM(U$20:U$36)+SUM(W$20:W$36)+SUM(Y$20:Y$36)+SUM(AA$20:AA$36)</f>
        <v>563786.24741899839</v>
      </c>
      <c r="G132" s="111">
        <f>SUM(AC$20:AC$36)+SUM(AE$20:AE$36)+SUM(AG$20:AG$36)+SUM(AI$20:AI$36)</f>
        <v>567491.68552326621</v>
      </c>
      <c r="H132" s="111">
        <f>SUM(AK$20:AK$36)+SUM(AM$20:AM$36)+SUM(AO$20:AO$36)+SUM(AQ$20:AQ$36)</f>
        <v>547270.05611585069</v>
      </c>
      <c r="I132" s="111">
        <f>SUM(AS$20:AS$36)+SUM(AU$20:AU$36)+SUM(AW$20:AW$36)+SUM(AY$20:AY$36)</f>
        <v>379741.30126226274</v>
      </c>
      <c r="J132" s="111">
        <f>SUM(BA$20:BA$36)+SUM(BC$20:BC$36)+SUM(BE$20:BE$36)+SUM(BG$20:BG$36)</f>
        <v>596714.53002111171</v>
      </c>
      <c r="K132" s="111">
        <f>SUM(BI$20:BI$36)+SUM(BK$20:BK$36)+SUM(BM$20:BM$36)+SUM(BO$20:BO$36)</f>
        <v>573223.9723091824</v>
      </c>
      <c r="L132" s="111">
        <f>SUM(BQ$20:BQ$36)+SUM(BS$20:BS$36)+SUM(BU$20:BU$36)+SUM(BW$20:BW$36)</f>
        <v>556247.89692020917</v>
      </c>
      <c r="M132" s="111">
        <f>SUM(BY$20:BY$36)+SUM(CA$20:CA$36)+SUM(CC$20:CC$36)+SUM(CE$20:CE$36)</f>
        <v>566086.80000000005</v>
      </c>
      <c r="N132" s="111">
        <f>SUM(CG$20:CG$36)+SUM(CI$20:CI$36)+SUM(CK$20:CK$36)+SUM(CM$20:CM$36)</f>
        <v>601234.37261530338</v>
      </c>
      <c r="O132" s="111">
        <f>SUM(CO$20:CO$36)+SUM(CQ$20:CQ$36)+SUM(CS$20:CS$36)+SUM(CU$20:CU$36)</f>
        <v>504768.8661927199</v>
      </c>
    </row>
    <row r="133" spans="2:15" x14ac:dyDescent="0.2">
      <c r="C133" s="110" t="s">
        <v>128</v>
      </c>
      <c r="D133" s="111">
        <f>SUM(E$37:E$48)+SUM(G$37:G$48)+SUM(I$37:I$48)+SUM(K$37:K$48)</f>
        <v>1377909.3075299817</v>
      </c>
      <c r="E133" s="111">
        <f>SUM(M$37:M$48)+SUM(O$37:O$48)+SUM(Q$37:Q$48)+SUM(S$37:S$48)</f>
        <v>1453928.8922696272</v>
      </c>
      <c r="F133" s="111">
        <f>SUM(U$37:U$48)+SUM(W$37:W$48)+SUM(Y$37:Y$48)+SUM(AA$37:AA$48)</f>
        <v>1567969.1041618236</v>
      </c>
      <c r="G133" s="111">
        <f>SUM(AC$37:AC$48)+SUM(AE$37:AE$48)+SUM(AG$37:AG$48)+SUM(AI$37:AI$48)</f>
        <v>1398966.5981552731</v>
      </c>
      <c r="H133" s="111">
        <f>SUM(AK$37:AK$48)+SUM(AM$37:AM$48)+SUM(AO$37:AO$48)+SUM(AQ$37:AQ$48)</f>
        <v>1480073.5044557417</v>
      </c>
      <c r="I133" s="111">
        <f>SUM(AS$37:AS$48)+SUM(AU$37:AU$48)+SUM(AW$37:AW$48)+SUM(AY$37:AY$48)</f>
        <v>1578550.1287287457</v>
      </c>
      <c r="J133" s="111">
        <f>SUM(BA$37:BA$48)+SUM(BC$37:BC$48)+SUM(BE$37:BE$48)+SUM(BG$37:BG$48)</f>
        <v>1606046.7452436448</v>
      </c>
      <c r="K133" s="111">
        <f>SUM(BI$37:BI$48)+SUM(BK$37:BK$48)+SUM(BM$37:BM$48)+SUM(BO$37:BO$48)</f>
        <v>1464751.9258126521</v>
      </c>
      <c r="L133" s="111">
        <f>SUM(BQ$37:BQ$48)+SUM(BS$37:BS$48)+SUM(BU$37:BU$48)+SUM(BW$37:BW$48)</f>
        <v>1497685.9843220008</v>
      </c>
      <c r="M133" s="111">
        <f>SUM(BY$37:BY$48)+SUM(CA$37:CA$48)+SUM(CC$37:CC$48)+SUM(CE$37:CE$48)</f>
        <v>1330678.7999999998</v>
      </c>
      <c r="N133" s="111">
        <f>SUM(CG$37:CG$48)+SUM(CI$37:CI$48)+SUM(CK$37:CK$48)+SUM(CM$37:CM$48)</f>
        <v>1513733.356994326</v>
      </c>
      <c r="O133" s="111">
        <f>SUM(CO$37:CO$48)+SUM(CQ$37:CQ$48)+SUM(CS$37:CS$48)+SUM(CU$37:CU$48)</f>
        <v>1573815.5605170086</v>
      </c>
    </row>
    <row r="134" spans="2:15" x14ac:dyDescent="0.2">
      <c r="C134" s="110" t="s">
        <v>129</v>
      </c>
      <c r="D134" s="111">
        <f>SUM(E$49:E$70)+SUM(G$49:G$70)+SUM(I$49:I$70)+SUM(K$49:K$70)</f>
        <v>1106104.9151433192</v>
      </c>
      <c r="E134" s="111">
        <f>SUM(M$49:M$70)+SUM(O$49:O$70)+SUM(Q$49:Q$70)+SUM(S$49:S$70)</f>
        <v>1144122.8885318486</v>
      </c>
      <c r="F134" s="111">
        <f>SUM(U$49:U$70)+SUM(W$49:W$70)+SUM(Y$49:Y$70)+SUM(AA$49:AA$70)</f>
        <v>1169021.8442977436</v>
      </c>
      <c r="G134" s="111">
        <f>SUM(AC$49:AC$70)+SUM(AE$49:AE$70)+SUM(AG$49:AG$70)+SUM(AI$49:AI$70)</f>
        <v>961286.77544197394</v>
      </c>
      <c r="H134" s="111">
        <f>SUM(AK$49:AK$70)+SUM(AM$49:AM$70)+SUM(AO$49:AO$70)+SUM(AQ$49:AQ$70)</f>
        <v>1417392.5946458036</v>
      </c>
      <c r="I134" s="111">
        <f>SUM(AS$49:AS$70)+SUM(AU$49:AU$70)+SUM(AW$49:AW$70)+SUM(AY$49:AY$70)</f>
        <v>1250062.5662304219</v>
      </c>
      <c r="J134" s="111">
        <f>SUM(BA$49:BA$70)+SUM(BC$49:BC$70)+SUM(BE$49:BE$70)+SUM(BG$49:BG$70)</f>
        <v>1220412.8628258794</v>
      </c>
      <c r="K134" s="111">
        <f>SUM(BI$49:BI$70)+SUM(BK$49:BK$70)+SUM(BM$49:BM$70)+SUM(BO$49:BO$70)</f>
        <v>1264202.1781439204</v>
      </c>
      <c r="L134" s="111">
        <f>SUM(BQ$49:BQ$70)+SUM(BS$49:BS$70)+SUM(BU$49:BU$70)+SUM(BW$49:BW$70)</f>
        <v>1146962.9610995741</v>
      </c>
      <c r="M134" s="111">
        <f>SUM(BY$49:BY$70)+SUM(CA$49:CA$70)+SUM(CC$49:CC$70)+SUM(CE$49:CE$70)</f>
        <v>1188757.5919970234</v>
      </c>
      <c r="N134" s="111">
        <f>SUM(CG$49:CG$70)+SUM(CI$49:CI$70)+SUM(CK$49:CK$70)+SUM(CM$49:CM$70)</f>
        <v>990319.37594720768</v>
      </c>
      <c r="O134" s="111">
        <f>SUM(CO$49:CO$70)+SUM(CQ$49:CQ$70)+SUM(CS$49:CS$70)+SUM(CU$49:CU$70)</f>
        <v>1111270.6999543062</v>
      </c>
    </row>
    <row r="135" spans="2:15" x14ac:dyDescent="0.2">
      <c r="C135" s="110" t="s">
        <v>130</v>
      </c>
      <c r="D135" s="111">
        <f>SUM(E$71:E$86)+SUM(G$71:G$86)+SUM(I$71:I$86)+SUM(K$71:K$86)</f>
        <v>662507.43797964684</v>
      </c>
      <c r="E135" s="111">
        <f>SUM(M$71:M$86)+SUM(O$71:O$86)+SUM(Q$71:Q$86)+SUM(S$71:S$86)</f>
        <v>664094.68901700655</v>
      </c>
      <c r="F135" s="111">
        <f>SUM(U$71:U$86)+SUM(W$71:W$86)+SUM(Y$71:Y$86)+SUM(AA$71:AA$86)</f>
        <v>738198.19990710879</v>
      </c>
      <c r="G135" s="111">
        <f>SUM(AC$71:AC$86)+SUM(AE$71:AE$86)+SUM(AG$71:AG$86)+SUM(AI$71:AI$86)</f>
        <v>734533.07001382962</v>
      </c>
      <c r="H135" s="111">
        <f>SUM(AK$71:AK$86)+SUM(AM$71:AM$86)+SUM(AO$71:AO$86)+SUM(AQ$71:AQ$86)</f>
        <v>662803.60963834892</v>
      </c>
      <c r="I135" s="111">
        <f>SUM(AS$71:AS$86)+SUM(AU$71:AU$86)+SUM(AW$71:AW$86)+SUM(AY$71:AY$86)</f>
        <v>695659.68023537425</v>
      </c>
      <c r="J135" s="111">
        <f>SUM(BA$71:BA$86)+SUM(BC$71:BC$86)+SUM(BE$71:BE$86)+SUM(BG$71:BG$86)</f>
        <v>706273.69868869451</v>
      </c>
      <c r="K135" s="111">
        <f>SUM(BI$71:BI$86)+SUM(BK$71:BK$86)+SUM(BM$71:BM$86)+SUM(BO$71:BO$86)</f>
        <v>690949.70560240094</v>
      </c>
      <c r="L135" s="111">
        <f>SUM(BQ$71:BQ$86)+SUM(BS$71:BS$86)+SUM(BU$71:BU$86)+SUM(BW$71:BW$86)</f>
        <v>709331.22348099167</v>
      </c>
      <c r="M135" s="111">
        <f>SUM(BY$71:BY$86)+SUM(CA$71:CA$86)+SUM(CC$71:CC$86)+SUM(CE$71:CE$86)</f>
        <v>752980.56099335384</v>
      </c>
      <c r="N135" s="111">
        <f>SUM(CG$71:CG$86)+SUM(CI$71:CI$86)+SUM(CK$71:CK$86)+SUM(CM$71:CM$86)</f>
        <v>782975.41789807985</v>
      </c>
      <c r="O135" s="111">
        <f>SUM(CO$71:CO$86)+SUM(CQ$71:CQ$86)+SUM(CS$71:CS$86)+SUM(CU$71:CU$86)</f>
        <v>699490.4783379474</v>
      </c>
    </row>
    <row r="136" spans="2:15" x14ac:dyDescent="0.2">
      <c r="C136" s="110" t="s">
        <v>131</v>
      </c>
      <c r="D136" s="111">
        <f>SUM(E$87:E$94)+SUM(G$87:G$94)+SUM(I$87:I$94)+SUM(K$87:K$94)</f>
        <v>311684.51392115647</v>
      </c>
      <c r="E136" s="111">
        <f>SUM(M$87:M$94)+SUM(O$87:O$94)+SUM(Q$87:Q$94)+SUM(S$87:S$94)</f>
        <v>309063.59999999998</v>
      </c>
      <c r="F136" s="111">
        <f>SUM(U$87:U$94)+SUM(W$87:W$94)+SUM(Y$87:Y$94)+SUM(AA$87:AA$94)</f>
        <v>309052.79999999999</v>
      </c>
      <c r="G136" s="111">
        <f>SUM(AC$87:AC$94)+SUM(AE$87:AE$94)+SUM(AG$87:AG$94)+SUM(AI$87:AI$94)</f>
        <v>392600.4</v>
      </c>
      <c r="H136" s="111">
        <f>SUM(AK$87:AK$94)+SUM(AM$87:AM$94)+SUM(AO$87:AO$94)+SUM(AQ$87:AQ$94)</f>
        <v>249174.65699141103</v>
      </c>
      <c r="I136" s="111">
        <f>SUM(AS$87:AS$94)+SUM(AU$87:AU$94)+SUM(AW$87:AW$94)+SUM(AY$87:AY$94)</f>
        <v>360584.39999999997</v>
      </c>
      <c r="J136" s="111">
        <f>SUM(BA$87:BA$94)+SUM(BC$87:BC$94)+SUM(BE$87:BE$94)+SUM(BG$87:BG$94)</f>
        <v>323710.8</v>
      </c>
      <c r="K136" s="111">
        <f>SUM(BI$87:BI$94)+SUM(BK$87:BK$94)+SUM(BM$87:BM$94)+SUM(BO$87:BO$94)</f>
        <v>331521.59999999998</v>
      </c>
      <c r="L136" s="111">
        <f>SUM(BQ$87:BQ$94)+SUM(BS$87:BS$94)+SUM(BU$87:BU$94)+SUM(BW$87:BW$94)</f>
        <v>319030.79999999993</v>
      </c>
      <c r="M136" s="111">
        <f>SUM(BY$87:BY$94)+SUM(CA$87:CA$94)+SUM(CC$87:CC$94)+SUM(CE$87:CE$94)</f>
        <v>379483.20000000007</v>
      </c>
      <c r="N136" s="111">
        <f>SUM(CG$87:CG$94)+SUM(CI$87:CI$94)+SUM(CK$87:CK$94)+SUM(CM$87:CM$94)</f>
        <v>395763.34298718185</v>
      </c>
      <c r="O136" s="111">
        <f>SUM(CO$87:CO$94)+SUM(CQ$87:CQ$94)+SUM(CS$87:CS$94)+SUM(CU$87:CU$94)</f>
        <v>381165.61159743776</v>
      </c>
    </row>
    <row r="137" spans="2:15" x14ac:dyDescent="0.2">
      <c r="C137" s="110" t="s">
        <v>132</v>
      </c>
      <c r="D137" s="111">
        <f>SUM(E$95:E$105)+SUM(G$95:G$105)+SUM(I$95:I$105)+SUM(K$95:K$105)</f>
        <v>433654.66656789591</v>
      </c>
      <c r="E137" s="111">
        <f>SUM(M$95:M$105)+SUM(O$95:O$105)+SUM(Q$95:Q$105)+SUM(S$95:S$105)</f>
        <v>460763.57462671626</v>
      </c>
      <c r="F137" s="111">
        <f>SUM(U$95:U$105)+SUM(W$95:W$105)+SUM(Y$95:Y$105)+SUM(AA$95:AA$105)</f>
        <v>458100.04376371484</v>
      </c>
      <c r="G137" s="111">
        <f>SUM(AC$95:AC$105)+SUM(AE$95:AE$105)+SUM(AG$95:AG$105)+SUM(AI$95:AI$105)</f>
        <v>475329.49828590534</v>
      </c>
      <c r="H137" s="111">
        <f>SUM(AK$95:AK$105)+SUM(AM$95:AM$105)+SUM(AO$95:AO$105)+SUM(AQ$95:AQ$105)</f>
        <v>419022.8344548241</v>
      </c>
      <c r="I137" s="111">
        <f>SUM(AS$95:AS$105)+SUM(AU$95:AU$105)+SUM(AW$95:AW$105)+SUM(AY$95:AY$105)</f>
        <v>474113.77298326505</v>
      </c>
      <c r="J137" s="111">
        <f>SUM(BA$95:BA$105)+SUM(BC$95:BC$105)+SUM(BE$95:BE$105)+SUM(BG$95:BG$105)</f>
        <v>539112.54895722272</v>
      </c>
      <c r="K137" s="111">
        <f>SUM(BI$95:BI$105)+SUM(BK$95:BK$105)+SUM(BM$95:BM$105)+SUM(BO$95:BO$105)</f>
        <v>407188.79615590151</v>
      </c>
      <c r="L137" s="111">
        <f>SUM(BQ$95:BQ$105)+SUM(BS$95:BS$105)+SUM(BU$95:BU$105)+SUM(BW$95:BW$105)</f>
        <v>476669.61663781689</v>
      </c>
      <c r="M137" s="111">
        <f>SUM(BY$95:BY$105)+SUM(CA$95:CA$105)+SUM(CC$95:CC$105)+SUM(CE$95:CE$105)</f>
        <v>536139.97208097728</v>
      </c>
      <c r="N137" s="111">
        <f>SUM(CG$95:CG$105)+SUM(CI$95:CI$105)+SUM(CK$95:CK$105)+SUM(CM$95:CM$105)</f>
        <v>572079.34593901853</v>
      </c>
      <c r="O137" s="111">
        <f>SUM(CO$95:CO$105)+SUM(CQ$95:CQ$105)+SUM(CS$95:CS$105)+SUM(CU$95:CU$105)</f>
        <v>410337.92224825465</v>
      </c>
    </row>
    <row r="138" spans="2:15" x14ac:dyDescent="0.2">
      <c r="C138" s="110" t="s">
        <v>280</v>
      </c>
      <c r="D138" s="105">
        <f t="shared" ref="D138:O138" si="2">SUM(D$131:D$137)</f>
        <v>5199587.2108998299</v>
      </c>
      <c r="E138" s="105">
        <f t="shared" si="2"/>
        <v>5243575.1302151773</v>
      </c>
      <c r="F138" s="105">
        <f t="shared" si="2"/>
        <v>5713694.1201432673</v>
      </c>
      <c r="G138" s="105">
        <f t="shared" si="2"/>
        <v>5334983.7076195981</v>
      </c>
      <c r="H138" s="105">
        <f t="shared" si="2"/>
        <v>5595664.140344521</v>
      </c>
      <c r="I138" s="105">
        <f t="shared" si="2"/>
        <v>5725350.0451884093</v>
      </c>
      <c r="J138" s="105">
        <f t="shared" si="2"/>
        <v>5700858.8435383094</v>
      </c>
      <c r="K138" s="105">
        <f t="shared" si="2"/>
        <v>5547600.7728155479</v>
      </c>
      <c r="L138" s="105">
        <f t="shared" si="2"/>
        <v>5619575.4209682308</v>
      </c>
      <c r="M138" s="105">
        <f t="shared" si="2"/>
        <v>5761814.925071355</v>
      </c>
      <c r="N138" s="105">
        <f t="shared" si="2"/>
        <v>5933840.1117592081</v>
      </c>
      <c r="O138" s="105">
        <f t="shared" si="2"/>
        <v>5611561.7278925013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5"/>
    <col min="3" max="3" width="14.5703125" style="105" bestFit="1" customWidth="1"/>
    <col min="4" max="4" width="16.85546875" style="105" bestFit="1" customWidth="1"/>
    <col min="5" max="5" width="22.85546875" style="105" bestFit="1" customWidth="1"/>
    <col min="6" max="16384" width="9.140625" style="105"/>
  </cols>
  <sheetData>
    <row r="1" spans="1:5" x14ac:dyDescent="0.2">
      <c r="A1" s="104" t="s">
        <v>169</v>
      </c>
      <c r="B1" s="104" t="s">
        <v>170</v>
      </c>
      <c r="C1" s="104" t="s">
        <v>171</v>
      </c>
      <c r="D1" s="104" t="s">
        <v>172</v>
      </c>
      <c r="E1" s="104" t="s">
        <v>173</v>
      </c>
    </row>
    <row r="2" spans="1:5" x14ac:dyDescent="0.2">
      <c r="A2" s="104" t="s">
        <v>126</v>
      </c>
      <c r="B2" s="104" t="s">
        <v>174</v>
      </c>
      <c r="C2" s="105" t="s">
        <v>49</v>
      </c>
      <c r="D2" s="105">
        <v>569</v>
      </c>
      <c r="E2" s="105">
        <v>682.8</v>
      </c>
    </row>
    <row r="3" spans="1:5" x14ac:dyDescent="0.2">
      <c r="B3" s="104" t="s">
        <v>175</v>
      </c>
      <c r="C3" s="105" t="s">
        <v>49</v>
      </c>
      <c r="D3" s="105">
        <v>719</v>
      </c>
      <c r="E3" s="105">
        <v>862.8</v>
      </c>
    </row>
    <row r="4" spans="1:5" x14ac:dyDescent="0.2">
      <c r="B4" s="104" t="s">
        <v>176</v>
      </c>
      <c r="C4" s="105" t="s">
        <v>49</v>
      </c>
      <c r="D4" s="105">
        <v>273</v>
      </c>
      <c r="E4" s="105">
        <v>327.59999999999997</v>
      </c>
    </row>
    <row r="5" spans="1:5" x14ac:dyDescent="0.2">
      <c r="B5" s="104" t="s">
        <v>177</v>
      </c>
      <c r="C5" s="105" t="s">
        <v>49</v>
      </c>
      <c r="D5" s="105">
        <v>669</v>
      </c>
      <c r="E5" s="105">
        <v>802.8</v>
      </c>
    </row>
    <row r="6" spans="1:5" x14ac:dyDescent="0.2">
      <c r="B6" s="104" t="s">
        <v>178</v>
      </c>
      <c r="C6" s="105" t="s">
        <v>49</v>
      </c>
      <c r="D6" s="105">
        <v>464</v>
      </c>
      <c r="E6" s="105">
        <v>556.79999999999995</v>
      </c>
    </row>
    <row r="7" spans="1:5" x14ac:dyDescent="0.2">
      <c r="B7" s="104" t="s">
        <v>179</v>
      </c>
      <c r="C7" s="105" t="s">
        <v>49</v>
      </c>
      <c r="D7" s="105">
        <v>499</v>
      </c>
      <c r="E7" s="105">
        <v>598.79999999999995</v>
      </c>
    </row>
    <row r="8" spans="1:5" x14ac:dyDescent="0.2">
      <c r="B8" s="104" t="s">
        <v>180</v>
      </c>
      <c r="C8" s="105" t="s">
        <v>49</v>
      </c>
      <c r="D8" s="105">
        <v>504</v>
      </c>
      <c r="E8" s="105">
        <v>604.79999999999995</v>
      </c>
    </row>
    <row r="9" spans="1:5" x14ac:dyDescent="0.2">
      <c r="B9" s="104" t="s">
        <v>181</v>
      </c>
      <c r="C9" s="105" t="s">
        <v>49</v>
      </c>
      <c r="D9" s="105">
        <v>139</v>
      </c>
      <c r="E9" s="105">
        <v>166.79999999999998</v>
      </c>
    </row>
    <row r="10" spans="1:5" x14ac:dyDescent="0.2">
      <c r="B10" s="104" t="s">
        <v>182</v>
      </c>
      <c r="C10" s="105" t="s">
        <v>49</v>
      </c>
      <c r="D10" s="105">
        <v>416</v>
      </c>
      <c r="E10" s="105">
        <v>499.2</v>
      </c>
    </row>
    <row r="11" spans="1:5" x14ac:dyDescent="0.2">
      <c r="B11" s="104" t="s">
        <v>183</v>
      </c>
      <c r="C11" s="105" t="s">
        <v>49</v>
      </c>
      <c r="D11" s="105">
        <v>687</v>
      </c>
      <c r="E11" s="105">
        <v>824.4</v>
      </c>
    </row>
    <row r="12" spans="1:5" x14ac:dyDescent="0.2">
      <c r="B12" s="104" t="s">
        <v>184</v>
      </c>
      <c r="C12" s="105" t="s">
        <v>49</v>
      </c>
      <c r="D12" s="105">
        <v>424</v>
      </c>
      <c r="E12" s="105">
        <v>508.7999999999999</v>
      </c>
    </row>
    <row r="13" spans="1:5" x14ac:dyDescent="0.2">
      <c r="B13" s="104" t="s">
        <v>185</v>
      </c>
      <c r="C13" s="105" t="s">
        <v>49</v>
      </c>
      <c r="D13" s="105">
        <v>414</v>
      </c>
      <c r="E13" s="105">
        <v>496.79999999999995</v>
      </c>
    </row>
    <row r="14" spans="1:5" x14ac:dyDescent="0.2">
      <c r="B14" s="104" t="s">
        <v>186</v>
      </c>
      <c r="C14" s="105" t="s">
        <v>49</v>
      </c>
      <c r="D14" s="105">
        <v>609</v>
      </c>
      <c r="E14" s="105">
        <v>730.8</v>
      </c>
    </row>
    <row r="15" spans="1:5" x14ac:dyDescent="0.2">
      <c r="B15" s="104" t="s">
        <v>187</v>
      </c>
      <c r="C15" s="105" t="s">
        <v>49</v>
      </c>
      <c r="D15" s="105">
        <v>322</v>
      </c>
      <c r="E15" s="105">
        <v>386.4</v>
      </c>
    </row>
    <row r="16" spans="1:5" x14ac:dyDescent="0.2">
      <c r="A16" s="104" t="s">
        <v>127</v>
      </c>
      <c r="B16" s="104" t="s">
        <v>188</v>
      </c>
      <c r="C16" s="105" t="s">
        <v>49</v>
      </c>
      <c r="D16" s="105">
        <v>80</v>
      </c>
      <c r="E16" s="105">
        <v>96</v>
      </c>
    </row>
    <row r="17" spans="2:5" x14ac:dyDescent="0.2">
      <c r="B17" s="104" t="s">
        <v>189</v>
      </c>
      <c r="C17" s="105" t="s">
        <v>49</v>
      </c>
      <c r="D17" s="105">
        <v>202</v>
      </c>
      <c r="E17" s="105">
        <v>242.39999999999998</v>
      </c>
    </row>
    <row r="18" spans="2:5" x14ac:dyDescent="0.2">
      <c r="B18" s="104" t="s">
        <v>190</v>
      </c>
      <c r="C18" s="105" t="s">
        <v>49</v>
      </c>
      <c r="D18" s="105">
        <v>52</v>
      </c>
      <c r="E18" s="105">
        <v>62.4</v>
      </c>
    </row>
    <row r="19" spans="2:5" x14ac:dyDescent="0.2">
      <c r="B19" s="104" t="s">
        <v>191</v>
      </c>
      <c r="C19" s="105" t="s">
        <v>49</v>
      </c>
      <c r="D19" s="105">
        <v>233</v>
      </c>
      <c r="E19" s="105">
        <v>279.59999999999997</v>
      </c>
    </row>
    <row r="20" spans="2:5" x14ac:dyDescent="0.2">
      <c r="B20" s="104" t="s">
        <v>192</v>
      </c>
      <c r="C20" s="105" t="s">
        <v>49</v>
      </c>
      <c r="D20" s="105">
        <v>254</v>
      </c>
      <c r="E20" s="105">
        <v>304.8</v>
      </c>
    </row>
    <row r="21" spans="2:5" x14ac:dyDescent="0.2">
      <c r="B21" s="104" t="s">
        <v>193</v>
      </c>
      <c r="C21" s="105" t="s">
        <v>49</v>
      </c>
      <c r="D21" s="105">
        <v>271</v>
      </c>
      <c r="E21" s="105">
        <v>325.2</v>
      </c>
    </row>
    <row r="22" spans="2:5" x14ac:dyDescent="0.2">
      <c r="B22" s="104" t="s">
        <v>194</v>
      </c>
      <c r="C22" s="105" t="s">
        <v>49</v>
      </c>
      <c r="D22" s="105">
        <v>239</v>
      </c>
      <c r="E22" s="105">
        <v>286.8</v>
      </c>
    </row>
    <row r="23" spans="2:5" x14ac:dyDescent="0.2">
      <c r="B23" s="104" t="s">
        <v>195</v>
      </c>
      <c r="C23" s="105" t="s">
        <v>49</v>
      </c>
      <c r="D23" s="105">
        <v>263</v>
      </c>
      <c r="E23" s="105">
        <v>315.59999999999997</v>
      </c>
    </row>
    <row r="24" spans="2:5" x14ac:dyDescent="0.2">
      <c r="B24" s="104" t="s">
        <v>196</v>
      </c>
      <c r="C24" s="105" t="s">
        <v>70</v>
      </c>
      <c r="D24" s="105">
        <v>478</v>
      </c>
      <c r="E24" s="105">
        <v>573.6</v>
      </c>
    </row>
    <row r="25" spans="2:5" x14ac:dyDescent="0.2">
      <c r="B25" s="104" t="s">
        <v>197</v>
      </c>
      <c r="C25" s="105" t="s">
        <v>49</v>
      </c>
      <c r="D25" s="105">
        <v>196</v>
      </c>
      <c r="E25" s="105">
        <v>235.2</v>
      </c>
    </row>
    <row r="26" spans="2:5" x14ac:dyDescent="0.2">
      <c r="B26" s="104" t="s">
        <v>198</v>
      </c>
      <c r="C26" s="105" t="s">
        <v>49</v>
      </c>
      <c r="D26" s="105">
        <v>193</v>
      </c>
      <c r="E26" s="105">
        <v>231.6</v>
      </c>
    </row>
    <row r="27" spans="2:5" x14ac:dyDescent="0.2">
      <c r="B27" s="104" t="s">
        <v>199</v>
      </c>
      <c r="C27" s="105" t="s">
        <v>49</v>
      </c>
      <c r="D27" s="105">
        <v>148</v>
      </c>
      <c r="E27" s="105">
        <v>177.6</v>
      </c>
    </row>
    <row r="28" spans="2:5" x14ac:dyDescent="0.2">
      <c r="B28" s="104" t="s">
        <v>200</v>
      </c>
      <c r="C28" s="105" t="s">
        <v>70</v>
      </c>
      <c r="D28" s="105">
        <v>553</v>
      </c>
      <c r="E28" s="105">
        <v>663.6</v>
      </c>
    </row>
    <row r="29" spans="2:5" x14ac:dyDescent="0.2">
      <c r="B29" s="104" t="s">
        <v>201</v>
      </c>
      <c r="C29" s="105" t="s">
        <v>49</v>
      </c>
      <c r="D29" s="105">
        <v>279</v>
      </c>
      <c r="E29" s="105">
        <v>334.8</v>
      </c>
    </row>
    <row r="30" spans="2:5" x14ac:dyDescent="0.2">
      <c r="B30" s="104" t="s">
        <v>202</v>
      </c>
      <c r="C30" s="105" t="s">
        <v>49</v>
      </c>
      <c r="D30" s="105">
        <v>317</v>
      </c>
      <c r="E30" s="105">
        <v>380.4</v>
      </c>
    </row>
    <row r="31" spans="2:5" x14ac:dyDescent="0.2">
      <c r="B31" s="104" t="s">
        <v>203</v>
      </c>
      <c r="C31" s="105" t="s">
        <v>49</v>
      </c>
      <c r="D31" s="105">
        <v>342</v>
      </c>
      <c r="E31" s="105">
        <v>410.4</v>
      </c>
    </row>
    <row r="32" spans="2:5" x14ac:dyDescent="0.2">
      <c r="B32" s="104" t="s">
        <v>204</v>
      </c>
      <c r="C32" s="105" t="s">
        <v>70</v>
      </c>
      <c r="D32" s="105">
        <v>382</v>
      </c>
      <c r="E32" s="105">
        <v>458.4</v>
      </c>
    </row>
    <row r="33" spans="1:5" x14ac:dyDescent="0.2">
      <c r="A33" s="104" t="s">
        <v>128</v>
      </c>
      <c r="B33" s="104" t="s">
        <v>205</v>
      </c>
      <c r="C33" s="105" t="s">
        <v>49</v>
      </c>
      <c r="D33" s="105">
        <v>543</v>
      </c>
      <c r="E33" s="105">
        <v>651.6</v>
      </c>
    </row>
    <row r="34" spans="1:5" x14ac:dyDescent="0.2">
      <c r="B34" s="104" t="s">
        <v>206</v>
      </c>
      <c r="C34" s="105" t="s">
        <v>49</v>
      </c>
      <c r="D34" s="105">
        <v>860</v>
      </c>
      <c r="E34" s="105">
        <v>1032</v>
      </c>
    </row>
    <row r="35" spans="1:5" x14ac:dyDescent="0.2">
      <c r="B35" s="104" t="s">
        <v>207</v>
      </c>
      <c r="C35" s="105" t="s">
        <v>49</v>
      </c>
      <c r="D35" s="105">
        <v>1010</v>
      </c>
      <c r="E35" s="105">
        <v>1212</v>
      </c>
    </row>
    <row r="36" spans="1:5" x14ac:dyDescent="0.2">
      <c r="B36" s="104" t="s">
        <v>208</v>
      </c>
      <c r="C36" s="105" t="s">
        <v>49</v>
      </c>
      <c r="D36" s="105">
        <v>431</v>
      </c>
      <c r="E36" s="105">
        <v>517.19999999999993</v>
      </c>
    </row>
    <row r="37" spans="1:5" x14ac:dyDescent="0.2">
      <c r="B37" s="104" t="s">
        <v>209</v>
      </c>
      <c r="C37" s="105" t="s">
        <v>49</v>
      </c>
      <c r="D37" s="105">
        <v>379</v>
      </c>
      <c r="E37" s="105">
        <v>454.8</v>
      </c>
    </row>
    <row r="38" spans="1:5" x14ac:dyDescent="0.2">
      <c r="B38" s="104" t="s">
        <v>210</v>
      </c>
      <c r="C38" s="105" t="s">
        <v>49</v>
      </c>
      <c r="D38" s="105">
        <v>580</v>
      </c>
      <c r="E38" s="105">
        <v>696</v>
      </c>
    </row>
    <row r="39" spans="1:5" x14ac:dyDescent="0.2">
      <c r="B39" s="104" t="s">
        <v>211</v>
      </c>
      <c r="C39" s="105" t="s">
        <v>49</v>
      </c>
      <c r="D39" s="105">
        <v>679</v>
      </c>
      <c r="E39" s="105">
        <v>814.8</v>
      </c>
    </row>
    <row r="40" spans="1:5" x14ac:dyDescent="0.2">
      <c r="B40" s="104" t="s">
        <v>212</v>
      </c>
      <c r="C40" s="105" t="s">
        <v>49</v>
      </c>
      <c r="D40" s="105">
        <v>703</v>
      </c>
      <c r="E40" s="105">
        <v>843.6</v>
      </c>
    </row>
    <row r="41" spans="1:5" x14ac:dyDescent="0.2">
      <c r="B41" s="104" t="s">
        <v>213</v>
      </c>
      <c r="C41" s="105" t="s">
        <v>49</v>
      </c>
      <c r="D41" s="105">
        <v>867</v>
      </c>
      <c r="E41" s="105">
        <v>1040.3999999999999</v>
      </c>
    </row>
    <row r="42" spans="1:5" x14ac:dyDescent="0.2">
      <c r="B42" s="104" t="s">
        <v>214</v>
      </c>
      <c r="C42" s="105" t="s">
        <v>49</v>
      </c>
      <c r="D42" s="105">
        <v>848</v>
      </c>
      <c r="E42" s="105">
        <v>1017.5999999999998</v>
      </c>
    </row>
    <row r="43" spans="1:5" x14ac:dyDescent="0.2">
      <c r="B43" s="104" t="s">
        <v>215</v>
      </c>
      <c r="C43" s="105" t="s">
        <v>49</v>
      </c>
      <c r="D43" s="105">
        <v>1098</v>
      </c>
      <c r="E43" s="105">
        <v>1317.6</v>
      </c>
    </row>
    <row r="44" spans="1:5" x14ac:dyDescent="0.2">
      <c r="B44" s="104" t="s">
        <v>216</v>
      </c>
      <c r="C44" s="105" t="s">
        <v>49</v>
      </c>
      <c r="D44" s="105">
        <v>548</v>
      </c>
      <c r="E44" s="105">
        <v>657.6</v>
      </c>
    </row>
    <row r="45" spans="1:5" x14ac:dyDescent="0.2">
      <c r="A45" s="104" t="s">
        <v>129</v>
      </c>
      <c r="B45" s="104" t="s">
        <v>217</v>
      </c>
      <c r="C45" s="105" t="s">
        <v>34</v>
      </c>
      <c r="D45" s="105">
        <v>493</v>
      </c>
      <c r="E45" s="105">
        <v>591.6</v>
      </c>
    </row>
    <row r="46" spans="1:5" x14ac:dyDescent="0.2">
      <c r="B46" s="104" t="s">
        <v>218</v>
      </c>
      <c r="C46" s="105" t="s">
        <v>49</v>
      </c>
      <c r="D46" s="105">
        <v>322</v>
      </c>
      <c r="E46" s="105">
        <v>386.4</v>
      </c>
    </row>
    <row r="47" spans="1:5" x14ac:dyDescent="0.2">
      <c r="B47" s="104" t="s">
        <v>219</v>
      </c>
      <c r="C47" s="105" t="s">
        <v>70</v>
      </c>
      <c r="D47" s="105">
        <v>113</v>
      </c>
      <c r="E47" s="105">
        <v>135.6</v>
      </c>
    </row>
    <row r="48" spans="1:5" x14ac:dyDescent="0.2">
      <c r="B48" s="104" t="s">
        <v>220</v>
      </c>
      <c r="C48" s="105" t="s">
        <v>70</v>
      </c>
      <c r="D48" s="105">
        <v>222</v>
      </c>
      <c r="E48" s="105">
        <v>266.39999999999998</v>
      </c>
    </row>
    <row r="49" spans="2:5" x14ac:dyDescent="0.2">
      <c r="B49" s="104" t="s">
        <v>221</v>
      </c>
      <c r="C49" s="105" t="s">
        <v>70</v>
      </c>
      <c r="D49" s="105">
        <v>327</v>
      </c>
      <c r="E49" s="105">
        <v>392.4</v>
      </c>
    </row>
    <row r="50" spans="2:5" x14ac:dyDescent="0.2">
      <c r="B50" s="104" t="s">
        <v>222</v>
      </c>
      <c r="C50" s="105" t="s">
        <v>49</v>
      </c>
      <c r="D50" s="105">
        <v>340</v>
      </c>
      <c r="E50" s="105">
        <v>408</v>
      </c>
    </row>
    <row r="51" spans="2:5" x14ac:dyDescent="0.2">
      <c r="B51" s="104" t="s">
        <v>223</v>
      </c>
      <c r="C51" s="105" t="s">
        <v>70</v>
      </c>
      <c r="D51" s="105">
        <v>212</v>
      </c>
      <c r="E51" s="105">
        <v>254.39999999999995</v>
      </c>
    </row>
    <row r="52" spans="2:5" x14ac:dyDescent="0.2">
      <c r="B52" s="104" t="s">
        <v>224</v>
      </c>
      <c r="C52" s="105" t="s">
        <v>34</v>
      </c>
      <c r="D52" s="105">
        <v>632</v>
      </c>
      <c r="E52" s="105">
        <v>758.4</v>
      </c>
    </row>
    <row r="53" spans="2:5" x14ac:dyDescent="0.2">
      <c r="B53" s="104" t="s">
        <v>225</v>
      </c>
      <c r="C53" s="105" t="s">
        <v>70</v>
      </c>
      <c r="D53" s="105">
        <v>583</v>
      </c>
      <c r="E53" s="105">
        <v>699.6</v>
      </c>
    </row>
    <row r="54" spans="2:5" x14ac:dyDescent="0.2">
      <c r="B54" s="104" t="s">
        <v>226</v>
      </c>
      <c r="C54" s="105" t="s">
        <v>34</v>
      </c>
      <c r="D54" s="105">
        <v>630</v>
      </c>
      <c r="E54" s="105">
        <v>756</v>
      </c>
    </row>
    <row r="55" spans="2:5" x14ac:dyDescent="0.2">
      <c r="B55" s="104" t="s">
        <v>227</v>
      </c>
      <c r="C55" s="105" t="s">
        <v>49</v>
      </c>
      <c r="D55" s="105">
        <v>366</v>
      </c>
      <c r="E55" s="105">
        <v>439.2</v>
      </c>
    </row>
    <row r="56" spans="2:5" x14ac:dyDescent="0.2">
      <c r="B56" s="104" t="s">
        <v>228</v>
      </c>
      <c r="C56" s="105" t="s">
        <v>70</v>
      </c>
      <c r="D56" s="105">
        <v>175</v>
      </c>
      <c r="E56" s="105">
        <v>210</v>
      </c>
    </row>
    <row r="57" spans="2:5" x14ac:dyDescent="0.2">
      <c r="B57" s="104" t="s">
        <v>229</v>
      </c>
      <c r="C57" s="105" t="s">
        <v>70</v>
      </c>
      <c r="D57" s="105">
        <v>165</v>
      </c>
      <c r="E57" s="105">
        <v>198</v>
      </c>
    </row>
    <row r="58" spans="2:5" x14ac:dyDescent="0.2">
      <c r="B58" s="104" t="s">
        <v>230</v>
      </c>
      <c r="C58" s="105" t="s">
        <v>70</v>
      </c>
      <c r="D58" s="105">
        <v>797</v>
      </c>
      <c r="E58" s="105">
        <v>956.4</v>
      </c>
    </row>
    <row r="59" spans="2:5" x14ac:dyDescent="0.2">
      <c r="B59" s="104" t="s">
        <v>231</v>
      </c>
      <c r="C59" s="105" t="s">
        <v>70</v>
      </c>
      <c r="D59" s="105">
        <v>25</v>
      </c>
      <c r="E59" s="105">
        <v>30</v>
      </c>
    </row>
    <row r="60" spans="2:5" x14ac:dyDescent="0.2">
      <c r="B60" s="104" t="s">
        <v>232</v>
      </c>
      <c r="C60" s="105" t="s">
        <v>70</v>
      </c>
      <c r="D60" s="105">
        <v>187</v>
      </c>
      <c r="E60" s="105">
        <v>224.4</v>
      </c>
    </row>
    <row r="61" spans="2:5" x14ac:dyDescent="0.2">
      <c r="B61" s="104" t="s">
        <v>233</v>
      </c>
      <c r="C61" s="105" t="s">
        <v>70</v>
      </c>
      <c r="D61" s="105">
        <v>412</v>
      </c>
      <c r="E61" s="105">
        <v>494.4</v>
      </c>
    </row>
    <row r="62" spans="2:5" x14ac:dyDescent="0.2">
      <c r="B62" s="104" t="s">
        <v>234</v>
      </c>
      <c r="C62" s="105" t="s">
        <v>70</v>
      </c>
      <c r="D62" s="105">
        <v>332</v>
      </c>
      <c r="E62" s="105">
        <v>398.4</v>
      </c>
    </row>
    <row r="63" spans="2:5" x14ac:dyDescent="0.2">
      <c r="B63" s="104" t="s">
        <v>235</v>
      </c>
      <c r="C63" s="105" t="s">
        <v>70</v>
      </c>
      <c r="D63" s="105">
        <v>395</v>
      </c>
      <c r="E63" s="105">
        <v>474</v>
      </c>
    </row>
    <row r="64" spans="2:5" x14ac:dyDescent="0.2">
      <c r="B64" s="104" t="s">
        <v>236</v>
      </c>
      <c r="C64" s="105" t="s">
        <v>70</v>
      </c>
      <c r="D64" s="105">
        <v>225</v>
      </c>
      <c r="E64" s="105">
        <v>270</v>
      </c>
    </row>
    <row r="65" spans="1:5" x14ac:dyDescent="0.2">
      <c r="B65" s="104" t="s">
        <v>237</v>
      </c>
      <c r="C65" s="105" t="s">
        <v>70</v>
      </c>
      <c r="D65" s="105">
        <v>144</v>
      </c>
      <c r="E65" s="105">
        <v>172.79999999999998</v>
      </c>
    </row>
    <row r="66" spans="1:5" x14ac:dyDescent="0.2">
      <c r="B66" s="104" t="s">
        <v>238</v>
      </c>
      <c r="C66" s="105" t="s">
        <v>70</v>
      </c>
      <c r="D66" s="105">
        <v>358</v>
      </c>
      <c r="E66" s="105">
        <v>429.59999999999997</v>
      </c>
    </row>
    <row r="67" spans="1:5" x14ac:dyDescent="0.2">
      <c r="A67" s="104" t="s">
        <v>130</v>
      </c>
      <c r="B67" s="104" t="s">
        <v>239</v>
      </c>
      <c r="C67" s="105" t="s">
        <v>34</v>
      </c>
      <c r="D67" s="105">
        <v>153</v>
      </c>
      <c r="E67" s="105">
        <v>183.6</v>
      </c>
    </row>
    <row r="68" spans="1:5" x14ac:dyDescent="0.2">
      <c r="B68" s="104" t="s">
        <v>240</v>
      </c>
      <c r="C68" s="105" t="s">
        <v>34</v>
      </c>
      <c r="D68" s="105">
        <v>408</v>
      </c>
      <c r="E68" s="105">
        <v>489.59999999999997</v>
      </c>
    </row>
    <row r="69" spans="1:5" x14ac:dyDescent="0.2">
      <c r="B69" s="104" t="s">
        <v>241</v>
      </c>
      <c r="C69" s="105" t="s">
        <v>34</v>
      </c>
      <c r="D69" s="105">
        <v>473</v>
      </c>
      <c r="E69" s="105">
        <v>567.6</v>
      </c>
    </row>
    <row r="70" spans="1:5" x14ac:dyDescent="0.2">
      <c r="B70" s="104" t="s">
        <v>242</v>
      </c>
      <c r="C70" s="105" t="s">
        <v>34</v>
      </c>
      <c r="D70" s="105">
        <v>262</v>
      </c>
      <c r="E70" s="105">
        <v>314.39999999999998</v>
      </c>
    </row>
    <row r="71" spans="1:5" x14ac:dyDescent="0.2">
      <c r="B71" s="104" t="s">
        <v>243</v>
      </c>
      <c r="C71" s="105" t="s">
        <v>34</v>
      </c>
      <c r="D71" s="105">
        <v>499</v>
      </c>
      <c r="E71" s="105">
        <v>598.79999999999995</v>
      </c>
    </row>
    <row r="72" spans="1:5" x14ac:dyDescent="0.2">
      <c r="B72" s="104" t="s">
        <v>244</v>
      </c>
      <c r="C72" s="105" t="s">
        <v>34</v>
      </c>
      <c r="D72" s="105">
        <v>719</v>
      </c>
      <c r="E72" s="105">
        <v>862.8</v>
      </c>
    </row>
    <row r="73" spans="1:5" x14ac:dyDescent="0.2">
      <c r="B73" s="104" t="s">
        <v>245</v>
      </c>
      <c r="C73" s="105" t="s">
        <v>34</v>
      </c>
      <c r="D73" s="105">
        <v>575</v>
      </c>
      <c r="E73" s="105">
        <v>690</v>
      </c>
    </row>
    <row r="74" spans="1:5" x14ac:dyDescent="0.2">
      <c r="B74" s="104" t="s">
        <v>246</v>
      </c>
      <c r="C74" s="105" t="s">
        <v>34</v>
      </c>
      <c r="D74" s="105">
        <v>108</v>
      </c>
      <c r="E74" s="105">
        <v>129.6</v>
      </c>
    </row>
    <row r="75" spans="1:5" x14ac:dyDescent="0.2">
      <c r="B75" s="104" t="s">
        <v>247</v>
      </c>
      <c r="C75" s="105" t="s">
        <v>34</v>
      </c>
      <c r="D75" s="105">
        <v>400</v>
      </c>
      <c r="E75" s="105">
        <v>480</v>
      </c>
    </row>
    <row r="76" spans="1:5" x14ac:dyDescent="0.2">
      <c r="B76" s="104" t="s">
        <v>248</v>
      </c>
      <c r="C76" s="105" t="s">
        <v>34</v>
      </c>
      <c r="D76" s="105">
        <v>635</v>
      </c>
      <c r="E76" s="105">
        <v>762</v>
      </c>
    </row>
    <row r="77" spans="1:5" x14ac:dyDescent="0.2">
      <c r="B77" s="104" t="s">
        <v>249</v>
      </c>
      <c r="C77" s="105" t="s">
        <v>34</v>
      </c>
      <c r="D77" s="105">
        <v>520</v>
      </c>
      <c r="E77" s="105">
        <v>624</v>
      </c>
    </row>
    <row r="78" spans="1:5" x14ac:dyDescent="0.2">
      <c r="B78" s="104" t="s">
        <v>250</v>
      </c>
      <c r="C78" s="105" t="s">
        <v>34</v>
      </c>
      <c r="D78" s="105">
        <v>298</v>
      </c>
      <c r="E78" s="105">
        <v>357.59999999999997</v>
      </c>
    </row>
    <row r="79" spans="1:5" x14ac:dyDescent="0.2">
      <c r="B79" s="104" t="s">
        <v>251</v>
      </c>
      <c r="C79" s="105" t="s">
        <v>34</v>
      </c>
      <c r="D79" s="105">
        <v>498</v>
      </c>
      <c r="E79" s="105">
        <v>597.6</v>
      </c>
    </row>
    <row r="80" spans="1:5" x14ac:dyDescent="0.2">
      <c r="B80" s="104" t="s">
        <v>252</v>
      </c>
      <c r="C80" s="105" t="s">
        <v>34</v>
      </c>
      <c r="D80" s="105">
        <v>426</v>
      </c>
      <c r="E80" s="105">
        <v>511.2</v>
      </c>
    </row>
    <row r="81" spans="1:5" x14ac:dyDescent="0.2">
      <c r="B81" s="104" t="s">
        <v>253</v>
      </c>
      <c r="C81" s="105" t="s">
        <v>34</v>
      </c>
      <c r="D81" s="105">
        <v>227</v>
      </c>
      <c r="E81" s="105">
        <v>272.39999999999998</v>
      </c>
    </row>
    <row r="82" spans="1:5" x14ac:dyDescent="0.2">
      <c r="B82" s="104" t="s">
        <v>254</v>
      </c>
      <c r="C82" s="105" t="s">
        <v>34</v>
      </c>
      <c r="D82" s="105">
        <v>413</v>
      </c>
      <c r="E82" s="105">
        <v>495.59999999999997</v>
      </c>
    </row>
    <row r="83" spans="1:5" x14ac:dyDescent="0.2">
      <c r="A83" s="104" t="s">
        <v>131</v>
      </c>
      <c r="B83" s="104" t="s">
        <v>255</v>
      </c>
      <c r="C83" s="105" t="s">
        <v>57</v>
      </c>
      <c r="D83" s="105">
        <v>784</v>
      </c>
      <c r="E83" s="105">
        <v>940.8</v>
      </c>
    </row>
    <row r="84" spans="1:5" x14ac:dyDescent="0.2">
      <c r="B84" s="104" t="s">
        <v>256</v>
      </c>
      <c r="C84" s="105" t="s">
        <v>57</v>
      </c>
      <c r="D84" s="105">
        <v>730</v>
      </c>
      <c r="E84" s="105">
        <v>876</v>
      </c>
    </row>
    <row r="85" spans="1:5" x14ac:dyDescent="0.2">
      <c r="B85" s="104" t="s">
        <v>257</v>
      </c>
      <c r="C85" s="105" t="s">
        <v>57</v>
      </c>
      <c r="D85" s="105">
        <v>486</v>
      </c>
      <c r="E85" s="105">
        <v>583.19999999999993</v>
      </c>
    </row>
    <row r="86" spans="1:5" x14ac:dyDescent="0.2">
      <c r="B86" s="104" t="s">
        <v>258</v>
      </c>
      <c r="C86" s="105" t="s">
        <v>57</v>
      </c>
      <c r="D86" s="105">
        <v>682</v>
      </c>
      <c r="E86" s="105">
        <v>818.4</v>
      </c>
    </row>
    <row r="87" spans="1:5" x14ac:dyDescent="0.2">
      <c r="B87" s="104" t="s">
        <v>259</v>
      </c>
      <c r="C87" s="105" t="s">
        <v>57</v>
      </c>
      <c r="D87" s="105">
        <v>655</v>
      </c>
      <c r="E87" s="105">
        <v>786</v>
      </c>
    </row>
    <row r="88" spans="1:5" x14ac:dyDescent="0.2">
      <c r="B88" s="104" t="s">
        <v>260</v>
      </c>
      <c r="C88" s="105" t="s">
        <v>57</v>
      </c>
      <c r="D88" s="105">
        <v>781</v>
      </c>
      <c r="E88" s="105">
        <v>937.19999999999993</v>
      </c>
    </row>
    <row r="89" spans="1:5" x14ac:dyDescent="0.2">
      <c r="B89" s="104" t="s">
        <v>261</v>
      </c>
      <c r="C89" s="105" t="s">
        <v>57</v>
      </c>
      <c r="D89" s="105">
        <v>487</v>
      </c>
      <c r="E89" s="105">
        <v>584.4</v>
      </c>
    </row>
    <row r="90" spans="1:5" x14ac:dyDescent="0.2">
      <c r="B90" s="104" t="s">
        <v>262</v>
      </c>
      <c r="C90" s="105" t="s">
        <v>57</v>
      </c>
      <c r="D90" s="105">
        <v>668</v>
      </c>
      <c r="E90" s="105">
        <v>801.6</v>
      </c>
    </row>
    <row r="91" spans="1:5" x14ac:dyDescent="0.2">
      <c r="A91" s="104" t="s">
        <v>132</v>
      </c>
      <c r="B91" s="104" t="s">
        <v>263</v>
      </c>
      <c r="C91" s="105" t="s">
        <v>57</v>
      </c>
      <c r="D91" s="105">
        <v>320</v>
      </c>
      <c r="E91" s="105">
        <v>384</v>
      </c>
    </row>
    <row r="92" spans="1:5" x14ac:dyDescent="0.2">
      <c r="B92" s="104" t="s">
        <v>264</v>
      </c>
      <c r="C92" s="105" t="s">
        <v>34</v>
      </c>
      <c r="D92" s="105">
        <v>697</v>
      </c>
      <c r="E92" s="105">
        <v>836.4</v>
      </c>
    </row>
    <row r="93" spans="1:5" x14ac:dyDescent="0.2">
      <c r="B93" s="104" t="s">
        <v>265</v>
      </c>
      <c r="C93" s="105" t="s">
        <v>57</v>
      </c>
      <c r="D93" s="105">
        <v>210</v>
      </c>
      <c r="E93" s="105">
        <v>252</v>
      </c>
    </row>
    <row r="94" spans="1:5" x14ac:dyDescent="0.2">
      <c r="B94" s="104" t="s">
        <v>266</v>
      </c>
      <c r="C94" s="105" t="s">
        <v>57</v>
      </c>
      <c r="D94" s="105">
        <v>678</v>
      </c>
      <c r="E94" s="105">
        <v>813.6</v>
      </c>
    </row>
    <row r="95" spans="1:5" x14ac:dyDescent="0.2">
      <c r="B95" s="104" t="s">
        <v>267</v>
      </c>
      <c r="C95" s="105" t="s">
        <v>57</v>
      </c>
      <c r="D95" s="105">
        <v>3236</v>
      </c>
      <c r="E95" s="105">
        <v>3883.2</v>
      </c>
    </row>
    <row r="96" spans="1:5" x14ac:dyDescent="0.2">
      <c r="B96" s="104" t="s">
        <v>268</v>
      </c>
      <c r="C96" s="105" t="s">
        <v>57</v>
      </c>
      <c r="D96" s="105">
        <v>461</v>
      </c>
      <c r="E96" s="105">
        <v>553.19999999999993</v>
      </c>
    </row>
    <row r="97" spans="2:5" x14ac:dyDescent="0.2">
      <c r="B97" s="104" t="s">
        <v>269</v>
      </c>
      <c r="C97" s="105" t="s">
        <v>34</v>
      </c>
      <c r="D97" s="105">
        <v>710</v>
      </c>
      <c r="E97" s="105">
        <v>852</v>
      </c>
    </row>
    <row r="98" spans="2:5" x14ac:dyDescent="0.2">
      <c r="B98" s="104" t="s">
        <v>270</v>
      </c>
      <c r="C98" s="105" t="s">
        <v>57</v>
      </c>
      <c r="D98" s="105">
        <v>51</v>
      </c>
      <c r="E98" s="105">
        <v>61.199999999999996</v>
      </c>
    </row>
    <row r="99" spans="2:5" x14ac:dyDescent="0.2">
      <c r="B99" s="104" t="s">
        <v>271</v>
      </c>
      <c r="C99" s="105" t="s">
        <v>57</v>
      </c>
      <c r="D99" s="105">
        <v>104</v>
      </c>
      <c r="E99" s="105">
        <v>124.8</v>
      </c>
    </row>
    <row r="100" spans="2:5" x14ac:dyDescent="0.2">
      <c r="B100" s="104" t="s">
        <v>272</v>
      </c>
      <c r="C100" s="105" t="s">
        <v>57</v>
      </c>
      <c r="D100" s="105">
        <v>198</v>
      </c>
      <c r="E100" s="105">
        <v>237.6</v>
      </c>
    </row>
    <row r="101" spans="2:5" x14ac:dyDescent="0.2">
      <c r="B101" s="104" t="s">
        <v>273</v>
      </c>
      <c r="C101" s="105" t="s">
        <v>57</v>
      </c>
      <c r="D101" s="105">
        <v>144</v>
      </c>
      <c r="E101" s="105">
        <v>172.79999999999998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9</vt:i4>
      </vt:variant>
    </vt:vector>
  </HeadingPairs>
  <TitlesOfParts>
    <vt:vector size="29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P02</vt:lpstr>
      <vt:lpstr>P03</vt:lpstr>
      <vt:lpstr>P05</vt:lpstr>
      <vt:lpstr>P09</vt:lpstr>
      <vt:lpstr>S35</vt:lpstr>
      <vt:lpstr>S51</vt:lpstr>
      <vt:lpstr>S59</vt:lpstr>
      <vt:lpstr>S73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Jeff</cp:lastModifiedBy>
  <dcterms:created xsi:type="dcterms:W3CDTF">2003-07-09T21:14:27Z</dcterms:created>
  <dcterms:modified xsi:type="dcterms:W3CDTF">2015-12-01T22:51:13Z</dcterms:modified>
</cp:coreProperties>
</file>